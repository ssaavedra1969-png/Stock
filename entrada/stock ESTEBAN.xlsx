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e491a7a08d8191c/Escritorio/"/>
    </mc:Choice>
  </mc:AlternateContent>
  <xr:revisionPtr revIDLastSave="0" documentId="8_{56FA574C-8747-405E-823F-5410754C69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EDRA Y ARENA" sheetId="1" r:id="rId1"/>
    <sheet name="STOCK 2026" sheetId="9" r:id="rId2"/>
    <sheet name="INICIO INFORME 2026" sheetId="10" r:id="rId3"/>
    <sheet name="01-03-2025 STOCK" sheetId="8" r:id="rId4"/>
    <sheet name="INICIO INFORME" sheetId="6" r:id="rId5"/>
    <sheet name="STOCK CARGA" sheetId="5" r:id="rId6"/>
    <sheet name="Hoj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07" i="9" l="1"/>
  <c r="S916" i="9"/>
  <c r="S858" i="9" l="1"/>
  <c r="D7" i="9" l="1"/>
  <c r="E7" i="9"/>
  <c r="E9" i="9"/>
  <c r="S551" i="9" l="1"/>
  <c r="S539" i="9" l="1"/>
  <c r="S235" i="9" l="1"/>
  <c r="D23" i="9" l="1"/>
  <c r="E23" i="9"/>
  <c r="D22" i="9"/>
  <c r="E22" i="9"/>
  <c r="F22" i="9" l="1"/>
  <c r="F23" i="9"/>
  <c r="D6" i="9"/>
  <c r="D8" i="9"/>
  <c r="D9" i="9"/>
  <c r="F9" i="9" s="1"/>
  <c r="D11" i="9"/>
  <c r="D12" i="9"/>
  <c r="D13" i="9"/>
  <c r="D14" i="9"/>
  <c r="D15" i="9"/>
  <c r="D16" i="9"/>
  <c r="D17" i="9"/>
  <c r="D18" i="9"/>
  <c r="D19" i="9"/>
  <c r="D20" i="9"/>
  <c r="D21" i="9"/>
  <c r="D10" i="9"/>
  <c r="E6" i="9" l="1"/>
  <c r="F6" i="9" s="1"/>
  <c r="E8" i="9"/>
  <c r="F8" i="9" s="1"/>
  <c r="E10" i="9"/>
  <c r="E11" i="9"/>
  <c r="E12" i="9"/>
  <c r="E13" i="9"/>
  <c r="E14" i="9"/>
  <c r="E15" i="9"/>
  <c r="E16" i="9"/>
  <c r="E17" i="9"/>
  <c r="E18" i="9"/>
  <c r="E19" i="9"/>
  <c r="E20" i="9"/>
  <c r="E21" i="9"/>
  <c r="S3000" i="9"/>
  <c r="S2999" i="9"/>
  <c r="S2998" i="9"/>
  <c r="S2997" i="9"/>
  <c r="S2996" i="9"/>
  <c r="S2995" i="9"/>
  <c r="S2994" i="9"/>
  <c r="S2993" i="9"/>
  <c r="S2992" i="9"/>
  <c r="S2991" i="9"/>
  <c r="S2990" i="9"/>
  <c r="S2989" i="9"/>
  <c r="S2988" i="9"/>
  <c r="S2987" i="9"/>
  <c r="S2986" i="9"/>
  <c r="S2985" i="9"/>
  <c r="S2984" i="9"/>
  <c r="S2983" i="9"/>
  <c r="S2982" i="9"/>
  <c r="S2981" i="9"/>
  <c r="S2980" i="9"/>
  <c r="S2979" i="9"/>
  <c r="S2978" i="9"/>
  <c r="S2977" i="9"/>
  <c r="S2976" i="9"/>
  <c r="S2975" i="9"/>
  <c r="S2974" i="9"/>
  <c r="S2973" i="9"/>
  <c r="S2972" i="9"/>
  <c r="S2971" i="9"/>
  <c r="S2970" i="9"/>
  <c r="S2969" i="9"/>
  <c r="S2968" i="9"/>
  <c r="S2967" i="9"/>
  <c r="S2966" i="9"/>
  <c r="S2965" i="9"/>
  <c r="S2964" i="9"/>
  <c r="S2963" i="9"/>
  <c r="S2962" i="9"/>
  <c r="S2961" i="9"/>
  <c r="S2960" i="9"/>
  <c r="S2959" i="9"/>
  <c r="S2958" i="9"/>
  <c r="S2957" i="9"/>
  <c r="S2956" i="9"/>
  <c r="S2955" i="9"/>
  <c r="S2954" i="9"/>
  <c r="S2953" i="9"/>
  <c r="S2952" i="9"/>
  <c r="S2951" i="9"/>
  <c r="S2950" i="9"/>
  <c r="S2949" i="9"/>
  <c r="S2948" i="9"/>
  <c r="S2947" i="9"/>
  <c r="S2946" i="9"/>
  <c r="S2945" i="9"/>
  <c r="S2944" i="9"/>
  <c r="S2943" i="9"/>
  <c r="S2942" i="9"/>
  <c r="S2941" i="9"/>
  <c r="S2940" i="9"/>
  <c r="S2939" i="9"/>
  <c r="S2938" i="9"/>
  <c r="S2937" i="9"/>
  <c r="S2936" i="9"/>
  <c r="S2935" i="9"/>
  <c r="S2934" i="9"/>
  <c r="S2933" i="9"/>
  <c r="S2932" i="9"/>
  <c r="S2931" i="9"/>
  <c r="S2930" i="9"/>
  <c r="S2929" i="9"/>
  <c r="S2928" i="9"/>
  <c r="S2927" i="9"/>
  <c r="S2926" i="9"/>
  <c r="S2925" i="9"/>
  <c r="S2924" i="9"/>
  <c r="S2923" i="9"/>
  <c r="S2922" i="9"/>
  <c r="S2921" i="9"/>
  <c r="S2920" i="9"/>
  <c r="S2919" i="9"/>
  <c r="S2918" i="9"/>
  <c r="S2917" i="9"/>
  <c r="S2916" i="9"/>
  <c r="S2915" i="9"/>
  <c r="S2914" i="9"/>
  <c r="S2913" i="9"/>
  <c r="S2912" i="9"/>
  <c r="S2911" i="9"/>
  <c r="S2910" i="9"/>
  <c r="S2909" i="9"/>
  <c r="S2908" i="9"/>
  <c r="S2907" i="9"/>
  <c r="S2906" i="9"/>
  <c r="S2905" i="9"/>
  <c r="S2904" i="9"/>
  <c r="S2903" i="9"/>
  <c r="S2902" i="9"/>
  <c r="S2901" i="9"/>
  <c r="S2900" i="9"/>
  <c r="S2899" i="9"/>
  <c r="S2898" i="9"/>
  <c r="S2897" i="9"/>
  <c r="S2896" i="9"/>
  <c r="S2895" i="9"/>
  <c r="S2894" i="9"/>
  <c r="S2893" i="9"/>
  <c r="S2892" i="9"/>
  <c r="S2891" i="9"/>
  <c r="S2890" i="9"/>
  <c r="S2889" i="9"/>
  <c r="S2888" i="9"/>
  <c r="S2887" i="9"/>
  <c r="S2886" i="9"/>
  <c r="S2885" i="9"/>
  <c r="S2884" i="9"/>
  <c r="S2883" i="9"/>
  <c r="S2882" i="9"/>
  <c r="S2881" i="9"/>
  <c r="S2880" i="9"/>
  <c r="S2879" i="9"/>
  <c r="S2878" i="9"/>
  <c r="S2877" i="9"/>
  <c r="S2876" i="9"/>
  <c r="S2875" i="9"/>
  <c r="S2874" i="9"/>
  <c r="S2873" i="9"/>
  <c r="S2872" i="9"/>
  <c r="S2871" i="9"/>
  <c r="S2870" i="9"/>
  <c r="S2869" i="9"/>
  <c r="S2868" i="9"/>
  <c r="S2867" i="9"/>
  <c r="S2866" i="9"/>
  <c r="S2865" i="9"/>
  <c r="S2864" i="9"/>
  <c r="S2863" i="9"/>
  <c r="S2862" i="9"/>
  <c r="S2861" i="9"/>
  <c r="S2860" i="9"/>
  <c r="S2859" i="9"/>
  <c r="S2858" i="9"/>
  <c r="S2857" i="9"/>
  <c r="S2856" i="9"/>
  <c r="S2855" i="9"/>
  <c r="S2854" i="9"/>
  <c r="S2853" i="9"/>
  <c r="S2852" i="9"/>
  <c r="S2851" i="9"/>
  <c r="S2850" i="9"/>
  <c r="S2849" i="9"/>
  <c r="S2848" i="9"/>
  <c r="S2847" i="9"/>
  <c r="S2846" i="9"/>
  <c r="S2845" i="9"/>
  <c r="S2844" i="9"/>
  <c r="S2843" i="9"/>
  <c r="S2842" i="9"/>
  <c r="S2841" i="9"/>
  <c r="S2840" i="9"/>
  <c r="S2839" i="9"/>
  <c r="S2838" i="9"/>
  <c r="S2837" i="9"/>
  <c r="S2836" i="9"/>
  <c r="S2835" i="9"/>
  <c r="S2834" i="9"/>
  <c r="S2833" i="9"/>
  <c r="S2832" i="9"/>
  <c r="S2831" i="9"/>
  <c r="S2830" i="9"/>
  <c r="S2829" i="9"/>
  <c r="S2828" i="9"/>
  <c r="S2827" i="9"/>
  <c r="S2826" i="9"/>
  <c r="S2825" i="9"/>
  <c r="S2824" i="9"/>
  <c r="S2823" i="9"/>
  <c r="S2822" i="9"/>
  <c r="S2821" i="9"/>
  <c r="S2820" i="9"/>
  <c r="S2819" i="9"/>
  <c r="S2818" i="9"/>
  <c r="S2817" i="9"/>
  <c r="S2816" i="9"/>
  <c r="S2815" i="9"/>
  <c r="S2814" i="9"/>
  <c r="S2813" i="9"/>
  <c r="S2812" i="9"/>
  <c r="S2811" i="9"/>
  <c r="S2810" i="9"/>
  <c r="S2809" i="9"/>
  <c r="S2808" i="9"/>
  <c r="S2807" i="9"/>
  <c r="S2806" i="9"/>
  <c r="S2805" i="9"/>
  <c r="S2804" i="9"/>
  <c r="S2803" i="9"/>
  <c r="S2802" i="9"/>
  <c r="S2801" i="9"/>
  <c r="S2800" i="9"/>
  <c r="S2799" i="9"/>
  <c r="S2798" i="9"/>
  <c r="S2797" i="9"/>
  <c r="S2796" i="9"/>
  <c r="S2795" i="9"/>
  <c r="S2794" i="9"/>
  <c r="S2793" i="9"/>
  <c r="S2792" i="9"/>
  <c r="S2791" i="9"/>
  <c r="S2790" i="9"/>
  <c r="S2789" i="9"/>
  <c r="S2788" i="9"/>
  <c r="S2787" i="9"/>
  <c r="S2786" i="9"/>
  <c r="S2785" i="9"/>
  <c r="S2784" i="9"/>
  <c r="S2783" i="9"/>
  <c r="S2782" i="9"/>
  <c r="S2781" i="9"/>
  <c r="S2780" i="9"/>
  <c r="S2779" i="9"/>
  <c r="S2778" i="9"/>
  <c r="S2777" i="9"/>
  <c r="S2776" i="9"/>
  <c r="S2775" i="9"/>
  <c r="S2774" i="9"/>
  <c r="S2773" i="9"/>
  <c r="S2772" i="9"/>
  <c r="S2771" i="9"/>
  <c r="S2770" i="9"/>
  <c r="S2769" i="9"/>
  <c r="S2768" i="9"/>
  <c r="S2767" i="9"/>
  <c r="S2766" i="9"/>
  <c r="S2765" i="9"/>
  <c r="S2764" i="9"/>
  <c r="S2763" i="9"/>
  <c r="S2762" i="9"/>
  <c r="S2761" i="9"/>
  <c r="S2760" i="9"/>
  <c r="S2759" i="9"/>
  <c r="S2758" i="9"/>
  <c r="S2757" i="9"/>
  <c r="S2756" i="9"/>
  <c r="S2755" i="9"/>
  <c r="S2754" i="9"/>
  <c r="S2753" i="9"/>
  <c r="S2752" i="9"/>
  <c r="S2751" i="9"/>
  <c r="S2750" i="9"/>
  <c r="S2749" i="9"/>
  <c r="S2748" i="9"/>
  <c r="S2747" i="9"/>
  <c r="S2746" i="9"/>
  <c r="S2745" i="9"/>
  <c r="S2744" i="9"/>
  <c r="S2743" i="9"/>
  <c r="S2742" i="9"/>
  <c r="S2741" i="9"/>
  <c r="S2740" i="9"/>
  <c r="S2739" i="9"/>
  <c r="S2738" i="9"/>
  <c r="S2737" i="9"/>
  <c r="S2736" i="9"/>
  <c r="S2735" i="9"/>
  <c r="S2734" i="9"/>
  <c r="S2733" i="9"/>
  <c r="S2732" i="9"/>
  <c r="S2731" i="9"/>
  <c r="S2730" i="9"/>
  <c r="S2729" i="9"/>
  <c r="S2728" i="9"/>
  <c r="S2727" i="9"/>
  <c r="S2726" i="9"/>
  <c r="S2725" i="9"/>
  <c r="S2724" i="9"/>
  <c r="S2723" i="9"/>
  <c r="S2722" i="9"/>
  <c r="S2721" i="9"/>
  <c r="S2720" i="9"/>
  <c r="S2719" i="9"/>
  <c r="S2718" i="9"/>
  <c r="S2717" i="9"/>
  <c r="S2716" i="9"/>
  <c r="S2715" i="9"/>
  <c r="S2714" i="9"/>
  <c r="S2713" i="9"/>
  <c r="S2712" i="9"/>
  <c r="S2711" i="9"/>
  <c r="S2710" i="9"/>
  <c r="S2709" i="9"/>
  <c r="S2708" i="9"/>
  <c r="S2707" i="9"/>
  <c r="S2706" i="9"/>
  <c r="S2705" i="9"/>
  <c r="S2704" i="9"/>
  <c r="S2703" i="9"/>
  <c r="S2702" i="9"/>
  <c r="S2701" i="9"/>
  <c r="S2700" i="9"/>
  <c r="S2699" i="9"/>
  <c r="S2698" i="9"/>
  <c r="S2697" i="9"/>
  <c r="S2696" i="9"/>
  <c r="S2695" i="9"/>
  <c r="S2694" i="9"/>
  <c r="S2693" i="9"/>
  <c r="S2692" i="9"/>
  <c r="S2691" i="9"/>
  <c r="S2690" i="9"/>
  <c r="S2689" i="9"/>
  <c r="S2688" i="9"/>
  <c r="S2687" i="9"/>
  <c r="S2686" i="9"/>
  <c r="S2685" i="9"/>
  <c r="S2684" i="9"/>
  <c r="S2683" i="9"/>
  <c r="S2682" i="9"/>
  <c r="S2681" i="9"/>
  <c r="S2680" i="9"/>
  <c r="S2679" i="9"/>
  <c r="S2678" i="9"/>
  <c r="S2677" i="9"/>
  <c r="S2676" i="9"/>
  <c r="S2675" i="9"/>
  <c r="S2674" i="9"/>
  <c r="S2673" i="9"/>
  <c r="S2672" i="9"/>
  <c r="S2671" i="9"/>
  <c r="S2670" i="9"/>
  <c r="S2669" i="9"/>
  <c r="S2668" i="9"/>
  <c r="S2667" i="9"/>
  <c r="S2666" i="9"/>
  <c r="S2665" i="9"/>
  <c r="S2664" i="9"/>
  <c r="S2663" i="9"/>
  <c r="S2662" i="9"/>
  <c r="S2661" i="9"/>
  <c r="S2660" i="9"/>
  <c r="S2659" i="9"/>
  <c r="S2658" i="9"/>
  <c r="S2657" i="9"/>
  <c r="S2656" i="9"/>
  <c r="S2655" i="9"/>
  <c r="S2654" i="9"/>
  <c r="S2653" i="9"/>
  <c r="S2652" i="9"/>
  <c r="S2651" i="9"/>
  <c r="S2650" i="9"/>
  <c r="S2649" i="9"/>
  <c r="S2648" i="9"/>
  <c r="S2647" i="9"/>
  <c r="S2646" i="9"/>
  <c r="S2645" i="9"/>
  <c r="S2644" i="9"/>
  <c r="S2643" i="9"/>
  <c r="S2642" i="9"/>
  <c r="S2641" i="9"/>
  <c r="S2640" i="9"/>
  <c r="S2639" i="9"/>
  <c r="S2638" i="9"/>
  <c r="S2637" i="9"/>
  <c r="S2636" i="9"/>
  <c r="S2635" i="9"/>
  <c r="S2634" i="9"/>
  <c r="S2633" i="9"/>
  <c r="S2632" i="9"/>
  <c r="S2631" i="9"/>
  <c r="S2630" i="9"/>
  <c r="S2629" i="9"/>
  <c r="S2628" i="9"/>
  <c r="S2627" i="9"/>
  <c r="S2626" i="9"/>
  <c r="S2625" i="9"/>
  <c r="S2624" i="9"/>
  <c r="S2623" i="9"/>
  <c r="S2622" i="9"/>
  <c r="S2621" i="9"/>
  <c r="S2620" i="9"/>
  <c r="S2619" i="9"/>
  <c r="S2618" i="9"/>
  <c r="S2617" i="9"/>
  <c r="S2616" i="9"/>
  <c r="S2615" i="9"/>
  <c r="S2614" i="9"/>
  <c r="S2613" i="9"/>
  <c r="S2612" i="9"/>
  <c r="S2611" i="9"/>
  <c r="S2610" i="9"/>
  <c r="S2609" i="9"/>
  <c r="S2608" i="9"/>
  <c r="S2607" i="9"/>
  <c r="S2606" i="9"/>
  <c r="S2605" i="9"/>
  <c r="S2604" i="9"/>
  <c r="S2603" i="9"/>
  <c r="S2602" i="9"/>
  <c r="S2601" i="9"/>
  <c r="S2600" i="9"/>
  <c r="S2599" i="9"/>
  <c r="S2598" i="9"/>
  <c r="S2597" i="9"/>
  <c r="S2596" i="9"/>
  <c r="S2595" i="9"/>
  <c r="S2594" i="9"/>
  <c r="S2593" i="9"/>
  <c r="S2592" i="9"/>
  <c r="S2591" i="9"/>
  <c r="S2590" i="9"/>
  <c r="S2589" i="9"/>
  <c r="S2588" i="9"/>
  <c r="S2587" i="9"/>
  <c r="S2586" i="9"/>
  <c r="S2585" i="9"/>
  <c r="S2584" i="9"/>
  <c r="S2583" i="9"/>
  <c r="S2582" i="9"/>
  <c r="S2581" i="9"/>
  <c r="S2580" i="9"/>
  <c r="S2579" i="9"/>
  <c r="S2578" i="9"/>
  <c r="S2577" i="9"/>
  <c r="S2576" i="9"/>
  <c r="S2575" i="9"/>
  <c r="S2574" i="9"/>
  <c r="S2573" i="9"/>
  <c r="S2572" i="9"/>
  <c r="S2571" i="9"/>
  <c r="S2570" i="9"/>
  <c r="S2569" i="9"/>
  <c r="S2568" i="9"/>
  <c r="S2567" i="9"/>
  <c r="S2566" i="9"/>
  <c r="S2565" i="9"/>
  <c r="S2564" i="9"/>
  <c r="S2563" i="9"/>
  <c r="S2562" i="9"/>
  <c r="S2561" i="9"/>
  <c r="S2560" i="9"/>
  <c r="S2559" i="9"/>
  <c r="S2558" i="9"/>
  <c r="S2557" i="9"/>
  <c r="S2556" i="9"/>
  <c r="S2555" i="9"/>
  <c r="S2554" i="9"/>
  <c r="S2553" i="9"/>
  <c r="S2552" i="9"/>
  <c r="S2551" i="9"/>
  <c r="S2550" i="9"/>
  <c r="S2549" i="9"/>
  <c r="S2548" i="9"/>
  <c r="S2547" i="9"/>
  <c r="S2546" i="9"/>
  <c r="S2545" i="9"/>
  <c r="S2544" i="9"/>
  <c r="S2543" i="9"/>
  <c r="S2542" i="9"/>
  <c r="S2541" i="9"/>
  <c r="S2540" i="9"/>
  <c r="S2539" i="9"/>
  <c r="S2538" i="9"/>
  <c r="S2537" i="9"/>
  <c r="S2536" i="9"/>
  <c r="S2535" i="9"/>
  <c r="S2534" i="9"/>
  <c r="S2533" i="9"/>
  <c r="S2532" i="9"/>
  <c r="S2531" i="9"/>
  <c r="S2530" i="9"/>
  <c r="S2529" i="9"/>
  <c r="S2528" i="9"/>
  <c r="S2527" i="9"/>
  <c r="S2526" i="9"/>
  <c r="S2525" i="9"/>
  <c r="S2524" i="9"/>
  <c r="S2523" i="9"/>
  <c r="S2522" i="9"/>
  <c r="S2521" i="9"/>
  <c r="S2520" i="9"/>
  <c r="S2519" i="9"/>
  <c r="S2518" i="9"/>
  <c r="S2517" i="9"/>
  <c r="S2516" i="9"/>
  <c r="S2515" i="9"/>
  <c r="S2514" i="9"/>
  <c r="S2513" i="9"/>
  <c r="S2512" i="9"/>
  <c r="S2511" i="9"/>
  <c r="S2510" i="9"/>
  <c r="S2509" i="9"/>
  <c r="S2508" i="9"/>
  <c r="S2507" i="9"/>
  <c r="S2506" i="9"/>
  <c r="S2505" i="9"/>
  <c r="S2504" i="9"/>
  <c r="S2503" i="9"/>
  <c r="S2502" i="9"/>
  <c r="S2501" i="9"/>
  <c r="S2500" i="9"/>
  <c r="S2499" i="9"/>
  <c r="S2498" i="9"/>
  <c r="S2497" i="9"/>
  <c r="S2496" i="9"/>
  <c r="S2495" i="9"/>
  <c r="S2494" i="9"/>
  <c r="S2493" i="9"/>
  <c r="S2492" i="9"/>
  <c r="S2491" i="9"/>
  <c r="S2490" i="9"/>
  <c r="S2489" i="9"/>
  <c r="S2488" i="9"/>
  <c r="S2487" i="9"/>
  <c r="S2486" i="9"/>
  <c r="S2485" i="9"/>
  <c r="S2484" i="9"/>
  <c r="S2483" i="9"/>
  <c r="S2482" i="9"/>
  <c r="S2481" i="9"/>
  <c r="S2480" i="9"/>
  <c r="S2479" i="9"/>
  <c r="S2478" i="9"/>
  <c r="S2477" i="9"/>
  <c r="S2476" i="9"/>
  <c r="S2475" i="9"/>
  <c r="S2474" i="9"/>
  <c r="S2473" i="9"/>
  <c r="S2472" i="9"/>
  <c r="S2471" i="9"/>
  <c r="S2470" i="9"/>
  <c r="S2469" i="9"/>
  <c r="S2468" i="9"/>
  <c r="S2467" i="9"/>
  <c r="S2466" i="9"/>
  <c r="S2465" i="9"/>
  <c r="S2464" i="9"/>
  <c r="S2463" i="9"/>
  <c r="S2462" i="9"/>
  <c r="S2461" i="9"/>
  <c r="S2460" i="9"/>
  <c r="S2459" i="9"/>
  <c r="S2458" i="9"/>
  <c r="S2457" i="9"/>
  <c r="S2456" i="9"/>
  <c r="S2455" i="9"/>
  <c r="S2454" i="9"/>
  <c r="S2453" i="9"/>
  <c r="S2452" i="9"/>
  <c r="S2451" i="9"/>
  <c r="S2450" i="9"/>
  <c r="S2449" i="9"/>
  <c r="S2448" i="9"/>
  <c r="S2447" i="9"/>
  <c r="S2446" i="9"/>
  <c r="S2445" i="9"/>
  <c r="S2444" i="9"/>
  <c r="S2443" i="9"/>
  <c r="S2442" i="9"/>
  <c r="S2441" i="9"/>
  <c r="S2440" i="9"/>
  <c r="S2439" i="9"/>
  <c r="S2438" i="9"/>
  <c r="S2437" i="9"/>
  <c r="S2436" i="9"/>
  <c r="S2435" i="9"/>
  <c r="S2434" i="9"/>
  <c r="S2433" i="9"/>
  <c r="S2432" i="9"/>
  <c r="S2431" i="9"/>
  <c r="S2430" i="9"/>
  <c r="S2429" i="9"/>
  <c r="S2428" i="9"/>
  <c r="S2427" i="9"/>
  <c r="S2426" i="9"/>
  <c r="S2425" i="9"/>
  <c r="S2424" i="9"/>
  <c r="S2423" i="9"/>
  <c r="S2422" i="9"/>
  <c r="S2421" i="9"/>
  <c r="S2420" i="9"/>
  <c r="S2419" i="9"/>
  <c r="S2418" i="9"/>
  <c r="S2417" i="9"/>
  <c r="S2416" i="9"/>
  <c r="S2415" i="9"/>
  <c r="S2414" i="9"/>
  <c r="S2413" i="9"/>
  <c r="S2412" i="9"/>
  <c r="S2411" i="9"/>
  <c r="S2410" i="9"/>
  <c r="S2409" i="9"/>
  <c r="S2408" i="9"/>
  <c r="S2407" i="9"/>
  <c r="S2406" i="9"/>
  <c r="S2405" i="9"/>
  <c r="S2404" i="9"/>
  <c r="S2403" i="9"/>
  <c r="S2402" i="9"/>
  <c r="S2401" i="9"/>
  <c r="S2400" i="9"/>
  <c r="S2399" i="9"/>
  <c r="S2398" i="9"/>
  <c r="S2397" i="9"/>
  <c r="S2396" i="9"/>
  <c r="S2395" i="9"/>
  <c r="S2394" i="9"/>
  <c r="S2393" i="9"/>
  <c r="S2392" i="9"/>
  <c r="S2391" i="9"/>
  <c r="S2390" i="9"/>
  <c r="S2389" i="9"/>
  <c r="S2388" i="9"/>
  <c r="S2387" i="9"/>
  <c r="S2386" i="9"/>
  <c r="S2385" i="9"/>
  <c r="S2384" i="9"/>
  <c r="S2383" i="9"/>
  <c r="S2382" i="9"/>
  <c r="S2381" i="9"/>
  <c r="S2380" i="9"/>
  <c r="S2379" i="9"/>
  <c r="S2378" i="9"/>
  <c r="S2377" i="9"/>
  <c r="S2376" i="9"/>
  <c r="S2375" i="9"/>
  <c r="S2374" i="9"/>
  <c r="S2373" i="9"/>
  <c r="S2372" i="9"/>
  <c r="S2371" i="9"/>
  <c r="S2370" i="9"/>
  <c r="S2369" i="9"/>
  <c r="S2368" i="9"/>
  <c r="S2367" i="9"/>
  <c r="S2366" i="9"/>
  <c r="S2365" i="9"/>
  <c r="S2364" i="9"/>
  <c r="S2363" i="9"/>
  <c r="S2362" i="9"/>
  <c r="S2361" i="9"/>
  <c r="S2360" i="9"/>
  <c r="S2359" i="9"/>
  <c r="S2358" i="9"/>
  <c r="S2357" i="9"/>
  <c r="S2356" i="9"/>
  <c r="S2355" i="9"/>
  <c r="S2354" i="9"/>
  <c r="S2353" i="9"/>
  <c r="S2352" i="9"/>
  <c r="S2351" i="9"/>
  <c r="S2350" i="9"/>
  <c r="S2349" i="9"/>
  <c r="S2348" i="9"/>
  <c r="S2347" i="9"/>
  <c r="S2346" i="9"/>
  <c r="S2345" i="9"/>
  <c r="S2344" i="9"/>
  <c r="S2343" i="9"/>
  <c r="S2342" i="9"/>
  <c r="S2341" i="9"/>
  <c r="S2340" i="9"/>
  <c r="S2339" i="9"/>
  <c r="S2338" i="9"/>
  <c r="S2337" i="9"/>
  <c r="S2336" i="9"/>
  <c r="S2335" i="9"/>
  <c r="S2334" i="9"/>
  <c r="S2333" i="9"/>
  <c r="S2332" i="9"/>
  <c r="S2331" i="9"/>
  <c r="S2330" i="9"/>
  <c r="S2329" i="9"/>
  <c r="S2328" i="9"/>
  <c r="S2327" i="9"/>
  <c r="S2326" i="9"/>
  <c r="S2325" i="9"/>
  <c r="S2324" i="9"/>
  <c r="S2323" i="9"/>
  <c r="S2322" i="9"/>
  <c r="S2321" i="9"/>
  <c r="S2320" i="9"/>
  <c r="S2319" i="9"/>
  <c r="S2318" i="9"/>
  <c r="S2317" i="9"/>
  <c r="S2316" i="9"/>
  <c r="S2315" i="9"/>
  <c r="S2314" i="9"/>
  <c r="S2313" i="9"/>
  <c r="S2312" i="9"/>
  <c r="S2311" i="9"/>
  <c r="S2310" i="9"/>
  <c r="S2309" i="9"/>
  <c r="S2308" i="9"/>
  <c r="S2307" i="9"/>
  <c r="S2306" i="9"/>
  <c r="S2305" i="9"/>
  <c r="S2304" i="9"/>
  <c r="S2303" i="9"/>
  <c r="S2302" i="9"/>
  <c r="S2301" i="9"/>
  <c r="S2300" i="9"/>
  <c r="S2299" i="9"/>
  <c r="S2298" i="9"/>
  <c r="S2297" i="9"/>
  <c r="S2296" i="9"/>
  <c r="S2295" i="9"/>
  <c r="S2294" i="9"/>
  <c r="S2293" i="9"/>
  <c r="S2292" i="9"/>
  <c r="S2291" i="9"/>
  <c r="S2290" i="9"/>
  <c r="S2289" i="9"/>
  <c r="S2288" i="9"/>
  <c r="S2287" i="9"/>
  <c r="S2286" i="9"/>
  <c r="S2285" i="9"/>
  <c r="S2284" i="9"/>
  <c r="S2283" i="9"/>
  <c r="S2282" i="9"/>
  <c r="S2281" i="9"/>
  <c r="S2280" i="9"/>
  <c r="S2279" i="9"/>
  <c r="S2278" i="9"/>
  <c r="S2277" i="9"/>
  <c r="S2276" i="9"/>
  <c r="S2275" i="9"/>
  <c r="S2274" i="9"/>
  <c r="S2273" i="9"/>
  <c r="S2272" i="9"/>
  <c r="S2271" i="9"/>
  <c r="S2270" i="9"/>
  <c r="S2269" i="9"/>
  <c r="S2268" i="9"/>
  <c r="S2267" i="9"/>
  <c r="S2266" i="9"/>
  <c r="S2265" i="9"/>
  <c r="S2264" i="9"/>
  <c r="S2263" i="9"/>
  <c r="S2262" i="9"/>
  <c r="S2261" i="9"/>
  <c r="S2260" i="9"/>
  <c r="S2259" i="9"/>
  <c r="S2258" i="9"/>
  <c r="S2257" i="9"/>
  <c r="S2256" i="9"/>
  <c r="S2255" i="9"/>
  <c r="S2254" i="9"/>
  <c r="S2253" i="9"/>
  <c r="S2252" i="9"/>
  <c r="S2251" i="9"/>
  <c r="S2250" i="9"/>
  <c r="S2249" i="9"/>
  <c r="S2248" i="9"/>
  <c r="S2247" i="9"/>
  <c r="S2246" i="9"/>
  <c r="S2245" i="9"/>
  <c r="S2244" i="9"/>
  <c r="S2243" i="9"/>
  <c r="S2242" i="9"/>
  <c r="S2241" i="9"/>
  <c r="S2240" i="9"/>
  <c r="S2239" i="9"/>
  <c r="S2238" i="9"/>
  <c r="S2237" i="9"/>
  <c r="S2236" i="9"/>
  <c r="S2235" i="9"/>
  <c r="S2234" i="9"/>
  <c r="S2233" i="9"/>
  <c r="S2232" i="9"/>
  <c r="S2231" i="9"/>
  <c r="S2230" i="9"/>
  <c r="S2229" i="9"/>
  <c r="S2228" i="9"/>
  <c r="S2227" i="9"/>
  <c r="S2226" i="9"/>
  <c r="S2225" i="9"/>
  <c r="S2224" i="9"/>
  <c r="S2223" i="9"/>
  <c r="S2222" i="9"/>
  <c r="S2221" i="9"/>
  <c r="S2220" i="9"/>
  <c r="S2219" i="9"/>
  <c r="S2218" i="9"/>
  <c r="S2217" i="9"/>
  <c r="S2216" i="9"/>
  <c r="S2215" i="9"/>
  <c r="S2214" i="9"/>
  <c r="S2213" i="9"/>
  <c r="S2212" i="9"/>
  <c r="S2211" i="9"/>
  <c r="S2210" i="9"/>
  <c r="S2209" i="9"/>
  <c r="S2208" i="9"/>
  <c r="S2207" i="9"/>
  <c r="S2206" i="9"/>
  <c r="S2205" i="9"/>
  <c r="S2204" i="9"/>
  <c r="S2203" i="9"/>
  <c r="S2202" i="9"/>
  <c r="S2201" i="9"/>
  <c r="S2200" i="9"/>
  <c r="S2199" i="9"/>
  <c r="S2198" i="9"/>
  <c r="S2197" i="9"/>
  <c r="S2196" i="9"/>
  <c r="S2195" i="9"/>
  <c r="S2194" i="9"/>
  <c r="S2193" i="9"/>
  <c r="S2192" i="9"/>
  <c r="S2191" i="9"/>
  <c r="S2190" i="9"/>
  <c r="S2189" i="9"/>
  <c r="S2188" i="9"/>
  <c r="S2187" i="9"/>
  <c r="S2186" i="9"/>
  <c r="S2185" i="9"/>
  <c r="S2184" i="9"/>
  <c r="S2183" i="9"/>
  <c r="S2182" i="9"/>
  <c r="S2181" i="9"/>
  <c r="S2180" i="9"/>
  <c r="S2179" i="9"/>
  <c r="S2178" i="9"/>
  <c r="S2177" i="9"/>
  <c r="S2176" i="9"/>
  <c r="S2175" i="9"/>
  <c r="S2174" i="9"/>
  <c r="S2173" i="9"/>
  <c r="S2172" i="9"/>
  <c r="S2171" i="9"/>
  <c r="S2170" i="9"/>
  <c r="S2169" i="9"/>
  <c r="S2168" i="9"/>
  <c r="S2167" i="9"/>
  <c r="S2166" i="9"/>
  <c r="S2165" i="9"/>
  <c r="S2164" i="9"/>
  <c r="S2163" i="9"/>
  <c r="S2162" i="9"/>
  <c r="S2161" i="9"/>
  <c r="S2160" i="9"/>
  <c r="S2159" i="9"/>
  <c r="S2158" i="9"/>
  <c r="S2157" i="9"/>
  <c r="S2156" i="9"/>
  <c r="S2155" i="9"/>
  <c r="S2154" i="9"/>
  <c r="S2153" i="9"/>
  <c r="S2152" i="9"/>
  <c r="S2151" i="9"/>
  <c r="S2150" i="9"/>
  <c r="S2149" i="9"/>
  <c r="S2148" i="9"/>
  <c r="S2147" i="9"/>
  <c r="S2146" i="9"/>
  <c r="S2145" i="9"/>
  <c r="S2144" i="9"/>
  <c r="S2143" i="9"/>
  <c r="S2142" i="9"/>
  <c r="S2141" i="9"/>
  <c r="S2140" i="9"/>
  <c r="S2139" i="9"/>
  <c r="S2138" i="9"/>
  <c r="S2137" i="9"/>
  <c r="S2136" i="9"/>
  <c r="S2135" i="9"/>
  <c r="S2134" i="9"/>
  <c r="S2133" i="9"/>
  <c r="S2132" i="9"/>
  <c r="S2131" i="9"/>
  <c r="S2130" i="9"/>
  <c r="S2129" i="9"/>
  <c r="S2128" i="9"/>
  <c r="S2127" i="9"/>
  <c r="S2126" i="9"/>
  <c r="S2125" i="9"/>
  <c r="S2124" i="9"/>
  <c r="S2123" i="9"/>
  <c r="S2122" i="9"/>
  <c r="S2121" i="9"/>
  <c r="S2120" i="9"/>
  <c r="S2119" i="9"/>
  <c r="S2118" i="9"/>
  <c r="S2117" i="9"/>
  <c r="S2116" i="9"/>
  <c r="S2115" i="9"/>
  <c r="S2114" i="9"/>
  <c r="S2113" i="9"/>
  <c r="S2112" i="9"/>
  <c r="S2111" i="9"/>
  <c r="S2110" i="9"/>
  <c r="S2109" i="9"/>
  <c r="S2108" i="9"/>
  <c r="S2107" i="9"/>
  <c r="S2106" i="9"/>
  <c r="S2105" i="9"/>
  <c r="S2104" i="9"/>
  <c r="S2103" i="9"/>
  <c r="S2102" i="9"/>
  <c r="S2101" i="9"/>
  <c r="S2100" i="9"/>
  <c r="S2099" i="9"/>
  <c r="S2098" i="9"/>
  <c r="S2097" i="9"/>
  <c r="S2096" i="9"/>
  <c r="S2095" i="9"/>
  <c r="S2094" i="9"/>
  <c r="S2093" i="9"/>
  <c r="S2092" i="9"/>
  <c r="S2091" i="9"/>
  <c r="S2090" i="9"/>
  <c r="S2089" i="9"/>
  <c r="S2088" i="9"/>
  <c r="S2087" i="9"/>
  <c r="S2086" i="9"/>
  <c r="S2085" i="9"/>
  <c r="S2084" i="9"/>
  <c r="S2083" i="9"/>
  <c r="S2082" i="9"/>
  <c r="S2081" i="9"/>
  <c r="S2080" i="9"/>
  <c r="S2079" i="9"/>
  <c r="S2078" i="9"/>
  <c r="S2077" i="9"/>
  <c r="S2076" i="9"/>
  <c r="S2075" i="9"/>
  <c r="S2074" i="9"/>
  <c r="S2073" i="9"/>
  <c r="S2072" i="9"/>
  <c r="S2071" i="9"/>
  <c r="S2070" i="9"/>
  <c r="S2069" i="9"/>
  <c r="S2068" i="9"/>
  <c r="S2067" i="9"/>
  <c r="S2066" i="9"/>
  <c r="S2065" i="9"/>
  <c r="S2064" i="9"/>
  <c r="S2063" i="9"/>
  <c r="S2062" i="9"/>
  <c r="S2061" i="9"/>
  <c r="S2060" i="9"/>
  <c r="S2059" i="9"/>
  <c r="S2058" i="9"/>
  <c r="S2057" i="9"/>
  <c r="S2056" i="9"/>
  <c r="S2055" i="9"/>
  <c r="S2054" i="9"/>
  <c r="S2053" i="9"/>
  <c r="S2052" i="9"/>
  <c r="S2051" i="9"/>
  <c r="S2050" i="9"/>
  <c r="S2049" i="9"/>
  <c r="S2048" i="9"/>
  <c r="S2047" i="9"/>
  <c r="S2046" i="9"/>
  <c r="S2045" i="9"/>
  <c r="S2044" i="9"/>
  <c r="S2043" i="9"/>
  <c r="S2042" i="9"/>
  <c r="S2041" i="9"/>
  <c r="S2040" i="9"/>
  <c r="S2039" i="9"/>
  <c r="S2038" i="9"/>
  <c r="S2037" i="9"/>
  <c r="S2036" i="9"/>
  <c r="S2035" i="9"/>
  <c r="S2034" i="9"/>
  <c r="S2033" i="9"/>
  <c r="S2032" i="9"/>
  <c r="S2031" i="9"/>
  <c r="S2030" i="9"/>
  <c r="S2029" i="9"/>
  <c r="S2028" i="9"/>
  <c r="S2027" i="9"/>
  <c r="S2026" i="9"/>
  <c r="S2025" i="9"/>
  <c r="S2024" i="9"/>
  <c r="S2023" i="9"/>
  <c r="S2022" i="9"/>
  <c r="S2021" i="9"/>
  <c r="S2020" i="9"/>
  <c r="S2019" i="9"/>
  <c r="S2018" i="9"/>
  <c r="S2017" i="9"/>
  <c r="S2016" i="9"/>
  <c r="S2015" i="9"/>
  <c r="S2014" i="9"/>
  <c r="S2013" i="9"/>
  <c r="S2012" i="9"/>
  <c r="S2011" i="9"/>
  <c r="S2010" i="9"/>
  <c r="S2009" i="9"/>
  <c r="S2008" i="9"/>
  <c r="S2007" i="9"/>
  <c r="S2006" i="9"/>
  <c r="S2005" i="9"/>
  <c r="S2004" i="9"/>
  <c r="S2003" i="9"/>
  <c r="S2002" i="9"/>
  <c r="S2001" i="9"/>
  <c r="S2000" i="9"/>
  <c r="S1999" i="9"/>
  <c r="S1998" i="9"/>
  <c r="S1997" i="9"/>
  <c r="S1996" i="9"/>
  <c r="S1995" i="9"/>
  <c r="S1994" i="9"/>
  <c r="S1993" i="9"/>
  <c r="S1992" i="9"/>
  <c r="S1991" i="9"/>
  <c r="S1990" i="9"/>
  <c r="S1989" i="9"/>
  <c r="S1988" i="9"/>
  <c r="S1987" i="9"/>
  <c r="S1986" i="9"/>
  <c r="S1985" i="9"/>
  <c r="S1984" i="9"/>
  <c r="S1983" i="9"/>
  <c r="S1982" i="9"/>
  <c r="S1981" i="9"/>
  <c r="S1980" i="9"/>
  <c r="S1979" i="9"/>
  <c r="S1978" i="9"/>
  <c r="S1977" i="9"/>
  <c r="S1976" i="9"/>
  <c r="S1975" i="9"/>
  <c r="S1974" i="9"/>
  <c r="S1973" i="9"/>
  <c r="S1972" i="9"/>
  <c r="S1971" i="9"/>
  <c r="S1970" i="9"/>
  <c r="S1969" i="9"/>
  <c r="S1968" i="9"/>
  <c r="S1967" i="9"/>
  <c r="S1966" i="9"/>
  <c r="S1965" i="9"/>
  <c r="S1964" i="9"/>
  <c r="S1963" i="9"/>
  <c r="S1962" i="9"/>
  <c r="S1961" i="9"/>
  <c r="S1960" i="9"/>
  <c r="S1959" i="9"/>
  <c r="S1958" i="9"/>
  <c r="S1957" i="9"/>
  <c r="S1956" i="9"/>
  <c r="S1955" i="9"/>
  <c r="S1954" i="9"/>
  <c r="S1953" i="9"/>
  <c r="S1952" i="9"/>
  <c r="S1951" i="9"/>
  <c r="S1950" i="9"/>
  <c r="S1949" i="9"/>
  <c r="S1948" i="9"/>
  <c r="S1947" i="9"/>
  <c r="S1946" i="9"/>
  <c r="S1945" i="9"/>
  <c r="S1944" i="9"/>
  <c r="S1943" i="9"/>
  <c r="S1942" i="9"/>
  <c r="S1941" i="9"/>
  <c r="S1940" i="9"/>
  <c r="S1939" i="9"/>
  <c r="S1938" i="9"/>
  <c r="S1937" i="9"/>
  <c r="S1936" i="9"/>
  <c r="S1935" i="9"/>
  <c r="S1934" i="9"/>
  <c r="S1933" i="9"/>
  <c r="S1932" i="9"/>
  <c r="S1931" i="9"/>
  <c r="S1930" i="9"/>
  <c r="S1929" i="9"/>
  <c r="S1928" i="9"/>
  <c r="S1927" i="9"/>
  <c r="S1926" i="9"/>
  <c r="S1925" i="9"/>
  <c r="S1924" i="9"/>
  <c r="S1923" i="9"/>
  <c r="S1922" i="9"/>
  <c r="S1921" i="9"/>
  <c r="S1920" i="9"/>
  <c r="S1919" i="9"/>
  <c r="S1918" i="9"/>
  <c r="S1917" i="9"/>
  <c r="S1916" i="9"/>
  <c r="S1915" i="9"/>
  <c r="S1914" i="9"/>
  <c r="S1913" i="9"/>
  <c r="S1912" i="9"/>
  <c r="S1911" i="9"/>
  <c r="S1910" i="9"/>
  <c r="S1909" i="9"/>
  <c r="S1908" i="9"/>
  <c r="S1907" i="9"/>
  <c r="S1906" i="9"/>
  <c r="S1905" i="9"/>
  <c r="S1904" i="9"/>
  <c r="S1903" i="9"/>
  <c r="S1902" i="9"/>
  <c r="S1901" i="9"/>
  <c r="S1900" i="9"/>
  <c r="S1899" i="9"/>
  <c r="S1898" i="9"/>
  <c r="S1897" i="9"/>
  <c r="S1896" i="9"/>
  <c r="S1895" i="9"/>
  <c r="S1894" i="9"/>
  <c r="S1893" i="9"/>
  <c r="S1892" i="9"/>
  <c r="S1891" i="9"/>
  <c r="S1890" i="9"/>
  <c r="S1889" i="9"/>
  <c r="S1888" i="9"/>
  <c r="S1887" i="9"/>
  <c r="S1886" i="9"/>
  <c r="S1885" i="9"/>
  <c r="S1884" i="9"/>
  <c r="S1883" i="9"/>
  <c r="S1882" i="9"/>
  <c r="S1881" i="9"/>
  <c r="S1880" i="9"/>
  <c r="S1879" i="9"/>
  <c r="S1878" i="9"/>
  <c r="S1877" i="9"/>
  <c r="S1876" i="9"/>
  <c r="S1875" i="9"/>
  <c r="S1874" i="9"/>
  <c r="S1873" i="9"/>
  <c r="S1843" i="9"/>
  <c r="S1842" i="9"/>
  <c r="S1872" i="9"/>
  <c r="S1871" i="9"/>
  <c r="S1870" i="9"/>
  <c r="S1869" i="9"/>
  <c r="S1868" i="9"/>
  <c r="S1867" i="9"/>
  <c r="S1866" i="9"/>
  <c r="S1865" i="9"/>
  <c r="S1864" i="9"/>
  <c r="S1863" i="9"/>
  <c r="S1862" i="9"/>
  <c r="S1861" i="9"/>
  <c r="S1860" i="9"/>
  <c r="S1859" i="9"/>
  <c r="S1858" i="9"/>
  <c r="S1857" i="9"/>
  <c r="S1856" i="9"/>
  <c r="S1855" i="9"/>
  <c r="S1854" i="9"/>
  <c r="S1853" i="9"/>
  <c r="S1852" i="9"/>
  <c r="S1851" i="9"/>
  <c r="S1850" i="9"/>
  <c r="S1849" i="9"/>
  <c r="S1848" i="9"/>
  <c r="S1847" i="9"/>
  <c r="S1846" i="9"/>
  <c r="S1845" i="9"/>
  <c r="S1844" i="9"/>
  <c r="S1841" i="9"/>
  <c r="S1840" i="9"/>
  <c r="S1839" i="9"/>
  <c r="S1838" i="9"/>
  <c r="S1837" i="9"/>
  <c r="S1836" i="9"/>
  <c r="S1835" i="9"/>
  <c r="S1834" i="9"/>
  <c r="S1833" i="9"/>
  <c r="S1832" i="9"/>
  <c r="S1831" i="9"/>
  <c r="S1830" i="9"/>
  <c r="S1829" i="9"/>
  <c r="S1827" i="9"/>
  <c r="S1826" i="9"/>
  <c r="S1825" i="9"/>
  <c r="S1824" i="9"/>
  <c r="S1823" i="9"/>
  <c r="S1822" i="9"/>
  <c r="S1821" i="9"/>
  <c r="S1820" i="9"/>
  <c r="S1819" i="9"/>
  <c r="S1818" i="9"/>
  <c r="S1817" i="9"/>
  <c r="S1816" i="9"/>
  <c r="S1815" i="9"/>
  <c r="S1814" i="9"/>
  <c r="S1813" i="9"/>
  <c r="S1812" i="9"/>
  <c r="S1811" i="9"/>
  <c r="S1810" i="9"/>
  <c r="S1809" i="9"/>
  <c r="S1808" i="9"/>
  <c r="S1806" i="9"/>
  <c r="S1805" i="9"/>
  <c r="S1804" i="9"/>
  <c r="S1803" i="9"/>
  <c r="S1802" i="9"/>
  <c r="S1801" i="9"/>
  <c r="S1800" i="9"/>
  <c r="S1799" i="9"/>
  <c r="S1798" i="9"/>
  <c r="S1797" i="9"/>
  <c r="S1796" i="9"/>
  <c r="S1795" i="9"/>
  <c r="S1793" i="9"/>
  <c r="S1792" i="9"/>
  <c r="S1794" i="9"/>
  <c r="S1791" i="9"/>
  <c r="S1790" i="9"/>
  <c r="S1789" i="9"/>
  <c r="S1788" i="9"/>
  <c r="S1787" i="9"/>
  <c r="S1786" i="9"/>
  <c r="S1785" i="9"/>
  <c r="S1784" i="9"/>
  <c r="S1783" i="9"/>
  <c r="S1782" i="9"/>
  <c r="S1781" i="9"/>
  <c r="S1828" i="9"/>
  <c r="S1780" i="9"/>
  <c r="S1779" i="9"/>
  <c r="S1778" i="9"/>
  <c r="S1777" i="9"/>
  <c r="S1776" i="9"/>
  <c r="S1775" i="9"/>
  <c r="S1774" i="9"/>
  <c r="S1773" i="9"/>
  <c r="S1772" i="9"/>
  <c r="S1771" i="9"/>
  <c r="S1770" i="9"/>
  <c r="S1769" i="9"/>
  <c r="S1768" i="9"/>
  <c r="S1767" i="9"/>
  <c r="S1766" i="9"/>
  <c r="S1765" i="9"/>
  <c r="S1764" i="9"/>
  <c r="S1763" i="9"/>
  <c r="S1762" i="9"/>
  <c r="S1761" i="9"/>
  <c r="S1760" i="9"/>
  <c r="S1759" i="9"/>
  <c r="S1758" i="9"/>
  <c r="S1757" i="9"/>
  <c r="S1756" i="9"/>
  <c r="S1755" i="9"/>
  <c r="S1754" i="9"/>
  <c r="S1753" i="9"/>
  <c r="S1752" i="9"/>
  <c r="S1751" i="9"/>
  <c r="S1750" i="9"/>
  <c r="S1749" i="9"/>
  <c r="S1748" i="9"/>
  <c r="S1747" i="9"/>
  <c r="S1746" i="9"/>
  <c r="S1745" i="9"/>
  <c r="S1744" i="9"/>
  <c r="S1743" i="9"/>
  <c r="S1742" i="9"/>
  <c r="S1741" i="9"/>
  <c r="S1740" i="9"/>
  <c r="S1739" i="9"/>
  <c r="S1738" i="9"/>
  <c r="S1737" i="9"/>
  <c r="S1736" i="9"/>
  <c r="S1735" i="9"/>
  <c r="S1734" i="9"/>
  <c r="S1733" i="9"/>
  <c r="S1732" i="9"/>
  <c r="S1731" i="9"/>
  <c r="S1730" i="9"/>
  <c r="S1729" i="9"/>
  <c r="S1728" i="9"/>
  <c r="S1727" i="9"/>
  <c r="S1726" i="9"/>
  <c r="S1725" i="9"/>
  <c r="S1724" i="9"/>
  <c r="S1723" i="9"/>
  <c r="S1722" i="9"/>
  <c r="S1721" i="9"/>
  <c r="S1720" i="9"/>
  <c r="S1719" i="9"/>
  <c r="S1718" i="9"/>
  <c r="S1717" i="9"/>
  <c r="S1716" i="9"/>
  <c r="S1715" i="9"/>
  <c r="S1714" i="9"/>
  <c r="S1713" i="9"/>
  <c r="S1712" i="9"/>
  <c r="S1711" i="9"/>
  <c r="S1710" i="9"/>
  <c r="S1709" i="9"/>
  <c r="S1708" i="9"/>
  <c r="S1707" i="9"/>
  <c r="S1706" i="9"/>
  <c r="S1705" i="9"/>
  <c r="S1704" i="9"/>
  <c r="S1703" i="9"/>
  <c r="S1702" i="9"/>
  <c r="S1701" i="9"/>
  <c r="S1700" i="9"/>
  <c r="S1699" i="9"/>
  <c r="S1698" i="9"/>
  <c r="S1697" i="9"/>
  <c r="S1696" i="9"/>
  <c r="S1695" i="9"/>
  <c r="S1694" i="9"/>
  <c r="S1693" i="9"/>
  <c r="S1692" i="9"/>
  <c r="S1691" i="9"/>
  <c r="S1690" i="9"/>
  <c r="S1689" i="9"/>
  <c r="S1688" i="9"/>
  <c r="S1687" i="9"/>
  <c r="S1686" i="9"/>
  <c r="S1685" i="9"/>
  <c r="S1684" i="9"/>
  <c r="S1683" i="9"/>
  <c r="S1682" i="9"/>
  <c r="S1681" i="9"/>
  <c r="S1680" i="9"/>
  <c r="S1679" i="9"/>
  <c r="S1678" i="9"/>
  <c r="S1677" i="9"/>
  <c r="S1676" i="9"/>
  <c r="S1675" i="9"/>
  <c r="S1674" i="9"/>
  <c r="S1673" i="9"/>
  <c r="S1672" i="9"/>
  <c r="S1671" i="9"/>
  <c r="S1670" i="9"/>
  <c r="S1669" i="9"/>
  <c r="S1668" i="9"/>
  <c r="S1667" i="9"/>
  <c r="S1666" i="9"/>
  <c r="S1665" i="9"/>
  <c r="S1664" i="9"/>
  <c r="S1663" i="9"/>
  <c r="S1662" i="9"/>
  <c r="S1661" i="9"/>
  <c r="S1660" i="9"/>
  <c r="S1659" i="9"/>
  <c r="S1658" i="9"/>
  <c r="S1657" i="9"/>
  <c r="S1656" i="9"/>
  <c r="S1655" i="9"/>
  <c r="S1654" i="9"/>
  <c r="S1653" i="9"/>
  <c r="S1652" i="9"/>
  <c r="S1651" i="9"/>
  <c r="S1650" i="9"/>
  <c r="S1649" i="9"/>
  <c r="S1648" i="9"/>
  <c r="S1647" i="9"/>
  <c r="S1646" i="9"/>
  <c r="S1645" i="9"/>
  <c r="S1644" i="9"/>
  <c r="S1643" i="9"/>
  <c r="S1642" i="9"/>
  <c r="S1641" i="9"/>
  <c r="S1640" i="9"/>
  <c r="S1639" i="9"/>
  <c r="S1638" i="9"/>
  <c r="S1637" i="9"/>
  <c r="S1636" i="9"/>
  <c r="S1635" i="9"/>
  <c r="S1634" i="9"/>
  <c r="S1633" i="9"/>
  <c r="S1632" i="9"/>
  <c r="S1631" i="9"/>
  <c r="S1630" i="9"/>
  <c r="S1629" i="9"/>
  <c r="S1628" i="9"/>
  <c r="S1627" i="9"/>
  <c r="S1626" i="9"/>
  <c r="S1625" i="9"/>
  <c r="S1624" i="9"/>
  <c r="S1623" i="9"/>
  <c r="S1622" i="9"/>
  <c r="S1621" i="9"/>
  <c r="S1620" i="9"/>
  <c r="S1619" i="9"/>
  <c r="S1618" i="9"/>
  <c r="S1617" i="9"/>
  <c r="S1616" i="9"/>
  <c r="S1615" i="9"/>
  <c r="S1614" i="9"/>
  <c r="S1613" i="9"/>
  <c r="S1612" i="9"/>
  <c r="S1611" i="9"/>
  <c r="S1610" i="9"/>
  <c r="S1609" i="9"/>
  <c r="S1608" i="9"/>
  <c r="S1607" i="9"/>
  <c r="S1606" i="9"/>
  <c r="S1605" i="9"/>
  <c r="S1604" i="9"/>
  <c r="S1603" i="9"/>
  <c r="S1602" i="9"/>
  <c r="S1601" i="9"/>
  <c r="S1600" i="9"/>
  <c r="S1599" i="9"/>
  <c r="S1598" i="9"/>
  <c r="S1597" i="9"/>
  <c r="S1596" i="9"/>
  <c r="S1595" i="9"/>
  <c r="S1594" i="9"/>
  <c r="S1593" i="9"/>
  <c r="S1592" i="9"/>
  <c r="S1591" i="9"/>
  <c r="S1590" i="9"/>
  <c r="S1589" i="9"/>
  <c r="S1588" i="9"/>
  <c r="S1587" i="9"/>
  <c r="S1586" i="9"/>
  <c r="S1585" i="9"/>
  <c r="S1584" i="9"/>
  <c r="S1583" i="9"/>
  <c r="S1582" i="9"/>
  <c r="S1581" i="9"/>
  <c r="S1580" i="9"/>
  <c r="S1579" i="9"/>
  <c r="S1578" i="9"/>
  <c r="S1577" i="9"/>
  <c r="S1576" i="9"/>
  <c r="S1575" i="9"/>
  <c r="S1574" i="9"/>
  <c r="S1573" i="9"/>
  <c r="S1572" i="9"/>
  <c r="S1571" i="9"/>
  <c r="S1570" i="9"/>
  <c r="S1569" i="9"/>
  <c r="S1568" i="9"/>
  <c r="S1567" i="9"/>
  <c r="S1566" i="9"/>
  <c r="S1565" i="9"/>
  <c r="S1564" i="9"/>
  <c r="S1563" i="9"/>
  <c r="S1562" i="9"/>
  <c r="S1561" i="9"/>
  <c r="S1560" i="9"/>
  <c r="S1559" i="9"/>
  <c r="S1558" i="9"/>
  <c r="S1557" i="9"/>
  <c r="S1556" i="9"/>
  <c r="S1555" i="9"/>
  <c r="S1554" i="9"/>
  <c r="S1553" i="9"/>
  <c r="S1552" i="9"/>
  <c r="S1551" i="9"/>
  <c r="S1550" i="9"/>
  <c r="S1549" i="9"/>
  <c r="S1548" i="9"/>
  <c r="S1547" i="9"/>
  <c r="S1546" i="9"/>
  <c r="S1545" i="9"/>
  <c r="S1544" i="9"/>
  <c r="S1543" i="9"/>
  <c r="S1542" i="9"/>
  <c r="S1541" i="9"/>
  <c r="S1540" i="9"/>
  <c r="S1539" i="9"/>
  <c r="S1538" i="9"/>
  <c r="S1537" i="9"/>
  <c r="S1536" i="9"/>
  <c r="S1535" i="9"/>
  <c r="S1534" i="9"/>
  <c r="S1533" i="9"/>
  <c r="S1532" i="9"/>
  <c r="S1531" i="9"/>
  <c r="S1530" i="9"/>
  <c r="S1529" i="9"/>
  <c r="S1528" i="9"/>
  <c r="S1527" i="9"/>
  <c r="S1526" i="9"/>
  <c r="S1525" i="9"/>
  <c r="S1524" i="9"/>
  <c r="S1523" i="9"/>
  <c r="S1522" i="9"/>
  <c r="S1521" i="9"/>
  <c r="S1520" i="9"/>
  <c r="S1519" i="9"/>
  <c r="S1518" i="9"/>
  <c r="S1517" i="9"/>
  <c r="S1516" i="9"/>
  <c r="S1515" i="9"/>
  <c r="S1514" i="9"/>
  <c r="S1513" i="9"/>
  <c r="S1512" i="9"/>
  <c r="S1511" i="9"/>
  <c r="S1510" i="9"/>
  <c r="S1509" i="9"/>
  <c r="S1508" i="9"/>
  <c r="S1507" i="9"/>
  <c r="S1506" i="9"/>
  <c r="S1505" i="9"/>
  <c r="S1504" i="9"/>
  <c r="S1503" i="9"/>
  <c r="S1502" i="9"/>
  <c r="S1501" i="9"/>
  <c r="S1500" i="9"/>
  <c r="S1499" i="9"/>
  <c r="S1498" i="9"/>
  <c r="S1497" i="9"/>
  <c r="S1496" i="9"/>
  <c r="S1495" i="9"/>
  <c r="S1494" i="9"/>
  <c r="S1493" i="9"/>
  <c r="S1492" i="9"/>
  <c r="S1491" i="9"/>
  <c r="S1490" i="9"/>
  <c r="S1489" i="9"/>
  <c r="S1488" i="9"/>
  <c r="S1487" i="9"/>
  <c r="S1486" i="9"/>
  <c r="S1485" i="9"/>
  <c r="S1484" i="9"/>
  <c r="S1483" i="9"/>
  <c r="S1482" i="9"/>
  <c r="S1481" i="9"/>
  <c r="S1480" i="9"/>
  <c r="S1479" i="9"/>
  <c r="S1478" i="9"/>
  <c r="S1477" i="9"/>
  <c r="S1476" i="9"/>
  <c r="S1475" i="9"/>
  <c r="S1474" i="9"/>
  <c r="S1473" i="9"/>
  <c r="S1472" i="9"/>
  <c r="S1471" i="9"/>
  <c r="S1470" i="9"/>
  <c r="S1469" i="9"/>
  <c r="S1468" i="9"/>
  <c r="S1467" i="9"/>
  <c r="S1466" i="9"/>
  <c r="S1465" i="9"/>
  <c r="S1464" i="9"/>
  <c r="S1463" i="9"/>
  <c r="S1462" i="9"/>
  <c r="S1461" i="9"/>
  <c r="S1460" i="9"/>
  <c r="S1459" i="9"/>
  <c r="S1458" i="9"/>
  <c r="S1457" i="9"/>
  <c r="S1456" i="9"/>
  <c r="S1455" i="9"/>
  <c r="S1454" i="9"/>
  <c r="S1453" i="9"/>
  <c r="S1452" i="9"/>
  <c r="S1451" i="9"/>
  <c r="S1450" i="9"/>
  <c r="S1449" i="9"/>
  <c r="S1448" i="9"/>
  <c r="S1447" i="9"/>
  <c r="S1446" i="9"/>
  <c r="S1445" i="9"/>
  <c r="S1444" i="9"/>
  <c r="S1443" i="9"/>
  <c r="S1442" i="9"/>
  <c r="S1441" i="9"/>
  <c r="S1440" i="9"/>
  <c r="S1439" i="9"/>
  <c r="S1438" i="9"/>
  <c r="S1437" i="9"/>
  <c r="S1436" i="9"/>
  <c r="S1435" i="9"/>
  <c r="S1434" i="9"/>
  <c r="S1433" i="9"/>
  <c r="S1432" i="9"/>
  <c r="S1431" i="9"/>
  <c r="S1430" i="9"/>
  <c r="S1429" i="9"/>
  <c r="S1428" i="9"/>
  <c r="S1427" i="9"/>
  <c r="S1426" i="9"/>
  <c r="S1425" i="9"/>
  <c r="S1424" i="9"/>
  <c r="S1423" i="9"/>
  <c r="S1422" i="9"/>
  <c r="S1421" i="9"/>
  <c r="S1403" i="9"/>
  <c r="S1420" i="9"/>
  <c r="S1419" i="9"/>
  <c r="S1418" i="9"/>
  <c r="S1417" i="9"/>
  <c r="S1416" i="9"/>
  <c r="S1415" i="9"/>
  <c r="S1414" i="9"/>
  <c r="S1413" i="9"/>
  <c r="S1412" i="9"/>
  <c r="S1411" i="9"/>
  <c r="S1410" i="9"/>
  <c r="S1409" i="9"/>
  <c r="S1408" i="9"/>
  <c r="S1407" i="9"/>
  <c r="S1406" i="9"/>
  <c r="S1405" i="9"/>
  <c r="S1404" i="9"/>
  <c r="S1402" i="9"/>
  <c r="S1401" i="9"/>
  <c r="S1400" i="9"/>
  <c r="S1399" i="9"/>
  <c r="S1398" i="9"/>
  <c r="S1397" i="9"/>
  <c r="S1396" i="9"/>
  <c r="S1395" i="9"/>
  <c r="S1394" i="9"/>
  <c r="S1393" i="9"/>
  <c r="S1392" i="9"/>
  <c r="S1391" i="9"/>
  <c r="S1390" i="9"/>
  <c r="S1389" i="9"/>
  <c r="S1388" i="9"/>
  <c r="S1387" i="9"/>
  <c r="S1386" i="9"/>
  <c r="S1385" i="9"/>
  <c r="S1384" i="9"/>
  <c r="S1383" i="9"/>
  <c r="S1382" i="9"/>
  <c r="S1381" i="9"/>
  <c r="S1380" i="9"/>
  <c r="S1379" i="9"/>
  <c r="S1378" i="9"/>
  <c r="S1377" i="9"/>
  <c r="S1376" i="9"/>
  <c r="S1375" i="9"/>
  <c r="S1374" i="9"/>
  <c r="S1373" i="9"/>
  <c r="S1372" i="9"/>
  <c r="S1371" i="9"/>
  <c r="S1370" i="9"/>
  <c r="S1369" i="9"/>
  <c r="S1368" i="9"/>
  <c r="S1367" i="9"/>
  <c r="S1366" i="9"/>
  <c r="S1365" i="9"/>
  <c r="S1364" i="9"/>
  <c r="S1363" i="9"/>
  <c r="S1362" i="9"/>
  <c r="S1361" i="9"/>
  <c r="S1360" i="9"/>
  <c r="S1359" i="9"/>
  <c r="S1358" i="9"/>
  <c r="S1357" i="9"/>
  <c r="S1356" i="9"/>
  <c r="S1355" i="9"/>
  <c r="S1354" i="9"/>
  <c r="S1353" i="9"/>
  <c r="S1352" i="9"/>
  <c r="S1351" i="9"/>
  <c r="S1350" i="9"/>
  <c r="S1349" i="9"/>
  <c r="S1348" i="9"/>
  <c r="S1347" i="9"/>
  <c r="S1346" i="9"/>
  <c r="S1345" i="9"/>
  <c r="S1344" i="9"/>
  <c r="S1343" i="9"/>
  <c r="S1342" i="9"/>
  <c r="S1341" i="9"/>
  <c r="S1340" i="9"/>
  <c r="S1339" i="9"/>
  <c r="S1338" i="9"/>
  <c r="S1337" i="9"/>
  <c r="S1336" i="9"/>
  <c r="S1335" i="9"/>
  <c r="S1334" i="9"/>
  <c r="S1333" i="9"/>
  <c r="S1332" i="9"/>
  <c r="S1331" i="9"/>
  <c r="S1330" i="9"/>
  <c r="S1329" i="9"/>
  <c r="S1328" i="9"/>
  <c r="S1327" i="9"/>
  <c r="S1326" i="9"/>
  <c r="S1325" i="9"/>
  <c r="S1324" i="9"/>
  <c r="S1323" i="9"/>
  <c r="S1322" i="9"/>
  <c r="S1321" i="9"/>
  <c r="S1320" i="9"/>
  <c r="S1319" i="9"/>
  <c r="S1318" i="9"/>
  <c r="S1317" i="9"/>
  <c r="S1316" i="9"/>
  <c r="S1315" i="9"/>
  <c r="S1314" i="9"/>
  <c r="S1313" i="9"/>
  <c r="S1312" i="9"/>
  <c r="S1311" i="9"/>
  <c r="S1310" i="9"/>
  <c r="S1309" i="9"/>
  <c r="S1308" i="9"/>
  <c r="S1307" i="9"/>
  <c r="S1306" i="9"/>
  <c r="S1305" i="9"/>
  <c r="S1304" i="9"/>
  <c r="S1303" i="9"/>
  <c r="S1302" i="9"/>
  <c r="S1301" i="9"/>
  <c r="S1300" i="9"/>
  <c r="S1299" i="9"/>
  <c r="S1298" i="9"/>
  <c r="S1297" i="9"/>
  <c r="S1296" i="9"/>
  <c r="S1295" i="9"/>
  <c r="S1294" i="9"/>
  <c r="S1293" i="9"/>
  <c r="S1292" i="9"/>
  <c r="S1291" i="9"/>
  <c r="S1290" i="9"/>
  <c r="S1289" i="9"/>
  <c r="S1288" i="9"/>
  <c r="S1287" i="9"/>
  <c r="S1286" i="9"/>
  <c r="S1285" i="9"/>
  <c r="S1284" i="9"/>
  <c r="S1283" i="9"/>
  <c r="S1282" i="9"/>
  <c r="S1281" i="9"/>
  <c r="S1280" i="9"/>
  <c r="S1279" i="9"/>
  <c r="S1278" i="9"/>
  <c r="S1277" i="9"/>
  <c r="S1276" i="9"/>
  <c r="S1275" i="9"/>
  <c r="S1274" i="9"/>
  <c r="S1273" i="9"/>
  <c r="S1272" i="9"/>
  <c r="S1271" i="9"/>
  <c r="S1270" i="9"/>
  <c r="S1269" i="9"/>
  <c r="S1268" i="9"/>
  <c r="S1267" i="9"/>
  <c r="S1266" i="9"/>
  <c r="S1265" i="9"/>
  <c r="S1264" i="9"/>
  <c r="S1263" i="9"/>
  <c r="S1262" i="9"/>
  <c r="S1261" i="9"/>
  <c r="S1260" i="9"/>
  <c r="S1259" i="9"/>
  <c r="S1258" i="9"/>
  <c r="S1257" i="9"/>
  <c r="S1256" i="9"/>
  <c r="S1255" i="9"/>
  <c r="S1254" i="9"/>
  <c r="S1253" i="9"/>
  <c r="S1252" i="9"/>
  <c r="S1251" i="9"/>
  <c r="S1250" i="9"/>
  <c r="S1249" i="9"/>
  <c r="S1248" i="9"/>
  <c r="S1247" i="9"/>
  <c r="S1246" i="9"/>
  <c r="S1245" i="9"/>
  <c r="S1244" i="9"/>
  <c r="S1243" i="9"/>
  <c r="S1242" i="9"/>
  <c r="S1241" i="9"/>
  <c r="S1240" i="9"/>
  <c r="S1239" i="9"/>
  <c r="S1238" i="9"/>
  <c r="S1237" i="9"/>
  <c r="S1236" i="9"/>
  <c r="S1235" i="9"/>
  <c r="S1234" i="9"/>
  <c r="S1233" i="9"/>
  <c r="S1232" i="9"/>
  <c r="S1231" i="9"/>
  <c r="S1230" i="9"/>
  <c r="S1229" i="9"/>
  <c r="S1228" i="9"/>
  <c r="S1227" i="9"/>
  <c r="S1226" i="9"/>
  <c r="S1225" i="9"/>
  <c r="S1224" i="9"/>
  <c r="S1223" i="9"/>
  <c r="S1222" i="9"/>
  <c r="S1221" i="9"/>
  <c r="S1220" i="9"/>
  <c r="S1219" i="9"/>
  <c r="S1218" i="9"/>
  <c r="S1217" i="9"/>
  <c r="S1216" i="9"/>
  <c r="S1215" i="9"/>
  <c r="S1214" i="9"/>
  <c r="S1213" i="9"/>
  <c r="S1212" i="9"/>
  <c r="S1211" i="9"/>
  <c r="S1210" i="9"/>
  <c r="S1209" i="9"/>
  <c r="S1208" i="9"/>
  <c r="S1207" i="9"/>
  <c r="S1206" i="9"/>
  <c r="S1205" i="9"/>
  <c r="S1204" i="9"/>
  <c r="S1203" i="9"/>
  <c r="S1202" i="9"/>
  <c r="S1201" i="9"/>
  <c r="S1200" i="9"/>
  <c r="S1199" i="9"/>
  <c r="S1198" i="9"/>
  <c r="S1197" i="9"/>
  <c r="S1196" i="9"/>
  <c r="S1195" i="9"/>
  <c r="S1194" i="9"/>
  <c r="S1193" i="9"/>
  <c r="S1192" i="9"/>
  <c r="S1191" i="9"/>
  <c r="S1190" i="9"/>
  <c r="S1189" i="9"/>
  <c r="S1188" i="9"/>
  <c r="S1187" i="9"/>
  <c r="S1186" i="9"/>
  <c r="S1185" i="9"/>
  <c r="S1184" i="9"/>
  <c r="S1183" i="9"/>
  <c r="S1182" i="9"/>
  <c r="S1181" i="9"/>
  <c r="S1180" i="9"/>
  <c r="S1179" i="9"/>
  <c r="S1178" i="9"/>
  <c r="S1177" i="9"/>
  <c r="S1176" i="9"/>
  <c r="S1175" i="9"/>
  <c r="S1174" i="9"/>
  <c r="S1173" i="9"/>
  <c r="S1172" i="9"/>
  <c r="S1171" i="9"/>
  <c r="S1170" i="9"/>
  <c r="S1169" i="9"/>
  <c r="S1168" i="9"/>
  <c r="S1167" i="9"/>
  <c r="S1166" i="9"/>
  <c r="S1165" i="9"/>
  <c r="S1164" i="9"/>
  <c r="S1163" i="9"/>
  <c r="S1162" i="9"/>
  <c r="S1161" i="9"/>
  <c r="S1160" i="9"/>
  <c r="S1159" i="9"/>
  <c r="S1158" i="9"/>
  <c r="S1157" i="9"/>
  <c r="S1156" i="9"/>
  <c r="S1155" i="9"/>
  <c r="S1154" i="9"/>
  <c r="S1153" i="9"/>
  <c r="S1152" i="9"/>
  <c r="S1151" i="9"/>
  <c r="S1150" i="9"/>
  <c r="S1149" i="9"/>
  <c r="S1148" i="9"/>
  <c r="S1147" i="9"/>
  <c r="S1146" i="9"/>
  <c r="S1145" i="9"/>
  <c r="S1144" i="9"/>
  <c r="S1143" i="9"/>
  <c r="S1142" i="9"/>
  <c r="S1141" i="9"/>
  <c r="S1140" i="9"/>
  <c r="S1139" i="9"/>
  <c r="S1138" i="9"/>
  <c r="S1137" i="9"/>
  <c r="S1136" i="9"/>
  <c r="S1135" i="9"/>
  <c r="S1134" i="9"/>
  <c r="S1133" i="9"/>
  <c r="S1132" i="9"/>
  <c r="S1131" i="9"/>
  <c r="S1130" i="9"/>
  <c r="S1129" i="9"/>
  <c r="S1128" i="9"/>
  <c r="S1127" i="9"/>
  <c r="S1126" i="9"/>
  <c r="S1125" i="9"/>
  <c r="S1124" i="9"/>
  <c r="S1084" i="9"/>
  <c r="S1123" i="9"/>
  <c r="S1122" i="9"/>
  <c r="S1121" i="9"/>
  <c r="S1120" i="9"/>
  <c r="S1119" i="9"/>
  <c r="S1118" i="9"/>
  <c r="S1117" i="9"/>
  <c r="S1116" i="9"/>
  <c r="S1115" i="9"/>
  <c r="S1114" i="9"/>
  <c r="S1113" i="9"/>
  <c r="S1112" i="9"/>
  <c r="S1111" i="9"/>
  <c r="S1110" i="9"/>
  <c r="S1109" i="9"/>
  <c r="S1108" i="9"/>
  <c r="S1107" i="9"/>
  <c r="S1106" i="9"/>
  <c r="S1105" i="9"/>
  <c r="S1104" i="9"/>
  <c r="S1103" i="9"/>
  <c r="S1102" i="9"/>
  <c r="S1101" i="9"/>
  <c r="S1100" i="9"/>
  <c r="S1099" i="9"/>
  <c r="S1098" i="9"/>
  <c r="S1097" i="9"/>
  <c r="S1096" i="9"/>
  <c r="S1095" i="9"/>
  <c r="S1094" i="9"/>
  <c r="S1093" i="9"/>
  <c r="S1092" i="9"/>
  <c r="S1091" i="9"/>
  <c r="S1090" i="9"/>
  <c r="S1089" i="9"/>
  <c r="S1088" i="9"/>
  <c r="S1083" i="9"/>
  <c r="S1082" i="9"/>
  <c r="S1081" i="9"/>
  <c r="S1080" i="9"/>
  <c r="S1079" i="9"/>
  <c r="L1082" i="9"/>
  <c r="S1078" i="9"/>
  <c r="L1081" i="9"/>
  <c r="S1077" i="9"/>
  <c r="L1080" i="9"/>
  <c r="S1076" i="9"/>
  <c r="L1079" i="9"/>
  <c r="S1075" i="9"/>
  <c r="L1078" i="9"/>
  <c r="S1074" i="9"/>
  <c r="L1077" i="9"/>
  <c r="S1073" i="9"/>
  <c r="L1076" i="9"/>
  <c r="S1072" i="9"/>
  <c r="L1075" i="9"/>
  <c r="S1071" i="9"/>
  <c r="L1074" i="9"/>
  <c r="S1070" i="9"/>
  <c r="L1073" i="9"/>
  <c r="S1069" i="9"/>
  <c r="L1072" i="9"/>
  <c r="S1068" i="9"/>
  <c r="L1071" i="9"/>
  <c r="S1067" i="9"/>
  <c r="L1070" i="9"/>
  <c r="S1066" i="9"/>
  <c r="L1069" i="9"/>
  <c r="S1065" i="9"/>
  <c r="L1068" i="9"/>
  <c r="S1064" i="9"/>
  <c r="L1067" i="9"/>
  <c r="S1063" i="9"/>
  <c r="L1066" i="9"/>
  <c r="S1062" i="9"/>
  <c r="L1065" i="9"/>
  <c r="S1061" i="9"/>
  <c r="L1064" i="9"/>
  <c r="S1060" i="9"/>
  <c r="L1063" i="9"/>
  <c r="S1059" i="9"/>
  <c r="L1062" i="9"/>
  <c r="S1058" i="9"/>
  <c r="L1061" i="9"/>
  <c r="S1057" i="9"/>
  <c r="L1060" i="9"/>
  <c r="S1056" i="9"/>
  <c r="L1059" i="9"/>
  <c r="S1055" i="9"/>
  <c r="L1058" i="9"/>
  <c r="S1054" i="9"/>
  <c r="L1057" i="9"/>
  <c r="S1053" i="9"/>
  <c r="L1056" i="9"/>
  <c r="S1052" i="9"/>
  <c r="L1055" i="9"/>
  <c r="S1051" i="9"/>
  <c r="L1054" i="9"/>
  <c r="S1050" i="9"/>
  <c r="L1053" i="9"/>
  <c r="S1049" i="9"/>
  <c r="L1052" i="9"/>
  <c r="S1048" i="9"/>
  <c r="L1051" i="9"/>
  <c r="S1047" i="9"/>
  <c r="L1050" i="9"/>
  <c r="S1046" i="9"/>
  <c r="L1049" i="9"/>
  <c r="S1045" i="9"/>
  <c r="L1048" i="9"/>
  <c r="S1087" i="9"/>
  <c r="L1047" i="9"/>
  <c r="S1086" i="9"/>
  <c r="L1046" i="9"/>
  <c r="S1085" i="9"/>
  <c r="L1045" i="9"/>
  <c r="S1044" i="9"/>
  <c r="L1044" i="9"/>
  <c r="S1043" i="9"/>
  <c r="L1043" i="9"/>
  <c r="S1042" i="9"/>
  <c r="L1042" i="9"/>
  <c r="S1041" i="9"/>
  <c r="L1041" i="9"/>
  <c r="S1040" i="9"/>
  <c r="L1040" i="9"/>
  <c r="S1039" i="9"/>
  <c r="L1039" i="9"/>
  <c r="S1038" i="9"/>
  <c r="L1038" i="9"/>
  <c r="S1037" i="9"/>
  <c r="L1037" i="9"/>
  <c r="S1036" i="9"/>
  <c r="L1036" i="9"/>
  <c r="S1035" i="9"/>
  <c r="L1035" i="9"/>
  <c r="S1034" i="9"/>
  <c r="L1034" i="9"/>
  <c r="S1033" i="9"/>
  <c r="L1033" i="9"/>
  <c r="S1032" i="9"/>
  <c r="L1032" i="9"/>
  <c r="S1031" i="9"/>
  <c r="L1031" i="9"/>
  <c r="S1030" i="9"/>
  <c r="L1030" i="9"/>
  <c r="S1029" i="9"/>
  <c r="L1029" i="9"/>
  <c r="S1028" i="9"/>
  <c r="L1028" i="9"/>
  <c r="S1027" i="9"/>
  <c r="L1027" i="9"/>
  <c r="S1026" i="9"/>
  <c r="L1026" i="9"/>
  <c r="S1025" i="9"/>
  <c r="L1025" i="9"/>
  <c r="S1024" i="9"/>
  <c r="L1024" i="9"/>
  <c r="S1023" i="9"/>
  <c r="L1023" i="9"/>
  <c r="S1022" i="9"/>
  <c r="L1022" i="9"/>
  <c r="S1021" i="9"/>
  <c r="L1021" i="9"/>
  <c r="S1020" i="9"/>
  <c r="L1020" i="9"/>
  <c r="S1019" i="9"/>
  <c r="L1019" i="9"/>
  <c r="S1018" i="9"/>
  <c r="L1018" i="9"/>
  <c r="S1017" i="9"/>
  <c r="L1017" i="9"/>
  <c r="S1016" i="9"/>
  <c r="L1016" i="9"/>
  <c r="S1015" i="9"/>
  <c r="L1015" i="9"/>
  <c r="S1014" i="9"/>
  <c r="L1014" i="9"/>
  <c r="S1013" i="9"/>
  <c r="L1013" i="9"/>
  <c r="S1012" i="9"/>
  <c r="L1012" i="9"/>
  <c r="S1011" i="9"/>
  <c r="L1011" i="9"/>
  <c r="S1010" i="9"/>
  <c r="L1010" i="9"/>
  <c r="S1009" i="9"/>
  <c r="L1009" i="9"/>
  <c r="S1008" i="9"/>
  <c r="L1008" i="9"/>
  <c r="S1007" i="9"/>
  <c r="L1007" i="9"/>
  <c r="S1006" i="9"/>
  <c r="L1006" i="9"/>
  <c r="S1005" i="9"/>
  <c r="L1005" i="9"/>
  <c r="S1004" i="9"/>
  <c r="L1004" i="9"/>
  <c r="S1003" i="9"/>
  <c r="L1003" i="9"/>
  <c r="S1002" i="9"/>
  <c r="L1002" i="9"/>
  <c r="S1001" i="9"/>
  <c r="L1001" i="9"/>
  <c r="S1000" i="9"/>
  <c r="L1000" i="9"/>
  <c r="S999" i="9"/>
  <c r="L999" i="9"/>
  <c r="S998" i="9"/>
  <c r="L998" i="9"/>
  <c r="S997" i="9"/>
  <c r="L997" i="9"/>
  <c r="S996" i="9"/>
  <c r="L996" i="9"/>
  <c r="S995" i="9"/>
  <c r="L995" i="9"/>
  <c r="S994" i="9"/>
  <c r="L994" i="9"/>
  <c r="S993" i="9"/>
  <c r="L993" i="9"/>
  <c r="S992" i="9"/>
  <c r="L992" i="9"/>
  <c r="S991" i="9"/>
  <c r="L991" i="9"/>
  <c r="S990" i="9"/>
  <c r="L990" i="9"/>
  <c r="S989" i="9"/>
  <c r="L989" i="9"/>
  <c r="S988" i="9"/>
  <c r="L988" i="9"/>
  <c r="S987" i="9"/>
  <c r="L987" i="9"/>
  <c r="S986" i="9"/>
  <c r="L986" i="9"/>
  <c r="S985" i="9"/>
  <c r="L985" i="9"/>
  <c r="S984" i="9"/>
  <c r="L984" i="9"/>
  <c r="S983" i="9"/>
  <c r="L983" i="9"/>
  <c r="S982" i="9"/>
  <c r="L982" i="9"/>
  <c r="S981" i="9"/>
  <c r="L981" i="9"/>
  <c r="S980" i="9"/>
  <c r="L980" i="9"/>
  <c r="S979" i="9"/>
  <c r="L979" i="9"/>
  <c r="S978" i="9"/>
  <c r="L978" i="9"/>
  <c r="S977" i="9"/>
  <c r="L977" i="9"/>
  <c r="S976" i="9"/>
  <c r="L976" i="9"/>
  <c r="S975" i="9"/>
  <c r="L975" i="9"/>
  <c r="S974" i="9"/>
  <c r="L974" i="9"/>
  <c r="S973" i="9"/>
  <c r="L973" i="9"/>
  <c r="S972" i="9"/>
  <c r="L972" i="9"/>
  <c r="S971" i="9"/>
  <c r="L971" i="9"/>
  <c r="S970" i="9"/>
  <c r="L970" i="9"/>
  <c r="S969" i="9"/>
  <c r="L969" i="9"/>
  <c r="S968" i="9"/>
  <c r="L968" i="9"/>
  <c r="S967" i="9"/>
  <c r="L967" i="9"/>
  <c r="S966" i="9"/>
  <c r="L966" i="9"/>
  <c r="S965" i="9"/>
  <c r="L965" i="9"/>
  <c r="S964" i="9"/>
  <c r="L964" i="9"/>
  <c r="S963" i="9"/>
  <c r="L963" i="9"/>
  <c r="S962" i="9"/>
  <c r="L962" i="9"/>
  <c r="S961" i="9"/>
  <c r="L961" i="9"/>
  <c r="S960" i="9"/>
  <c r="L960" i="9"/>
  <c r="S959" i="9"/>
  <c r="L959" i="9"/>
  <c r="S958" i="9"/>
  <c r="L958" i="9"/>
  <c r="S957" i="9"/>
  <c r="L957" i="9"/>
  <c r="S956" i="9"/>
  <c r="L956" i="9"/>
  <c r="S955" i="9"/>
  <c r="L955" i="9"/>
  <c r="S954" i="9"/>
  <c r="L954" i="9"/>
  <c r="S953" i="9"/>
  <c r="L953" i="9"/>
  <c r="S952" i="9"/>
  <c r="L952" i="9"/>
  <c r="S951" i="9"/>
  <c r="L951" i="9"/>
  <c r="S950" i="9"/>
  <c r="L950" i="9"/>
  <c r="S949" i="9"/>
  <c r="L949" i="9"/>
  <c r="S948" i="9"/>
  <c r="L948" i="9"/>
  <c r="S947" i="9"/>
  <c r="L947" i="9"/>
  <c r="S946" i="9"/>
  <c r="L946" i="9"/>
  <c r="S945" i="9"/>
  <c r="L945" i="9"/>
  <c r="S944" i="9"/>
  <c r="L944" i="9"/>
  <c r="S943" i="9"/>
  <c r="L943" i="9"/>
  <c r="S942" i="9"/>
  <c r="L942" i="9"/>
  <c r="S941" i="9"/>
  <c r="L941" i="9"/>
  <c r="S940" i="9"/>
  <c r="L940" i="9"/>
  <c r="S939" i="9"/>
  <c r="L939" i="9"/>
  <c r="S938" i="9"/>
  <c r="L938" i="9"/>
  <c r="S937" i="9"/>
  <c r="L937" i="9"/>
  <c r="S936" i="9"/>
  <c r="L936" i="9"/>
  <c r="S935" i="9"/>
  <c r="L935" i="9"/>
  <c r="S934" i="9"/>
  <c r="L934" i="9"/>
  <c r="S933" i="9"/>
  <c r="L933" i="9"/>
  <c r="S932" i="9"/>
  <c r="L932" i="9"/>
  <c r="S931" i="9"/>
  <c r="L931" i="9"/>
  <c r="S930" i="9"/>
  <c r="L930" i="9"/>
  <c r="S929" i="9"/>
  <c r="L929" i="9"/>
  <c r="S928" i="9"/>
  <c r="L928" i="9"/>
  <c r="S927" i="9"/>
  <c r="L927" i="9"/>
  <c r="S881" i="9"/>
  <c r="L926" i="9"/>
  <c r="S926" i="9"/>
  <c r="L925" i="9"/>
  <c r="S925" i="9"/>
  <c r="L924" i="9"/>
  <c r="S924" i="9"/>
  <c r="L923" i="9"/>
  <c r="S923" i="9"/>
  <c r="L922" i="9"/>
  <c r="S922" i="9"/>
  <c r="L921" i="9"/>
  <c r="S921" i="9"/>
  <c r="L920" i="9"/>
  <c r="S920" i="9"/>
  <c r="L919" i="9"/>
  <c r="S919" i="9"/>
  <c r="L918" i="9"/>
  <c r="S918" i="9"/>
  <c r="L917" i="9"/>
  <c r="S917" i="9"/>
  <c r="L916" i="9"/>
  <c r="L915" i="9"/>
  <c r="S915" i="9"/>
  <c r="L914" i="9"/>
  <c r="S914" i="9"/>
  <c r="L913" i="9"/>
  <c r="S913" i="9"/>
  <c r="L912" i="9"/>
  <c r="S912" i="9"/>
  <c r="L911" i="9"/>
  <c r="S911" i="9"/>
  <c r="L910" i="9"/>
  <c r="S910" i="9"/>
  <c r="L909" i="9"/>
  <c r="S909" i="9"/>
  <c r="L908" i="9"/>
  <c r="S908" i="9"/>
  <c r="L907" i="9"/>
  <c r="S907" i="9"/>
  <c r="L906" i="9"/>
  <c r="S906" i="9"/>
  <c r="L905" i="9"/>
  <c r="S905" i="9"/>
  <c r="L904" i="9"/>
  <c r="S904" i="9"/>
  <c r="L903" i="9"/>
  <c r="S903" i="9"/>
  <c r="L902" i="9"/>
  <c r="S902" i="9"/>
  <c r="L901" i="9"/>
  <c r="S901" i="9"/>
  <c r="L900" i="9"/>
  <c r="S900" i="9"/>
  <c r="L899" i="9"/>
  <c r="S899" i="9"/>
  <c r="L898" i="9"/>
  <c r="S898" i="9"/>
  <c r="L897" i="9"/>
  <c r="S897" i="9"/>
  <c r="L896" i="9"/>
  <c r="S896" i="9"/>
  <c r="L895" i="9"/>
  <c r="S895" i="9"/>
  <c r="L894" i="9"/>
  <c r="S894" i="9"/>
  <c r="L893" i="9"/>
  <c r="S893" i="9"/>
  <c r="L892" i="9"/>
  <c r="S892" i="9"/>
  <c r="L891" i="9"/>
  <c r="S891" i="9"/>
  <c r="L890" i="9"/>
  <c r="S890" i="9"/>
  <c r="L889" i="9"/>
  <c r="S889" i="9"/>
  <c r="L888" i="9"/>
  <c r="S888" i="9"/>
  <c r="L887" i="9"/>
  <c r="S887" i="9"/>
  <c r="L886" i="9"/>
  <c r="S886" i="9"/>
  <c r="L885" i="9"/>
  <c r="S885" i="9"/>
  <c r="L884" i="9"/>
  <c r="S884" i="9"/>
  <c r="L883" i="9"/>
  <c r="S883" i="9"/>
  <c r="L882" i="9"/>
  <c r="S882" i="9"/>
  <c r="L881" i="9"/>
  <c r="S880" i="9"/>
  <c r="L880" i="9"/>
  <c r="S879" i="9"/>
  <c r="L879" i="9"/>
  <c r="S878" i="9"/>
  <c r="L878" i="9"/>
  <c r="S877" i="9"/>
  <c r="L877" i="9"/>
  <c r="S876" i="9"/>
  <c r="L876" i="9"/>
  <c r="S875" i="9"/>
  <c r="L875" i="9"/>
  <c r="S874" i="9"/>
  <c r="L874" i="9"/>
  <c r="S873" i="9"/>
  <c r="L873" i="9"/>
  <c r="S872" i="9"/>
  <c r="L872" i="9"/>
  <c r="S871" i="9"/>
  <c r="L871" i="9"/>
  <c r="S870" i="9"/>
  <c r="L870" i="9"/>
  <c r="S869" i="9"/>
  <c r="L869" i="9"/>
  <c r="S868" i="9"/>
  <c r="L868" i="9"/>
  <c r="S867" i="9"/>
  <c r="L867" i="9"/>
  <c r="S865" i="9"/>
  <c r="L866" i="9"/>
  <c r="S864" i="9"/>
  <c r="L865" i="9"/>
  <c r="S863" i="9"/>
  <c r="L864" i="9"/>
  <c r="S862" i="9"/>
  <c r="L863" i="9"/>
  <c r="S861" i="9"/>
  <c r="L862" i="9"/>
  <c r="S860" i="9"/>
  <c r="L861" i="9"/>
  <c r="S859" i="9"/>
  <c r="L860" i="9"/>
  <c r="L859" i="9"/>
  <c r="S857" i="9"/>
  <c r="L858" i="9"/>
  <c r="S856" i="9"/>
  <c r="L857" i="9"/>
  <c r="S866" i="9"/>
  <c r="L856" i="9"/>
  <c r="S855" i="9"/>
  <c r="L855" i="9"/>
  <c r="S854" i="9"/>
  <c r="L854" i="9"/>
  <c r="S853" i="9"/>
  <c r="L853" i="9"/>
  <c r="S852" i="9"/>
  <c r="L852" i="9"/>
  <c r="S851" i="9"/>
  <c r="L851" i="9"/>
  <c r="S850" i="9"/>
  <c r="L850" i="9"/>
  <c r="S849" i="9"/>
  <c r="L849" i="9"/>
  <c r="S848" i="9"/>
  <c r="L848" i="9"/>
  <c r="S847" i="9"/>
  <c r="L847" i="9"/>
  <c r="S846" i="9"/>
  <c r="L846" i="9"/>
  <c r="S845" i="9"/>
  <c r="L845" i="9"/>
  <c r="S844" i="9"/>
  <c r="L844" i="9"/>
  <c r="S843" i="9"/>
  <c r="L843" i="9"/>
  <c r="S842" i="9"/>
  <c r="L842" i="9"/>
  <c r="S841" i="9"/>
  <c r="L841" i="9"/>
  <c r="S840" i="9"/>
  <c r="L840" i="9"/>
  <c r="S839" i="9"/>
  <c r="L839" i="9"/>
  <c r="S838" i="9"/>
  <c r="L838" i="9"/>
  <c r="S837" i="9"/>
  <c r="L837" i="9"/>
  <c r="S836" i="9"/>
  <c r="L836" i="9"/>
  <c r="S835" i="9"/>
  <c r="L835" i="9"/>
  <c r="S834" i="9"/>
  <c r="L834" i="9"/>
  <c r="S833" i="9"/>
  <c r="L833" i="9"/>
  <c r="S832" i="9"/>
  <c r="L832" i="9"/>
  <c r="S831" i="9"/>
  <c r="L831" i="9"/>
  <c r="S830" i="9"/>
  <c r="L830" i="9"/>
  <c r="S829" i="9"/>
  <c r="L829" i="9"/>
  <c r="S828" i="9"/>
  <c r="L828" i="9"/>
  <c r="S827" i="9"/>
  <c r="L827" i="9"/>
  <c r="S826" i="9"/>
  <c r="L826" i="9"/>
  <c r="S825" i="9"/>
  <c r="L825" i="9"/>
  <c r="S824" i="9"/>
  <c r="L824" i="9"/>
  <c r="S823" i="9"/>
  <c r="L823" i="9"/>
  <c r="S822" i="9"/>
  <c r="L822" i="9"/>
  <c r="S821" i="9"/>
  <c r="L821" i="9"/>
  <c r="S820" i="9"/>
  <c r="L820" i="9"/>
  <c r="S819" i="9"/>
  <c r="L819" i="9"/>
  <c r="S818" i="9"/>
  <c r="L818" i="9"/>
  <c r="S817" i="9"/>
  <c r="L817" i="9"/>
  <c r="S816" i="9"/>
  <c r="L816" i="9"/>
  <c r="S815" i="9"/>
  <c r="L815" i="9"/>
  <c r="S814" i="9"/>
  <c r="L814" i="9"/>
  <c r="S813" i="9"/>
  <c r="L813" i="9"/>
  <c r="S812" i="9"/>
  <c r="L812" i="9"/>
  <c r="S811" i="9"/>
  <c r="L811" i="9"/>
  <c r="S810" i="9"/>
  <c r="L810" i="9"/>
  <c r="S809" i="9"/>
  <c r="L809" i="9"/>
  <c r="S808" i="9"/>
  <c r="L808" i="9"/>
  <c r="S807" i="9"/>
  <c r="L807" i="9"/>
  <c r="S806" i="9"/>
  <c r="L806" i="9"/>
  <c r="S805" i="9"/>
  <c r="L805" i="9"/>
  <c r="S804" i="9"/>
  <c r="L804" i="9"/>
  <c r="S803" i="9"/>
  <c r="L803" i="9"/>
  <c r="S802" i="9"/>
  <c r="L802" i="9"/>
  <c r="S801" i="9"/>
  <c r="L801" i="9"/>
  <c r="S800" i="9"/>
  <c r="L800" i="9"/>
  <c r="S799" i="9"/>
  <c r="L799" i="9"/>
  <c r="S798" i="9"/>
  <c r="L798" i="9"/>
  <c r="S797" i="9"/>
  <c r="L797" i="9"/>
  <c r="S796" i="9"/>
  <c r="L796" i="9"/>
  <c r="S795" i="9"/>
  <c r="L795" i="9"/>
  <c r="S794" i="9"/>
  <c r="L794" i="9"/>
  <c r="S793" i="9"/>
  <c r="L793" i="9"/>
  <c r="S792" i="9"/>
  <c r="L792" i="9"/>
  <c r="S791" i="9"/>
  <c r="L791" i="9"/>
  <c r="S790" i="9"/>
  <c r="L790" i="9"/>
  <c r="S789" i="9"/>
  <c r="L789" i="9"/>
  <c r="S788" i="9"/>
  <c r="L788" i="9"/>
  <c r="S787" i="9"/>
  <c r="L787" i="9"/>
  <c r="S786" i="9"/>
  <c r="L786" i="9"/>
  <c r="S785" i="9"/>
  <c r="L785" i="9"/>
  <c r="S784" i="9"/>
  <c r="L784" i="9"/>
  <c r="S783" i="9"/>
  <c r="L783" i="9"/>
  <c r="S782" i="9"/>
  <c r="L782" i="9"/>
  <c r="S781" i="9"/>
  <c r="L781" i="9"/>
  <c r="S780" i="9"/>
  <c r="L780" i="9"/>
  <c r="S779" i="9"/>
  <c r="L779" i="9"/>
  <c r="S778" i="9"/>
  <c r="L778" i="9"/>
  <c r="S767" i="9"/>
  <c r="L777" i="9"/>
  <c r="S766" i="9"/>
  <c r="L776" i="9"/>
  <c r="S777" i="9"/>
  <c r="L775" i="9"/>
  <c r="S776" i="9"/>
  <c r="L774" i="9"/>
  <c r="S775" i="9"/>
  <c r="L773" i="9"/>
  <c r="S774" i="9"/>
  <c r="L772" i="9"/>
  <c r="S773" i="9"/>
  <c r="L771" i="9"/>
  <c r="S772" i="9"/>
  <c r="L770" i="9"/>
  <c r="S771" i="9"/>
  <c r="L769" i="9"/>
  <c r="S770" i="9"/>
  <c r="L768" i="9"/>
  <c r="S769" i="9"/>
  <c r="L767" i="9"/>
  <c r="S768" i="9"/>
  <c r="L766" i="9"/>
  <c r="S765" i="9"/>
  <c r="L765" i="9"/>
  <c r="S764" i="9"/>
  <c r="L764" i="9"/>
  <c r="S763" i="9"/>
  <c r="L763" i="9"/>
  <c r="S762" i="9"/>
  <c r="L762" i="9"/>
  <c r="S761" i="9"/>
  <c r="L761" i="9"/>
  <c r="S760" i="9"/>
  <c r="L760" i="9"/>
  <c r="S759" i="9"/>
  <c r="L759" i="9"/>
  <c r="S758" i="9"/>
  <c r="L758" i="9"/>
  <c r="S757" i="9"/>
  <c r="L757" i="9"/>
  <c r="S756" i="9"/>
  <c r="L756" i="9"/>
  <c r="S755" i="9"/>
  <c r="L755" i="9"/>
  <c r="S754" i="9"/>
  <c r="L754" i="9"/>
  <c r="S753" i="9"/>
  <c r="L753" i="9"/>
  <c r="S752" i="9"/>
  <c r="L752" i="9"/>
  <c r="S751" i="9"/>
  <c r="L751" i="9"/>
  <c r="S750" i="9"/>
  <c r="L750" i="9"/>
  <c r="S749" i="9"/>
  <c r="L749" i="9"/>
  <c r="S748" i="9"/>
  <c r="L748" i="9"/>
  <c r="S747" i="9"/>
  <c r="L747" i="9"/>
  <c r="S746" i="9"/>
  <c r="L746" i="9"/>
  <c r="S745" i="9"/>
  <c r="L745" i="9"/>
  <c r="S744" i="9"/>
  <c r="L744" i="9"/>
  <c r="S743" i="9"/>
  <c r="L743" i="9"/>
  <c r="S742" i="9"/>
  <c r="L742" i="9"/>
  <c r="S741" i="9"/>
  <c r="L741" i="9"/>
  <c r="S740" i="9"/>
  <c r="L740" i="9"/>
  <c r="S739" i="9"/>
  <c r="L739" i="9"/>
  <c r="S738" i="9"/>
  <c r="L738" i="9"/>
  <c r="S737" i="9"/>
  <c r="L737" i="9"/>
  <c r="S736" i="9"/>
  <c r="L736" i="9"/>
  <c r="S735" i="9"/>
  <c r="L735" i="9"/>
  <c r="S734" i="9"/>
  <c r="L734" i="9"/>
  <c r="S733" i="9"/>
  <c r="L733" i="9"/>
  <c r="S732" i="9"/>
  <c r="L732" i="9"/>
  <c r="S731" i="9"/>
  <c r="L731" i="9"/>
  <c r="S730" i="9"/>
  <c r="L730" i="9"/>
  <c r="S729" i="9"/>
  <c r="L729" i="9"/>
  <c r="S728" i="9"/>
  <c r="L728" i="9"/>
  <c r="S727" i="9"/>
  <c r="L727" i="9"/>
  <c r="S726" i="9"/>
  <c r="L726" i="9"/>
  <c r="S725" i="9"/>
  <c r="L725" i="9"/>
  <c r="S724" i="9"/>
  <c r="L724" i="9"/>
  <c r="S723" i="9"/>
  <c r="L723" i="9"/>
  <c r="S722" i="9"/>
  <c r="L722" i="9"/>
  <c r="S721" i="9"/>
  <c r="L721" i="9"/>
  <c r="S720" i="9"/>
  <c r="L720" i="9"/>
  <c r="S719" i="9"/>
  <c r="L719" i="9"/>
  <c r="S718" i="9"/>
  <c r="L718" i="9"/>
  <c r="S717" i="9"/>
  <c r="L717" i="9"/>
  <c r="S716" i="9"/>
  <c r="L716" i="9"/>
  <c r="S715" i="9"/>
  <c r="L715" i="9"/>
  <c r="S714" i="9"/>
  <c r="L714" i="9"/>
  <c r="S713" i="9"/>
  <c r="L713" i="9"/>
  <c r="S712" i="9"/>
  <c r="L712" i="9"/>
  <c r="S711" i="9"/>
  <c r="L711" i="9"/>
  <c r="S710" i="9"/>
  <c r="L710" i="9"/>
  <c r="S709" i="9"/>
  <c r="L709" i="9"/>
  <c r="S708" i="9"/>
  <c r="L708" i="9"/>
  <c r="S707" i="9"/>
  <c r="L707" i="9"/>
  <c r="S706" i="9"/>
  <c r="L706" i="9"/>
  <c r="S705" i="9"/>
  <c r="L705" i="9"/>
  <c r="S704" i="9"/>
  <c r="L704" i="9"/>
  <c r="S703" i="9"/>
  <c r="L703" i="9"/>
  <c r="S702" i="9"/>
  <c r="L702" i="9"/>
  <c r="S701" i="9"/>
  <c r="L701" i="9"/>
  <c r="S700" i="9"/>
  <c r="L700" i="9"/>
  <c r="S699" i="9"/>
  <c r="L699" i="9"/>
  <c r="S698" i="9"/>
  <c r="L698" i="9"/>
  <c r="S697" i="9"/>
  <c r="L697" i="9"/>
  <c r="S696" i="9"/>
  <c r="L696" i="9"/>
  <c r="S695" i="9"/>
  <c r="L695" i="9"/>
  <c r="S694" i="9"/>
  <c r="L694" i="9"/>
  <c r="S693" i="9"/>
  <c r="L693" i="9"/>
  <c r="S692" i="9"/>
  <c r="L692" i="9"/>
  <c r="S691" i="9"/>
  <c r="L691" i="9"/>
  <c r="S690" i="9"/>
  <c r="L690" i="9"/>
  <c r="S689" i="9"/>
  <c r="L689" i="9"/>
  <c r="S688" i="9"/>
  <c r="L688" i="9"/>
  <c r="S687" i="9"/>
  <c r="L687" i="9"/>
  <c r="S686" i="9"/>
  <c r="L686" i="9"/>
  <c r="S685" i="9"/>
  <c r="L685" i="9"/>
  <c r="S684" i="9"/>
  <c r="L684" i="9"/>
  <c r="S683" i="9"/>
  <c r="L683" i="9"/>
  <c r="S682" i="9"/>
  <c r="L682" i="9"/>
  <c r="S681" i="9"/>
  <c r="L681" i="9"/>
  <c r="S680" i="9"/>
  <c r="L680" i="9"/>
  <c r="S679" i="9"/>
  <c r="L679" i="9"/>
  <c r="S678" i="9"/>
  <c r="L678" i="9"/>
  <c r="S677" i="9"/>
  <c r="L677" i="9"/>
  <c r="S676" i="9"/>
  <c r="L676" i="9"/>
  <c r="S675" i="9"/>
  <c r="L675" i="9"/>
  <c r="S674" i="9"/>
  <c r="L674" i="9"/>
  <c r="S673" i="9"/>
  <c r="L673" i="9"/>
  <c r="S672" i="9"/>
  <c r="L672" i="9"/>
  <c r="S671" i="9"/>
  <c r="L671" i="9"/>
  <c r="S670" i="9"/>
  <c r="L670" i="9"/>
  <c r="S669" i="9"/>
  <c r="L669" i="9"/>
  <c r="S668" i="9"/>
  <c r="L668" i="9"/>
  <c r="S667" i="9"/>
  <c r="L667" i="9"/>
  <c r="S666" i="9"/>
  <c r="L666" i="9"/>
  <c r="S665" i="9"/>
  <c r="L665" i="9"/>
  <c r="S664" i="9"/>
  <c r="L664" i="9"/>
  <c r="S663" i="9"/>
  <c r="L663" i="9"/>
  <c r="S662" i="9"/>
  <c r="L662" i="9"/>
  <c r="S661" i="9"/>
  <c r="L661" i="9"/>
  <c r="S660" i="9"/>
  <c r="L660" i="9"/>
  <c r="S641" i="9"/>
  <c r="L659" i="9"/>
  <c r="S640" i="9"/>
  <c r="L658" i="9"/>
  <c r="S659" i="9"/>
  <c r="L657" i="9"/>
  <c r="S658" i="9"/>
  <c r="L656" i="9"/>
  <c r="S657" i="9"/>
  <c r="L655" i="9"/>
  <c r="S656" i="9"/>
  <c r="L654" i="9"/>
  <c r="S655" i="9"/>
  <c r="L653" i="9"/>
  <c r="S654" i="9"/>
  <c r="L652" i="9"/>
  <c r="S653" i="9"/>
  <c r="L651" i="9"/>
  <c r="S652" i="9"/>
  <c r="L650" i="9"/>
  <c r="S651" i="9"/>
  <c r="L649" i="9"/>
  <c r="S650" i="9"/>
  <c r="L648" i="9"/>
  <c r="S649" i="9"/>
  <c r="L647" i="9"/>
  <c r="S648" i="9"/>
  <c r="L646" i="9"/>
  <c r="S647" i="9"/>
  <c r="L645" i="9"/>
  <c r="S646" i="9"/>
  <c r="L644" i="9"/>
  <c r="S645" i="9"/>
  <c r="L643" i="9"/>
  <c r="S644" i="9"/>
  <c r="L642" i="9"/>
  <c r="S643" i="9"/>
  <c r="L641" i="9"/>
  <c r="S642" i="9"/>
  <c r="L640" i="9"/>
  <c r="S639" i="9"/>
  <c r="L639" i="9"/>
  <c r="S638" i="9"/>
  <c r="L638" i="9"/>
  <c r="S637" i="9"/>
  <c r="L637" i="9"/>
  <c r="S636" i="9"/>
  <c r="L636" i="9"/>
  <c r="S635" i="9"/>
  <c r="L635" i="9"/>
  <c r="S634" i="9"/>
  <c r="L634" i="9"/>
  <c r="S633" i="9"/>
  <c r="L633" i="9"/>
  <c r="S632" i="9"/>
  <c r="L632" i="9"/>
  <c r="S631" i="9"/>
  <c r="L631" i="9"/>
  <c r="S630" i="9"/>
  <c r="L630" i="9"/>
  <c r="S629" i="9"/>
  <c r="L629" i="9"/>
  <c r="S628" i="9"/>
  <c r="L628" i="9"/>
  <c r="S627" i="9"/>
  <c r="L627" i="9"/>
  <c r="S626" i="9"/>
  <c r="L626" i="9"/>
  <c r="S625" i="9"/>
  <c r="L625" i="9"/>
  <c r="S624" i="9"/>
  <c r="L624" i="9"/>
  <c r="S623" i="9"/>
  <c r="L623" i="9"/>
  <c r="S622" i="9"/>
  <c r="L622" i="9"/>
  <c r="S621" i="9"/>
  <c r="L621" i="9"/>
  <c r="S620" i="9"/>
  <c r="L620" i="9"/>
  <c r="S619" i="9"/>
  <c r="L619" i="9"/>
  <c r="S618" i="9"/>
  <c r="L618" i="9"/>
  <c r="S617" i="9"/>
  <c r="L617" i="9"/>
  <c r="S616" i="9"/>
  <c r="L616" i="9"/>
  <c r="S615" i="9"/>
  <c r="L615" i="9"/>
  <c r="S614" i="9"/>
  <c r="L614" i="9"/>
  <c r="S613" i="9"/>
  <c r="L613" i="9"/>
  <c r="S612" i="9"/>
  <c r="L612" i="9"/>
  <c r="S611" i="9"/>
  <c r="L611" i="9"/>
  <c r="S610" i="9"/>
  <c r="L610" i="9"/>
  <c r="S609" i="9"/>
  <c r="L609" i="9"/>
  <c r="S608" i="9"/>
  <c r="L608" i="9"/>
  <c r="S607" i="9"/>
  <c r="L607" i="9"/>
  <c r="S606" i="9"/>
  <c r="L606" i="9"/>
  <c r="S605" i="9"/>
  <c r="L605" i="9"/>
  <c r="S604" i="9"/>
  <c r="L604" i="9"/>
  <c r="S603" i="9"/>
  <c r="L603" i="9"/>
  <c r="S602" i="9"/>
  <c r="L602" i="9"/>
  <c r="S601" i="9"/>
  <c r="L601" i="9"/>
  <c r="S600" i="9"/>
  <c r="L600" i="9"/>
  <c r="S599" i="9"/>
  <c r="L599" i="9"/>
  <c r="S598" i="9"/>
  <c r="L598" i="9"/>
  <c r="S597" i="9"/>
  <c r="L597" i="9"/>
  <c r="S596" i="9"/>
  <c r="L596" i="9"/>
  <c r="S595" i="9"/>
  <c r="L595" i="9"/>
  <c r="S594" i="9"/>
  <c r="L594" i="9"/>
  <c r="S593" i="9"/>
  <c r="L593" i="9"/>
  <c r="S592" i="9"/>
  <c r="L592" i="9"/>
  <c r="S591" i="9"/>
  <c r="L591" i="9"/>
  <c r="S590" i="9"/>
  <c r="L590" i="9"/>
  <c r="S589" i="9"/>
  <c r="L589" i="9"/>
  <c r="S588" i="9"/>
  <c r="L588" i="9"/>
  <c r="S587" i="9"/>
  <c r="L587" i="9"/>
  <c r="S586" i="9"/>
  <c r="L586" i="9"/>
  <c r="S585" i="9"/>
  <c r="L585" i="9"/>
  <c r="S584" i="9"/>
  <c r="L584" i="9"/>
  <c r="S583" i="9"/>
  <c r="L583" i="9"/>
  <c r="S582" i="9"/>
  <c r="L582" i="9"/>
  <c r="S581" i="9"/>
  <c r="L581" i="9"/>
  <c r="S580" i="9"/>
  <c r="L580" i="9"/>
  <c r="S579" i="9"/>
  <c r="L579" i="9"/>
  <c r="S578" i="9"/>
  <c r="L578" i="9"/>
  <c r="S577" i="9"/>
  <c r="L577" i="9"/>
  <c r="S576" i="9"/>
  <c r="L576" i="9"/>
  <c r="S575" i="9"/>
  <c r="L575" i="9"/>
  <c r="S574" i="9"/>
  <c r="L574" i="9"/>
  <c r="S573" i="9"/>
  <c r="L573" i="9"/>
  <c r="S572" i="9"/>
  <c r="L572" i="9"/>
  <c r="S571" i="9"/>
  <c r="L571" i="9"/>
  <c r="S570" i="9"/>
  <c r="L570" i="9"/>
  <c r="S569" i="9"/>
  <c r="L569" i="9"/>
  <c r="S568" i="9"/>
  <c r="L568" i="9"/>
  <c r="S567" i="9"/>
  <c r="L567" i="9"/>
  <c r="S566" i="9"/>
  <c r="L566" i="9"/>
  <c r="S565" i="9"/>
  <c r="L565" i="9"/>
  <c r="S564" i="9"/>
  <c r="L564" i="9"/>
  <c r="S563" i="9"/>
  <c r="L563" i="9"/>
  <c r="S562" i="9"/>
  <c r="L562" i="9"/>
  <c r="S561" i="9"/>
  <c r="L561" i="9"/>
  <c r="S560" i="9"/>
  <c r="L560" i="9"/>
  <c r="S559" i="9"/>
  <c r="L559" i="9"/>
  <c r="S558" i="9"/>
  <c r="L558" i="9"/>
  <c r="S557" i="9"/>
  <c r="L557" i="9"/>
  <c r="S556" i="9"/>
  <c r="L556" i="9"/>
  <c r="S555" i="9"/>
  <c r="L555" i="9"/>
  <c r="S554" i="9"/>
  <c r="L554" i="9"/>
  <c r="S553" i="9"/>
  <c r="L553" i="9"/>
  <c r="S552" i="9"/>
  <c r="L552" i="9"/>
  <c r="L551" i="9"/>
  <c r="S550" i="9"/>
  <c r="L550" i="9"/>
  <c r="S549" i="9"/>
  <c r="L549" i="9"/>
  <c r="S548" i="9"/>
  <c r="L548" i="9"/>
  <c r="S547" i="9"/>
  <c r="L547" i="9"/>
  <c r="S546" i="9"/>
  <c r="L546" i="9"/>
  <c r="S545" i="9"/>
  <c r="L545" i="9"/>
  <c r="S544" i="9"/>
  <c r="L544" i="9"/>
  <c r="S543" i="9"/>
  <c r="L543" i="9"/>
  <c r="S542" i="9"/>
  <c r="L542" i="9"/>
  <c r="S541" i="9"/>
  <c r="L541" i="9"/>
  <c r="S540" i="9"/>
  <c r="L540" i="9"/>
  <c r="L539" i="9"/>
  <c r="S538" i="9"/>
  <c r="L538" i="9"/>
  <c r="S537" i="9"/>
  <c r="L537" i="9"/>
  <c r="S536" i="9"/>
  <c r="L536" i="9"/>
  <c r="S535" i="9"/>
  <c r="L535" i="9"/>
  <c r="S534" i="9"/>
  <c r="L534" i="9"/>
  <c r="S533" i="9"/>
  <c r="L533" i="9"/>
  <c r="S532" i="9"/>
  <c r="L532" i="9"/>
  <c r="S531" i="9"/>
  <c r="L531" i="9"/>
  <c r="S530" i="9"/>
  <c r="L530" i="9"/>
  <c r="S529" i="9"/>
  <c r="L529" i="9"/>
  <c r="S496" i="9"/>
  <c r="L528" i="9"/>
  <c r="S528" i="9"/>
  <c r="L527" i="9"/>
  <c r="S527" i="9"/>
  <c r="L526" i="9"/>
  <c r="S526" i="9"/>
  <c r="L525" i="9"/>
  <c r="S525" i="9"/>
  <c r="L524" i="9"/>
  <c r="S524" i="9"/>
  <c r="L523" i="9"/>
  <c r="S523" i="9"/>
  <c r="L522" i="9"/>
  <c r="S522" i="9"/>
  <c r="L521" i="9"/>
  <c r="S521" i="9"/>
  <c r="L520" i="9"/>
  <c r="S520" i="9"/>
  <c r="L519" i="9"/>
  <c r="S519" i="9"/>
  <c r="L518" i="9"/>
  <c r="S518" i="9"/>
  <c r="L517" i="9"/>
  <c r="S517" i="9"/>
  <c r="L516" i="9"/>
  <c r="S516" i="9"/>
  <c r="L515" i="9"/>
  <c r="S515" i="9"/>
  <c r="L514" i="9"/>
  <c r="S514" i="9"/>
  <c r="L513" i="9"/>
  <c r="S513" i="9"/>
  <c r="L512" i="9"/>
  <c r="S512" i="9"/>
  <c r="L511" i="9"/>
  <c r="S511" i="9"/>
  <c r="L510" i="9"/>
  <c r="S510" i="9"/>
  <c r="L509" i="9"/>
  <c r="S509" i="9"/>
  <c r="L508" i="9"/>
  <c r="S508" i="9"/>
  <c r="L507" i="9"/>
  <c r="S507" i="9"/>
  <c r="L506" i="9"/>
  <c r="S506" i="9"/>
  <c r="L505" i="9"/>
  <c r="S505" i="9"/>
  <c r="L504" i="9"/>
  <c r="S504" i="9"/>
  <c r="L503" i="9"/>
  <c r="S503" i="9"/>
  <c r="L502" i="9"/>
  <c r="S502" i="9"/>
  <c r="L501" i="9"/>
  <c r="S501" i="9"/>
  <c r="L500" i="9"/>
  <c r="S500" i="9"/>
  <c r="L499" i="9"/>
  <c r="S499" i="9"/>
  <c r="L498" i="9"/>
  <c r="S498" i="9"/>
  <c r="L497" i="9"/>
  <c r="S497" i="9"/>
  <c r="L496" i="9"/>
  <c r="S495" i="9"/>
  <c r="L495" i="9"/>
  <c r="S494" i="9"/>
  <c r="L494" i="9"/>
  <c r="S493" i="9"/>
  <c r="L493" i="9"/>
  <c r="S492" i="9"/>
  <c r="L492" i="9"/>
  <c r="S491" i="9"/>
  <c r="L491" i="9"/>
  <c r="S490" i="9"/>
  <c r="L490" i="9"/>
  <c r="S489" i="9"/>
  <c r="L489" i="9"/>
  <c r="S488" i="9"/>
  <c r="L488" i="9"/>
  <c r="S487" i="9"/>
  <c r="L487" i="9"/>
  <c r="S486" i="9"/>
  <c r="L486" i="9"/>
  <c r="S485" i="9"/>
  <c r="L485" i="9"/>
  <c r="S484" i="9"/>
  <c r="L484" i="9"/>
  <c r="S483" i="9"/>
  <c r="L483" i="9"/>
  <c r="S482" i="9"/>
  <c r="L482" i="9"/>
  <c r="S481" i="9"/>
  <c r="L481" i="9"/>
  <c r="S480" i="9"/>
  <c r="L480" i="9"/>
  <c r="S479" i="9"/>
  <c r="L479" i="9"/>
  <c r="S478" i="9"/>
  <c r="L478" i="9"/>
  <c r="S477" i="9"/>
  <c r="L477" i="9"/>
  <c r="S476" i="9"/>
  <c r="L476" i="9"/>
  <c r="S475" i="9"/>
  <c r="L475" i="9"/>
  <c r="S474" i="9"/>
  <c r="L474" i="9"/>
  <c r="S473" i="9"/>
  <c r="L473" i="9"/>
  <c r="S472" i="9"/>
  <c r="L472" i="9"/>
  <c r="S471" i="9"/>
  <c r="L471" i="9"/>
  <c r="S470" i="9"/>
  <c r="L470" i="9"/>
  <c r="S469" i="9"/>
  <c r="L469" i="9"/>
  <c r="S468" i="9"/>
  <c r="L468" i="9"/>
  <c r="S467" i="9"/>
  <c r="L467" i="9"/>
  <c r="S466" i="9"/>
  <c r="L466" i="9"/>
  <c r="S465" i="9"/>
  <c r="L465" i="9"/>
  <c r="S464" i="9"/>
  <c r="L464" i="9"/>
  <c r="S463" i="9"/>
  <c r="L463" i="9"/>
  <c r="S462" i="9"/>
  <c r="L462" i="9"/>
  <c r="S461" i="9"/>
  <c r="L461" i="9"/>
  <c r="S460" i="9"/>
  <c r="L460" i="9"/>
  <c r="S459" i="9"/>
  <c r="L459" i="9"/>
  <c r="S458" i="9"/>
  <c r="L458" i="9"/>
  <c r="S457" i="9"/>
  <c r="L457" i="9"/>
  <c r="S456" i="9"/>
  <c r="L456" i="9"/>
  <c r="S455" i="9"/>
  <c r="L455" i="9"/>
  <c r="S454" i="9"/>
  <c r="L454" i="9"/>
  <c r="S453" i="9"/>
  <c r="L453" i="9"/>
  <c r="S452" i="9"/>
  <c r="L452" i="9"/>
  <c r="S451" i="9"/>
  <c r="L451" i="9"/>
  <c r="S450" i="9"/>
  <c r="L450" i="9"/>
  <c r="S449" i="9"/>
  <c r="L449" i="9"/>
  <c r="S448" i="9"/>
  <c r="L448" i="9"/>
  <c r="S447" i="9"/>
  <c r="L447" i="9"/>
  <c r="S446" i="9"/>
  <c r="L446" i="9"/>
  <c r="S445" i="9"/>
  <c r="L445" i="9"/>
  <c r="S444" i="9"/>
  <c r="L444" i="9"/>
  <c r="S443" i="9"/>
  <c r="L443" i="9"/>
  <c r="S442" i="9"/>
  <c r="L442" i="9"/>
  <c r="S441" i="9"/>
  <c r="L441" i="9"/>
  <c r="S440" i="9"/>
  <c r="L440" i="9"/>
  <c r="S439" i="9"/>
  <c r="L439" i="9"/>
  <c r="S438" i="9"/>
  <c r="L438" i="9"/>
  <c r="S437" i="9"/>
  <c r="L437" i="9"/>
  <c r="S436" i="9"/>
  <c r="L436" i="9"/>
  <c r="S435" i="9"/>
  <c r="L435" i="9"/>
  <c r="S434" i="9"/>
  <c r="L434" i="9"/>
  <c r="S433" i="9"/>
  <c r="L433" i="9"/>
  <c r="S432" i="9"/>
  <c r="L432" i="9"/>
  <c r="S431" i="9"/>
  <c r="L431" i="9"/>
  <c r="S430" i="9"/>
  <c r="L430" i="9"/>
  <c r="S429" i="9"/>
  <c r="L429" i="9"/>
  <c r="S428" i="9"/>
  <c r="L428" i="9"/>
  <c r="S427" i="9"/>
  <c r="L427" i="9"/>
  <c r="S426" i="9"/>
  <c r="L426" i="9"/>
  <c r="S425" i="9"/>
  <c r="L425" i="9"/>
  <c r="S424" i="9"/>
  <c r="L424" i="9"/>
  <c r="S423" i="9"/>
  <c r="L423" i="9"/>
  <c r="S392" i="9"/>
  <c r="L422" i="9"/>
  <c r="S422" i="9"/>
  <c r="L421" i="9"/>
  <c r="S421" i="9"/>
  <c r="L420" i="9"/>
  <c r="S420" i="9"/>
  <c r="L419" i="9"/>
  <c r="S419" i="9"/>
  <c r="L418" i="9"/>
  <c r="S418" i="9"/>
  <c r="L417" i="9"/>
  <c r="S417" i="9"/>
  <c r="L416" i="9"/>
  <c r="S416" i="9"/>
  <c r="L415" i="9"/>
  <c r="S415" i="9"/>
  <c r="L414" i="9"/>
  <c r="S414" i="9"/>
  <c r="L413" i="9"/>
  <c r="S348" i="9"/>
  <c r="L412" i="9"/>
  <c r="S413" i="9"/>
  <c r="L411" i="9"/>
  <c r="S412" i="9"/>
  <c r="L410" i="9"/>
  <c r="S411" i="9"/>
  <c r="L409" i="9"/>
  <c r="S410" i="9"/>
  <c r="L408" i="9"/>
  <c r="S409" i="9"/>
  <c r="L407" i="9"/>
  <c r="S408" i="9"/>
  <c r="L406" i="9"/>
  <c r="S407" i="9"/>
  <c r="L405" i="9"/>
  <c r="S406" i="9"/>
  <c r="L404" i="9"/>
  <c r="S405" i="9"/>
  <c r="L403" i="9"/>
  <c r="S404" i="9"/>
  <c r="L402" i="9"/>
  <c r="S403" i="9"/>
  <c r="L401" i="9"/>
  <c r="S402" i="9"/>
  <c r="L400" i="9"/>
  <c r="S401" i="9"/>
  <c r="L399" i="9"/>
  <c r="S400" i="9"/>
  <c r="L398" i="9"/>
  <c r="S399" i="9"/>
  <c r="L397" i="9"/>
  <c r="S398" i="9"/>
  <c r="L396" i="9"/>
  <c r="S397" i="9"/>
  <c r="L395" i="9"/>
  <c r="S396" i="9"/>
  <c r="L394" i="9"/>
  <c r="S395" i="9"/>
  <c r="L393" i="9"/>
  <c r="S394" i="9"/>
  <c r="L392" i="9"/>
  <c r="S393" i="9"/>
  <c r="L391" i="9"/>
  <c r="S391" i="9"/>
  <c r="L390" i="9"/>
  <c r="S390" i="9"/>
  <c r="L389" i="9"/>
  <c r="S389" i="9"/>
  <c r="L388" i="9"/>
  <c r="S388" i="9"/>
  <c r="L387" i="9"/>
  <c r="S387" i="9"/>
  <c r="L386" i="9"/>
  <c r="S386" i="9"/>
  <c r="L385" i="9"/>
  <c r="S385" i="9"/>
  <c r="L384" i="9"/>
  <c r="S384" i="9"/>
  <c r="L383" i="9"/>
  <c r="S383" i="9"/>
  <c r="L382" i="9"/>
  <c r="S382" i="9"/>
  <c r="L381" i="9"/>
  <c r="S381" i="9"/>
  <c r="L380" i="9"/>
  <c r="S380" i="9"/>
  <c r="L379" i="9"/>
  <c r="S379" i="9"/>
  <c r="L378" i="9"/>
  <c r="S378" i="9"/>
  <c r="L377" i="9"/>
  <c r="S377" i="9"/>
  <c r="L376" i="9"/>
  <c r="S376" i="9"/>
  <c r="L375" i="9"/>
  <c r="S375" i="9"/>
  <c r="L374" i="9"/>
  <c r="S374" i="9"/>
  <c r="L373" i="9"/>
  <c r="S373" i="9"/>
  <c r="L372" i="9"/>
  <c r="S372" i="9"/>
  <c r="L371" i="9"/>
  <c r="S371" i="9"/>
  <c r="L370" i="9"/>
  <c r="S370" i="9"/>
  <c r="L369" i="9"/>
  <c r="S369" i="9"/>
  <c r="L368" i="9"/>
  <c r="S368" i="9"/>
  <c r="L367" i="9"/>
  <c r="S367" i="9"/>
  <c r="L366" i="9"/>
  <c r="S366" i="9"/>
  <c r="L365" i="9"/>
  <c r="S365" i="9"/>
  <c r="L364" i="9"/>
  <c r="S364" i="9"/>
  <c r="L363" i="9"/>
  <c r="S363" i="9"/>
  <c r="L362" i="9"/>
  <c r="S362" i="9"/>
  <c r="L361" i="9"/>
  <c r="S361" i="9"/>
  <c r="L360" i="9"/>
  <c r="S360" i="9"/>
  <c r="L359" i="9"/>
  <c r="S359" i="9"/>
  <c r="L358" i="9"/>
  <c r="S358" i="9"/>
  <c r="L357" i="9"/>
  <c r="S357" i="9"/>
  <c r="L356" i="9"/>
  <c r="S356" i="9"/>
  <c r="L355" i="9"/>
  <c r="S355" i="9"/>
  <c r="L354" i="9"/>
  <c r="S354" i="9"/>
  <c r="L353" i="9"/>
  <c r="S353" i="9"/>
  <c r="L352" i="9"/>
  <c r="S352" i="9"/>
  <c r="L351" i="9"/>
  <c r="S351" i="9"/>
  <c r="L350" i="9"/>
  <c r="S350" i="9"/>
  <c r="L349" i="9"/>
  <c r="S349" i="9"/>
  <c r="L348" i="9"/>
  <c r="S347" i="9"/>
  <c r="L347" i="9"/>
  <c r="S346" i="9"/>
  <c r="L346" i="9"/>
  <c r="S345" i="9"/>
  <c r="L345" i="9"/>
  <c r="S344" i="9"/>
  <c r="L344" i="9"/>
  <c r="S343" i="9"/>
  <c r="L343" i="9"/>
  <c r="S342" i="9"/>
  <c r="L342" i="9"/>
  <c r="S341" i="9"/>
  <c r="L341" i="9"/>
  <c r="S340" i="9"/>
  <c r="L340" i="9"/>
  <c r="S339" i="9"/>
  <c r="L339" i="9"/>
  <c r="S338" i="9"/>
  <c r="L338" i="9"/>
  <c r="S337" i="9"/>
  <c r="L337" i="9"/>
  <c r="S336" i="9"/>
  <c r="L336" i="9"/>
  <c r="S335" i="9"/>
  <c r="L335" i="9"/>
  <c r="S334" i="9"/>
  <c r="L334" i="9"/>
  <c r="S333" i="9"/>
  <c r="L333" i="9"/>
  <c r="S332" i="9"/>
  <c r="L332" i="9"/>
  <c r="S331" i="9"/>
  <c r="L331" i="9"/>
  <c r="S330" i="9"/>
  <c r="L330" i="9"/>
  <c r="S329" i="9"/>
  <c r="L329" i="9"/>
  <c r="S328" i="9"/>
  <c r="L328" i="9"/>
  <c r="S327" i="9"/>
  <c r="L327" i="9"/>
  <c r="S326" i="9"/>
  <c r="L326" i="9"/>
  <c r="S325" i="9"/>
  <c r="L325" i="9"/>
  <c r="S324" i="9"/>
  <c r="L324" i="9"/>
  <c r="S323" i="9"/>
  <c r="L323" i="9"/>
  <c r="S322" i="9"/>
  <c r="L322" i="9"/>
  <c r="S321" i="9"/>
  <c r="L321" i="9"/>
  <c r="S320" i="9"/>
  <c r="L320" i="9"/>
  <c r="S319" i="9"/>
  <c r="L319" i="9"/>
  <c r="S318" i="9"/>
  <c r="L318" i="9"/>
  <c r="S317" i="9"/>
  <c r="L317" i="9"/>
  <c r="S316" i="9"/>
  <c r="L316" i="9"/>
  <c r="S315" i="9"/>
  <c r="L315" i="9"/>
  <c r="S314" i="9"/>
  <c r="L314" i="9"/>
  <c r="S313" i="9"/>
  <c r="L313" i="9"/>
  <c r="S312" i="9"/>
  <c r="L312" i="9"/>
  <c r="S311" i="9"/>
  <c r="L311" i="9"/>
  <c r="S310" i="9"/>
  <c r="L310" i="9"/>
  <c r="S309" i="9"/>
  <c r="L309" i="9"/>
  <c r="S308" i="9"/>
  <c r="L308" i="9"/>
  <c r="S307" i="9"/>
  <c r="L307" i="9"/>
  <c r="S306" i="9"/>
  <c r="L306" i="9"/>
  <c r="S305" i="9"/>
  <c r="L305" i="9"/>
  <c r="S304" i="9"/>
  <c r="L304" i="9"/>
  <c r="S303" i="9"/>
  <c r="L303" i="9"/>
  <c r="S302" i="9"/>
  <c r="L302" i="9"/>
  <c r="S301" i="9"/>
  <c r="L301" i="9"/>
  <c r="S300" i="9"/>
  <c r="L300" i="9"/>
  <c r="S299" i="9"/>
  <c r="L299" i="9"/>
  <c r="S298" i="9"/>
  <c r="L298" i="9"/>
  <c r="S297" i="9"/>
  <c r="L297" i="9"/>
  <c r="S296" i="9"/>
  <c r="L296" i="9"/>
  <c r="S295" i="9"/>
  <c r="L295" i="9"/>
  <c r="S294" i="9"/>
  <c r="L294" i="9"/>
  <c r="S293" i="9"/>
  <c r="L293" i="9"/>
  <c r="S292" i="9"/>
  <c r="L292" i="9"/>
  <c r="S291" i="9"/>
  <c r="L291" i="9"/>
  <c r="S290" i="9"/>
  <c r="L290" i="9"/>
  <c r="S289" i="9"/>
  <c r="L289" i="9"/>
  <c r="S288" i="9"/>
  <c r="L288" i="9"/>
  <c r="S287" i="9"/>
  <c r="L287" i="9"/>
  <c r="S286" i="9"/>
  <c r="L286" i="9"/>
  <c r="S285" i="9"/>
  <c r="L285" i="9"/>
  <c r="S284" i="9"/>
  <c r="L284" i="9"/>
  <c r="S283" i="9"/>
  <c r="L283" i="9"/>
  <c r="S282" i="9"/>
  <c r="L282" i="9"/>
  <c r="S281" i="9"/>
  <c r="L281" i="9"/>
  <c r="S280" i="9"/>
  <c r="L280" i="9"/>
  <c r="S279" i="9"/>
  <c r="L279" i="9"/>
  <c r="S278" i="9"/>
  <c r="L278" i="9"/>
  <c r="S277" i="9"/>
  <c r="L277" i="9"/>
  <c r="S276" i="9"/>
  <c r="L276" i="9"/>
  <c r="S275" i="9"/>
  <c r="L275" i="9"/>
  <c r="S274" i="9"/>
  <c r="L274" i="9"/>
  <c r="S273" i="9"/>
  <c r="L273" i="9"/>
  <c r="S272" i="9"/>
  <c r="L272" i="9"/>
  <c r="S271" i="9"/>
  <c r="L271" i="9"/>
  <c r="S270" i="9"/>
  <c r="L270" i="9"/>
  <c r="S269" i="9"/>
  <c r="L269" i="9"/>
  <c r="S268" i="9"/>
  <c r="L268" i="9"/>
  <c r="S267" i="9"/>
  <c r="L267" i="9"/>
  <c r="S266" i="9"/>
  <c r="L266" i="9"/>
  <c r="S265" i="9"/>
  <c r="L265" i="9"/>
  <c r="S264" i="9"/>
  <c r="L264" i="9"/>
  <c r="S263" i="9"/>
  <c r="L263" i="9"/>
  <c r="S262" i="9"/>
  <c r="L262" i="9"/>
  <c r="S261" i="9"/>
  <c r="L261" i="9"/>
  <c r="S260" i="9"/>
  <c r="L260" i="9"/>
  <c r="S259" i="9"/>
  <c r="L259" i="9"/>
  <c r="S258" i="9"/>
  <c r="L258" i="9"/>
  <c r="S257" i="9"/>
  <c r="L257" i="9"/>
  <c r="S256" i="9"/>
  <c r="L256" i="9"/>
  <c r="S255" i="9"/>
  <c r="L255" i="9"/>
  <c r="S254" i="9"/>
  <c r="L254" i="9"/>
  <c r="S253" i="9"/>
  <c r="L253" i="9"/>
  <c r="S252" i="9"/>
  <c r="L252" i="9"/>
  <c r="S251" i="9"/>
  <c r="L251" i="9"/>
  <c r="S250" i="9"/>
  <c r="L250" i="9"/>
  <c r="S249" i="9"/>
  <c r="L249" i="9"/>
  <c r="S248" i="9"/>
  <c r="L248" i="9"/>
  <c r="S247" i="9"/>
  <c r="L247" i="9"/>
  <c r="S246" i="9"/>
  <c r="L246" i="9"/>
  <c r="S245" i="9"/>
  <c r="L245" i="9"/>
  <c r="S244" i="9"/>
  <c r="L244" i="9"/>
  <c r="S243" i="9"/>
  <c r="L243" i="9"/>
  <c r="S242" i="9"/>
  <c r="L242" i="9"/>
  <c r="S241" i="9"/>
  <c r="L241" i="9"/>
  <c r="S240" i="9"/>
  <c r="L240" i="9"/>
  <c r="S239" i="9"/>
  <c r="L239" i="9"/>
  <c r="S238" i="9"/>
  <c r="L238" i="9"/>
  <c r="S237" i="9"/>
  <c r="L237" i="9"/>
  <c r="S236" i="9"/>
  <c r="L236" i="9"/>
  <c r="L235" i="9"/>
  <c r="S234" i="9"/>
  <c r="L234" i="9"/>
  <c r="S233" i="9"/>
  <c r="L233" i="9"/>
  <c r="S232" i="9"/>
  <c r="L232" i="9"/>
  <c r="S231" i="9"/>
  <c r="L231" i="9"/>
  <c r="S230" i="9"/>
  <c r="L230" i="9"/>
  <c r="S229" i="9"/>
  <c r="L229" i="9"/>
  <c r="S228" i="9"/>
  <c r="L228" i="9"/>
  <c r="S227" i="9"/>
  <c r="L227" i="9"/>
  <c r="S226" i="9"/>
  <c r="L226" i="9"/>
  <c r="S225" i="9"/>
  <c r="L225" i="9"/>
  <c r="S224" i="9"/>
  <c r="L224" i="9"/>
  <c r="S223" i="9"/>
  <c r="L223" i="9"/>
  <c r="S222" i="9"/>
  <c r="L222" i="9"/>
  <c r="S221" i="9"/>
  <c r="L221" i="9"/>
  <c r="S220" i="9"/>
  <c r="L220" i="9"/>
  <c r="S219" i="9"/>
  <c r="L219" i="9"/>
  <c r="S218" i="9"/>
  <c r="L218" i="9"/>
  <c r="S217" i="9"/>
  <c r="L217" i="9"/>
  <c r="S216" i="9"/>
  <c r="L216" i="9"/>
  <c r="S215" i="9"/>
  <c r="L215" i="9"/>
  <c r="S214" i="9"/>
  <c r="L214" i="9"/>
  <c r="S213" i="9"/>
  <c r="L213" i="9"/>
  <c r="S212" i="9"/>
  <c r="L212" i="9"/>
  <c r="S211" i="9"/>
  <c r="L211" i="9"/>
  <c r="S210" i="9"/>
  <c r="L210" i="9"/>
  <c r="S209" i="9"/>
  <c r="L209" i="9"/>
  <c r="S208" i="9"/>
  <c r="L208" i="9"/>
  <c r="S207" i="9"/>
  <c r="L207" i="9"/>
  <c r="S206" i="9"/>
  <c r="L206" i="9"/>
  <c r="S205" i="9"/>
  <c r="L205" i="9"/>
  <c r="S204" i="9"/>
  <c r="L204" i="9"/>
  <c r="S203" i="9"/>
  <c r="L203" i="9"/>
  <c r="S202" i="9"/>
  <c r="L202" i="9"/>
  <c r="S201" i="9"/>
  <c r="L201" i="9"/>
  <c r="S200" i="9"/>
  <c r="L200" i="9"/>
  <c r="S199" i="9"/>
  <c r="L199" i="9"/>
  <c r="S198" i="9"/>
  <c r="L198" i="9"/>
  <c r="S197" i="9"/>
  <c r="L197" i="9"/>
  <c r="S196" i="9"/>
  <c r="L196" i="9"/>
  <c r="S195" i="9"/>
  <c r="L195" i="9"/>
  <c r="S194" i="9"/>
  <c r="L194" i="9"/>
  <c r="S193" i="9"/>
  <c r="L193" i="9"/>
  <c r="S192" i="9"/>
  <c r="L192" i="9"/>
  <c r="S191" i="9"/>
  <c r="L191" i="9"/>
  <c r="S190" i="9"/>
  <c r="L190" i="9"/>
  <c r="S189" i="9"/>
  <c r="L189" i="9"/>
  <c r="S188" i="9"/>
  <c r="L188" i="9"/>
  <c r="S187" i="9"/>
  <c r="L187" i="9"/>
  <c r="S186" i="9"/>
  <c r="L186" i="9"/>
  <c r="S185" i="9"/>
  <c r="L185" i="9"/>
  <c r="S184" i="9"/>
  <c r="L184" i="9"/>
  <c r="S183" i="9"/>
  <c r="L183" i="9"/>
  <c r="S182" i="9"/>
  <c r="L182" i="9"/>
  <c r="S181" i="9"/>
  <c r="L181" i="9"/>
  <c r="S180" i="9"/>
  <c r="L180" i="9"/>
  <c r="S179" i="9"/>
  <c r="L179" i="9"/>
  <c r="S178" i="9"/>
  <c r="L178" i="9"/>
  <c r="S177" i="9"/>
  <c r="L177" i="9"/>
  <c r="S176" i="9"/>
  <c r="L176" i="9"/>
  <c r="S175" i="9"/>
  <c r="L175" i="9"/>
  <c r="S174" i="9"/>
  <c r="L174" i="9"/>
  <c r="S173" i="9"/>
  <c r="L173" i="9"/>
  <c r="S172" i="9"/>
  <c r="L172" i="9"/>
  <c r="S171" i="9"/>
  <c r="L171" i="9"/>
  <c r="S170" i="9"/>
  <c r="L170" i="9"/>
  <c r="S169" i="9"/>
  <c r="L169" i="9"/>
  <c r="S168" i="9"/>
  <c r="L168" i="9"/>
  <c r="S167" i="9"/>
  <c r="L167" i="9"/>
  <c r="S166" i="9"/>
  <c r="L166" i="9"/>
  <c r="S165" i="9"/>
  <c r="L165" i="9"/>
  <c r="S164" i="9"/>
  <c r="L164" i="9"/>
  <c r="S163" i="9"/>
  <c r="L163" i="9"/>
  <c r="S162" i="9"/>
  <c r="L162" i="9"/>
  <c r="S161" i="9"/>
  <c r="L161" i="9"/>
  <c r="S160" i="9"/>
  <c r="L160" i="9"/>
  <c r="S159" i="9"/>
  <c r="L159" i="9"/>
  <c r="S158" i="9"/>
  <c r="L158" i="9"/>
  <c r="S157" i="9"/>
  <c r="L157" i="9"/>
  <c r="S156" i="9"/>
  <c r="L156" i="9"/>
  <c r="S155" i="9"/>
  <c r="L155" i="9"/>
  <c r="S154" i="9"/>
  <c r="L154" i="9"/>
  <c r="S153" i="9"/>
  <c r="L153" i="9"/>
  <c r="S152" i="9"/>
  <c r="L152" i="9"/>
  <c r="S151" i="9"/>
  <c r="L151" i="9"/>
  <c r="S150" i="9"/>
  <c r="L150" i="9"/>
  <c r="S149" i="9"/>
  <c r="L149" i="9"/>
  <c r="S148" i="9"/>
  <c r="L148" i="9"/>
  <c r="S147" i="9"/>
  <c r="L147" i="9"/>
  <c r="S146" i="9"/>
  <c r="L146" i="9"/>
  <c r="S145" i="9"/>
  <c r="L145" i="9"/>
  <c r="S144" i="9"/>
  <c r="L144" i="9"/>
  <c r="S143" i="9"/>
  <c r="L143" i="9"/>
  <c r="S142" i="9"/>
  <c r="L142" i="9"/>
  <c r="S141" i="9"/>
  <c r="L141" i="9"/>
  <c r="S140" i="9"/>
  <c r="L140" i="9"/>
  <c r="S139" i="9"/>
  <c r="L139" i="9"/>
  <c r="S138" i="9"/>
  <c r="L138" i="9"/>
  <c r="S137" i="9"/>
  <c r="L137" i="9"/>
  <c r="S136" i="9"/>
  <c r="L136" i="9"/>
  <c r="S135" i="9"/>
  <c r="L135" i="9"/>
  <c r="S134" i="9"/>
  <c r="L134" i="9"/>
  <c r="S133" i="9"/>
  <c r="L133" i="9"/>
  <c r="S132" i="9"/>
  <c r="L132" i="9"/>
  <c r="S131" i="9"/>
  <c r="L131" i="9"/>
  <c r="S130" i="9"/>
  <c r="L130" i="9"/>
  <c r="S129" i="9"/>
  <c r="L129" i="9"/>
  <c r="S128" i="9"/>
  <c r="L128" i="9"/>
  <c r="S127" i="9"/>
  <c r="L127" i="9"/>
  <c r="S126" i="9"/>
  <c r="L126" i="9"/>
  <c r="S125" i="9"/>
  <c r="L125" i="9"/>
  <c r="S124" i="9"/>
  <c r="L124" i="9"/>
  <c r="S123" i="9"/>
  <c r="L123" i="9"/>
  <c r="S122" i="9"/>
  <c r="L122" i="9"/>
  <c r="S121" i="9"/>
  <c r="L121" i="9"/>
  <c r="S120" i="9"/>
  <c r="L120" i="9"/>
  <c r="S119" i="9"/>
  <c r="L119" i="9"/>
  <c r="S118" i="9"/>
  <c r="L118" i="9"/>
  <c r="S117" i="9"/>
  <c r="L117" i="9"/>
  <c r="S116" i="9"/>
  <c r="L116" i="9"/>
  <c r="S115" i="9"/>
  <c r="L115" i="9"/>
  <c r="S114" i="9"/>
  <c r="L114" i="9"/>
  <c r="S113" i="9"/>
  <c r="L113" i="9"/>
  <c r="S112" i="9"/>
  <c r="L112" i="9"/>
  <c r="S111" i="9"/>
  <c r="L111" i="9"/>
  <c r="S110" i="9"/>
  <c r="L110" i="9"/>
  <c r="S109" i="9"/>
  <c r="L109" i="9"/>
  <c r="S108" i="9"/>
  <c r="L108" i="9"/>
  <c r="S107" i="9"/>
  <c r="L107" i="9"/>
  <c r="S106" i="9"/>
  <c r="L106" i="9"/>
  <c r="S105" i="9"/>
  <c r="L105" i="9"/>
  <c r="S104" i="9"/>
  <c r="L104" i="9"/>
  <c r="S103" i="9"/>
  <c r="L103" i="9"/>
  <c r="S102" i="9"/>
  <c r="L102" i="9"/>
  <c r="S101" i="9"/>
  <c r="L101" i="9"/>
  <c r="S100" i="9"/>
  <c r="L100" i="9"/>
  <c r="S99" i="9"/>
  <c r="L99" i="9"/>
  <c r="S98" i="9"/>
  <c r="L98" i="9"/>
  <c r="S97" i="9"/>
  <c r="L97" i="9"/>
  <c r="S96" i="9"/>
  <c r="L96" i="9"/>
  <c r="S95" i="9"/>
  <c r="L95" i="9"/>
  <c r="S94" i="9"/>
  <c r="L94" i="9"/>
  <c r="S93" i="9"/>
  <c r="L93" i="9"/>
  <c r="S92" i="9"/>
  <c r="L92" i="9"/>
  <c r="S91" i="9"/>
  <c r="L91" i="9"/>
  <c r="S90" i="9"/>
  <c r="L90" i="9"/>
  <c r="S89" i="9"/>
  <c r="L89" i="9"/>
  <c r="S88" i="9"/>
  <c r="L88" i="9"/>
  <c r="S87" i="9"/>
  <c r="L87" i="9"/>
  <c r="S86" i="9"/>
  <c r="L86" i="9"/>
  <c r="S85" i="9"/>
  <c r="L85" i="9"/>
  <c r="S84" i="9"/>
  <c r="L84" i="9"/>
  <c r="S83" i="9"/>
  <c r="L83" i="9"/>
  <c r="S82" i="9"/>
  <c r="L82" i="9"/>
  <c r="S81" i="9"/>
  <c r="L81" i="9"/>
  <c r="S80" i="9"/>
  <c r="L80" i="9"/>
  <c r="S79" i="9"/>
  <c r="L79" i="9"/>
  <c r="S78" i="9"/>
  <c r="L78" i="9"/>
  <c r="S77" i="9"/>
  <c r="L77" i="9"/>
  <c r="S76" i="9"/>
  <c r="L76" i="9"/>
  <c r="S75" i="9"/>
  <c r="L75" i="9"/>
  <c r="S74" i="9"/>
  <c r="L74" i="9"/>
  <c r="S73" i="9"/>
  <c r="L73" i="9"/>
  <c r="S72" i="9"/>
  <c r="L72" i="9"/>
  <c r="S71" i="9"/>
  <c r="L71" i="9"/>
  <c r="S70" i="9"/>
  <c r="L70" i="9"/>
  <c r="S69" i="9"/>
  <c r="L69" i="9"/>
  <c r="S68" i="9"/>
  <c r="L68" i="9"/>
  <c r="S67" i="9"/>
  <c r="L67" i="9"/>
  <c r="S66" i="9"/>
  <c r="L66" i="9"/>
  <c r="S65" i="9"/>
  <c r="L65" i="9"/>
  <c r="S64" i="9"/>
  <c r="L64" i="9"/>
  <c r="S63" i="9"/>
  <c r="L63" i="9"/>
  <c r="S62" i="9"/>
  <c r="L62" i="9"/>
  <c r="S61" i="9"/>
  <c r="L61" i="9"/>
  <c r="S60" i="9"/>
  <c r="L60" i="9"/>
  <c r="S59" i="9"/>
  <c r="L59" i="9"/>
  <c r="S58" i="9"/>
  <c r="L58" i="9"/>
  <c r="S57" i="9"/>
  <c r="L57" i="9"/>
  <c r="S56" i="9"/>
  <c r="L56" i="9"/>
  <c r="S55" i="9"/>
  <c r="L55" i="9"/>
  <c r="S54" i="9"/>
  <c r="L54" i="9"/>
  <c r="S53" i="9"/>
  <c r="L53" i="9"/>
  <c r="S52" i="9"/>
  <c r="L52" i="9"/>
  <c r="S51" i="9"/>
  <c r="L51" i="9"/>
  <c r="S50" i="9"/>
  <c r="L50" i="9"/>
  <c r="S49" i="9"/>
  <c r="L49" i="9"/>
  <c r="S48" i="9"/>
  <c r="L48" i="9"/>
  <c r="S47" i="9"/>
  <c r="L47" i="9"/>
  <c r="S46" i="9"/>
  <c r="L46" i="9"/>
  <c r="S45" i="9"/>
  <c r="L45" i="9"/>
  <c r="S44" i="9"/>
  <c r="L44" i="9"/>
  <c r="S43" i="9"/>
  <c r="L43" i="9"/>
  <c r="S42" i="9"/>
  <c r="L42" i="9"/>
  <c r="S41" i="9"/>
  <c r="L41" i="9"/>
  <c r="S40" i="9"/>
  <c r="L40" i="9"/>
  <c r="S39" i="9"/>
  <c r="L39" i="9"/>
  <c r="S38" i="9"/>
  <c r="L38" i="9"/>
  <c r="S37" i="9"/>
  <c r="L37" i="9"/>
  <c r="S36" i="9"/>
  <c r="L36" i="9"/>
  <c r="S35" i="9"/>
  <c r="L35" i="9"/>
  <c r="S34" i="9"/>
  <c r="L34" i="9"/>
  <c r="S33" i="9"/>
  <c r="L33" i="9"/>
  <c r="S32" i="9"/>
  <c r="L32" i="9"/>
  <c r="S31" i="9"/>
  <c r="L31" i="9"/>
  <c r="S30" i="9"/>
  <c r="L30" i="9"/>
  <c r="S29" i="9"/>
  <c r="L29" i="9"/>
  <c r="S28" i="9"/>
  <c r="L28" i="9"/>
  <c r="S27" i="9"/>
  <c r="L27" i="9"/>
  <c r="S26" i="9"/>
  <c r="L26" i="9"/>
  <c r="S25" i="9"/>
  <c r="L25" i="9"/>
  <c r="S24" i="9"/>
  <c r="L24" i="9"/>
  <c r="S23" i="9"/>
  <c r="L23" i="9"/>
  <c r="S22" i="9"/>
  <c r="L22" i="9"/>
  <c r="S21" i="9"/>
  <c r="L21" i="9"/>
  <c r="S20" i="9"/>
  <c r="L20" i="9"/>
  <c r="S19" i="9"/>
  <c r="L19" i="9"/>
  <c r="S18" i="9"/>
  <c r="L18" i="9"/>
  <c r="S17" i="9"/>
  <c r="L17" i="9"/>
  <c r="S16" i="9"/>
  <c r="L16" i="9"/>
  <c r="S15" i="9"/>
  <c r="L15" i="9"/>
  <c r="S14" i="9"/>
  <c r="L14" i="9"/>
  <c r="S13" i="9"/>
  <c r="L13" i="9"/>
  <c r="S12" i="9"/>
  <c r="L12" i="9"/>
  <c r="S11" i="9"/>
  <c r="L11" i="9"/>
  <c r="S10" i="9"/>
  <c r="L10" i="9"/>
  <c r="S9" i="9"/>
  <c r="L9" i="9"/>
  <c r="S8" i="9"/>
  <c r="L8" i="9"/>
  <c r="S7" i="9"/>
  <c r="L7" i="9"/>
  <c r="S6" i="9"/>
  <c r="L6" i="9"/>
  <c r="F18" i="9" l="1"/>
  <c r="F14" i="9"/>
  <c r="F10" i="9"/>
  <c r="F21" i="9"/>
  <c r="F17" i="9"/>
  <c r="F13" i="9"/>
  <c r="F20" i="9"/>
  <c r="F16" i="9"/>
  <c r="F12" i="9"/>
  <c r="F7" i="9"/>
  <c r="F19" i="9"/>
  <c r="F15" i="9"/>
  <c r="F11" i="9"/>
  <c r="L1082" i="8"/>
  <c r="L1081" i="8"/>
  <c r="L1080" i="8"/>
  <c r="L1079" i="8"/>
  <c r="L1078" i="8"/>
  <c r="C187" i="10" l="1"/>
  <c r="C186" i="10"/>
  <c r="C185" i="10"/>
  <c r="C184" i="10"/>
  <c r="C183" i="10"/>
  <c r="C182" i="10"/>
  <c r="C181" i="10"/>
  <c r="C180" i="10"/>
  <c r="C179" i="10"/>
  <c r="C160" i="10"/>
  <c r="C159" i="10"/>
  <c r="C158" i="10"/>
  <c r="C157" i="10"/>
  <c r="C156" i="10"/>
  <c r="C155" i="10"/>
  <c r="C154" i="10"/>
  <c r="C153" i="10"/>
  <c r="C152" i="10"/>
  <c r="C133" i="10"/>
  <c r="C132" i="10"/>
  <c r="C131" i="10"/>
  <c r="C130" i="10"/>
  <c r="C129" i="10"/>
  <c r="C128" i="10"/>
  <c r="C127" i="10"/>
  <c r="C126" i="10"/>
  <c r="C125" i="10"/>
  <c r="C106" i="10"/>
  <c r="C105" i="10"/>
  <c r="C104" i="10"/>
  <c r="C103" i="10"/>
  <c r="C102" i="10"/>
  <c r="C101" i="10"/>
  <c r="C100" i="10"/>
  <c r="C99" i="10"/>
  <c r="C98" i="10"/>
  <c r="C79" i="10"/>
  <c r="C78" i="10"/>
  <c r="C77" i="10"/>
  <c r="C76" i="10"/>
  <c r="C75" i="10"/>
  <c r="C74" i="10"/>
  <c r="C73" i="10"/>
  <c r="C72" i="10"/>
  <c r="C71" i="10"/>
  <c r="C52" i="10"/>
  <c r="C51" i="10"/>
  <c r="C50" i="10"/>
  <c r="C49" i="10"/>
  <c r="C48" i="10"/>
  <c r="C47" i="10"/>
  <c r="C46" i="10"/>
  <c r="C45" i="10"/>
  <c r="C44" i="10"/>
  <c r="I44" i="10" s="1"/>
  <c r="C25" i="10"/>
  <c r="C24" i="10"/>
  <c r="C23" i="10"/>
  <c r="C22" i="10"/>
  <c r="C21" i="10"/>
  <c r="C20" i="10"/>
  <c r="C19" i="10"/>
  <c r="C18" i="10"/>
  <c r="C17" i="10"/>
  <c r="L1077" i="8" l="1"/>
  <c r="L1076" i="8"/>
  <c r="L1075" i="8"/>
  <c r="L1074" i="8"/>
  <c r="L1073" i="8" l="1"/>
  <c r="L1072" i="8"/>
  <c r="L1071" i="8" l="1"/>
  <c r="L1070" i="8"/>
  <c r="L1069" i="8"/>
  <c r="L1068" i="8"/>
  <c r="L1067" i="8"/>
  <c r="L1066" i="8"/>
  <c r="L1065" i="8"/>
  <c r="L1064" i="8" l="1"/>
  <c r="L1063" i="8"/>
  <c r="L1062" i="8"/>
  <c r="L1061" i="8"/>
  <c r="L1060" i="8"/>
  <c r="L1059" i="8"/>
  <c r="L1058" i="8"/>
  <c r="L1057" i="8"/>
  <c r="L1056" i="8" l="1"/>
  <c r="L1055" i="8"/>
  <c r="L1054" i="8"/>
  <c r="L1053" i="8"/>
  <c r="L1052" i="8"/>
  <c r="L1051" i="8"/>
  <c r="L1050" i="8"/>
  <c r="L1049" i="8" l="1"/>
  <c r="L1048" i="8"/>
  <c r="L1047" i="8"/>
  <c r="L1046" i="8"/>
  <c r="L1045" i="8" l="1"/>
  <c r="L1044" i="8"/>
  <c r="L1043" i="8"/>
  <c r="L1042" i="8"/>
  <c r="L1041" i="8"/>
  <c r="L1040" i="8" l="1"/>
  <c r="L1039" i="8"/>
  <c r="L1038" i="8"/>
  <c r="L1037" i="8"/>
  <c r="L1036" i="8"/>
  <c r="L1035" i="8"/>
  <c r="L1034" i="8"/>
  <c r="L1033" i="8"/>
  <c r="L1032" i="8" l="1"/>
  <c r="L1031" i="8" l="1"/>
  <c r="L1030" i="8"/>
  <c r="L1029" i="8"/>
  <c r="L1028" i="8"/>
  <c r="L1027" i="8"/>
  <c r="L1026" i="8"/>
  <c r="L1025" i="8"/>
  <c r="L1024" i="8" l="1"/>
  <c r="L1023" i="8"/>
  <c r="L1022" i="8"/>
  <c r="L1021" i="8"/>
  <c r="L1020" i="8"/>
  <c r="L1019" i="8"/>
  <c r="L1018" i="8"/>
  <c r="L1017" i="8" l="1"/>
  <c r="L1016" i="8"/>
  <c r="L1015" i="8"/>
  <c r="L1014" i="8"/>
  <c r="L1013" i="8" l="1"/>
  <c r="L1010" i="8" l="1"/>
  <c r="L1011" i="8"/>
  <c r="L1012" i="8"/>
  <c r="L1009" i="8"/>
  <c r="L1008" i="8"/>
  <c r="L1007" i="8"/>
  <c r="L1006" i="8"/>
  <c r="L1005" i="8"/>
  <c r="C402" i="6" l="1"/>
  <c r="C401" i="6"/>
  <c r="C400" i="6"/>
  <c r="C399" i="6"/>
  <c r="C398" i="6"/>
  <c r="C397" i="6"/>
  <c r="C396" i="6"/>
  <c r="C395" i="6"/>
  <c r="C394" i="6"/>
  <c r="L1004" i="8"/>
  <c r="L1003" i="8"/>
  <c r="L1002" i="8"/>
  <c r="L1001" i="8"/>
  <c r="L1000" i="8"/>
  <c r="L999" i="8"/>
  <c r="L998" i="8" l="1"/>
  <c r="L997" i="8"/>
  <c r="L996" i="8"/>
  <c r="L995" i="8"/>
  <c r="L994" i="8"/>
  <c r="L993" i="8" l="1"/>
  <c r="L992" i="8"/>
  <c r="L991" i="8"/>
  <c r="L990" i="8"/>
  <c r="L989" i="8"/>
  <c r="L988" i="8"/>
  <c r="L987" i="8" l="1"/>
  <c r="L986" i="8"/>
  <c r="L985" i="8"/>
  <c r="L984" i="8"/>
  <c r="L983" i="8"/>
  <c r="L982" i="8"/>
  <c r="L981" i="8" l="1"/>
  <c r="L980" i="8"/>
  <c r="L979" i="8"/>
  <c r="L978" i="8"/>
  <c r="L977" i="8"/>
  <c r="L976" i="8"/>
  <c r="L975" i="8" l="1"/>
  <c r="L974" i="8"/>
  <c r="D17" i="8" l="1"/>
  <c r="L973" i="8" l="1"/>
  <c r="L972" i="8"/>
  <c r="L971" i="8"/>
  <c r="L970" i="8"/>
  <c r="L969" i="8"/>
  <c r="L968" i="8"/>
  <c r="L967" i="8"/>
  <c r="L966" i="8"/>
  <c r="L965" i="8"/>
  <c r="L964" i="8"/>
  <c r="S1710" i="8" l="1"/>
  <c r="S1711" i="8"/>
  <c r="S1712" i="8"/>
  <c r="S1713" i="8"/>
  <c r="S1714" i="8"/>
  <c r="S1715" i="8"/>
  <c r="S1716" i="8"/>
  <c r="S1717" i="8"/>
  <c r="S1718" i="8"/>
  <c r="S1719" i="8"/>
  <c r="S1720" i="8"/>
  <c r="S1721" i="8"/>
  <c r="S1722" i="8"/>
  <c r="S1723" i="8"/>
  <c r="S1724" i="8"/>
  <c r="S1725" i="8"/>
  <c r="S1726" i="8"/>
  <c r="S1727" i="8"/>
  <c r="S1728" i="8"/>
  <c r="S1729" i="8"/>
  <c r="S1730" i="8"/>
  <c r="S1731" i="8"/>
  <c r="S1732" i="8"/>
  <c r="S1733" i="8"/>
  <c r="S1734" i="8"/>
  <c r="S1735" i="8"/>
  <c r="S1736" i="8"/>
  <c r="S1737" i="8"/>
  <c r="S1738" i="8"/>
  <c r="S1739" i="8"/>
  <c r="S1740" i="8"/>
  <c r="S1741" i="8"/>
  <c r="S1742" i="8"/>
  <c r="S1743" i="8"/>
  <c r="S1744" i="8"/>
  <c r="S1745" i="8"/>
  <c r="S1746" i="8"/>
  <c r="S1747" i="8"/>
  <c r="S1748" i="8"/>
  <c r="S1749" i="8"/>
  <c r="S1750" i="8"/>
  <c r="S1751" i="8"/>
  <c r="S1752" i="8"/>
  <c r="S1753" i="8"/>
  <c r="S1754" i="8"/>
  <c r="S1755" i="8"/>
  <c r="S1756" i="8"/>
  <c r="S1757" i="8"/>
  <c r="S1758" i="8"/>
  <c r="S1759" i="8"/>
  <c r="S1760" i="8"/>
  <c r="S1761" i="8"/>
  <c r="S1762" i="8"/>
  <c r="S1763" i="8"/>
  <c r="S1764" i="8"/>
  <c r="S1765" i="8"/>
  <c r="S1766" i="8"/>
  <c r="S1767" i="8"/>
  <c r="S1768" i="8"/>
  <c r="S1769" i="8"/>
  <c r="S1770" i="8"/>
  <c r="S1771" i="8"/>
  <c r="S1772" i="8"/>
  <c r="S1773" i="8"/>
  <c r="S1774" i="8"/>
  <c r="S1775" i="8"/>
  <c r="S1776" i="8"/>
  <c r="S1777" i="8"/>
  <c r="S1778" i="8"/>
  <c r="S1779" i="8"/>
  <c r="S1780" i="8"/>
  <c r="S1781" i="8"/>
  <c r="S1782" i="8"/>
  <c r="S1783" i="8"/>
  <c r="S1784" i="8"/>
  <c r="S1785" i="8"/>
  <c r="S1786" i="8"/>
  <c r="S1787" i="8"/>
  <c r="S1788" i="8"/>
  <c r="S1789" i="8"/>
  <c r="S1790" i="8"/>
  <c r="S1791" i="8"/>
  <c r="S1792" i="8"/>
  <c r="S1793" i="8"/>
  <c r="S1794" i="8"/>
  <c r="S1795" i="8"/>
  <c r="S1796" i="8"/>
  <c r="S1797" i="8"/>
  <c r="S1798" i="8"/>
  <c r="S1799" i="8"/>
  <c r="S1800" i="8"/>
  <c r="S1801" i="8"/>
  <c r="S1802" i="8"/>
  <c r="S1803" i="8"/>
  <c r="S1804" i="8"/>
  <c r="S1805" i="8"/>
  <c r="S1806" i="8"/>
  <c r="S1807" i="8"/>
  <c r="S1808" i="8"/>
  <c r="S1809" i="8"/>
  <c r="S1810" i="8"/>
  <c r="S1811" i="8"/>
  <c r="S1812" i="8"/>
  <c r="S1813" i="8"/>
  <c r="S1814" i="8"/>
  <c r="S1815" i="8"/>
  <c r="S1816" i="8"/>
  <c r="S1817" i="8"/>
  <c r="S1818" i="8"/>
  <c r="S1819" i="8"/>
  <c r="S1820" i="8"/>
  <c r="S1821" i="8"/>
  <c r="S1822" i="8"/>
  <c r="S1823" i="8"/>
  <c r="S1824" i="8"/>
  <c r="S1825" i="8"/>
  <c r="S1826" i="8"/>
  <c r="S1827" i="8"/>
  <c r="S1828" i="8"/>
  <c r="S1829" i="8"/>
  <c r="S1830" i="8"/>
  <c r="S1831" i="8"/>
  <c r="S1832" i="8"/>
  <c r="S1833" i="8"/>
  <c r="S1834" i="8"/>
  <c r="S1835" i="8"/>
  <c r="S1836" i="8"/>
  <c r="S1837" i="8"/>
  <c r="S1838" i="8"/>
  <c r="S1839" i="8"/>
  <c r="S1840" i="8"/>
  <c r="S1841" i="8"/>
  <c r="S1842" i="8"/>
  <c r="S1843" i="8"/>
  <c r="S1844" i="8"/>
  <c r="S1845" i="8"/>
  <c r="S1846" i="8"/>
  <c r="S1847" i="8"/>
  <c r="S1848" i="8"/>
  <c r="S1849" i="8"/>
  <c r="S1850" i="8"/>
  <c r="S1851" i="8"/>
  <c r="S1852" i="8"/>
  <c r="S1853" i="8"/>
  <c r="S1854" i="8"/>
  <c r="S1855" i="8"/>
  <c r="S1856" i="8"/>
  <c r="S1857" i="8"/>
  <c r="S1858" i="8"/>
  <c r="S1859" i="8"/>
  <c r="S1860" i="8"/>
  <c r="S1861" i="8"/>
  <c r="S1862" i="8"/>
  <c r="S1863" i="8"/>
  <c r="S1864" i="8"/>
  <c r="S1865" i="8"/>
  <c r="S1866" i="8"/>
  <c r="S1867" i="8"/>
  <c r="S1868" i="8"/>
  <c r="S1869" i="8"/>
  <c r="S1870" i="8"/>
  <c r="S1871" i="8"/>
  <c r="S1872" i="8"/>
  <c r="S1873" i="8"/>
  <c r="S1874" i="8"/>
  <c r="S1875" i="8"/>
  <c r="S1876" i="8"/>
  <c r="S1877" i="8"/>
  <c r="S1878" i="8"/>
  <c r="S1879" i="8"/>
  <c r="S1880" i="8"/>
  <c r="S1881" i="8"/>
  <c r="S1882" i="8"/>
  <c r="S1883" i="8"/>
  <c r="S1884" i="8"/>
  <c r="S1885" i="8"/>
  <c r="S1886" i="8"/>
  <c r="S1887" i="8"/>
  <c r="S1888" i="8"/>
  <c r="S1889" i="8"/>
  <c r="S1890" i="8"/>
  <c r="S1891" i="8"/>
  <c r="S1892" i="8"/>
  <c r="S1893" i="8"/>
  <c r="S1894" i="8"/>
  <c r="S1895" i="8"/>
  <c r="S1896" i="8"/>
  <c r="S1897" i="8"/>
  <c r="S1898" i="8"/>
  <c r="S1899" i="8"/>
  <c r="S1900" i="8"/>
  <c r="S1901" i="8"/>
  <c r="S1902" i="8"/>
  <c r="S1903" i="8"/>
  <c r="S1904" i="8"/>
  <c r="S1905" i="8"/>
  <c r="S1906" i="8"/>
  <c r="S1907" i="8"/>
  <c r="S1908" i="8"/>
  <c r="S1909" i="8"/>
  <c r="S1910" i="8"/>
  <c r="S1911" i="8"/>
  <c r="S1912" i="8"/>
  <c r="S1913" i="8"/>
  <c r="S1914" i="8"/>
  <c r="S1915" i="8"/>
  <c r="S1916" i="8"/>
  <c r="S1917" i="8"/>
  <c r="S1918" i="8"/>
  <c r="S1919" i="8"/>
  <c r="S1920" i="8"/>
  <c r="S1921" i="8"/>
  <c r="S1922" i="8"/>
  <c r="S1923" i="8"/>
  <c r="S1924" i="8"/>
  <c r="S1925" i="8"/>
  <c r="S1926" i="8"/>
  <c r="S1927" i="8"/>
  <c r="S1928" i="8"/>
  <c r="S1929" i="8"/>
  <c r="S1930" i="8"/>
  <c r="S1931" i="8"/>
  <c r="S1932" i="8"/>
  <c r="S1933" i="8"/>
  <c r="S1934" i="8"/>
  <c r="S1935" i="8"/>
  <c r="S1936" i="8"/>
  <c r="S1937" i="8"/>
  <c r="S1938" i="8"/>
  <c r="S1939" i="8"/>
  <c r="S1940" i="8"/>
  <c r="S1941" i="8"/>
  <c r="S1942" i="8"/>
  <c r="S1943" i="8"/>
  <c r="S1944" i="8"/>
  <c r="S1945" i="8"/>
  <c r="S1946" i="8"/>
  <c r="S1947" i="8"/>
  <c r="S1948" i="8"/>
  <c r="S1949" i="8"/>
  <c r="S1950" i="8"/>
  <c r="S1951" i="8"/>
  <c r="S1952" i="8"/>
  <c r="S1953" i="8"/>
  <c r="S1954" i="8"/>
  <c r="S1955" i="8"/>
  <c r="S1956" i="8"/>
  <c r="S1957" i="8"/>
  <c r="S1958" i="8"/>
  <c r="S1959" i="8"/>
  <c r="S1960" i="8"/>
  <c r="S1961" i="8"/>
  <c r="S1962" i="8"/>
  <c r="S1963" i="8"/>
  <c r="S1964" i="8"/>
  <c r="S1965" i="8"/>
  <c r="S1966" i="8"/>
  <c r="S1967" i="8"/>
  <c r="S1968" i="8"/>
  <c r="S1969" i="8"/>
  <c r="S1970" i="8"/>
  <c r="S1971" i="8"/>
  <c r="S1972" i="8"/>
  <c r="S1973" i="8"/>
  <c r="S1974" i="8"/>
  <c r="S1975" i="8"/>
  <c r="S1976" i="8"/>
  <c r="S1977" i="8"/>
  <c r="S1978" i="8"/>
  <c r="S1979" i="8"/>
  <c r="S1980" i="8"/>
  <c r="S1981" i="8"/>
  <c r="S1982" i="8"/>
  <c r="S1983" i="8"/>
  <c r="S1984" i="8"/>
  <c r="S1985" i="8"/>
  <c r="S1986" i="8"/>
  <c r="S1987" i="8"/>
  <c r="S1988" i="8"/>
  <c r="S1989" i="8"/>
  <c r="S1990" i="8"/>
  <c r="S1991" i="8"/>
  <c r="S1992" i="8"/>
  <c r="S1993" i="8"/>
  <c r="S1994" i="8"/>
  <c r="S1995" i="8"/>
  <c r="S1996" i="8"/>
  <c r="S1997" i="8"/>
  <c r="S1998" i="8"/>
  <c r="S1999" i="8"/>
  <c r="S2000" i="8"/>
  <c r="S2001" i="8"/>
  <c r="S2002" i="8"/>
  <c r="S2003" i="8"/>
  <c r="S2004" i="8"/>
  <c r="S2005" i="8"/>
  <c r="S2006" i="8"/>
  <c r="S2007" i="8"/>
  <c r="S2008" i="8"/>
  <c r="S2009" i="8"/>
  <c r="S2010" i="8"/>
  <c r="S2011" i="8"/>
  <c r="S2012" i="8"/>
  <c r="S2013" i="8"/>
  <c r="S2014" i="8"/>
  <c r="S2015" i="8"/>
  <c r="S2016" i="8"/>
  <c r="S2017" i="8"/>
  <c r="S2018" i="8"/>
  <c r="S2019" i="8"/>
  <c r="S2020" i="8"/>
  <c r="S2021" i="8"/>
  <c r="S2022" i="8"/>
  <c r="S2023" i="8"/>
  <c r="S2024" i="8"/>
  <c r="S2025" i="8"/>
  <c r="S2026" i="8"/>
  <c r="S2027" i="8"/>
  <c r="S2028" i="8"/>
  <c r="S2029" i="8"/>
  <c r="S2030" i="8"/>
  <c r="S2031" i="8"/>
  <c r="S2032" i="8"/>
  <c r="S2033" i="8"/>
  <c r="S2034" i="8"/>
  <c r="S2035" i="8"/>
  <c r="S2036" i="8"/>
  <c r="S2037" i="8"/>
  <c r="S2038" i="8"/>
  <c r="S2039" i="8"/>
  <c r="S2040" i="8"/>
  <c r="S2041" i="8"/>
  <c r="S2042" i="8"/>
  <c r="S2043" i="8"/>
  <c r="S2044" i="8"/>
  <c r="S2045" i="8"/>
  <c r="S2046" i="8"/>
  <c r="S2047" i="8"/>
  <c r="S2048" i="8"/>
  <c r="S2049" i="8"/>
  <c r="S2050" i="8"/>
  <c r="S2051" i="8"/>
  <c r="S2052" i="8"/>
  <c r="S2053" i="8"/>
  <c r="S2054" i="8"/>
  <c r="S2055" i="8"/>
  <c r="S2056" i="8"/>
  <c r="S2057" i="8"/>
  <c r="S2058" i="8"/>
  <c r="S2059" i="8"/>
  <c r="S2060" i="8"/>
  <c r="S2061" i="8"/>
  <c r="S2062" i="8"/>
  <c r="S2063" i="8"/>
  <c r="S2064" i="8"/>
  <c r="S2065" i="8"/>
  <c r="S2066" i="8"/>
  <c r="S2067" i="8"/>
  <c r="S2068" i="8"/>
  <c r="S2069" i="8"/>
  <c r="S2070" i="8"/>
  <c r="S2071" i="8"/>
  <c r="S2072" i="8"/>
  <c r="S2073" i="8"/>
  <c r="S2074" i="8"/>
  <c r="S2075" i="8"/>
  <c r="S2076" i="8"/>
  <c r="S2077" i="8"/>
  <c r="S2078" i="8"/>
  <c r="S2079" i="8"/>
  <c r="S2080" i="8"/>
  <c r="S2081" i="8"/>
  <c r="S2082" i="8"/>
  <c r="S2083" i="8"/>
  <c r="S2084" i="8"/>
  <c r="S2085" i="8"/>
  <c r="S2086" i="8"/>
  <c r="S2087" i="8"/>
  <c r="S2088" i="8"/>
  <c r="S2089" i="8"/>
  <c r="S2090" i="8"/>
  <c r="S2091" i="8"/>
  <c r="S2092" i="8"/>
  <c r="S2093" i="8"/>
  <c r="S2094" i="8"/>
  <c r="S2095" i="8"/>
  <c r="S2096" i="8"/>
  <c r="S2097" i="8"/>
  <c r="S2098" i="8"/>
  <c r="S2099" i="8"/>
  <c r="S2100" i="8"/>
  <c r="S2101" i="8"/>
  <c r="S2102" i="8"/>
  <c r="S2103" i="8"/>
  <c r="S2104" i="8"/>
  <c r="S2105" i="8"/>
  <c r="S2106" i="8"/>
  <c r="S2107" i="8"/>
  <c r="S2108" i="8"/>
  <c r="S2109" i="8"/>
  <c r="S2110" i="8"/>
  <c r="S2111" i="8"/>
  <c r="S2112" i="8"/>
  <c r="S2113" i="8"/>
  <c r="S2114" i="8"/>
  <c r="S2115" i="8"/>
  <c r="S2116" i="8"/>
  <c r="S2117" i="8"/>
  <c r="S2118" i="8"/>
  <c r="S2119" i="8"/>
  <c r="S2120" i="8"/>
  <c r="S2121" i="8"/>
  <c r="S2122" i="8"/>
  <c r="S2123" i="8"/>
  <c r="S2124" i="8"/>
  <c r="S2125" i="8"/>
  <c r="S2126" i="8"/>
  <c r="S2127" i="8"/>
  <c r="S2128" i="8"/>
  <c r="S2129" i="8"/>
  <c r="S2130" i="8"/>
  <c r="S2131" i="8"/>
  <c r="S2132" i="8"/>
  <c r="S2133" i="8"/>
  <c r="S2134" i="8"/>
  <c r="S2135" i="8"/>
  <c r="S2136" i="8"/>
  <c r="S2137" i="8"/>
  <c r="S2138" i="8"/>
  <c r="S2139" i="8"/>
  <c r="S2140" i="8"/>
  <c r="S2141" i="8"/>
  <c r="S2142" i="8"/>
  <c r="S2143" i="8"/>
  <c r="S2144" i="8"/>
  <c r="S2145" i="8"/>
  <c r="S2146" i="8"/>
  <c r="S2147" i="8"/>
  <c r="S2148" i="8"/>
  <c r="S2149" i="8"/>
  <c r="S2150" i="8"/>
  <c r="S2151" i="8"/>
  <c r="S2152" i="8"/>
  <c r="S2153" i="8"/>
  <c r="S2154" i="8"/>
  <c r="S2155" i="8"/>
  <c r="S2156" i="8"/>
  <c r="S2157" i="8"/>
  <c r="S2158" i="8"/>
  <c r="S2159" i="8"/>
  <c r="S2160" i="8"/>
  <c r="S2161" i="8"/>
  <c r="S2162" i="8"/>
  <c r="S2163" i="8"/>
  <c r="S2164" i="8"/>
  <c r="S2165" i="8"/>
  <c r="S2166" i="8"/>
  <c r="S2167" i="8"/>
  <c r="S2168" i="8"/>
  <c r="S2169" i="8"/>
  <c r="S2170" i="8"/>
  <c r="S2171" i="8"/>
  <c r="S2172" i="8"/>
  <c r="S2173" i="8"/>
  <c r="S2174" i="8"/>
  <c r="S2175" i="8"/>
  <c r="S2176" i="8"/>
  <c r="S2177" i="8"/>
  <c r="S2178" i="8"/>
  <c r="S2179" i="8"/>
  <c r="S2180" i="8"/>
  <c r="S2181" i="8"/>
  <c r="S2182" i="8"/>
  <c r="S2183" i="8"/>
  <c r="S2184" i="8"/>
  <c r="S2185" i="8"/>
  <c r="S2186" i="8"/>
  <c r="S2187" i="8"/>
  <c r="S2188" i="8"/>
  <c r="S2189" i="8"/>
  <c r="S2190" i="8"/>
  <c r="S2191" i="8"/>
  <c r="S2192" i="8"/>
  <c r="S2193" i="8"/>
  <c r="S2194" i="8"/>
  <c r="S2195" i="8"/>
  <c r="S2196" i="8"/>
  <c r="S2197" i="8"/>
  <c r="S2198" i="8"/>
  <c r="S2199" i="8"/>
  <c r="S2200" i="8"/>
  <c r="S2201" i="8"/>
  <c r="S2202" i="8"/>
  <c r="S2203" i="8"/>
  <c r="S2204" i="8"/>
  <c r="S2205" i="8"/>
  <c r="S2206" i="8"/>
  <c r="S2207" i="8"/>
  <c r="S2208" i="8"/>
  <c r="S2209" i="8"/>
  <c r="S2210" i="8"/>
  <c r="S2211" i="8"/>
  <c r="S2212" i="8"/>
  <c r="S2213" i="8"/>
  <c r="S2214" i="8"/>
  <c r="S2215" i="8"/>
  <c r="S2216" i="8"/>
  <c r="S2217" i="8"/>
  <c r="S2218" i="8"/>
  <c r="S2219" i="8"/>
  <c r="S2220" i="8"/>
  <c r="S2221" i="8"/>
  <c r="S2222" i="8"/>
  <c r="S2223" i="8"/>
  <c r="S2224" i="8"/>
  <c r="S2225" i="8"/>
  <c r="S2226" i="8"/>
  <c r="S2227" i="8"/>
  <c r="S2228" i="8"/>
  <c r="S2229" i="8"/>
  <c r="S2230" i="8"/>
  <c r="S2231" i="8"/>
  <c r="S2232" i="8"/>
  <c r="S2233" i="8"/>
  <c r="S2234" i="8"/>
  <c r="S2235" i="8"/>
  <c r="S2236" i="8"/>
  <c r="S2237" i="8"/>
  <c r="S2238" i="8"/>
  <c r="S2239" i="8"/>
  <c r="S2240" i="8"/>
  <c r="S2241" i="8"/>
  <c r="S2242" i="8"/>
  <c r="S2243" i="8"/>
  <c r="S2244" i="8"/>
  <c r="S2245" i="8"/>
  <c r="S2246" i="8"/>
  <c r="S2247" i="8"/>
  <c r="S2248" i="8"/>
  <c r="S2249" i="8"/>
  <c r="S2250" i="8"/>
  <c r="S2251" i="8"/>
  <c r="S2252" i="8"/>
  <c r="S2253" i="8"/>
  <c r="S2254" i="8"/>
  <c r="S2255" i="8"/>
  <c r="S2256" i="8"/>
  <c r="S2257" i="8"/>
  <c r="S2258" i="8"/>
  <c r="S2259" i="8"/>
  <c r="S2260" i="8"/>
  <c r="S2261" i="8"/>
  <c r="S2262" i="8"/>
  <c r="S2263" i="8"/>
  <c r="S2264" i="8"/>
  <c r="S2265" i="8"/>
  <c r="S2266" i="8"/>
  <c r="S2267" i="8"/>
  <c r="S2268" i="8"/>
  <c r="S2269" i="8"/>
  <c r="S2270" i="8"/>
  <c r="S2271" i="8"/>
  <c r="S2272" i="8"/>
  <c r="S2273" i="8"/>
  <c r="S2274" i="8"/>
  <c r="S2275" i="8"/>
  <c r="S2276" i="8"/>
  <c r="S2277" i="8"/>
  <c r="S2278" i="8"/>
  <c r="S2279" i="8"/>
  <c r="S2280" i="8"/>
  <c r="S2281" i="8"/>
  <c r="S2282" i="8"/>
  <c r="S2283" i="8"/>
  <c r="S2284" i="8"/>
  <c r="S2285" i="8"/>
  <c r="S2286" i="8"/>
  <c r="S2287" i="8"/>
  <c r="S2288" i="8"/>
  <c r="S2289" i="8"/>
  <c r="S2290" i="8"/>
  <c r="S2291" i="8"/>
  <c r="S2292" i="8"/>
  <c r="S2293" i="8"/>
  <c r="S2294" i="8"/>
  <c r="S2295" i="8"/>
  <c r="S2296" i="8"/>
  <c r="S2297" i="8"/>
  <c r="S2298" i="8"/>
  <c r="S2299" i="8"/>
  <c r="S2300" i="8"/>
  <c r="S2301" i="8"/>
  <c r="S2302" i="8"/>
  <c r="S2303" i="8"/>
  <c r="S2304" i="8"/>
  <c r="S2305" i="8"/>
  <c r="S2306" i="8"/>
  <c r="S2307" i="8"/>
  <c r="S2308" i="8"/>
  <c r="S2309" i="8"/>
  <c r="S2310" i="8"/>
  <c r="S2311" i="8"/>
  <c r="S2312" i="8"/>
  <c r="S2313" i="8"/>
  <c r="S2314" i="8"/>
  <c r="S2315" i="8"/>
  <c r="S2316" i="8"/>
  <c r="S2317" i="8"/>
  <c r="S2318" i="8"/>
  <c r="S2319" i="8"/>
  <c r="S2320" i="8"/>
  <c r="S2321" i="8"/>
  <c r="S2322" i="8"/>
  <c r="S2323" i="8"/>
  <c r="S2324" i="8"/>
  <c r="S2325" i="8"/>
  <c r="S2326" i="8"/>
  <c r="S2327" i="8"/>
  <c r="S2328" i="8"/>
  <c r="S2329" i="8"/>
  <c r="S2330" i="8"/>
  <c r="S2331" i="8"/>
  <c r="S2332" i="8"/>
  <c r="S2333" i="8"/>
  <c r="S2334" i="8"/>
  <c r="S2335" i="8"/>
  <c r="S2336" i="8"/>
  <c r="S2337" i="8"/>
  <c r="S2338" i="8"/>
  <c r="S2339" i="8"/>
  <c r="S2340" i="8"/>
  <c r="S2341" i="8"/>
  <c r="S2342" i="8"/>
  <c r="S2343" i="8"/>
  <c r="S2344" i="8"/>
  <c r="S2345" i="8"/>
  <c r="S2346" i="8"/>
  <c r="S2347" i="8"/>
  <c r="S2348" i="8"/>
  <c r="S2349" i="8"/>
  <c r="S2350" i="8"/>
  <c r="S2351" i="8"/>
  <c r="S2352" i="8"/>
  <c r="S2353" i="8"/>
  <c r="S2354" i="8"/>
  <c r="S2355" i="8"/>
  <c r="S2356" i="8"/>
  <c r="S2357" i="8"/>
  <c r="S2358" i="8"/>
  <c r="S2359" i="8"/>
  <c r="S2360" i="8"/>
  <c r="S2361" i="8"/>
  <c r="S2362" i="8"/>
  <c r="S2363" i="8"/>
  <c r="S2364" i="8"/>
  <c r="S2365" i="8"/>
  <c r="S2366" i="8"/>
  <c r="S2367" i="8"/>
  <c r="S2368" i="8"/>
  <c r="S2369" i="8"/>
  <c r="S2370" i="8"/>
  <c r="S2371" i="8"/>
  <c r="S2372" i="8"/>
  <c r="S2373" i="8"/>
  <c r="S2374" i="8"/>
  <c r="S2375" i="8"/>
  <c r="S2376" i="8"/>
  <c r="S2377" i="8"/>
  <c r="S2378" i="8"/>
  <c r="S2379" i="8"/>
  <c r="S2380" i="8"/>
  <c r="S2381" i="8"/>
  <c r="S2382" i="8"/>
  <c r="S2383" i="8"/>
  <c r="S2384" i="8"/>
  <c r="S2385" i="8"/>
  <c r="S2386" i="8"/>
  <c r="S2387" i="8"/>
  <c r="S2388" i="8"/>
  <c r="S2389" i="8"/>
  <c r="S2390" i="8"/>
  <c r="S2391" i="8"/>
  <c r="S2392" i="8"/>
  <c r="S2393" i="8"/>
  <c r="S2394" i="8"/>
  <c r="S2395" i="8"/>
  <c r="S2396" i="8"/>
  <c r="S2397" i="8"/>
  <c r="S2398" i="8"/>
  <c r="S2399" i="8"/>
  <c r="S2400" i="8"/>
  <c r="S2401" i="8"/>
  <c r="S2402" i="8"/>
  <c r="S2403" i="8"/>
  <c r="S2404" i="8"/>
  <c r="S2405" i="8"/>
  <c r="S2406" i="8"/>
  <c r="S2407" i="8"/>
  <c r="S2408" i="8"/>
  <c r="S2409" i="8"/>
  <c r="S2410" i="8"/>
  <c r="S2411" i="8"/>
  <c r="S2412" i="8"/>
  <c r="S2413" i="8"/>
  <c r="S2414" i="8"/>
  <c r="S2415" i="8"/>
  <c r="S2416" i="8"/>
  <c r="S2417" i="8"/>
  <c r="S2418" i="8"/>
  <c r="S2419" i="8"/>
  <c r="S2420" i="8"/>
  <c r="S2421" i="8"/>
  <c r="S2422" i="8"/>
  <c r="S2423" i="8"/>
  <c r="S2424" i="8"/>
  <c r="S2425" i="8"/>
  <c r="S2426" i="8"/>
  <c r="S2427" i="8"/>
  <c r="S2428" i="8"/>
  <c r="S2429" i="8"/>
  <c r="S2430" i="8"/>
  <c r="S2431" i="8"/>
  <c r="S2432" i="8"/>
  <c r="S2433" i="8"/>
  <c r="S2434" i="8"/>
  <c r="S2435" i="8"/>
  <c r="S2436" i="8"/>
  <c r="S2437" i="8"/>
  <c r="S2438" i="8"/>
  <c r="S2439" i="8"/>
  <c r="S2440" i="8"/>
  <c r="S2441" i="8"/>
  <c r="S2442" i="8"/>
  <c r="S2443" i="8"/>
  <c r="S2444" i="8"/>
  <c r="S2445" i="8"/>
  <c r="S2446" i="8"/>
  <c r="S2447" i="8"/>
  <c r="S2448" i="8"/>
  <c r="S2449" i="8"/>
  <c r="S2450" i="8"/>
  <c r="S2451" i="8"/>
  <c r="S2452" i="8"/>
  <c r="S2453" i="8"/>
  <c r="S2454" i="8"/>
  <c r="S2455" i="8"/>
  <c r="S2456" i="8"/>
  <c r="S2457" i="8"/>
  <c r="S2458" i="8"/>
  <c r="S2459" i="8"/>
  <c r="S2460" i="8"/>
  <c r="S2461" i="8"/>
  <c r="S2462" i="8"/>
  <c r="S2463" i="8"/>
  <c r="S2464" i="8"/>
  <c r="S2465" i="8"/>
  <c r="S2466" i="8"/>
  <c r="S2467" i="8"/>
  <c r="S2468" i="8"/>
  <c r="S2469" i="8"/>
  <c r="S2470" i="8"/>
  <c r="S2471" i="8"/>
  <c r="S2472" i="8"/>
  <c r="S2473" i="8"/>
  <c r="S2474" i="8"/>
  <c r="S2475" i="8"/>
  <c r="S2476" i="8"/>
  <c r="S2477" i="8"/>
  <c r="S2478" i="8"/>
  <c r="S2479" i="8"/>
  <c r="S2480" i="8"/>
  <c r="S2481" i="8"/>
  <c r="S2482" i="8"/>
  <c r="S2483" i="8"/>
  <c r="S2484" i="8"/>
  <c r="S2485" i="8"/>
  <c r="S2486" i="8"/>
  <c r="S2487" i="8"/>
  <c r="S2488" i="8"/>
  <c r="S2489" i="8"/>
  <c r="S2490" i="8"/>
  <c r="S2491" i="8"/>
  <c r="S2492" i="8"/>
  <c r="S2493" i="8"/>
  <c r="S2494" i="8"/>
  <c r="S2495" i="8"/>
  <c r="S2496" i="8"/>
  <c r="S2497" i="8"/>
  <c r="S2498" i="8"/>
  <c r="S2499" i="8"/>
  <c r="S2500" i="8"/>
  <c r="S2501" i="8"/>
  <c r="S2502" i="8"/>
  <c r="S2503" i="8"/>
  <c r="S2504" i="8"/>
  <c r="S2505" i="8"/>
  <c r="S2506" i="8"/>
  <c r="S2507" i="8"/>
  <c r="S2508" i="8"/>
  <c r="S2509" i="8"/>
  <c r="S2510" i="8"/>
  <c r="S2511" i="8"/>
  <c r="S2512" i="8"/>
  <c r="S2513" i="8"/>
  <c r="S2514" i="8"/>
  <c r="S2515" i="8"/>
  <c r="S2516" i="8"/>
  <c r="S2517" i="8"/>
  <c r="S2518" i="8"/>
  <c r="S2519" i="8"/>
  <c r="S2520" i="8"/>
  <c r="S2521" i="8"/>
  <c r="S2522" i="8"/>
  <c r="S2523" i="8"/>
  <c r="S2524" i="8"/>
  <c r="S2525" i="8"/>
  <c r="S2526" i="8"/>
  <c r="S2527" i="8"/>
  <c r="S2528" i="8"/>
  <c r="S2529" i="8"/>
  <c r="S2530" i="8"/>
  <c r="S2531" i="8"/>
  <c r="S2532" i="8"/>
  <c r="S2533" i="8"/>
  <c r="S2534" i="8"/>
  <c r="S2535" i="8"/>
  <c r="S2536" i="8"/>
  <c r="S2537" i="8"/>
  <c r="S2538" i="8"/>
  <c r="S2539" i="8"/>
  <c r="S2540" i="8"/>
  <c r="S2541" i="8"/>
  <c r="S2542" i="8"/>
  <c r="S2543" i="8"/>
  <c r="S2544" i="8"/>
  <c r="S2545" i="8"/>
  <c r="S2546" i="8"/>
  <c r="S2547" i="8"/>
  <c r="S2548" i="8"/>
  <c r="S2549" i="8"/>
  <c r="S2550" i="8"/>
  <c r="S2551" i="8"/>
  <c r="S2552" i="8"/>
  <c r="S2553" i="8"/>
  <c r="S2554" i="8"/>
  <c r="S2555" i="8"/>
  <c r="S2556" i="8"/>
  <c r="S2557" i="8"/>
  <c r="S2558" i="8"/>
  <c r="S2559" i="8"/>
  <c r="S2560" i="8"/>
  <c r="S2561" i="8"/>
  <c r="S2562" i="8"/>
  <c r="S2563" i="8"/>
  <c r="S2564" i="8"/>
  <c r="S2565" i="8"/>
  <c r="S2566" i="8"/>
  <c r="S2567" i="8"/>
  <c r="S2568" i="8"/>
  <c r="S2569" i="8"/>
  <c r="S2570" i="8"/>
  <c r="S2571" i="8"/>
  <c r="S2572" i="8"/>
  <c r="S2573" i="8"/>
  <c r="S2574" i="8"/>
  <c r="S2575" i="8"/>
  <c r="S2576" i="8"/>
  <c r="S2577" i="8"/>
  <c r="S2578" i="8"/>
  <c r="S2579" i="8"/>
  <c r="S2580" i="8"/>
  <c r="S2581" i="8"/>
  <c r="S2582" i="8"/>
  <c r="S2583" i="8"/>
  <c r="S2584" i="8"/>
  <c r="S2585" i="8"/>
  <c r="S2586" i="8"/>
  <c r="S2587" i="8"/>
  <c r="S2588" i="8"/>
  <c r="S2589" i="8"/>
  <c r="S2590" i="8"/>
  <c r="S2591" i="8"/>
  <c r="S2592" i="8"/>
  <c r="S2593" i="8"/>
  <c r="S2594" i="8"/>
  <c r="S2595" i="8"/>
  <c r="S2596" i="8"/>
  <c r="S2597" i="8"/>
  <c r="S2598" i="8"/>
  <c r="S2599" i="8"/>
  <c r="S2600" i="8"/>
  <c r="S2601" i="8"/>
  <c r="S2602" i="8"/>
  <c r="S2603" i="8"/>
  <c r="S2604" i="8"/>
  <c r="S2605" i="8"/>
  <c r="S2606" i="8"/>
  <c r="S2607" i="8"/>
  <c r="S2608" i="8"/>
  <c r="S2609" i="8"/>
  <c r="S2610" i="8"/>
  <c r="S2611" i="8"/>
  <c r="S2612" i="8"/>
  <c r="S2613" i="8"/>
  <c r="S2614" i="8"/>
  <c r="S2615" i="8"/>
  <c r="S2616" i="8"/>
  <c r="S2617" i="8"/>
  <c r="S2618" i="8"/>
  <c r="S2619" i="8"/>
  <c r="S2620" i="8"/>
  <c r="S2621" i="8"/>
  <c r="S2622" i="8"/>
  <c r="S2623" i="8"/>
  <c r="S2624" i="8"/>
  <c r="S2625" i="8"/>
  <c r="S2626" i="8"/>
  <c r="S2627" i="8"/>
  <c r="S2628" i="8"/>
  <c r="S2629" i="8"/>
  <c r="S2630" i="8"/>
  <c r="S2631" i="8"/>
  <c r="S2632" i="8"/>
  <c r="S2633" i="8"/>
  <c r="S2634" i="8"/>
  <c r="S2635" i="8"/>
  <c r="S2636" i="8"/>
  <c r="S2637" i="8"/>
  <c r="S2638" i="8"/>
  <c r="S2639" i="8"/>
  <c r="S2640" i="8"/>
  <c r="S2641" i="8"/>
  <c r="S2642" i="8"/>
  <c r="S2643" i="8"/>
  <c r="S2644" i="8"/>
  <c r="S2645" i="8"/>
  <c r="S2646" i="8"/>
  <c r="S2647" i="8"/>
  <c r="S2648" i="8"/>
  <c r="S2649" i="8"/>
  <c r="S2650" i="8"/>
  <c r="S2651" i="8"/>
  <c r="S2652" i="8"/>
  <c r="S2653" i="8"/>
  <c r="S2654" i="8"/>
  <c r="S2655" i="8"/>
  <c r="S2656" i="8"/>
  <c r="S2657" i="8"/>
  <c r="S2658" i="8"/>
  <c r="S2659" i="8"/>
  <c r="S2660" i="8"/>
  <c r="S2661" i="8"/>
  <c r="S2662" i="8"/>
  <c r="S2663" i="8"/>
  <c r="S2664" i="8"/>
  <c r="S2665" i="8"/>
  <c r="S2666" i="8"/>
  <c r="S2667" i="8"/>
  <c r="S2668" i="8"/>
  <c r="S2669" i="8"/>
  <c r="S2670" i="8"/>
  <c r="S2671" i="8"/>
  <c r="S2672" i="8"/>
  <c r="S2673" i="8"/>
  <c r="S2674" i="8"/>
  <c r="S2675" i="8"/>
  <c r="S2676" i="8"/>
  <c r="S2677" i="8"/>
  <c r="S2678" i="8"/>
  <c r="S2679" i="8"/>
  <c r="S2680" i="8"/>
  <c r="S2681" i="8"/>
  <c r="S2682" i="8"/>
  <c r="S2683" i="8"/>
  <c r="S2684" i="8"/>
  <c r="S2685" i="8"/>
  <c r="S2686" i="8"/>
  <c r="S2687" i="8"/>
  <c r="S2688" i="8"/>
  <c r="S2689" i="8"/>
  <c r="S2690" i="8"/>
  <c r="S2691" i="8"/>
  <c r="S2692" i="8"/>
  <c r="S2693" i="8"/>
  <c r="S2694" i="8"/>
  <c r="S2695" i="8"/>
  <c r="S2696" i="8"/>
  <c r="S2697" i="8"/>
  <c r="S2698" i="8"/>
  <c r="S2699" i="8"/>
  <c r="S2700" i="8"/>
  <c r="S2701" i="8"/>
  <c r="S2702" i="8"/>
  <c r="S2703" i="8"/>
  <c r="S2704" i="8"/>
  <c r="S2705" i="8"/>
  <c r="S2706" i="8"/>
  <c r="S2707" i="8"/>
  <c r="S2708" i="8"/>
  <c r="S2709" i="8"/>
  <c r="S2710" i="8"/>
  <c r="S2711" i="8"/>
  <c r="S2712" i="8"/>
  <c r="S2713" i="8"/>
  <c r="S2714" i="8"/>
  <c r="S2715" i="8"/>
  <c r="S2716" i="8"/>
  <c r="S2717" i="8"/>
  <c r="S2718" i="8"/>
  <c r="S2719" i="8"/>
  <c r="S2720" i="8"/>
  <c r="S2721" i="8"/>
  <c r="S2722" i="8"/>
  <c r="S2723" i="8"/>
  <c r="S2724" i="8"/>
  <c r="S2725" i="8"/>
  <c r="S2726" i="8"/>
  <c r="S2727" i="8"/>
  <c r="S2728" i="8"/>
  <c r="S2729" i="8"/>
  <c r="S2730" i="8"/>
  <c r="S2731" i="8"/>
  <c r="S2732" i="8"/>
  <c r="S2733" i="8"/>
  <c r="S2734" i="8"/>
  <c r="S2735" i="8"/>
  <c r="S2736" i="8"/>
  <c r="S2737" i="8"/>
  <c r="S2738" i="8"/>
  <c r="S2739" i="8"/>
  <c r="S2740" i="8"/>
  <c r="S2741" i="8"/>
  <c r="S2742" i="8"/>
  <c r="S2743" i="8"/>
  <c r="S2744" i="8"/>
  <c r="S2745" i="8"/>
  <c r="S2746" i="8"/>
  <c r="S2747" i="8"/>
  <c r="S2748" i="8"/>
  <c r="S2749" i="8"/>
  <c r="S2750" i="8"/>
  <c r="S2751" i="8"/>
  <c r="S2752" i="8"/>
  <c r="S2753" i="8"/>
  <c r="S2754" i="8"/>
  <c r="S2755" i="8"/>
  <c r="S2756" i="8"/>
  <c r="S2757" i="8"/>
  <c r="S2758" i="8"/>
  <c r="S2759" i="8"/>
  <c r="S2760" i="8"/>
  <c r="S2761" i="8"/>
  <c r="S2762" i="8"/>
  <c r="S2763" i="8"/>
  <c r="S2764" i="8"/>
  <c r="S2765" i="8"/>
  <c r="S2766" i="8"/>
  <c r="S2767" i="8"/>
  <c r="S2768" i="8"/>
  <c r="S2769" i="8"/>
  <c r="S2770" i="8"/>
  <c r="S2771" i="8"/>
  <c r="S2772" i="8"/>
  <c r="S2773" i="8"/>
  <c r="S2774" i="8"/>
  <c r="S2775" i="8"/>
  <c r="S2776" i="8"/>
  <c r="S2777" i="8"/>
  <c r="S2778" i="8"/>
  <c r="S2779" i="8"/>
  <c r="S2780" i="8"/>
  <c r="S2781" i="8"/>
  <c r="S2782" i="8"/>
  <c r="S2783" i="8"/>
  <c r="S2784" i="8"/>
  <c r="S2785" i="8"/>
  <c r="S2786" i="8"/>
  <c r="S2787" i="8"/>
  <c r="S2788" i="8"/>
  <c r="S2789" i="8"/>
  <c r="S2790" i="8"/>
  <c r="S2791" i="8"/>
  <c r="S2792" i="8"/>
  <c r="S2793" i="8"/>
  <c r="S2794" i="8"/>
  <c r="S2795" i="8"/>
  <c r="S2796" i="8"/>
  <c r="S2797" i="8"/>
  <c r="S2798" i="8"/>
  <c r="S2799" i="8"/>
  <c r="S2800" i="8"/>
  <c r="S2801" i="8"/>
  <c r="S2802" i="8"/>
  <c r="S2803" i="8"/>
  <c r="S2804" i="8"/>
  <c r="S2805" i="8"/>
  <c r="S2806" i="8"/>
  <c r="S2807" i="8"/>
  <c r="S2808" i="8"/>
  <c r="S2809" i="8"/>
  <c r="S2810" i="8"/>
  <c r="S2811" i="8"/>
  <c r="S2812" i="8"/>
  <c r="S2813" i="8"/>
  <c r="S2814" i="8"/>
  <c r="S2815" i="8"/>
  <c r="S2816" i="8"/>
  <c r="S2817" i="8"/>
  <c r="S2818" i="8"/>
  <c r="S2819" i="8"/>
  <c r="S2820" i="8"/>
  <c r="S2821" i="8"/>
  <c r="S2822" i="8"/>
  <c r="S2823" i="8"/>
  <c r="S2824" i="8"/>
  <c r="S2825" i="8"/>
  <c r="S2826" i="8"/>
  <c r="S2827" i="8"/>
  <c r="S2828" i="8"/>
  <c r="S2829" i="8"/>
  <c r="S2830" i="8"/>
  <c r="S2831" i="8"/>
  <c r="S2832" i="8"/>
  <c r="S2833" i="8"/>
  <c r="S2834" i="8"/>
  <c r="S2835" i="8"/>
  <c r="S2836" i="8"/>
  <c r="S2837" i="8"/>
  <c r="S2838" i="8"/>
  <c r="S2839" i="8"/>
  <c r="S2840" i="8"/>
  <c r="S2841" i="8"/>
  <c r="S2842" i="8"/>
  <c r="S2843" i="8"/>
  <c r="S2844" i="8"/>
  <c r="S2845" i="8"/>
  <c r="S2846" i="8"/>
  <c r="S2847" i="8"/>
  <c r="S2848" i="8"/>
  <c r="S2849" i="8"/>
  <c r="S2850" i="8"/>
  <c r="S2851" i="8"/>
  <c r="S2852" i="8"/>
  <c r="S2853" i="8"/>
  <c r="S2854" i="8"/>
  <c r="S2855" i="8"/>
  <c r="S2856" i="8"/>
  <c r="S2857" i="8"/>
  <c r="S2858" i="8"/>
  <c r="S2859" i="8"/>
  <c r="S2860" i="8"/>
  <c r="S2861" i="8"/>
  <c r="S2862" i="8"/>
  <c r="S2863" i="8"/>
  <c r="S2864" i="8"/>
  <c r="S2865" i="8"/>
  <c r="S2866" i="8"/>
  <c r="S2867" i="8"/>
  <c r="S2868" i="8"/>
  <c r="S2869" i="8"/>
  <c r="S2870" i="8"/>
  <c r="S2871" i="8"/>
  <c r="S2872" i="8"/>
  <c r="S2873" i="8"/>
  <c r="S2874" i="8"/>
  <c r="S2875" i="8"/>
  <c r="S2876" i="8"/>
  <c r="S2877" i="8"/>
  <c r="S2878" i="8"/>
  <c r="S2879" i="8"/>
  <c r="S2880" i="8"/>
  <c r="S2881" i="8"/>
  <c r="S2882" i="8"/>
  <c r="S2883" i="8"/>
  <c r="S2884" i="8"/>
  <c r="S2885" i="8"/>
  <c r="S2886" i="8"/>
  <c r="S2887" i="8"/>
  <c r="S2888" i="8"/>
  <c r="S2889" i="8"/>
  <c r="S2890" i="8"/>
  <c r="S2891" i="8"/>
  <c r="S2892" i="8"/>
  <c r="S2893" i="8"/>
  <c r="S2894" i="8"/>
  <c r="S2895" i="8"/>
  <c r="S2896" i="8"/>
  <c r="S2897" i="8"/>
  <c r="S2898" i="8"/>
  <c r="S2899" i="8"/>
  <c r="S2900" i="8"/>
  <c r="S2901" i="8"/>
  <c r="S2902" i="8"/>
  <c r="S2903" i="8"/>
  <c r="S2904" i="8"/>
  <c r="S2905" i="8"/>
  <c r="S2906" i="8"/>
  <c r="S2907" i="8"/>
  <c r="S2908" i="8"/>
  <c r="S2909" i="8"/>
  <c r="S2910" i="8"/>
  <c r="S2911" i="8"/>
  <c r="S2912" i="8"/>
  <c r="S2913" i="8"/>
  <c r="S2914" i="8"/>
  <c r="S2915" i="8"/>
  <c r="S2916" i="8"/>
  <c r="S2917" i="8"/>
  <c r="S2918" i="8"/>
  <c r="S2919" i="8"/>
  <c r="S2920" i="8"/>
  <c r="S2921" i="8"/>
  <c r="S2922" i="8"/>
  <c r="S2923" i="8"/>
  <c r="S2924" i="8"/>
  <c r="S2925" i="8"/>
  <c r="S2926" i="8"/>
  <c r="S2927" i="8"/>
  <c r="S2928" i="8"/>
  <c r="S2929" i="8"/>
  <c r="S2930" i="8"/>
  <c r="S2931" i="8"/>
  <c r="S2932" i="8"/>
  <c r="S2933" i="8"/>
  <c r="S2934" i="8"/>
  <c r="S2935" i="8"/>
  <c r="S2936" i="8"/>
  <c r="S2937" i="8"/>
  <c r="S2938" i="8"/>
  <c r="S2939" i="8"/>
  <c r="S2940" i="8"/>
  <c r="S2941" i="8"/>
  <c r="S2942" i="8"/>
  <c r="S2943" i="8"/>
  <c r="S2944" i="8"/>
  <c r="S2945" i="8"/>
  <c r="S2946" i="8"/>
  <c r="S2947" i="8"/>
  <c r="S2948" i="8"/>
  <c r="S2949" i="8"/>
  <c r="S2950" i="8"/>
  <c r="S2951" i="8"/>
  <c r="S2952" i="8"/>
  <c r="S2953" i="8"/>
  <c r="S2954" i="8"/>
  <c r="S2955" i="8"/>
  <c r="S2956" i="8"/>
  <c r="S2957" i="8"/>
  <c r="S2958" i="8"/>
  <c r="S2959" i="8"/>
  <c r="S2960" i="8"/>
  <c r="S2961" i="8"/>
  <c r="S2962" i="8"/>
  <c r="S2963" i="8"/>
  <c r="S2964" i="8"/>
  <c r="S2965" i="8"/>
  <c r="S2966" i="8"/>
  <c r="S2967" i="8"/>
  <c r="S2968" i="8"/>
  <c r="S2969" i="8"/>
  <c r="S2970" i="8"/>
  <c r="S2971" i="8"/>
  <c r="S2972" i="8"/>
  <c r="S2973" i="8"/>
  <c r="S2974" i="8"/>
  <c r="S2975" i="8"/>
  <c r="S2976" i="8"/>
  <c r="S2977" i="8"/>
  <c r="S2978" i="8"/>
  <c r="S2979" i="8"/>
  <c r="S2980" i="8"/>
  <c r="S2981" i="8"/>
  <c r="S2982" i="8"/>
  <c r="S2983" i="8"/>
  <c r="S2984" i="8"/>
  <c r="S2985" i="8"/>
  <c r="S2986" i="8"/>
  <c r="S2987" i="8"/>
  <c r="S2988" i="8"/>
  <c r="S2989" i="8"/>
  <c r="S2990" i="8"/>
  <c r="S2991" i="8"/>
  <c r="S2992" i="8"/>
  <c r="S2993" i="8"/>
  <c r="S2994" i="8"/>
  <c r="S2995" i="8"/>
  <c r="S2996" i="8"/>
  <c r="S2997" i="8"/>
  <c r="S2998" i="8"/>
  <c r="S2999" i="8"/>
  <c r="S3000" i="8"/>
  <c r="L963" i="8" l="1"/>
  <c r="L962" i="8"/>
  <c r="L961" i="8"/>
  <c r="L960" i="8"/>
  <c r="L959" i="8"/>
  <c r="L958" i="8" l="1"/>
  <c r="L957" i="8"/>
  <c r="L956" i="8"/>
  <c r="L955" i="8" l="1"/>
  <c r="L954" i="8" l="1"/>
  <c r="L953" i="8"/>
  <c r="L952" i="8"/>
  <c r="L951" i="8"/>
  <c r="L950" i="8"/>
  <c r="L949" i="8"/>
  <c r="L948" i="8" l="1"/>
  <c r="L947" i="8"/>
  <c r="L946" i="8"/>
  <c r="L945" i="8"/>
  <c r="L944" i="8" l="1"/>
  <c r="L943" i="8"/>
  <c r="L942" i="8"/>
  <c r="L941" i="8"/>
  <c r="L940" i="8"/>
  <c r="L939" i="8" l="1"/>
  <c r="L938" i="8"/>
  <c r="L937" i="8"/>
  <c r="L936" i="8"/>
  <c r="L935" i="8" l="1"/>
  <c r="L934" i="8"/>
  <c r="C375" i="6" l="1"/>
  <c r="C374" i="6"/>
  <c r="C373" i="6"/>
  <c r="C372" i="6"/>
  <c r="C371" i="6"/>
  <c r="C370" i="6"/>
  <c r="C369" i="6"/>
  <c r="C368" i="6"/>
  <c r="C367" i="6"/>
  <c r="L933" i="8" l="1"/>
  <c r="L932" i="8"/>
  <c r="L931" i="8" l="1"/>
  <c r="L930" i="8"/>
  <c r="L929" i="8"/>
  <c r="L928" i="8"/>
  <c r="L927" i="8"/>
  <c r="L926" i="8"/>
  <c r="L925" i="8"/>
  <c r="L924" i="8" l="1"/>
  <c r="L923" i="8"/>
  <c r="L922" i="8"/>
  <c r="L921" i="8"/>
  <c r="L920" i="8" l="1"/>
  <c r="L919" i="8"/>
  <c r="L918" i="8"/>
  <c r="L917" i="8"/>
  <c r="L916" i="8"/>
  <c r="L915" i="8" l="1"/>
  <c r="L914" i="8"/>
  <c r="L913" i="8"/>
  <c r="L912" i="8"/>
  <c r="L911" i="8" l="1"/>
  <c r="L910" i="8"/>
  <c r="L909" i="8"/>
  <c r="L908" i="8"/>
  <c r="L907" i="8"/>
  <c r="L906" i="8" l="1"/>
  <c r="L905" i="8"/>
  <c r="L904" i="8"/>
  <c r="L903" i="8"/>
  <c r="L902" i="8" l="1"/>
  <c r="L901" i="8"/>
  <c r="L900" i="8"/>
  <c r="L899" i="8"/>
  <c r="L898" i="8"/>
  <c r="L897" i="8"/>
  <c r="L896" i="8"/>
  <c r="L895" i="8" l="1"/>
  <c r="L894" i="8"/>
  <c r="L893" i="8"/>
  <c r="L892" i="8"/>
  <c r="L891" i="8" l="1"/>
  <c r="L890" i="8"/>
  <c r="L889" i="8"/>
  <c r="L888" i="8"/>
  <c r="L887" i="8"/>
  <c r="L886" i="8" l="1"/>
  <c r="L885" i="8"/>
  <c r="L884" i="8"/>
  <c r="L883" i="8"/>
  <c r="L882" i="8"/>
  <c r="L881" i="8" l="1"/>
  <c r="L880" i="8"/>
  <c r="L879" i="8"/>
  <c r="L878" i="8"/>
  <c r="L877" i="8"/>
  <c r="L876" i="8"/>
  <c r="L875" i="8"/>
  <c r="L874" i="8" l="1"/>
  <c r="L873" i="8"/>
  <c r="L872" i="8"/>
  <c r="L871" i="8" l="1"/>
  <c r="L870" i="8"/>
  <c r="L869" i="8"/>
  <c r="L868" i="8" l="1"/>
  <c r="L867" i="8"/>
  <c r="L866" i="8"/>
  <c r="L865" i="8"/>
  <c r="L864" i="8"/>
  <c r="L863" i="8"/>
  <c r="L862" i="8"/>
  <c r="L861" i="8"/>
  <c r="L860" i="8" l="1"/>
  <c r="L859" i="8"/>
  <c r="L858" i="8"/>
  <c r="L857" i="8"/>
  <c r="L856" i="8"/>
  <c r="L855" i="8" l="1"/>
  <c r="L854" i="8"/>
  <c r="L853" i="8"/>
  <c r="L852" i="8"/>
  <c r="L851" i="8"/>
  <c r="L850" i="8"/>
  <c r="L849" i="8"/>
  <c r="L848" i="8"/>
  <c r="L847" i="8" l="1"/>
  <c r="L846" i="8"/>
  <c r="L589" i="8"/>
  <c r="D21" i="8" l="1"/>
  <c r="E21" i="8"/>
  <c r="F21" i="8" l="1"/>
  <c r="L845" i="8"/>
  <c r="L844" i="8" l="1"/>
  <c r="L843" i="8"/>
  <c r="L842" i="8"/>
  <c r="L841" i="8"/>
  <c r="L840" i="8"/>
  <c r="L839" i="8"/>
  <c r="L838" i="8"/>
  <c r="L837" i="8"/>
  <c r="L836" i="8" l="1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 l="1"/>
  <c r="L816" i="8"/>
  <c r="L815" i="8"/>
  <c r="L814" i="8"/>
  <c r="L813" i="8"/>
  <c r="L812" i="8" l="1"/>
  <c r="L811" i="8"/>
  <c r="L810" i="8"/>
  <c r="L809" i="8"/>
  <c r="L808" i="8"/>
  <c r="L807" i="8"/>
  <c r="L806" i="8"/>
  <c r="L805" i="8" l="1"/>
  <c r="L804" i="8"/>
  <c r="L803" i="8" l="1"/>
  <c r="L802" i="8"/>
  <c r="L801" i="8"/>
  <c r="L800" i="8"/>
  <c r="L799" i="8"/>
  <c r="L798" i="8"/>
  <c r="L797" i="8"/>
  <c r="L796" i="8"/>
  <c r="L795" i="8" l="1"/>
  <c r="L794" i="8"/>
  <c r="L793" i="8"/>
  <c r="L792" i="8"/>
  <c r="L791" i="8"/>
  <c r="L790" i="8"/>
  <c r="L789" i="8" l="1"/>
  <c r="L788" i="8"/>
  <c r="L787" i="8"/>
  <c r="L786" i="8"/>
  <c r="L785" i="8" l="1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 l="1"/>
  <c r="L769" i="8"/>
  <c r="L768" i="8"/>
  <c r="L767" i="8"/>
  <c r="L766" i="8"/>
  <c r="L765" i="8"/>
  <c r="L764" i="8"/>
  <c r="L763" i="8"/>
  <c r="L762" i="8" l="1"/>
  <c r="L761" i="8"/>
  <c r="L760" i="8"/>
  <c r="L759" i="8"/>
  <c r="L758" i="8"/>
  <c r="L757" i="8"/>
  <c r="L756" i="8" l="1"/>
  <c r="L755" i="8"/>
  <c r="L754" i="8"/>
  <c r="L753" i="8"/>
  <c r="L752" i="8"/>
  <c r="L751" i="8"/>
  <c r="L750" i="8"/>
  <c r="L749" i="8" l="1"/>
  <c r="L748" i="8"/>
  <c r="L747" i="8"/>
  <c r="L746" i="8" l="1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 l="1"/>
  <c r="L732" i="8"/>
  <c r="L731" i="8"/>
  <c r="L730" i="8" l="1"/>
  <c r="L729" i="8"/>
  <c r="L728" i="8"/>
  <c r="L727" i="8"/>
  <c r="L726" i="8"/>
  <c r="L725" i="8"/>
  <c r="L724" i="8"/>
  <c r="C348" i="6" l="1"/>
  <c r="C347" i="6"/>
  <c r="C346" i="6"/>
  <c r="C345" i="6"/>
  <c r="C344" i="6"/>
  <c r="C343" i="6"/>
  <c r="C342" i="6"/>
  <c r="C341" i="6"/>
  <c r="C340" i="6"/>
  <c r="L723" i="8"/>
  <c r="L722" i="8"/>
  <c r="L721" i="8"/>
  <c r="L720" i="8"/>
  <c r="L719" i="8"/>
  <c r="L718" i="8" l="1"/>
  <c r="L717" i="8"/>
  <c r="L716" i="8"/>
  <c r="L715" i="8"/>
  <c r="L714" i="8"/>
  <c r="L713" i="8"/>
  <c r="L712" i="8"/>
  <c r="L711" i="8"/>
  <c r="L710" i="8"/>
  <c r="L709" i="8"/>
  <c r="L708" i="8"/>
  <c r="L707" i="8" l="1"/>
  <c r="L706" i="8"/>
  <c r="L705" i="8"/>
  <c r="L704" i="8"/>
  <c r="L703" i="8" l="1"/>
  <c r="L702" i="8"/>
  <c r="L701" i="8"/>
  <c r="L700" i="8"/>
  <c r="L699" i="8"/>
  <c r="L698" i="8"/>
  <c r="L697" i="8"/>
  <c r="L696" i="8"/>
  <c r="L695" i="8"/>
  <c r="L694" i="8"/>
  <c r="L693" i="8"/>
  <c r="L692" i="8" l="1"/>
  <c r="L691" i="8" l="1"/>
  <c r="L690" i="8"/>
  <c r="L689" i="8"/>
  <c r="L688" i="8"/>
  <c r="L687" i="8"/>
  <c r="L686" i="8" l="1"/>
  <c r="L685" i="8"/>
  <c r="L684" i="8"/>
  <c r="L683" i="8"/>
  <c r="L682" i="8"/>
  <c r="L681" i="8" l="1"/>
  <c r="L680" i="8"/>
  <c r="L679" i="8" l="1"/>
  <c r="L678" i="8"/>
  <c r="L677" i="8"/>
  <c r="L676" i="8" l="1"/>
  <c r="L675" i="8"/>
  <c r="L674" i="8"/>
  <c r="L673" i="8"/>
  <c r="L672" i="8"/>
  <c r="L671" i="8"/>
  <c r="L670" i="8"/>
  <c r="L669" i="8"/>
  <c r="L668" i="8"/>
  <c r="L667" i="8"/>
  <c r="L666" i="8"/>
  <c r="L665" i="8"/>
  <c r="L664" i="8" l="1"/>
  <c r="L663" i="8"/>
  <c r="L662" i="8"/>
  <c r="L661" i="8"/>
  <c r="L660" i="8"/>
  <c r="L659" i="8" l="1"/>
  <c r="L658" i="8"/>
  <c r="L657" i="8"/>
  <c r="L656" i="8"/>
  <c r="L655" i="8"/>
  <c r="L654" i="8"/>
  <c r="L653" i="8"/>
  <c r="L652" i="8"/>
  <c r="L651" i="8" l="1"/>
  <c r="L650" i="8" l="1"/>
  <c r="L649" i="8" l="1"/>
  <c r="L648" i="8"/>
  <c r="L647" i="8"/>
  <c r="L646" i="8"/>
  <c r="L645" i="8"/>
  <c r="L644" i="8"/>
  <c r="L643" i="8"/>
  <c r="L642" i="8"/>
  <c r="L641" i="8" l="1"/>
  <c r="L640" i="8" l="1"/>
  <c r="L639" i="8"/>
  <c r="L638" i="8"/>
  <c r="L637" i="8"/>
  <c r="L636" i="8"/>
  <c r="L635" i="8"/>
  <c r="L634" i="8"/>
  <c r="L633" i="8"/>
  <c r="L632" i="8" l="1"/>
  <c r="L631" i="8"/>
  <c r="L630" i="8"/>
  <c r="L629" i="8"/>
  <c r="L628" i="8"/>
  <c r="L627" i="8" l="1"/>
  <c r="L626" i="8"/>
  <c r="L625" i="8"/>
  <c r="L624" i="8" l="1"/>
  <c r="L623" i="8"/>
  <c r="L622" i="8"/>
  <c r="L621" i="8"/>
  <c r="L620" i="8"/>
  <c r="L619" i="8"/>
  <c r="L618" i="8" l="1"/>
  <c r="L617" i="8"/>
  <c r="L616" i="8"/>
  <c r="L615" i="8"/>
  <c r="L614" i="8"/>
  <c r="L613" i="8"/>
  <c r="L612" i="8" l="1"/>
  <c r="L611" i="8"/>
  <c r="L610" i="8"/>
  <c r="L609" i="8"/>
  <c r="L608" i="8"/>
  <c r="L607" i="8"/>
  <c r="L606" i="8"/>
  <c r="L605" i="8"/>
  <c r="L604" i="8"/>
  <c r="L603" i="8" l="1"/>
  <c r="L602" i="8"/>
  <c r="L601" i="8"/>
  <c r="L600" i="8"/>
  <c r="L599" i="8" l="1"/>
  <c r="L598" i="8"/>
  <c r="L597" i="8" l="1"/>
  <c r="S1016" i="8" l="1"/>
  <c r="S1017" i="8"/>
  <c r="S1018" i="8"/>
  <c r="S1019" i="8"/>
  <c r="S1020" i="8"/>
  <c r="S1021" i="8"/>
  <c r="S1022" i="8"/>
  <c r="S1023" i="8"/>
  <c r="S1024" i="8"/>
  <c r="S1025" i="8"/>
  <c r="S1026" i="8"/>
  <c r="S1027" i="8"/>
  <c r="S1028" i="8"/>
  <c r="L596" i="8" l="1"/>
  <c r="L595" i="8"/>
  <c r="L594" i="8"/>
  <c r="L593" i="8" l="1"/>
  <c r="L592" i="8"/>
  <c r="L591" i="8"/>
  <c r="S1002" i="8" l="1"/>
  <c r="C321" i="6" l="1"/>
  <c r="C320" i="6"/>
  <c r="C319" i="6"/>
  <c r="C318" i="6"/>
  <c r="C317" i="6"/>
  <c r="C316" i="6"/>
  <c r="C315" i="6"/>
  <c r="C314" i="6"/>
  <c r="C313" i="6"/>
  <c r="C289" i="6"/>
  <c r="C286" i="6" l="1"/>
  <c r="L590" i="8"/>
  <c r="L588" i="8"/>
  <c r="L587" i="8"/>
  <c r="L586" i="8"/>
  <c r="L585" i="8"/>
  <c r="L584" i="8"/>
  <c r="L583" i="8"/>
  <c r="L582" i="8"/>
  <c r="L581" i="8"/>
  <c r="L580" i="8"/>
  <c r="L579" i="8"/>
  <c r="L578" i="8"/>
  <c r="L577" i="8" l="1"/>
  <c r="L576" i="8"/>
  <c r="L575" i="8"/>
  <c r="L574" i="8"/>
  <c r="L573" i="8"/>
  <c r="L572" i="8"/>
  <c r="L571" i="8" l="1"/>
  <c r="L570" i="8"/>
  <c r="L569" i="8"/>
  <c r="L568" i="8"/>
  <c r="L567" i="8"/>
  <c r="L566" i="8" l="1"/>
  <c r="L565" i="8"/>
  <c r="L564" i="8"/>
  <c r="L563" i="8"/>
  <c r="L562" i="8"/>
  <c r="L561" i="8" l="1"/>
  <c r="L560" i="8"/>
  <c r="L559" i="8"/>
  <c r="L558" i="8"/>
  <c r="L557" i="8"/>
  <c r="L556" i="8"/>
  <c r="L555" i="8" l="1"/>
  <c r="L554" i="8"/>
  <c r="L553" i="8"/>
  <c r="L552" i="8"/>
  <c r="L551" i="8"/>
  <c r="L550" i="8"/>
  <c r="L549" i="8"/>
  <c r="L548" i="8" l="1"/>
  <c r="L547" i="8"/>
  <c r="L546" i="8"/>
  <c r="L545" i="8"/>
  <c r="L544" i="8"/>
  <c r="L543" i="8" l="1"/>
  <c r="L542" i="8"/>
  <c r="L541" i="8"/>
  <c r="L540" i="8"/>
  <c r="L539" i="8"/>
  <c r="L538" i="8" l="1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 l="1"/>
  <c r="L522" i="8"/>
  <c r="L521" i="8"/>
  <c r="L520" i="8"/>
  <c r="L519" i="8"/>
  <c r="L518" i="8"/>
  <c r="L517" i="8" l="1"/>
  <c r="L516" i="8"/>
  <c r="L515" i="8"/>
  <c r="L514" i="8"/>
  <c r="L513" i="8"/>
  <c r="L512" i="8"/>
  <c r="L511" i="8"/>
  <c r="L510" i="8"/>
  <c r="L509" i="8" l="1"/>
  <c r="L508" i="8"/>
  <c r="L507" i="8"/>
  <c r="L506" i="8" l="1"/>
  <c r="L505" i="8"/>
  <c r="L504" i="8"/>
  <c r="L503" i="8"/>
  <c r="L502" i="8" l="1"/>
  <c r="C294" i="6" l="1"/>
  <c r="C293" i="6"/>
  <c r="C292" i="6"/>
  <c r="C291" i="6"/>
  <c r="C290" i="6"/>
  <c r="C288" i="6"/>
  <c r="C287" i="6"/>
  <c r="L501" i="8"/>
  <c r="L500" i="8"/>
  <c r="L499" i="8"/>
  <c r="L498" i="8"/>
  <c r="L497" i="8"/>
  <c r="L496" i="8"/>
  <c r="L495" i="8"/>
  <c r="L494" i="8"/>
  <c r="L493" i="8"/>
  <c r="L492" i="8"/>
  <c r="L491" i="8" l="1"/>
  <c r="L490" i="8"/>
  <c r="L489" i="8"/>
  <c r="L488" i="8"/>
  <c r="L487" i="8"/>
  <c r="L486" i="8"/>
  <c r="L485" i="8"/>
  <c r="L484" i="8"/>
  <c r="L483" i="8"/>
  <c r="L482" i="8"/>
  <c r="L481" i="8" l="1"/>
  <c r="L480" i="8"/>
  <c r="L479" i="8"/>
  <c r="L478" i="8"/>
  <c r="L477" i="8" l="1"/>
  <c r="L476" i="8"/>
  <c r="L475" i="8"/>
  <c r="L474" i="8"/>
  <c r="L473" i="8"/>
  <c r="L472" i="8"/>
  <c r="L471" i="8"/>
  <c r="L470" i="8"/>
  <c r="L469" i="8"/>
  <c r="L468" i="8" l="1"/>
  <c r="L467" i="8"/>
  <c r="L466" i="8"/>
  <c r="L465" i="8"/>
  <c r="L464" i="8" l="1"/>
  <c r="L463" i="8"/>
  <c r="L462" i="8"/>
  <c r="L461" i="8"/>
  <c r="L460" i="8"/>
  <c r="L459" i="8"/>
  <c r="L458" i="8"/>
  <c r="C260" i="6"/>
  <c r="C261" i="6"/>
  <c r="C262" i="6"/>
  <c r="C263" i="6"/>
  <c r="C264" i="6"/>
  <c r="C265" i="6"/>
  <c r="C266" i="6"/>
  <c r="C267" i="6"/>
  <c r="C259" i="6"/>
  <c r="L457" i="8" l="1"/>
  <c r="L456" i="8"/>
  <c r="L455" i="8"/>
  <c r="L454" i="8"/>
  <c r="L453" i="8"/>
  <c r="L452" i="8"/>
  <c r="L451" i="8"/>
  <c r="L450" i="8"/>
  <c r="L449" i="8"/>
  <c r="L448" i="8" l="1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E20" i="8" l="1"/>
  <c r="S726" i="8" l="1"/>
  <c r="S697" i="8" l="1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15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S1107" i="8"/>
  <c r="S1108" i="8"/>
  <c r="S1109" i="8"/>
  <c r="S1110" i="8"/>
  <c r="S1111" i="8"/>
  <c r="S1112" i="8"/>
  <c r="S1113" i="8"/>
  <c r="S1114" i="8"/>
  <c r="S1115" i="8"/>
  <c r="S1116" i="8"/>
  <c r="S1117" i="8"/>
  <c r="S1118" i="8"/>
  <c r="S1119" i="8"/>
  <c r="S1120" i="8"/>
  <c r="S1121" i="8"/>
  <c r="S1122" i="8"/>
  <c r="S1123" i="8"/>
  <c r="S1124" i="8"/>
  <c r="S1125" i="8"/>
  <c r="S1126" i="8"/>
  <c r="S1127" i="8"/>
  <c r="S1128" i="8"/>
  <c r="S1129" i="8"/>
  <c r="S1130" i="8"/>
  <c r="S1131" i="8"/>
  <c r="S1132" i="8"/>
  <c r="S1133" i="8"/>
  <c r="S1134" i="8"/>
  <c r="S1135" i="8"/>
  <c r="S1136" i="8"/>
  <c r="S1137" i="8"/>
  <c r="S1138" i="8"/>
  <c r="S1139" i="8"/>
  <c r="S1140" i="8"/>
  <c r="S1141" i="8"/>
  <c r="S1142" i="8"/>
  <c r="S1143" i="8"/>
  <c r="S1144" i="8"/>
  <c r="S1145" i="8"/>
  <c r="S1146" i="8"/>
  <c r="S1147" i="8"/>
  <c r="S1148" i="8"/>
  <c r="S1149" i="8"/>
  <c r="S1150" i="8"/>
  <c r="S1151" i="8"/>
  <c r="S1152" i="8"/>
  <c r="S1153" i="8"/>
  <c r="S1154" i="8"/>
  <c r="S1155" i="8"/>
  <c r="S1156" i="8"/>
  <c r="S1157" i="8"/>
  <c r="S1158" i="8"/>
  <c r="S1159" i="8"/>
  <c r="S1160" i="8"/>
  <c r="S1161" i="8"/>
  <c r="S1162" i="8"/>
  <c r="S1163" i="8"/>
  <c r="S1164" i="8"/>
  <c r="S1165" i="8"/>
  <c r="S1166" i="8"/>
  <c r="S1167" i="8"/>
  <c r="S1168" i="8"/>
  <c r="S1169" i="8"/>
  <c r="S1170" i="8"/>
  <c r="S1171" i="8"/>
  <c r="S1172" i="8"/>
  <c r="S1173" i="8"/>
  <c r="S1174" i="8"/>
  <c r="S1175" i="8"/>
  <c r="S1176" i="8"/>
  <c r="S1177" i="8"/>
  <c r="S1178" i="8"/>
  <c r="S1179" i="8"/>
  <c r="S1180" i="8"/>
  <c r="S1181" i="8"/>
  <c r="S1182" i="8"/>
  <c r="S1183" i="8"/>
  <c r="S1184" i="8"/>
  <c r="S1185" i="8"/>
  <c r="S1186" i="8"/>
  <c r="S1187" i="8"/>
  <c r="S1188" i="8"/>
  <c r="S1189" i="8"/>
  <c r="S1190" i="8"/>
  <c r="S1191" i="8"/>
  <c r="S1192" i="8"/>
  <c r="S1193" i="8"/>
  <c r="S1194" i="8"/>
  <c r="S1195" i="8"/>
  <c r="S1196" i="8"/>
  <c r="S1197" i="8"/>
  <c r="S1198" i="8"/>
  <c r="S1199" i="8"/>
  <c r="S1200" i="8"/>
  <c r="S1201" i="8"/>
  <c r="S1202" i="8"/>
  <c r="S1203" i="8"/>
  <c r="S1204" i="8"/>
  <c r="S1205" i="8"/>
  <c r="S1206" i="8"/>
  <c r="S1207" i="8"/>
  <c r="S1208" i="8"/>
  <c r="S1209" i="8"/>
  <c r="S1210" i="8"/>
  <c r="S1211" i="8"/>
  <c r="S1212" i="8"/>
  <c r="S1213" i="8"/>
  <c r="S1214" i="8"/>
  <c r="S1215" i="8"/>
  <c r="S1216" i="8"/>
  <c r="S1217" i="8"/>
  <c r="S1218" i="8"/>
  <c r="S1219" i="8"/>
  <c r="S1220" i="8"/>
  <c r="S1221" i="8"/>
  <c r="S1222" i="8"/>
  <c r="S1223" i="8"/>
  <c r="S1224" i="8"/>
  <c r="S1225" i="8"/>
  <c r="S1226" i="8"/>
  <c r="S1227" i="8"/>
  <c r="S1228" i="8"/>
  <c r="S1229" i="8"/>
  <c r="S1230" i="8"/>
  <c r="S1231" i="8"/>
  <c r="S1232" i="8"/>
  <c r="S1233" i="8"/>
  <c r="S1234" i="8"/>
  <c r="S1235" i="8"/>
  <c r="S1236" i="8"/>
  <c r="S1237" i="8"/>
  <c r="S1238" i="8"/>
  <c r="S1239" i="8"/>
  <c r="S1240" i="8"/>
  <c r="S1241" i="8"/>
  <c r="S1242" i="8"/>
  <c r="S1243" i="8"/>
  <c r="S1244" i="8"/>
  <c r="S1245" i="8"/>
  <c r="S1246" i="8"/>
  <c r="S1247" i="8"/>
  <c r="S1248" i="8"/>
  <c r="S1249" i="8"/>
  <c r="S1250" i="8"/>
  <c r="S1251" i="8"/>
  <c r="S1252" i="8"/>
  <c r="S1253" i="8"/>
  <c r="S1254" i="8"/>
  <c r="S1255" i="8"/>
  <c r="S1256" i="8"/>
  <c r="S1257" i="8"/>
  <c r="S1258" i="8"/>
  <c r="S1259" i="8"/>
  <c r="S1260" i="8"/>
  <c r="S1261" i="8"/>
  <c r="S1262" i="8"/>
  <c r="S1263" i="8"/>
  <c r="S1264" i="8"/>
  <c r="S1265" i="8"/>
  <c r="S1266" i="8"/>
  <c r="S1267" i="8"/>
  <c r="S1268" i="8"/>
  <c r="S1269" i="8"/>
  <c r="S1270" i="8"/>
  <c r="S1271" i="8"/>
  <c r="S1272" i="8"/>
  <c r="S1273" i="8"/>
  <c r="S1274" i="8"/>
  <c r="S1275" i="8"/>
  <c r="S1276" i="8"/>
  <c r="S1277" i="8"/>
  <c r="S1278" i="8"/>
  <c r="S1279" i="8"/>
  <c r="S1280" i="8"/>
  <c r="S1281" i="8"/>
  <c r="S1282" i="8"/>
  <c r="S1283" i="8"/>
  <c r="S1284" i="8"/>
  <c r="S1285" i="8"/>
  <c r="S1286" i="8"/>
  <c r="S1287" i="8"/>
  <c r="S1288" i="8"/>
  <c r="S1289" i="8"/>
  <c r="S1290" i="8"/>
  <c r="S1291" i="8"/>
  <c r="S1292" i="8"/>
  <c r="S1293" i="8"/>
  <c r="S1294" i="8"/>
  <c r="S1295" i="8"/>
  <c r="S1296" i="8"/>
  <c r="S1297" i="8"/>
  <c r="S1298" i="8"/>
  <c r="S1299" i="8"/>
  <c r="S1300" i="8"/>
  <c r="S1301" i="8"/>
  <c r="S1302" i="8"/>
  <c r="S1303" i="8"/>
  <c r="S1304" i="8"/>
  <c r="S1305" i="8"/>
  <c r="S1306" i="8"/>
  <c r="S1307" i="8"/>
  <c r="S1308" i="8"/>
  <c r="S1309" i="8"/>
  <c r="S1310" i="8"/>
  <c r="S1311" i="8"/>
  <c r="S1312" i="8"/>
  <c r="S1313" i="8"/>
  <c r="S1314" i="8"/>
  <c r="S1315" i="8"/>
  <c r="S1316" i="8"/>
  <c r="S1317" i="8"/>
  <c r="S1318" i="8"/>
  <c r="S1319" i="8"/>
  <c r="S1320" i="8"/>
  <c r="S1321" i="8"/>
  <c r="S1322" i="8"/>
  <c r="S1323" i="8"/>
  <c r="S1324" i="8"/>
  <c r="S1325" i="8"/>
  <c r="S1326" i="8"/>
  <c r="S1327" i="8"/>
  <c r="S1328" i="8"/>
  <c r="S1329" i="8"/>
  <c r="S1330" i="8"/>
  <c r="S1331" i="8"/>
  <c r="S1332" i="8"/>
  <c r="S1333" i="8"/>
  <c r="S1334" i="8"/>
  <c r="S1335" i="8"/>
  <c r="S1336" i="8"/>
  <c r="S1337" i="8"/>
  <c r="S1338" i="8"/>
  <c r="S1339" i="8"/>
  <c r="S1340" i="8"/>
  <c r="S1341" i="8"/>
  <c r="S1342" i="8"/>
  <c r="S1343" i="8"/>
  <c r="S1344" i="8"/>
  <c r="S1345" i="8"/>
  <c r="S1346" i="8"/>
  <c r="S1347" i="8"/>
  <c r="S1348" i="8"/>
  <c r="S1349" i="8"/>
  <c r="S1350" i="8"/>
  <c r="S1351" i="8"/>
  <c r="S1352" i="8"/>
  <c r="S1353" i="8"/>
  <c r="S1354" i="8"/>
  <c r="S1355" i="8"/>
  <c r="S1356" i="8"/>
  <c r="S1357" i="8"/>
  <c r="S1358" i="8"/>
  <c r="S1359" i="8"/>
  <c r="S1360" i="8"/>
  <c r="S1361" i="8"/>
  <c r="S1362" i="8"/>
  <c r="S1363" i="8"/>
  <c r="S1364" i="8"/>
  <c r="S1365" i="8"/>
  <c r="S1366" i="8"/>
  <c r="S1367" i="8"/>
  <c r="S1368" i="8"/>
  <c r="S1369" i="8"/>
  <c r="S1370" i="8"/>
  <c r="S1371" i="8"/>
  <c r="S1372" i="8"/>
  <c r="S1373" i="8"/>
  <c r="S1374" i="8"/>
  <c r="S1375" i="8"/>
  <c r="S1376" i="8"/>
  <c r="S1377" i="8"/>
  <c r="S1378" i="8"/>
  <c r="S1379" i="8"/>
  <c r="S1380" i="8"/>
  <c r="S1381" i="8"/>
  <c r="S1382" i="8"/>
  <c r="S1383" i="8"/>
  <c r="S1384" i="8"/>
  <c r="S1385" i="8"/>
  <c r="S1386" i="8"/>
  <c r="S1387" i="8"/>
  <c r="S1388" i="8"/>
  <c r="S1389" i="8"/>
  <c r="S1390" i="8"/>
  <c r="S1391" i="8"/>
  <c r="S1392" i="8"/>
  <c r="S1393" i="8"/>
  <c r="S1394" i="8"/>
  <c r="S1395" i="8"/>
  <c r="S1396" i="8"/>
  <c r="S1397" i="8"/>
  <c r="S1398" i="8"/>
  <c r="S1399" i="8"/>
  <c r="S1400" i="8"/>
  <c r="S1401" i="8"/>
  <c r="S1402" i="8"/>
  <c r="S1403" i="8"/>
  <c r="S1404" i="8"/>
  <c r="S1405" i="8"/>
  <c r="S1406" i="8"/>
  <c r="S1407" i="8"/>
  <c r="S1408" i="8"/>
  <c r="S1409" i="8"/>
  <c r="S1410" i="8"/>
  <c r="S1411" i="8"/>
  <c r="S1412" i="8"/>
  <c r="S1413" i="8"/>
  <c r="S1414" i="8"/>
  <c r="S1415" i="8"/>
  <c r="S1416" i="8"/>
  <c r="S1417" i="8"/>
  <c r="S1418" i="8"/>
  <c r="S1419" i="8"/>
  <c r="S1420" i="8"/>
  <c r="S1421" i="8"/>
  <c r="S1422" i="8"/>
  <c r="S1423" i="8"/>
  <c r="S1424" i="8"/>
  <c r="S1425" i="8"/>
  <c r="S1426" i="8"/>
  <c r="S1427" i="8"/>
  <c r="S1428" i="8"/>
  <c r="S1429" i="8"/>
  <c r="S1430" i="8"/>
  <c r="S1431" i="8"/>
  <c r="S1432" i="8"/>
  <c r="S1433" i="8"/>
  <c r="S1434" i="8"/>
  <c r="S1435" i="8"/>
  <c r="S1436" i="8"/>
  <c r="S1437" i="8"/>
  <c r="S1438" i="8"/>
  <c r="S1439" i="8"/>
  <c r="S1440" i="8"/>
  <c r="S1441" i="8"/>
  <c r="S1442" i="8"/>
  <c r="S1443" i="8"/>
  <c r="S1444" i="8"/>
  <c r="S1445" i="8"/>
  <c r="S1446" i="8"/>
  <c r="S1447" i="8"/>
  <c r="S1448" i="8"/>
  <c r="S1449" i="8"/>
  <c r="S1450" i="8"/>
  <c r="S1451" i="8"/>
  <c r="S1452" i="8"/>
  <c r="S1453" i="8"/>
  <c r="S1454" i="8"/>
  <c r="S1455" i="8"/>
  <c r="S1456" i="8"/>
  <c r="S1457" i="8"/>
  <c r="S1458" i="8"/>
  <c r="S1459" i="8"/>
  <c r="S1460" i="8"/>
  <c r="S1461" i="8"/>
  <c r="S1462" i="8"/>
  <c r="S1463" i="8"/>
  <c r="S1464" i="8"/>
  <c r="S1465" i="8"/>
  <c r="S1466" i="8"/>
  <c r="S1467" i="8"/>
  <c r="S1468" i="8"/>
  <c r="S1469" i="8"/>
  <c r="S1470" i="8"/>
  <c r="S1471" i="8"/>
  <c r="S1472" i="8"/>
  <c r="S1473" i="8"/>
  <c r="S1474" i="8"/>
  <c r="S1475" i="8"/>
  <c r="S1476" i="8"/>
  <c r="S1477" i="8"/>
  <c r="S1478" i="8"/>
  <c r="S1479" i="8"/>
  <c r="S1480" i="8"/>
  <c r="S1481" i="8"/>
  <c r="S1482" i="8"/>
  <c r="S1483" i="8"/>
  <c r="S1484" i="8"/>
  <c r="S1485" i="8"/>
  <c r="S1486" i="8"/>
  <c r="S1487" i="8"/>
  <c r="S1488" i="8"/>
  <c r="S1489" i="8"/>
  <c r="S1490" i="8"/>
  <c r="S1491" i="8"/>
  <c r="S1492" i="8"/>
  <c r="S1493" i="8"/>
  <c r="S1494" i="8"/>
  <c r="S1495" i="8"/>
  <c r="S1496" i="8"/>
  <c r="S1497" i="8"/>
  <c r="S1498" i="8"/>
  <c r="S1499" i="8"/>
  <c r="S1500" i="8"/>
  <c r="S1501" i="8"/>
  <c r="S1502" i="8"/>
  <c r="S1503" i="8"/>
  <c r="S1504" i="8"/>
  <c r="S1505" i="8"/>
  <c r="S1506" i="8"/>
  <c r="S1507" i="8"/>
  <c r="S1508" i="8"/>
  <c r="S1509" i="8"/>
  <c r="S1510" i="8"/>
  <c r="S1511" i="8"/>
  <c r="S1512" i="8"/>
  <c r="S1513" i="8"/>
  <c r="S1514" i="8"/>
  <c r="S1515" i="8"/>
  <c r="S1516" i="8"/>
  <c r="S1517" i="8"/>
  <c r="S1518" i="8"/>
  <c r="S1519" i="8"/>
  <c r="S1520" i="8"/>
  <c r="S1521" i="8"/>
  <c r="S1522" i="8"/>
  <c r="S1523" i="8"/>
  <c r="S1524" i="8"/>
  <c r="S1525" i="8"/>
  <c r="S1526" i="8"/>
  <c r="S1527" i="8"/>
  <c r="S1528" i="8"/>
  <c r="S1529" i="8"/>
  <c r="S1530" i="8"/>
  <c r="S1531" i="8"/>
  <c r="S1532" i="8"/>
  <c r="S1533" i="8"/>
  <c r="S1534" i="8"/>
  <c r="S1535" i="8"/>
  <c r="S1536" i="8"/>
  <c r="S1537" i="8"/>
  <c r="S1538" i="8"/>
  <c r="S1539" i="8"/>
  <c r="S1540" i="8"/>
  <c r="S1541" i="8"/>
  <c r="S1542" i="8"/>
  <c r="S1543" i="8"/>
  <c r="S1544" i="8"/>
  <c r="S1545" i="8"/>
  <c r="S1546" i="8"/>
  <c r="S1547" i="8"/>
  <c r="S1548" i="8"/>
  <c r="S1549" i="8"/>
  <c r="S1550" i="8"/>
  <c r="S1551" i="8"/>
  <c r="S1552" i="8"/>
  <c r="S1553" i="8"/>
  <c r="S1554" i="8"/>
  <c r="S1555" i="8"/>
  <c r="S1556" i="8"/>
  <c r="S1557" i="8"/>
  <c r="S1558" i="8"/>
  <c r="S1559" i="8"/>
  <c r="S1560" i="8"/>
  <c r="S1561" i="8"/>
  <c r="S1562" i="8"/>
  <c r="S1563" i="8"/>
  <c r="S1564" i="8"/>
  <c r="S1565" i="8"/>
  <c r="S1566" i="8"/>
  <c r="S1567" i="8"/>
  <c r="S1568" i="8"/>
  <c r="S1569" i="8"/>
  <c r="S1570" i="8"/>
  <c r="S1571" i="8"/>
  <c r="S1572" i="8"/>
  <c r="S1573" i="8"/>
  <c r="S1574" i="8"/>
  <c r="S1575" i="8"/>
  <c r="S1576" i="8"/>
  <c r="S1577" i="8"/>
  <c r="S1578" i="8"/>
  <c r="S1579" i="8"/>
  <c r="S1580" i="8"/>
  <c r="S1581" i="8"/>
  <c r="S1582" i="8"/>
  <c r="S1583" i="8"/>
  <c r="S1584" i="8"/>
  <c r="S1585" i="8"/>
  <c r="S1586" i="8"/>
  <c r="S1587" i="8"/>
  <c r="S1588" i="8"/>
  <c r="S1589" i="8"/>
  <c r="S1590" i="8"/>
  <c r="S1591" i="8"/>
  <c r="S1592" i="8"/>
  <c r="S1593" i="8"/>
  <c r="S1594" i="8"/>
  <c r="S1595" i="8"/>
  <c r="S1596" i="8"/>
  <c r="S1597" i="8"/>
  <c r="S1598" i="8"/>
  <c r="S1599" i="8"/>
  <c r="S1600" i="8"/>
  <c r="S1601" i="8"/>
  <c r="S1602" i="8"/>
  <c r="S1603" i="8"/>
  <c r="S1604" i="8"/>
  <c r="S1605" i="8"/>
  <c r="S1606" i="8"/>
  <c r="S1607" i="8"/>
  <c r="S1608" i="8"/>
  <c r="S1609" i="8"/>
  <c r="S1610" i="8"/>
  <c r="S1611" i="8"/>
  <c r="S1612" i="8"/>
  <c r="S1613" i="8"/>
  <c r="S1614" i="8"/>
  <c r="S1615" i="8"/>
  <c r="S1616" i="8"/>
  <c r="S1617" i="8"/>
  <c r="S1618" i="8"/>
  <c r="S1619" i="8"/>
  <c r="S1620" i="8"/>
  <c r="S1621" i="8"/>
  <c r="S1622" i="8"/>
  <c r="S1623" i="8"/>
  <c r="S1624" i="8"/>
  <c r="S1625" i="8"/>
  <c r="S1626" i="8"/>
  <c r="S1627" i="8"/>
  <c r="S1628" i="8"/>
  <c r="S1629" i="8"/>
  <c r="S1630" i="8"/>
  <c r="S1631" i="8"/>
  <c r="S1632" i="8"/>
  <c r="S1633" i="8"/>
  <c r="S1634" i="8"/>
  <c r="S1635" i="8"/>
  <c r="S1636" i="8"/>
  <c r="S1637" i="8"/>
  <c r="S1638" i="8"/>
  <c r="S1639" i="8"/>
  <c r="S1640" i="8"/>
  <c r="S1641" i="8"/>
  <c r="S1642" i="8"/>
  <c r="S1643" i="8"/>
  <c r="S1644" i="8"/>
  <c r="S1645" i="8"/>
  <c r="S1646" i="8"/>
  <c r="S1647" i="8"/>
  <c r="S1648" i="8"/>
  <c r="S1649" i="8"/>
  <c r="S1650" i="8"/>
  <c r="S1651" i="8"/>
  <c r="S1652" i="8"/>
  <c r="S1653" i="8"/>
  <c r="S1654" i="8"/>
  <c r="S1655" i="8"/>
  <c r="S1656" i="8"/>
  <c r="S1657" i="8"/>
  <c r="S1658" i="8"/>
  <c r="S1659" i="8"/>
  <c r="S1660" i="8"/>
  <c r="S1661" i="8"/>
  <c r="S1662" i="8"/>
  <c r="S1663" i="8"/>
  <c r="S1664" i="8"/>
  <c r="S1665" i="8"/>
  <c r="S1666" i="8"/>
  <c r="S1667" i="8"/>
  <c r="S1668" i="8"/>
  <c r="S1669" i="8"/>
  <c r="S1670" i="8"/>
  <c r="S1671" i="8"/>
  <c r="S1672" i="8"/>
  <c r="S1673" i="8"/>
  <c r="S1674" i="8"/>
  <c r="S1675" i="8"/>
  <c r="S1676" i="8"/>
  <c r="S1677" i="8"/>
  <c r="S1678" i="8"/>
  <c r="S1679" i="8"/>
  <c r="S1680" i="8"/>
  <c r="S1681" i="8"/>
  <c r="S1682" i="8"/>
  <c r="S1683" i="8"/>
  <c r="S1684" i="8"/>
  <c r="S1685" i="8"/>
  <c r="S1686" i="8"/>
  <c r="S1687" i="8"/>
  <c r="S1688" i="8"/>
  <c r="S1689" i="8"/>
  <c r="S1690" i="8"/>
  <c r="S1691" i="8"/>
  <c r="S1692" i="8"/>
  <c r="S1693" i="8"/>
  <c r="S1694" i="8"/>
  <c r="S1695" i="8"/>
  <c r="S1696" i="8"/>
  <c r="S1697" i="8"/>
  <c r="S1698" i="8"/>
  <c r="S1699" i="8"/>
  <c r="S1700" i="8"/>
  <c r="S1701" i="8"/>
  <c r="S1702" i="8"/>
  <c r="S1703" i="8"/>
  <c r="S1704" i="8"/>
  <c r="S1705" i="8"/>
  <c r="S1706" i="8"/>
  <c r="S1707" i="8"/>
  <c r="S1708" i="8"/>
  <c r="S1709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D8" i="8" l="1"/>
  <c r="D9" i="8"/>
  <c r="D10" i="8"/>
  <c r="D11" i="8"/>
  <c r="D12" i="8"/>
  <c r="D13" i="8"/>
  <c r="D14" i="8"/>
  <c r="D15" i="8"/>
  <c r="D16" i="8"/>
  <c r="D18" i="8"/>
  <c r="E9" i="8"/>
  <c r="E10" i="8"/>
  <c r="E11" i="8"/>
  <c r="E12" i="8"/>
  <c r="E13" i="8"/>
  <c r="E14" i="8"/>
  <c r="E15" i="8"/>
  <c r="E16" i="8"/>
  <c r="E17" i="8"/>
  <c r="E18" i="8"/>
  <c r="E19" i="8"/>
  <c r="D19" i="8"/>
  <c r="D20" i="8"/>
  <c r="F20" i="8" l="1"/>
  <c r="F19" i="8"/>
  <c r="F18" i="8"/>
  <c r="C238" i="6"/>
  <c r="C237" i="6"/>
  <c r="C236" i="6"/>
  <c r="C235" i="6"/>
  <c r="C234" i="6"/>
  <c r="C233" i="6"/>
  <c r="C232" i="6"/>
  <c r="C240" i="6"/>
  <c r="F17" i="8" l="1"/>
  <c r="C239" i="6" l="1"/>
  <c r="L208" i="8" l="1"/>
  <c r="C213" i="6" l="1"/>
  <c r="C212" i="6"/>
  <c r="C211" i="6"/>
  <c r="C210" i="6"/>
  <c r="C209" i="6"/>
  <c r="C208" i="6"/>
  <c r="C207" i="6"/>
  <c r="C206" i="6"/>
  <c r="F12" i="8" l="1"/>
  <c r="C187" i="6" l="1"/>
  <c r="C186" i="6"/>
  <c r="C185" i="6"/>
  <c r="C184" i="6"/>
  <c r="C183" i="6"/>
  <c r="C182" i="6"/>
  <c r="C181" i="6"/>
  <c r="C180" i="6"/>
  <c r="G145" i="6"/>
  <c r="C159" i="6"/>
  <c r="C158" i="6" l="1"/>
  <c r="C152" i="6" l="1"/>
  <c r="M40" i="8" l="1"/>
  <c r="C157" i="6" l="1"/>
  <c r="C156" i="6"/>
  <c r="C155" i="6"/>
  <c r="C154" i="6"/>
  <c r="C153" i="6"/>
  <c r="L6" i="8" l="1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E8" i="8" l="1"/>
  <c r="E7" i="8"/>
  <c r="D7" i="8"/>
  <c r="E6" i="8"/>
  <c r="D6" i="8"/>
  <c r="F14" i="8" l="1"/>
  <c r="F15" i="8"/>
  <c r="F6" i="8"/>
  <c r="F7" i="8"/>
  <c r="F10" i="8"/>
  <c r="F11" i="8"/>
  <c r="F8" i="8"/>
  <c r="F9" i="8"/>
  <c r="F13" i="8"/>
  <c r="F16" i="8"/>
  <c r="L431" i="5"/>
  <c r="L430" i="5"/>
  <c r="S703" i="5" l="1"/>
  <c r="S702" i="5"/>
  <c r="S701" i="5"/>
  <c r="S700" i="5"/>
  <c r="S699" i="5"/>
  <c r="S698" i="5" l="1"/>
  <c r="S697" i="5"/>
  <c r="S696" i="5"/>
  <c r="S695" i="5"/>
  <c r="S694" i="5"/>
  <c r="S693" i="5"/>
  <c r="S692" i="5"/>
  <c r="S691" i="5"/>
  <c r="S690" i="5"/>
  <c r="L429" i="5"/>
  <c r="L428" i="5"/>
  <c r="L427" i="5"/>
  <c r="L426" i="5"/>
  <c r="L425" i="5"/>
  <c r="L424" i="5"/>
  <c r="L423" i="5"/>
  <c r="S689" i="5" l="1"/>
  <c r="S688" i="5"/>
  <c r="S687" i="5"/>
  <c r="S686" i="5"/>
  <c r="S685" i="5"/>
  <c r="S684" i="5"/>
  <c r="S683" i="5"/>
  <c r="S682" i="5"/>
  <c r="L422" i="5" l="1"/>
  <c r="S681" i="5" l="1"/>
  <c r="S680" i="5"/>
  <c r="S679" i="5"/>
  <c r="S678" i="5"/>
  <c r="S677" i="5"/>
  <c r="S676" i="5"/>
  <c r="S675" i="5"/>
  <c r="S674" i="5"/>
  <c r="S673" i="5" l="1"/>
  <c r="S672" i="5"/>
  <c r="S671" i="5"/>
  <c r="S670" i="5"/>
  <c r="S669" i="5"/>
  <c r="L421" i="5"/>
  <c r="L420" i="5" l="1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S668" i="5" l="1"/>
  <c r="S667" i="5"/>
  <c r="S666" i="5" l="1"/>
  <c r="S665" i="5"/>
  <c r="S664" i="5"/>
  <c r="S663" i="5"/>
  <c r="S662" i="5"/>
  <c r="S661" i="5"/>
  <c r="S660" i="5"/>
  <c r="S659" i="5"/>
  <c r="S658" i="5"/>
  <c r="L399" i="5" l="1"/>
  <c r="L398" i="5"/>
  <c r="L397" i="5"/>
  <c r="L396" i="5" l="1"/>
  <c r="L395" i="5"/>
  <c r="L394" i="5"/>
  <c r="L393" i="5"/>
  <c r="L392" i="5"/>
  <c r="S657" i="5" l="1"/>
  <c r="S656" i="5"/>
  <c r="S655" i="5"/>
  <c r="S654" i="5"/>
  <c r="S653" i="5"/>
  <c r="S652" i="5"/>
  <c r="S651" i="5"/>
  <c r="L391" i="5" l="1"/>
  <c r="S650" i="5" l="1"/>
  <c r="S649" i="5"/>
  <c r="S648" i="5"/>
  <c r="S647" i="5"/>
  <c r="S646" i="5"/>
  <c r="S645" i="5"/>
  <c r="S644" i="5"/>
  <c r="L390" i="5" l="1"/>
  <c r="L389" i="5"/>
  <c r="L388" i="5"/>
  <c r="L387" i="5"/>
  <c r="L386" i="5"/>
  <c r="L385" i="5"/>
  <c r="L384" i="5"/>
  <c r="L383" i="5"/>
  <c r="L382" i="5"/>
  <c r="L381" i="5"/>
  <c r="L380" i="5"/>
  <c r="L379" i="5"/>
  <c r="C133" i="6" l="1"/>
  <c r="C132" i="6"/>
  <c r="C131" i="6"/>
  <c r="C130" i="6"/>
  <c r="C129" i="6"/>
  <c r="C128" i="6"/>
  <c r="C127" i="6"/>
  <c r="C126" i="6"/>
  <c r="S643" i="5" l="1"/>
  <c r="S642" i="5"/>
  <c r="S641" i="5"/>
  <c r="S640" i="5"/>
  <c r="S639" i="5"/>
  <c r="S638" i="5"/>
  <c r="S637" i="5"/>
  <c r="S636" i="5" l="1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 l="1"/>
  <c r="S590" i="5"/>
  <c r="S588" i="5"/>
  <c r="S587" i="5"/>
  <c r="S586" i="5"/>
  <c r="S585" i="5"/>
  <c r="L378" i="5" l="1"/>
  <c r="L377" i="5"/>
  <c r="L376" i="5"/>
  <c r="L375" i="5"/>
  <c r="S584" i="5" l="1"/>
  <c r="S583" i="5"/>
  <c r="S582" i="5"/>
  <c r="S581" i="5"/>
  <c r="S580" i="5"/>
  <c r="S579" i="5"/>
  <c r="S578" i="5" l="1"/>
  <c r="S577" i="5"/>
  <c r="S576" i="5"/>
  <c r="S575" i="5"/>
  <c r="S574" i="5"/>
  <c r="S573" i="5" l="1"/>
  <c r="S572" i="5"/>
  <c r="S571" i="5"/>
  <c r="S570" i="5"/>
  <c r="S569" i="5"/>
  <c r="L374" i="5" l="1"/>
  <c r="S568" i="5" l="1"/>
  <c r="S567" i="5"/>
  <c r="S566" i="5"/>
  <c r="S565" i="5"/>
  <c r="S564" i="5"/>
  <c r="S563" i="5"/>
  <c r="S562" i="5"/>
  <c r="S561" i="5"/>
  <c r="S560" i="5"/>
  <c r="S559" i="5"/>
  <c r="C103" i="6" l="1"/>
  <c r="C104" i="6"/>
  <c r="C105" i="6"/>
  <c r="C106" i="6"/>
  <c r="C107" i="6"/>
  <c r="C108" i="6"/>
  <c r="C109" i="6"/>
  <c r="C102" i="6"/>
  <c r="L373" i="5" l="1"/>
  <c r="L372" i="5"/>
  <c r="L371" i="5"/>
  <c r="L370" i="5"/>
  <c r="L369" i="5"/>
  <c r="L368" i="5"/>
  <c r="L367" i="5"/>
  <c r="L366" i="5"/>
  <c r="S558" i="5" l="1"/>
  <c r="S557" i="5"/>
  <c r="S556" i="5"/>
  <c r="S555" i="5"/>
  <c r="S554" i="5"/>
  <c r="S553" i="5"/>
  <c r="S552" i="5"/>
  <c r="L365" i="5"/>
  <c r="S551" i="5" l="1"/>
  <c r="S550" i="5"/>
  <c r="S549" i="5"/>
  <c r="S548" i="5"/>
  <c r="S547" i="5"/>
  <c r="S546" i="5"/>
  <c r="S545" i="5"/>
  <c r="S544" i="5"/>
  <c r="L364" i="5"/>
  <c r="L363" i="5"/>
  <c r="L362" i="5"/>
  <c r="L361" i="5"/>
  <c r="S543" i="5" l="1"/>
  <c r="S542" i="5"/>
  <c r="S541" i="5"/>
  <c r="S540" i="5"/>
  <c r="S539" i="5"/>
  <c r="S538" i="5"/>
  <c r="S537" i="5"/>
  <c r="S536" i="5"/>
  <c r="S535" i="5"/>
  <c r="L360" i="5" l="1"/>
  <c r="D15" i="5" l="1"/>
  <c r="D14" i="5"/>
  <c r="S534" i="5"/>
  <c r="S533" i="5"/>
  <c r="S532" i="5" l="1"/>
  <c r="S531" i="5"/>
  <c r="S530" i="5"/>
  <c r="S529" i="5"/>
  <c r="S528" i="5"/>
  <c r="S527" i="5"/>
  <c r="S526" i="5"/>
  <c r="L359" i="5" l="1"/>
  <c r="L358" i="5"/>
  <c r="L357" i="5"/>
  <c r="L356" i="5"/>
  <c r="L355" i="5"/>
  <c r="L354" i="5"/>
  <c r="L353" i="5"/>
  <c r="L352" i="5" l="1"/>
  <c r="S417" i="5"/>
  <c r="S525" i="5" l="1"/>
  <c r="S524" i="5"/>
  <c r="S523" i="5"/>
  <c r="S522" i="5"/>
  <c r="S521" i="5"/>
  <c r="S520" i="5"/>
  <c r="S519" i="5"/>
  <c r="S518" i="5"/>
  <c r="S517" i="5"/>
  <c r="S516" i="5"/>
  <c r="S515" i="5" l="1"/>
  <c r="S514" i="5"/>
  <c r="S513" i="5"/>
  <c r="S512" i="5"/>
  <c r="S511" i="5" l="1"/>
  <c r="S510" i="5"/>
  <c r="L351" i="5" l="1"/>
  <c r="L350" i="5"/>
  <c r="S509" i="5" l="1"/>
  <c r="S508" i="5"/>
  <c r="S507" i="5"/>
  <c r="S506" i="5"/>
  <c r="S505" i="5"/>
  <c r="S504" i="5"/>
  <c r="S503" i="5"/>
  <c r="L349" i="5" l="1"/>
  <c r="L348" i="5"/>
  <c r="L347" i="5"/>
  <c r="L346" i="5"/>
  <c r="L345" i="5"/>
  <c r="L344" i="5"/>
  <c r="S502" i="5" l="1"/>
  <c r="S501" i="5"/>
  <c r="S500" i="5"/>
  <c r="S499" i="5"/>
  <c r="S498" i="5"/>
  <c r="S497" i="5"/>
  <c r="S496" i="5"/>
  <c r="S495" i="5" l="1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L343" i="5"/>
  <c r="L342" i="5"/>
  <c r="L341" i="5"/>
  <c r="L340" i="5"/>
  <c r="L339" i="5"/>
  <c r="L338" i="5"/>
  <c r="L337" i="5"/>
  <c r="L336" i="5" l="1"/>
  <c r="L335" i="5"/>
  <c r="S478" i="5"/>
  <c r="S477" i="5"/>
  <c r="S476" i="5"/>
  <c r="S475" i="5"/>
  <c r="S474" i="5"/>
  <c r="S473" i="5"/>
  <c r="S472" i="5"/>
  <c r="S471" i="5"/>
  <c r="L334" i="5"/>
  <c r="L333" i="5"/>
  <c r="L332" i="5" l="1"/>
  <c r="L331" i="5"/>
  <c r="L330" i="5"/>
  <c r="L329" i="5"/>
  <c r="L328" i="5"/>
  <c r="L327" i="5"/>
  <c r="L326" i="5"/>
  <c r="S470" i="5" l="1"/>
  <c r="S469" i="5"/>
  <c r="S468" i="5"/>
  <c r="S467" i="5"/>
  <c r="S466" i="5"/>
  <c r="S465" i="5"/>
  <c r="S464" i="5"/>
  <c r="S463" i="5"/>
  <c r="L325" i="5" l="1"/>
  <c r="L324" i="5" l="1"/>
  <c r="L323" i="5"/>
  <c r="L322" i="5"/>
  <c r="S462" i="5" l="1"/>
  <c r="S461" i="5"/>
  <c r="S460" i="5"/>
  <c r="S459" i="5"/>
  <c r="S458" i="5"/>
  <c r="S457" i="5"/>
  <c r="S456" i="5"/>
  <c r="S455" i="5"/>
  <c r="L321" i="5" l="1"/>
  <c r="S454" i="5"/>
  <c r="S453" i="5"/>
  <c r="S452" i="5"/>
  <c r="S451" i="5"/>
  <c r="S450" i="5"/>
  <c r="S449" i="5"/>
  <c r="S448" i="5"/>
  <c r="S447" i="5" l="1"/>
  <c r="S446" i="5" l="1"/>
  <c r="S445" i="5"/>
  <c r="S444" i="5"/>
  <c r="S443" i="5"/>
  <c r="S442" i="5"/>
  <c r="S441" i="5"/>
  <c r="S440" i="5"/>
  <c r="L320" i="5" l="1"/>
  <c r="S439" i="5" l="1"/>
  <c r="S438" i="5"/>
  <c r="S437" i="5"/>
  <c r="S436" i="5"/>
  <c r="S435" i="5"/>
  <c r="S434" i="5"/>
  <c r="S433" i="5"/>
  <c r="S432" i="5"/>
  <c r="L319" i="5"/>
  <c r="D16" i="5" l="1"/>
  <c r="E16" i="5"/>
  <c r="L318" i="5"/>
  <c r="S431" i="5"/>
  <c r="F16" i="5" l="1"/>
  <c r="S430" i="5"/>
  <c r="S429" i="5"/>
  <c r="S428" i="5"/>
  <c r="S427" i="5"/>
  <c r="S426" i="5"/>
  <c r="S425" i="5"/>
  <c r="L317" i="5" l="1"/>
  <c r="L316" i="5"/>
  <c r="L315" i="5"/>
  <c r="L314" i="5"/>
  <c r="S424" i="5" l="1"/>
  <c r="S423" i="5"/>
  <c r="S422" i="5"/>
  <c r="S421" i="5"/>
  <c r="S420" i="5"/>
  <c r="S419" i="5"/>
  <c r="S418" i="5"/>
  <c r="S416" i="5"/>
  <c r="S415" i="5"/>
  <c r="L313" i="5"/>
  <c r="S414" i="5" l="1"/>
  <c r="S413" i="5"/>
  <c r="S412" i="5"/>
  <c r="S411" i="5"/>
  <c r="S410" i="5"/>
  <c r="S409" i="5"/>
  <c r="S408" i="5"/>
  <c r="L312" i="5" l="1"/>
  <c r="L311" i="5"/>
  <c r="L309" i="5" l="1"/>
  <c r="L310" i="5"/>
  <c r="S407" i="5" l="1"/>
  <c r="S406" i="5"/>
  <c r="L308" i="5" l="1"/>
  <c r="L307" i="5"/>
  <c r="L306" i="5"/>
  <c r="L305" i="5"/>
  <c r="L304" i="5"/>
  <c r="L303" i="5"/>
  <c r="L302" i="5"/>
  <c r="S405" i="5" l="1"/>
  <c r="S404" i="5" l="1"/>
  <c r="S403" i="5"/>
  <c r="L301" i="5" l="1"/>
  <c r="L300" i="5"/>
  <c r="L299" i="5"/>
  <c r="L298" i="5"/>
  <c r="S402" i="5" l="1"/>
  <c r="S401" i="5"/>
  <c r="L297" i="5" l="1"/>
  <c r="L296" i="5"/>
  <c r="L295" i="5"/>
  <c r="S400" i="5" l="1"/>
  <c r="S399" i="5" l="1"/>
  <c r="S398" i="5"/>
  <c r="E15" i="5"/>
  <c r="F15" i="5" l="1"/>
  <c r="L294" i="5"/>
  <c r="S397" i="5"/>
  <c r="S396" i="5"/>
  <c r="S395" i="5"/>
  <c r="L293" i="5"/>
  <c r="L292" i="5"/>
  <c r="C78" i="6" l="1"/>
  <c r="C79" i="6"/>
  <c r="C80" i="6"/>
  <c r="C81" i="6"/>
  <c r="C82" i="6"/>
  <c r="C83" i="6"/>
  <c r="C84" i="6"/>
  <c r="C77" i="6"/>
  <c r="L291" i="5"/>
  <c r="L290" i="5"/>
  <c r="L289" i="5"/>
  <c r="L288" i="5"/>
  <c r="L287" i="5"/>
  <c r="L286" i="5"/>
  <c r="L285" i="5"/>
  <c r="L284" i="5"/>
  <c r="S394" i="5" l="1"/>
  <c r="S393" i="5"/>
  <c r="S392" i="5"/>
  <c r="S391" i="5"/>
  <c r="S390" i="5"/>
  <c r="S389" i="5"/>
  <c r="S388" i="5"/>
  <c r="S387" i="5"/>
  <c r="L283" i="5"/>
  <c r="L282" i="5"/>
  <c r="S386" i="5" l="1"/>
  <c r="S385" i="5"/>
  <c r="S384" i="5"/>
  <c r="S383" i="5"/>
  <c r="S382" i="5"/>
  <c r="S381" i="5"/>
  <c r="S380" i="5"/>
  <c r="S379" i="5"/>
  <c r="L281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L280" i="5"/>
  <c r="L279" i="5"/>
  <c r="S366" i="5" l="1"/>
  <c r="S365" i="5"/>
  <c r="S364" i="5"/>
  <c r="S363" i="5" l="1"/>
  <c r="S362" i="5"/>
  <c r="S361" i="5"/>
  <c r="S360" i="5"/>
  <c r="S359" i="5"/>
  <c r="S358" i="5"/>
  <c r="L278" i="5"/>
  <c r="L277" i="5"/>
  <c r="L276" i="5"/>
  <c r="L275" i="5"/>
  <c r="L274" i="5"/>
  <c r="L273" i="5"/>
  <c r="L272" i="5"/>
  <c r="L271" i="5"/>
  <c r="L270" i="5"/>
  <c r="L269" i="5"/>
  <c r="S357" i="5" l="1"/>
  <c r="S356" i="5"/>
  <c r="S355" i="5"/>
  <c r="S354" i="5"/>
  <c r="S353" i="5"/>
  <c r="S352" i="5"/>
  <c r="L268" i="5" l="1"/>
  <c r="S351" i="5" l="1"/>
  <c r="S350" i="5"/>
  <c r="S349" i="5"/>
  <c r="S348" i="5"/>
  <c r="S347" i="5"/>
  <c r="S346" i="5"/>
  <c r="S345" i="5"/>
  <c r="S344" i="5"/>
  <c r="S343" i="5"/>
  <c r="S342" i="5" l="1"/>
  <c r="S341" i="5"/>
  <c r="S340" i="5"/>
  <c r="S339" i="5" l="1"/>
  <c r="S338" i="5"/>
  <c r="S337" i="5"/>
  <c r="L267" i="5" l="1"/>
  <c r="L266" i="5"/>
  <c r="L265" i="5"/>
  <c r="S336" i="5" l="1"/>
  <c r="S335" i="5"/>
  <c r="S334" i="5"/>
  <c r="S333" i="5"/>
  <c r="S332" i="5"/>
  <c r="S331" i="5"/>
  <c r="S330" i="5"/>
  <c r="L264" i="5"/>
  <c r="L263" i="5"/>
  <c r="L262" i="5"/>
  <c r="S329" i="5" l="1"/>
  <c r="S328" i="5"/>
  <c r="S327" i="5"/>
  <c r="S326" i="5"/>
  <c r="S325" i="5"/>
  <c r="S324" i="5"/>
  <c r="S323" i="5"/>
  <c r="S322" i="5"/>
  <c r="S321" i="5"/>
  <c r="S320" i="5"/>
  <c r="S319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 l="1"/>
  <c r="L247" i="5"/>
  <c r="L246" i="5"/>
  <c r="L245" i="5"/>
  <c r="L244" i="5"/>
  <c r="L243" i="5"/>
  <c r="L242" i="5"/>
  <c r="L241" i="5" l="1"/>
  <c r="S318" i="5"/>
  <c r="S317" i="5"/>
  <c r="S316" i="5"/>
  <c r="S315" i="5"/>
  <c r="S314" i="5" l="1"/>
  <c r="S313" i="5"/>
  <c r="L240" i="5" l="1"/>
  <c r="L239" i="5"/>
  <c r="L238" i="5"/>
  <c r="D6" i="5" l="1"/>
  <c r="S312" i="5"/>
  <c r="S311" i="5"/>
  <c r="S310" i="5"/>
  <c r="S309" i="5"/>
  <c r="S308" i="5"/>
  <c r="S307" i="5" l="1"/>
  <c r="S306" i="5"/>
  <c r="S305" i="5"/>
  <c r="S304" i="5"/>
  <c r="L237" i="5"/>
  <c r="L236" i="5"/>
  <c r="S303" i="5" l="1"/>
  <c r="S302" i="5"/>
  <c r="S301" i="5"/>
  <c r="L235" i="5" l="1"/>
  <c r="L234" i="5"/>
  <c r="C60" i="6" l="1"/>
  <c r="C59" i="6"/>
  <c r="C58" i="6"/>
  <c r="C57" i="6"/>
  <c r="C56" i="6"/>
  <c r="C54" i="6"/>
  <c r="C53" i="6"/>
  <c r="S300" i="5" l="1"/>
  <c r="S299" i="5"/>
  <c r="S298" i="5"/>
  <c r="S297" i="5"/>
  <c r="S296" i="5"/>
  <c r="S295" i="5"/>
  <c r="L233" i="5"/>
  <c r="L232" i="5"/>
  <c r="L231" i="5"/>
  <c r="L230" i="5"/>
  <c r="L229" i="5"/>
  <c r="L228" i="5"/>
  <c r="L227" i="5"/>
  <c r="L226" i="5"/>
  <c r="L225" i="5"/>
  <c r="S294" i="5" l="1"/>
  <c r="S293" i="5"/>
  <c r="S292" i="5"/>
  <c r="S291" i="5"/>
  <c r="S290" i="5"/>
  <c r="L224" i="5"/>
  <c r="L223" i="5"/>
  <c r="L222" i="5"/>
  <c r="S289" i="5" l="1"/>
  <c r="S288" i="5"/>
  <c r="S287" i="5"/>
  <c r="S286" i="5" l="1"/>
  <c r="S285" i="5"/>
  <c r="S284" i="5"/>
  <c r="S283" i="5"/>
  <c r="S282" i="5"/>
  <c r="S281" i="5"/>
  <c r="S280" i="5"/>
  <c r="S279" i="5"/>
  <c r="S278" i="5"/>
  <c r="S277" i="5" l="1"/>
  <c r="S276" i="5"/>
  <c r="S275" i="5"/>
  <c r="S274" i="5"/>
  <c r="S273" i="5"/>
  <c r="S272" i="5"/>
  <c r="S271" i="5"/>
  <c r="L221" i="5"/>
  <c r="L220" i="5"/>
  <c r="L219" i="5"/>
  <c r="L218" i="5"/>
  <c r="L217" i="5"/>
  <c r="L216" i="5"/>
  <c r="L215" i="5"/>
  <c r="L214" i="5"/>
  <c r="L213" i="5"/>
  <c r="L212" i="5"/>
  <c r="L211" i="5"/>
  <c r="L210" i="5" l="1"/>
  <c r="L209" i="5"/>
  <c r="L208" i="5"/>
  <c r="L207" i="5"/>
  <c r="L206" i="5"/>
  <c r="L205" i="5"/>
  <c r="L204" i="5"/>
  <c r="L203" i="5"/>
  <c r="L202" i="5"/>
  <c r="L201" i="5"/>
  <c r="L200" i="5"/>
  <c r="L199" i="5"/>
  <c r="S270" i="5" l="1"/>
  <c r="S269" i="5"/>
  <c r="S268" i="5"/>
  <c r="S267" i="5"/>
  <c r="S266" i="5"/>
  <c r="L198" i="5" l="1"/>
  <c r="S265" i="5" l="1"/>
  <c r="S264" i="5"/>
  <c r="S263" i="5"/>
  <c r="S262" i="5"/>
  <c r="L197" i="5"/>
  <c r="L196" i="5"/>
  <c r="G36" i="6" l="1"/>
  <c r="G35" i="6"/>
  <c r="G34" i="6"/>
  <c r="G33" i="6"/>
  <c r="G32" i="6"/>
  <c r="G31" i="6"/>
  <c r="G30" i="6"/>
  <c r="G29" i="6"/>
  <c r="L195" i="5" l="1"/>
  <c r="L194" i="5"/>
  <c r="L193" i="5"/>
  <c r="L192" i="5"/>
  <c r="L191" i="5"/>
  <c r="L190" i="5"/>
  <c r="L189" i="5"/>
  <c r="L188" i="5"/>
  <c r="S261" i="5" l="1"/>
  <c r="S260" i="5"/>
  <c r="S259" i="5"/>
  <c r="L187" i="5"/>
  <c r="L186" i="5"/>
  <c r="L185" i="5"/>
  <c r="S258" i="5" l="1"/>
  <c r="S257" i="5"/>
  <c r="S256" i="5"/>
  <c r="S255" i="5"/>
  <c r="S254" i="5" l="1"/>
  <c r="S253" i="5"/>
  <c r="S252" i="5"/>
  <c r="S251" i="5"/>
  <c r="S250" i="5"/>
  <c r="S249" i="5"/>
  <c r="L184" i="5"/>
  <c r="L183" i="5"/>
  <c r="L182" i="5" l="1"/>
  <c r="S248" i="5" l="1"/>
  <c r="S247" i="5"/>
  <c r="S246" i="5"/>
  <c r="L181" i="5"/>
  <c r="L180" i="5"/>
  <c r="L179" i="5" l="1"/>
  <c r="L178" i="5"/>
  <c r="L177" i="5"/>
  <c r="L176" i="5"/>
  <c r="L175" i="5"/>
  <c r="L174" i="5"/>
  <c r="L173" i="5"/>
  <c r="S245" i="5" l="1"/>
  <c r="S244" i="5"/>
  <c r="S243" i="5"/>
  <c r="L172" i="5"/>
  <c r="L171" i="5"/>
  <c r="L170" i="5"/>
  <c r="L169" i="5"/>
  <c r="L168" i="5"/>
  <c r="L167" i="5"/>
  <c r="L166" i="5"/>
  <c r="L165" i="5"/>
  <c r="L164" i="5"/>
  <c r="L163" i="5"/>
  <c r="S242" i="5" l="1"/>
  <c r="S241" i="5"/>
  <c r="S240" i="5"/>
  <c r="S239" i="5"/>
  <c r="L162" i="5"/>
  <c r="L161" i="5"/>
  <c r="L160" i="5"/>
  <c r="S238" i="5" l="1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L159" i="5"/>
  <c r="L158" i="5"/>
  <c r="L157" i="5"/>
  <c r="L156" i="5"/>
  <c r="S224" i="5" l="1"/>
  <c r="S223" i="5"/>
  <c r="S222" i="5"/>
  <c r="S221" i="5"/>
  <c r="S220" i="5"/>
  <c r="S219" i="5"/>
  <c r="S218" i="5"/>
  <c r="S217" i="5"/>
  <c r="S216" i="5"/>
  <c r="L155" i="5"/>
  <c r="L154" i="5"/>
  <c r="L153" i="5"/>
  <c r="L152" i="5"/>
  <c r="L151" i="5"/>
  <c r="L150" i="5"/>
  <c r="S215" i="5" l="1"/>
  <c r="S214" i="5"/>
  <c r="S213" i="5"/>
  <c r="S212" i="5"/>
  <c r="S211" i="5"/>
  <c r="S210" i="5"/>
  <c r="S209" i="5"/>
  <c r="L149" i="5"/>
  <c r="L148" i="5" l="1"/>
  <c r="L147" i="5" l="1"/>
  <c r="S208" i="5" l="1"/>
  <c r="S207" i="5"/>
  <c r="S206" i="5"/>
  <c r="S205" i="5"/>
  <c r="S204" i="5"/>
  <c r="S203" i="5"/>
  <c r="S202" i="5"/>
  <c r="S201" i="5"/>
  <c r="S200" i="5"/>
  <c r="S199" i="5"/>
  <c r="L146" i="5"/>
  <c r="L145" i="5"/>
  <c r="S198" i="5" l="1"/>
  <c r="S197" i="5"/>
  <c r="S196" i="5"/>
  <c r="S195" i="5"/>
  <c r="S194" i="5"/>
  <c r="S193" i="5"/>
  <c r="S192" i="5"/>
  <c r="L144" i="5"/>
  <c r="L143" i="5"/>
  <c r="L142" i="5"/>
  <c r="L141" i="5" l="1"/>
  <c r="L140" i="5"/>
  <c r="L139" i="5"/>
  <c r="S191" i="5" l="1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L138" i="5"/>
  <c r="L137" i="5"/>
  <c r="L136" i="5"/>
  <c r="L135" i="5"/>
  <c r="L134" i="5"/>
  <c r="L133" i="5"/>
  <c r="L132" i="5"/>
  <c r="L131" i="5" l="1"/>
  <c r="L130" i="5"/>
  <c r="L129" i="5"/>
  <c r="L128" i="5"/>
  <c r="L127" i="5"/>
  <c r="L126" i="5"/>
  <c r="L125" i="5"/>
  <c r="L124" i="5"/>
  <c r="S171" i="5" l="1"/>
  <c r="S170" i="5"/>
  <c r="S169" i="5"/>
  <c r="S168" i="5"/>
  <c r="S167" i="5"/>
  <c r="S166" i="5"/>
  <c r="S165" i="5"/>
  <c r="S164" i="5"/>
  <c r="S163" i="5"/>
  <c r="S162" i="5"/>
  <c r="S161" i="5"/>
  <c r="L123" i="5"/>
  <c r="L122" i="5"/>
  <c r="L121" i="5"/>
  <c r="L120" i="5"/>
  <c r="L119" i="5" l="1"/>
  <c r="L118" i="5" l="1"/>
  <c r="L117" i="5"/>
  <c r="L116" i="5"/>
  <c r="S160" i="5" l="1"/>
  <c r="S159" i="5"/>
  <c r="S158" i="5"/>
  <c r="S157" i="5"/>
  <c r="S156" i="5"/>
  <c r="S155" i="5"/>
  <c r="S154" i="5"/>
  <c r="S153" i="5"/>
  <c r="S152" i="5"/>
  <c r="L115" i="5" l="1"/>
  <c r="L114" i="5"/>
  <c r="L113" i="5"/>
  <c r="S151" i="5" l="1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L112" i="5"/>
  <c r="L111" i="5"/>
  <c r="L110" i="5"/>
  <c r="S137" i="5" l="1"/>
  <c r="S136" i="5"/>
  <c r="S135" i="5"/>
  <c r="S134" i="5"/>
  <c r="S133" i="5"/>
  <c r="S132" i="5"/>
  <c r="S131" i="5"/>
  <c r="S130" i="5"/>
  <c r="S129" i="5" l="1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L109" i="5"/>
  <c r="L108" i="5"/>
  <c r="L107" i="5"/>
  <c r="L106" i="5"/>
  <c r="L105" i="5" l="1"/>
  <c r="L104" i="5"/>
  <c r="L103" i="5"/>
  <c r="L102" i="5"/>
  <c r="L101" i="5"/>
  <c r="L100" i="5"/>
  <c r="L99" i="5"/>
  <c r="S105" i="5" l="1"/>
  <c r="S104" i="5"/>
  <c r="S103" i="5"/>
  <c r="S102" i="5"/>
  <c r="S101" i="5"/>
  <c r="S100" i="5"/>
  <c r="S99" i="5"/>
  <c r="S98" i="5"/>
  <c r="S97" i="5"/>
  <c r="S96" i="5"/>
  <c r="S95" i="5"/>
  <c r="S94" i="5"/>
  <c r="S93" i="5"/>
  <c r="L98" i="5"/>
  <c r="L97" i="5"/>
  <c r="S92" i="5" l="1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L96" i="5"/>
  <c r="L95" i="5"/>
  <c r="L94" i="5"/>
  <c r="L93" i="5"/>
  <c r="D7" i="5" l="1"/>
  <c r="D8" i="5"/>
  <c r="D9" i="5"/>
  <c r="D10" i="5"/>
  <c r="D11" i="5"/>
  <c r="D12" i="5"/>
  <c r="D13" i="5"/>
  <c r="E6" i="5"/>
  <c r="E7" i="5"/>
  <c r="E8" i="5"/>
  <c r="E9" i="5"/>
  <c r="E10" i="5"/>
  <c r="E11" i="5"/>
  <c r="E12" i="5"/>
  <c r="E13" i="5"/>
  <c r="E14" i="5"/>
  <c r="F8" i="5" l="1"/>
  <c r="F12" i="5"/>
  <c r="F10" i="5"/>
  <c r="F7" i="5"/>
  <c r="S77" i="5"/>
  <c r="S76" i="5"/>
  <c r="S75" i="5"/>
  <c r="S74" i="5"/>
  <c r="S73" i="5"/>
  <c r="S72" i="5"/>
  <c r="S71" i="5"/>
  <c r="S70" i="5"/>
  <c r="S69" i="5"/>
  <c r="S68" i="5"/>
  <c r="S67" i="5"/>
  <c r="S66" i="5"/>
  <c r="L92" i="5"/>
  <c r="S65" i="5" l="1"/>
  <c r="S64" i="5"/>
  <c r="S63" i="5"/>
  <c r="S62" i="5"/>
  <c r="S61" i="5"/>
  <c r="S60" i="5"/>
  <c r="S59" i="5"/>
  <c r="S58" i="5"/>
  <c r="S57" i="5"/>
  <c r="S56" i="5"/>
  <c r="S55" i="5"/>
  <c r="L91" i="5" l="1"/>
  <c r="L90" i="5"/>
  <c r="L89" i="5"/>
  <c r="L88" i="5"/>
  <c r="L87" i="5"/>
  <c r="L86" i="5"/>
  <c r="L85" i="5"/>
  <c r="L84" i="5"/>
  <c r="L83" i="5"/>
  <c r="L82" i="5"/>
  <c r="L81" i="5"/>
  <c r="L80" i="5"/>
  <c r="F6" i="5" l="1"/>
  <c r="F11" i="5"/>
  <c r="F13" i="5"/>
  <c r="F9" i="5"/>
  <c r="F14" i="5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S54" i="7"/>
  <c r="L54" i="7"/>
  <c r="S53" i="7"/>
  <c r="L53" i="7"/>
  <c r="S52" i="7"/>
  <c r="L52" i="7"/>
  <c r="S51" i="7"/>
  <c r="L51" i="7"/>
  <c r="S50" i="7"/>
  <c r="L50" i="7"/>
  <c r="S49" i="7"/>
  <c r="L49" i="7"/>
  <c r="S48" i="7"/>
  <c r="L48" i="7"/>
  <c r="S47" i="7"/>
  <c r="L47" i="7"/>
  <c r="S46" i="7"/>
  <c r="L46" i="7"/>
  <c r="S45" i="7"/>
  <c r="L45" i="7"/>
  <c r="S44" i="7"/>
  <c r="L44" i="7"/>
  <c r="S43" i="7"/>
  <c r="L43" i="7"/>
  <c r="S42" i="7"/>
  <c r="L42" i="7"/>
  <c r="S41" i="7"/>
  <c r="L41" i="7"/>
  <c r="S40" i="7"/>
  <c r="L40" i="7"/>
  <c r="S39" i="7"/>
  <c r="L39" i="7"/>
  <c r="S38" i="7"/>
  <c r="L38" i="7"/>
  <c r="S37" i="7"/>
  <c r="L37" i="7"/>
  <c r="S36" i="7"/>
  <c r="L36" i="7"/>
  <c r="S35" i="7"/>
  <c r="L35" i="7"/>
  <c r="S34" i="7"/>
  <c r="L34" i="7"/>
  <c r="S33" i="7"/>
  <c r="L33" i="7"/>
  <c r="S32" i="7"/>
  <c r="L32" i="7"/>
  <c r="S31" i="7"/>
  <c r="L31" i="7"/>
  <c r="S30" i="7"/>
  <c r="L30" i="7"/>
  <c r="S29" i="7"/>
  <c r="L29" i="7"/>
  <c r="S28" i="7"/>
  <c r="L28" i="7"/>
  <c r="S27" i="7"/>
  <c r="L27" i="7"/>
  <c r="S26" i="7"/>
  <c r="L26" i="7"/>
  <c r="S25" i="7"/>
  <c r="L25" i="7"/>
  <c r="S24" i="7"/>
  <c r="L24" i="7"/>
  <c r="S23" i="7"/>
  <c r="L23" i="7"/>
  <c r="S22" i="7"/>
  <c r="L22" i="7"/>
  <c r="S21" i="7"/>
  <c r="L21" i="7"/>
  <c r="S20" i="7"/>
  <c r="L20" i="7"/>
  <c r="S19" i="7"/>
  <c r="L19" i="7"/>
  <c r="S18" i="7"/>
  <c r="L18" i="7"/>
  <c r="S17" i="7"/>
  <c r="L17" i="7"/>
  <c r="S16" i="7"/>
  <c r="L16" i="7"/>
  <c r="S15" i="7"/>
  <c r="L15" i="7"/>
  <c r="S14" i="7"/>
  <c r="L14" i="7"/>
  <c r="E14" i="7"/>
  <c r="F14" i="7" s="1"/>
  <c r="D14" i="7"/>
  <c r="S13" i="7"/>
  <c r="L13" i="7"/>
  <c r="E13" i="7"/>
  <c r="F13" i="7" s="1"/>
  <c r="D13" i="7"/>
  <c r="S12" i="7"/>
  <c r="L12" i="7"/>
  <c r="E12" i="7"/>
  <c r="D12" i="7"/>
  <c r="S11" i="7"/>
  <c r="L11" i="7"/>
  <c r="E11" i="7"/>
  <c r="D11" i="7"/>
  <c r="S10" i="7"/>
  <c r="L10" i="7"/>
  <c r="E10" i="7"/>
  <c r="D10" i="7"/>
  <c r="S9" i="7"/>
  <c r="L9" i="7"/>
  <c r="E9" i="7"/>
  <c r="D9" i="7"/>
  <c r="S8" i="7"/>
  <c r="L8" i="7"/>
  <c r="E8" i="7"/>
  <c r="D8" i="7"/>
  <c r="S7" i="7"/>
  <c r="L7" i="7"/>
  <c r="E7" i="7"/>
  <c r="D7" i="7"/>
  <c r="S6" i="7"/>
  <c r="L6" i="7"/>
  <c r="E6" i="7"/>
  <c r="D6" i="7"/>
  <c r="F9" i="7" l="1"/>
  <c r="F10" i="7"/>
  <c r="F6" i="7"/>
  <c r="F7" i="7"/>
  <c r="F8" i="7"/>
  <c r="F11" i="7"/>
  <c r="F12" i="7"/>
  <c r="S54" i="5"/>
  <c r="S53" i="5"/>
  <c r="S52" i="5"/>
  <c r="S51" i="5"/>
  <c r="S50" i="5"/>
  <c r="S49" i="5"/>
  <c r="S48" i="5"/>
  <c r="S47" i="5"/>
  <c r="S46" i="5"/>
  <c r="S45" i="5" l="1"/>
  <c r="L79" i="5" l="1"/>
  <c r="L78" i="5"/>
  <c r="S44" i="5" l="1"/>
  <c r="S43" i="5"/>
  <c r="S42" i="5"/>
  <c r="S41" i="5"/>
  <c r="S40" i="5"/>
  <c r="S39" i="5"/>
  <c r="L77" i="5" l="1"/>
  <c r="L76" i="5"/>
  <c r="L75" i="5" l="1"/>
  <c r="L74" i="5"/>
  <c r="L73" i="5"/>
  <c r="L72" i="5"/>
  <c r="L71" i="5"/>
  <c r="S38" i="5"/>
  <c r="S37" i="5"/>
  <c r="L70" i="5" l="1"/>
  <c r="S36" i="5" l="1"/>
  <c r="S35" i="5"/>
  <c r="S34" i="5"/>
  <c r="L69" i="5" l="1"/>
  <c r="L68" i="5"/>
  <c r="L67" i="5"/>
  <c r="L66" i="5"/>
  <c r="L65" i="5"/>
  <c r="L64" i="5"/>
  <c r="L63" i="5"/>
  <c r="L62" i="5"/>
  <c r="L61" i="5"/>
  <c r="L60" i="5"/>
  <c r="S33" i="5" l="1"/>
  <c r="L59" i="5" l="1"/>
  <c r="L58" i="5"/>
  <c r="L57" i="5"/>
  <c r="L56" i="5"/>
  <c r="L55" i="5"/>
  <c r="S32" i="5"/>
  <c r="S31" i="5"/>
  <c r="S30" i="5"/>
  <c r="S29" i="5"/>
  <c r="S28" i="5"/>
  <c r="S27" i="5"/>
  <c r="L54" i="5" l="1"/>
  <c r="L53" i="5"/>
  <c r="L52" i="5"/>
  <c r="L51" i="5"/>
  <c r="L50" i="5"/>
  <c r="L49" i="5"/>
  <c r="S26" i="5"/>
  <c r="S25" i="5"/>
  <c r="S24" i="5"/>
  <c r="S23" i="5"/>
  <c r="L48" i="5" l="1"/>
  <c r="L47" i="5" l="1"/>
  <c r="L46" i="5"/>
  <c r="S22" i="5" l="1"/>
  <c r="S21" i="5"/>
  <c r="S20" i="5" l="1"/>
  <c r="L25" i="5" l="1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24" i="5"/>
  <c r="L23" i="5"/>
  <c r="L22" i="5" l="1"/>
  <c r="L21" i="5"/>
  <c r="S19" i="5"/>
  <c r="L20" i="5" l="1"/>
  <c r="L19" i="5"/>
  <c r="L18" i="5"/>
  <c r="S18" i="5" l="1"/>
  <c r="S17" i="5"/>
  <c r="L17" i="5"/>
  <c r="S16" i="5"/>
  <c r="L16" i="5"/>
  <c r="S15" i="5"/>
  <c r="L15" i="5"/>
  <c r="S14" i="5"/>
  <c r="L14" i="5"/>
  <c r="S13" i="5"/>
  <c r="L13" i="5"/>
  <c r="S12" i="5"/>
  <c r="L12" i="5"/>
  <c r="S11" i="5"/>
  <c r="L11" i="5"/>
  <c r="S10" i="5"/>
  <c r="L10" i="5"/>
  <c r="S9" i="5"/>
  <c r="L9" i="5"/>
  <c r="S8" i="5"/>
  <c r="L8" i="5"/>
  <c r="S7" i="5"/>
  <c r="L7" i="5"/>
  <c r="S6" i="5"/>
  <c r="L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20" authorId="0" shapeId="0" xr:uid="{B1FDA6FE-4441-45E2-ACF7-ADD0ECC9E9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 POR UNIDAD
</t>
        </r>
      </text>
    </comment>
    <comment ref="O50" authorId="0" shapeId="0" xr:uid="{9581E1CF-46FC-4274-8692-475A35698F3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59" authorId="0" shapeId="0" xr:uid="{890530A8-23D1-47F7-B924-70193ED4C8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
</t>
        </r>
      </text>
    </comment>
    <comment ref="O68" authorId="0" shapeId="0" xr:uid="{ADD730A9-5356-47B7-9F38-D0ADAD14F5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108" authorId="0" shapeId="0" xr:uid="{A5B15968-15B4-4090-8E7D-5384A67EB1A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 
DESTINO PLANTA RACAVAL -TORTUGUITA-</t>
        </r>
      </text>
    </comment>
    <comment ref="O175" authorId="0" shapeId="0" xr:uid="{F89E2363-3152-4C85-98F2-14C7F67905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 
 ERA DESTINO RACAVAL</t>
        </r>
      </text>
    </comment>
    <comment ref="O183" authorId="0" shapeId="0" xr:uid="{7D394FC6-1E9B-421A-ACB4-4E40038113C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ORDEN DE CARGA NOCOINCIDE </t>
        </r>
      </text>
    </comment>
    <comment ref="O203" authorId="0" shapeId="0" xr:uid="{2361B8F8-037C-4E5B-A005-49160564A13A}">
      <text>
        <r>
          <rPr>
            <b/>
            <sz val="9"/>
            <color indexed="81"/>
            <rFont val="Tahoma"/>
            <family val="2"/>
          </rPr>
          <t>USUARIO:ESTA DE COLOR POR QUE REPITE EL REMITO CON EL DE SPOSITO</t>
        </r>
      </text>
    </comment>
    <comment ref="O231" authorId="0" shapeId="0" xr:uid="{6A529945-CF87-44FC-9CDA-0A3142D9A995}">
      <text>
        <r>
          <rPr>
            <b/>
            <sz val="9"/>
            <color indexed="81"/>
            <rFont val="Tahoma"/>
            <family val="2"/>
          </rPr>
          <t>USUARIO:
CARAGA DESVIADA</t>
        </r>
      </text>
    </comment>
    <comment ref="O257" authorId="0" shapeId="0" xr:uid="{983F205E-9911-498E-9C5E-AD9CC53D3CD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 DESTINO ERA CEMAX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O417" authorId="0" shapeId="0" xr:uid="{3B17B87A-AF82-4311-B7EC-1E0369576621}">
      <text>
        <r>
          <rPr>
            <b/>
            <sz val="9"/>
            <color indexed="81"/>
            <rFont val="Tahoma"/>
            <family val="2"/>
          </rPr>
          <t>SE HIZO EN DOS VIAJES POR PROLEMAS DEL CAMION</t>
        </r>
      </text>
    </comment>
    <comment ref="O481" authorId="0" shapeId="0" xr:uid="{1C4AEF18-09DB-4831-8B96-B52D1DC36F1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498" authorId="0" shapeId="0" xr:uid="{34F92A79-091F-47D9-9DEA-ADBACC11D7D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
CANNING</t>
        </r>
      </text>
    </comment>
    <comment ref="O542" authorId="0" shapeId="0" xr:uid="{4281EBA8-C2F7-44EF-A088-E73871E14C5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 ,DESTINO ORIGINAL MUNICIPIO DE MORENO</t>
        </r>
      </text>
    </comment>
    <comment ref="O578" authorId="0" shapeId="0" xr:uid="{893B6156-4124-4C98-B3F0-81AF61266ED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589" authorId="0" shapeId="0" xr:uid="{BF0FCC21-FF15-4095-98CF-A59F91B5F7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DEAVIADA
ENTRO CON PIEDRA 6/20 Y SE TIRO EN  10/30 POR QUE LA PIEDRA ES GRANDE</t>
        </r>
      </text>
    </comment>
    <comment ref="O597" authorId="0" shapeId="0" xr:uid="{FE21DD00-4793-4368-B26D-E8642F91F30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598" authorId="0" shapeId="0" xr:uid="{A989B7EE-A893-4F50-8FAA-B3BA424354D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05" authorId="0" shapeId="0" xr:uid="{CF29BEAD-2CC8-4C9D-A094-AAAB387C99A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06" authorId="0" shapeId="0" xr:uid="{D9CDA7D5-65FD-4EB1-A0B6-F70D42FCA6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27" authorId="0" shapeId="0" xr:uid="{DE209F9F-9F07-4B2B-9C76-85D15ABFC01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42" authorId="0" shapeId="0" xr:uid="{D109DB23-5D8A-450E-B6A7-D1C24D529D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49" authorId="0" shapeId="0" xr:uid="{159AD6E6-30D9-4BEF-8615-76C3EF90984D}">
      <text>
        <r>
          <rPr>
            <b/>
            <sz val="9"/>
            <color indexed="81"/>
            <rFont val="Tahoma"/>
            <family val="2"/>
          </rPr>
          <t>USUARIO
CARGA DESVIADA</t>
        </r>
      </text>
    </comment>
    <comment ref="O650" authorId="0" shapeId="0" xr:uid="{6FD48380-2452-435D-A180-6C46154651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</t>
        </r>
      </text>
    </comment>
    <comment ref="O656" authorId="0" shapeId="0" xr:uid="{E0C12FC2-3760-4064-8585-296B4CFA6ED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
</t>
        </r>
      </text>
    </comment>
    <comment ref="O672" authorId="0" shapeId="0" xr:uid="{ED8C5FB9-146F-4463-8F45-34F094E6FE6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ESTA DE COLOR SE REPITE PERO UNO ES DE SPOSITO Y EL OTRO DE LCE</t>
        </r>
      </text>
    </comment>
    <comment ref="O684" authorId="0" shapeId="0" xr:uid="{ED4E0827-BA2B-4F0F-AE0B-46662E0D485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CARGA DESVIADA 
DESTINO ARIGINAL CEMAX PILAR
</t>
        </r>
      </text>
    </comment>
  </commentList>
</comments>
</file>

<file path=xl/sharedStrings.xml><?xml version="1.0" encoding="utf-8"?>
<sst xmlns="http://schemas.openxmlformats.org/spreadsheetml/2006/main" count="15623" uniqueCount="837">
  <si>
    <t>PIEDRA</t>
  </si>
  <si>
    <t>6/20</t>
  </si>
  <si>
    <t>6/12</t>
  </si>
  <si>
    <t>10/30</t>
  </si>
  <si>
    <t>0/6</t>
  </si>
  <si>
    <t>TONELADAS</t>
  </si>
  <si>
    <t>ARENA FINA</t>
  </si>
  <si>
    <t>FECHA</t>
  </si>
  <si>
    <t>23-09 AL 30-09</t>
  </si>
  <si>
    <t>ARENA GRANIT 0-6</t>
  </si>
  <si>
    <t>CPF 40 AVELLANEDA</t>
  </si>
  <si>
    <t>MIRA SET 453</t>
  </si>
  <si>
    <t>MIRA SET 453 (ADITIVO)</t>
  </si>
  <si>
    <t>PIED 10-30</t>
  </si>
  <si>
    <t>PIED  6-12</t>
  </si>
  <si>
    <t>PIED 6-20</t>
  </si>
  <si>
    <t>SALIO</t>
  </si>
  <si>
    <t>ADITIVO</t>
  </si>
  <si>
    <t>INGRESO</t>
  </si>
  <si>
    <t>23-09-2024</t>
  </si>
  <si>
    <t>CEMENTO AVELLANEDA</t>
  </si>
  <si>
    <t>SALIO ARENA FINA</t>
  </si>
  <si>
    <t>CEMENTO AELLANEDA</t>
  </si>
  <si>
    <t xml:space="preserve">SALIO ARENA FINA </t>
  </si>
  <si>
    <t>ARS</t>
  </si>
  <si>
    <t>STOCK 23-09 AL 30-09-2024</t>
  </si>
  <si>
    <t>SALIO 23-09 AL 30-09-2024</t>
  </si>
  <si>
    <t>ENTRADA</t>
  </si>
  <si>
    <t>LO QUE SERGIO ME PASO DEL STOCK</t>
  </si>
  <si>
    <t xml:space="preserve">LO QUE SACO ALVARO </t>
  </si>
  <si>
    <t>INVENTARIO DE PRODUCTOS</t>
  </si>
  <si>
    <t>SALIDAS</t>
  </si>
  <si>
    <t>CODIGO DEL PRODUCTO</t>
  </si>
  <si>
    <t>DESCRIPCION</t>
  </si>
  <si>
    <t>EXISTENCIAS INICIALES</t>
  </si>
  <si>
    <t>ENTRADAS</t>
  </si>
  <si>
    <t>STOCK TN</t>
  </si>
  <si>
    <t>REMITOS</t>
  </si>
  <si>
    <t xml:space="preserve">DESCRIPCION </t>
  </si>
  <si>
    <t>CANTIDAD KG</t>
  </si>
  <si>
    <t>P06</t>
  </si>
  <si>
    <t>PIEDRA 0-6</t>
  </si>
  <si>
    <t>AF</t>
  </si>
  <si>
    <t>P620</t>
  </si>
  <si>
    <t>PIEDRA 6-20</t>
  </si>
  <si>
    <t>CEMENTO</t>
  </si>
  <si>
    <t>P1030</t>
  </si>
  <si>
    <t>PIEDRA 10-30</t>
  </si>
  <si>
    <t>P612</t>
  </si>
  <si>
    <t>PIEDRA 6-12</t>
  </si>
  <si>
    <t>MS 453</t>
  </si>
  <si>
    <t>OBSERVACION</t>
  </si>
  <si>
    <t>FERNANDEZ IVAN A.</t>
  </si>
  <si>
    <t>ALVARO</t>
  </si>
  <si>
    <t>PLANTA</t>
  </si>
  <si>
    <t>CONST. ALMAJO (PILAR)</t>
  </si>
  <si>
    <t>FERNANDO MENDOZA</t>
  </si>
  <si>
    <t>GUSTAVO ROMERO</t>
  </si>
  <si>
    <t>B3 HOGAR SRL</t>
  </si>
  <si>
    <t>SALIO 01-10 AL 05-10-2024</t>
  </si>
  <si>
    <t>01-10 AL 05-10-2024</t>
  </si>
  <si>
    <t>GCP ARGENT.SA</t>
  </si>
  <si>
    <t xml:space="preserve">MARIANO RUBIO </t>
  </si>
  <si>
    <t>SPOSITO (MORAN DARIO)</t>
  </si>
  <si>
    <t>NAVIERA (LESCANO)</t>
  </si>
  <si>
    <t>CA (TOLOSA)</t>
  </si>
  <si>
    <t>KM 54 (MORAN DARIO)</t>
  </si>
  <si>
    <t>CONST. ALMAJO (LOS ROBLES)</t>
  </si>
  <si>
    <t>NAVIERA (EFFLING MARCOS)</t>
  </si>
  <si>
    <t>NAVIERA (GOMEZ DARIO)</t>
  </si>
  <si>
    <t>NAVIERA (OCHOA ANIBAL)</t>
  </si>
  <si>
    <t>NAVIERA (DO NASCIMIENTO)</t>
  </si>
  <si>
    <t>NAVIERA (FIGUEROA JUAN)</t>
  </si>
  <si>
    <t>MARIANO RUBIO (L55)</t>
  </si>
  <si>
    <t>FERNANDO MENDOZA (L264)</t>
  </si>
  <si>
    <t>SALIO 07-10 AL 11-10-2024</t>
  </si>
  <si>
    <t>07-10 AL 11-10-2024</t>
  </si>
  <si>
    <t xml:space="preserve">CA TOLOSA </t>
  </si>
  <si>
    <t>CA MORENO CRISTIAN</t>
  </si>
  <si>
    <t>NAVIERA (ARIEL SILVA)</t>
  </si>
  <si>
    <t>OBRA PILAR (GARCIA CRISTIAN)</t>
  </si>
  <si>
    <t>FATAGA (PEREZ ENRIQUE)</t>
  </si>
  <si>
    <t>2578811/12</t>
  </si>
  <si>
    <t>SAUBER ARGENTINA (SAN MARTIN)</t>
  </si>
  <si>
    <t>NAVIERA (MORAN DARIO)</t>
  </si>
  <si>
    <t>NAVIERA ( MORAN DARIO)</t>
  </si>
  <si>
    <t>MAVIERA (MIGUEL ALONSO)</t>
  </si>
  <si>
    <t>NAVIERA (CLIVIO)</t>
  </si>
  <si>
    <t>H30</t>
  </si>
  <si>
    <t>H21</t>
  </si>
  <si>
    <t>H 30</t>
  </si>
  <si>
    <t>H 21</t>
  </si>
  <si>
    <t>WALTER (CANNING)</t>
  </si>
  <si>
    <t>A1</t>
  </si>
  <si>
    <t>WALTER (CALLE PERON)</t>
  </si>
  <si>
    <t>A2</t>
  </si>
  <si>
    <t>A3</t>
  </si>
  <si>
    <t>A4</t>
  </si>
  <si>
    <t>A5</t>
  </si>
  <si>
    <t>A7</t>
  </si>
  <si>
    <t>A8</t>
  </si>
  <si>
    <t>A9</t>
  </si>
  <si>
    <t>A10</t>
  </si>
  <si>
    <t>A15</t>
  </si>
  <si>
    <t>A16</t>
  </si>
  <si>
    <t>A17</t>
  </si>
  <si>
    <t>A22</t>
  </si>
  <si>
    <t>A23</t>
  </si>
  <si>
    <t>A27</t>
  </si>
  <si>
    <t>A32</t>
  </si>
  <si>
    <t>A33</t>
  </si>
  <si>
    <t>14-10 AL 19-10-2024</t>
  </si>
  <si>
    <t>CONST. ALMAJO (L55 TERRA)</t>
  </si>
  <si>
    <t>BIONDI  (LOS JUNCOS  L G5)</t>
  </si>
  <si>
    <t>EDUARDO SUIGO (TRES PINOS 109 ESTRIBO)</t>
  </si>
  <si>
    <t>LCE (GARCIA JORGE)</t>
  </si>
  <si>
    <t>CA (LEDESMA CAMILO)</t>
  </si>
  <si>
    <t>CA (MORENO CRISTIAN)</t>
  </si>
  <si>
    <t>CA (ALONSO MIGUEL)</t>
  </si>
  <si>
    <t>CA (VIVAS LEONEL)</t>
  </si>
  <si>
    <t>CA (PALOS MAURICIO)</t>
  </si>
  <si>
    <t>CONST.ALMAJO (PILAR)</t>
  </si>
  <si>
    <t>LCE (SEMERENA MARTIN)</t>
  </si>
  <si>
    <t>CA (CABANNE)</t>
  </si>
  <si>
    <t xml:space="preserve"> </t>
  </si>
  <si>
    <t>VANIERA (OSMAR LUQUE)</t>
  </si>
  <si>
    <t>LCE (MORRONE)</t>
  </si>
  <si>
    <t>NAVIERA (LUQUE OSMAR)</t>
  </si>
  <si>
    <t>LCE ( GARCIA JORGE)</t>
  </si>
  <si>
    <t>CA ( ALONSO MIGUEL)</t>
  </si>
  <si>
    <t>21-10 al 26-10-2024</t>
  </si>
  <si>
    <t>21-10 al 15-10-2024</t>
  </si>
  <si>
    <t>CA (RABADAN CESAR)</t>
  </si>
  <si>
    <t>CA (FERNANDEZ IVAN)</t>
  </si>
  <si>
    <t>CA (ORTIZ CRISTIAN)</t>
  </si>
  <si>
    <t>CA (SOTOMAYOR GONZALO)</t>
  </si>
  <si>
    <t>SANTIAGO ITHURRART (ALTOS DE LUJAN L 164)</t>
  </si>
  <si>
    <t>B3 HOGAR SRL (PILAR)</t>
  </si>
  <si>
    <t>LCE (GOMEZ GABRIEL)</t>
  </si>
  <si>
    <t>CA (RODRIGUEZ DIONEL)</t>
  </si>
  <si>
    <t>CA (CESAR AGUSTIN)</t>
  </si>
  <si>
    <t>CA (SILVA ARIEL)</t>
  </si>
  <si>
    <t>CA (CLIVIO)</t>
  </si>
  <si>
    <t>AGUSTIN CICCIARO (CHACRAS OPPNDOOR L32)</t>
  </si>
  <si>
    <t>LCE (SOTOMAYOR GONZALO)</t>
  </si>
  <si>
    <t>CA (FIRPO SERGIO)</t>
  </si>
  <si>
    <t>CA (SEMERENA)</t>
  </si>
  <si>
    <t>LUXCAR (KARLOS KEEN)</t>
  </si>
  <si>
    <t>CORRALON VICTOR</t>
  </si>
  <si>
    <t>NAVIERA</t>
  </si>
  <si>
    <t>LCE (SILVA ARIEL)</t>
  </si>
  <si>
    <t>LCE (FIRPO SERGIO)</t>
  </si>
  <si>
    <t>CONST. ALMAJO (TERRAVISTA MARIANO)</t>
  </si>
  <si>
    <t>CONST. ALMAJO (BENITO EMPL.CONST.)</t>
  </si>
  <si>
    <t>CONST.ALMAJO (BENITO EMPL.CONST.)</t>
  </si>
  <si>
    <t>LCE (LASTRA FACUNDO)</t>
  </si>
  <si>
    <t>LCE (WILBERGER)</t>
  </si>
  <si>
    <t>B3 HOGAR (PILAR)</t>
  </si>
  <si>
    <t>SANTIAGO ITHURRART (ALTOS DE LUJAN)</t>
  </si>
  <si>
    <t>SANTIAGO ITHURRART (ALTOS LUJAN L164)</t>
  </si>
  <si>
    <t>LCE (ALCARAZ PABLO)</t>
  </si>
  <si>
    <t>CA (MORRONE)</t>
  </si>
  <si>
    <t>CA (DIERICKX CARLOS)</t>
  </si>
  <si>
    <t>28-10 AL 31-10-2024</t>
  </si>
  <si>
    <t>KG</t>
  </si>
  <si>
    <t>LCE (MORENO)</t>
  </si>
  <si>
    <t>LCE (CORDOBA)</t>
  </si>
  <si>
    <t>01-11 AL 09-11-2024</t>
  </si>
  <si>
    <t>SANTIAGO ITHURRART (ALTO LUJAN L164)</t>
  </si>
  <si>
    <t>SEGOVIA JOSE (CHOFER )LUJAN</t>
  </si>
  <si>
    <t>CONST.ALMAJO (LOS ROBLES)</t>
  </si>
  <si>
    <t>BRIAN (DEMOCRACIA 1480</t>
  </si>
  <si>
    <t>LCE (ROJO PEDRO)</t>
  </si>
  <si>
    <t>LCE (FERNANDEZ IVAN)</t>
  </si>
  <si>
    <t>01-10 AL 31-10-2024</t>
  </si>
  <si>
    <t>LO QUE SACO ALVARO EN EL MES</t>
  </si>
  <si>
    <t>WAMPRECHTSHAMER ERICK (PILAR)</t>
  </si>
  <si>
    <t>LO QUE SACO ALVARO</t>
  </si>
  <si>
    <t>11-11 AL 16-11-2024</t>
  </si>
  <si>
    <t>PISCINA CARIBEAN (HARAS DEL SOL)</t>
  </si>
  <si>
    <t>CONST.ALMAJO (TERRAVISTA MARIANO)L55</t>
  </si>
  <si>
    <t>ELLICEO ALVES</t>
  </si>
  <si>
    <t>MATIAS ORTIZ (EL MEDAL 2 ARENA MODUL)</t>
  </si>
  <si>
    <t>MATIAS ORTIZ (EL MEDAL 4 ARENA MODUL)</t>
  </si>
  <si>
    <t>B3 HOGAR</t>
  </si>
  <si>
    <t>CYE CONST.</t>
  </si>
  <si>
    <t>NAVIERA (LESCANO DANIEL)</t>
  </si>
  <si>
    <t>BIONDI  (LOS JUNCOS)</t>
  </si>
  <si>
    <t>BIONDI (LOS JUNCOS)</t>
  </si>
  <si>
    <t>29-11-204</t>
  </si>
  <si>
    <t>GERMAN MEDINA (RUTA 7)</t>
  </si>
  <si>
    <t>SPOSITO (LESCANO DANIEL)</t>
  </si>
  <si>
    <t>19-11 AL 23-11-2024</t>
  </si>
  <si>
    <t>25-11 AL 30-11-2024</t>
  </si>
  <si>
    <t>01-11 AL 30-11-2024</t>
  </si>
  <si>
    <t>01-11 AL 31-11-2024</t>
  </si>
  <si>
    <t>CONST.ALMAJO (DON TORCUATO)</t>
  </si>
  <si>
    <t>LCE (VIVAS LEONEL)</t>
  </si>
  <si>
    <t>COSNT.ALMAJO (LOS ROBLES)</t>
  </si>
  <si>
    <t>CRISTIAN BIONDI (TRANS. RUTA 25)</t>
  </si>
  <si>
    <t>02-12 AL 07-12-2024</t>
  </si>
  <si>
    <t>SANTIAGO ITHURRART</t>
  </si>
  <si>
    <t>CONST.ALMAJO</t>
  </si>
  <si>
    <t>BIONDI CRISTIAN</t>
  </si>
  <si>
    <t>KANSAS CONST.</t>
  </si>
  <si>
    <t>MARIANA SANCHOTENA</t>
  </si>
  <si>
    <t>MATIAS ORTIZ</t>
  </si>
  <si>
    <t>LCE CYE(LEDESMA CAMILO)</t>
  </si>
  <si>
    <t>LCE CYE (LEDESMA CAMILO)</t>
  </si>
  <si>
    <t>LCE (ORLANDO MAXI)</t>
  </si>
  <si>
    <t>SANTIAGO ITHURRART (ARROYO DULCE)</t>
  </si>
  <si>
    <t>SAUBER ARGENTINA (HOSP.LUJAN)</t>
  </si>
  <si>
    <t>LCE CYE (LESDESMA CAMILO)</t>
  </si>
  <si>
    <t>CA (LASTRA FACUNDO)</t>
  </si>
  <si>
    <t>B3 HOGAR (CLUB DEL CAMPO L101</t>
  </si>
  <si>
    <t>LCE (CLIVIO)</t>
  </si>
  <si>
    <t>LCE (CARTASSO)</t>
  </si>
  <si>
    <t>LCE CYE (FERNADEZ IVAN)</t>
  </si>
  <si>
    <t>LCE (PALOS MAURICIO)</t>
  </si>
  <si>
    <t>CA (GOMEZ GABRIEL)</t>
  </si>
  <si>
    <t>09-12 AL 14-12-2024</t>
  </si>
  <si>
    <t>16-12 AL 21-12-2024</t>
  </si>
  <si>
    <t>01-12 AL 31-12-2024</t>
  </si>
  <si>
    <t>23-12 AL 28-12-2024</t>
  </si>
  <si>
    <t>CONST.ALMAJO (BARRIO ELINA L227)</t>
  </si>
  <si>
    <t>DARAFILL 200 (ADITIVO)</t>
  </si>
  <si>
    <t>DARACEM 600 (ADITIVO</t>
  </si>
  <si>
    <t>DRF</t>
  </si>
  <si>
    <t>DRC</t>
  </si>
  <si>
    <t>LA COLINA VILLA DE CAMPO</t>
  </si>
  <si>
    <t>BIONDI CRISTIAN (LUJAN LOS JUNCOS)</t>
  </si>
  <si>
    <t>CA (GALLO ROBERTO)</t>
  </si>
  <si>
    <t>7799-</t>
  </si>
  <si>
    <t>GONZALEZ JULIO</t>
  </si>
  <si>
    <t>LCE (LEDESMA CAMILO)</t>
  </si>
  <si>
    <t>SPOSITO (BERNACHEA)</t>
  </si>
  <si>
    <t>P60</t>
  </si>
  <si>
    <t>LCE (ALONSO MIGUEL)</t>
  </si>
  <si>
    <t>LCE (LASTRA MARCELO)</t>
  </si>
  <si>
    <t>CA (PRIMITERRA)</t>
  </si>
  <si>
    <t>B3 HOGAR (LOS PALANQUES L101)</t>
  </si>
  <si>
    <t>SANTIAGO ITHURRART (ALTOS LUJAN)</t>
  </si>
  <si>
    <t>CONST.ALMAJO (QUERUBIN)</t>
  </si>
  <si>
    <t>LUDMILA MARTINEZ (SANTA IRENE L176)</t>
  </si>
  <si>
    <t>LCE (MAHFUD GASTON)</t>
  </si>
  <si>
    <t>CONST.ALMAJO (OLIVERA)</t>
  </si>
  <si>
    <t>ADRIANA JOZAMI (SAN ROQUE L57)</t>
  </si>
  <si>
    <t>ADRIANA JOZAMI (SAN ROQUE L89)</t>
  </si>
  <si>
    <t>B3 L101</t>
  </si>
  <si>
    <t>LCE (ORTIZ CRISTIAN)</t>
  </si>
  <si>
    <t>CONST.ALMAJO (FATAGA)</t>
  </si>
  <si>
    <t>JOSE SALGADO (RUTA 34 PILAR)</t>
  </si>
  <si>
    <t>LCE (DIERICKX CARLOS)</t>
  </si>
  <si>
    <t>BIONDI CRISTIAN (MARCELO SALINAS)</t>
  </si>
  <si>
    <t>LCE (MORAN DARIO)</t>
  </si>
  <si>
    <t>CONAT.ALMAJO (LOS ROBLES)</t>
  </si>
  <si>
    <t>ADRIANA JOZAMI (SSAN ROQUE L57)</t>
  </si>
  <si>
    <t>01-01- AL 12-01-2025</t>
  </si>
  <si>
    <t>01-01 AL 12-01-2025</t>
  </si>
  <si>
    <t>13-01 AL 19-01-2025</t>
  </si>
  <si>
    <t>20-01 AL 25-01-2025</t>
  </si>
  <si>
    <t>27-01 AL 31-01-2025</t>
  </si>
  <si>
    <t>01-01 AL 31-01-2025</t>
  </si>
  <si>
    <t>LCE (CESAR AGUSTIN)</t>
  </si>
  <si>
    <t>SAUBER ARGENTINA (HSTAL DE LUJAN)</t>
  </si>
  <si>
    <t>CONST.ALMAJO (GRAL ROD 33HAS)</t>
  </si>
  <si>
    <t>LCE (GONZALEZ GABRIEL)</t>
  </si>
  <si>
    <t xml:space="preserve">              </t>
  </si>
  <si>
    <t>01-02 AL 08-02-2025</t>
  </si>
  <si>
    <t>10-02 AL 15-02-2025</t>
  </si>
  <si>
    <t>17-02 AL 22-02-2025</t>
  </si>
  <si>
    <t>24-02 AL 28-02-2025</t>
  </si>
  <si>
    <t>24-02 28-02-2025</t>
  </si>
  <si>
    <t>CENTENO SEBASTIAN</t>
  </si>
  <si>
    <t>SUIGO EDUARDO</t>
  </si>
  <si>
    <t>CECILIA KATZ</t>
  </si>
  <si>
    <t>SANTIAGO ITHURRART (EVERLINKS L62)</t>
  </si>
  <si>
    <t>COSNT.ALMAJO (OLIVERA)</t>
  </si>
  <si>
    <t>COSNT.ALMAJO (TERRAVISTA MARIANO L55)</t>
  </si>
  <si>
    <t>01-02 AL 28-02-2025</t>
  </si>
  <si>
    <t>LCE (MAFHUD GASTON)</t>
  </si>
  <si>
    <t>LCE (CABANNE)</t>
  </si>
  <si>
    <t>CONST.ALMAJO (SERIN)</t>
  </si>
  <si>
    <t>SANTIAGO ITHURRART ALTOS LUJAN L164)</t>
  </si>
  <si>
    <t>LCE (RODRIGUEZ MATIAS)</t>
  </si>
  <si>
    <t>LCE (PRIMITERRA)</t>
  </si>
  <si>
    <t>C</t>
  </si>
  <si>
    <t>LCE (GALLO ROBERTO)</t>
  </si>
  <si>
    <t>01-03 AL 08-03-2025</t>
  </si>
  <si>
    <t>10-03 AL 15-03-2025</t>
  </si>
  <si>
    <t>17-03 AL 22-03-2025</t>
  </si>
  <si>
    <t>01-03 AL 28-03-2025</t>
  </si>
  <si>
    <t>01-03 AL 31-03-2025</t>
  </si>
  <si>
    <t>GCP ARGENTINA</t>
  </si>
  <si>
    <t>SABASTIAN CENTENO (B HARAS SAN PABLO L31)</t>
  </si>
  <si>
    <t>KIOSHI (SUB ESTACION EDENOR RUTA 28)</t>
  </si>
  <si>
    <t>CA (LEDESMA)</t>
  </si>
  <si>
    <t>CONST.ALMAJO (B LOS ROBLES)</t>
  </si>
  <si>
    <t>PAGANO JUAN PABLO (HOSTELERIA LUJAN)</t>
  </si>
  <si>
    <t>LCE (RISSO JOSE)</t>
  </si>
  <si>
    <t>CONST.ALAMJO (B EL NAUDIR 397)</t>
  </si>
  <si>
    <t>OMAR NARDON (B LA LONJA PILAR)</t>
  </si>
  <si>
    <t>CA (CABANNE JULIO)</t>
  </si>
  <si>
    <t>ITHURRART SANTIAGO (B ALTOS DE LUJAN L164)</t>
  </si>
  <si>
    <t>CONST.ALMAJO (FRANCISCO ALVAREZ)</t>
  </si>
  <si>
    <t>SEBASTIAN CENTENO (HARAS SAN PABLO L31)</t>
  </si>
  <si>
    <t>REMITO 22214</t>
  </si>
  <si>
    <t>VIBRADOR HORMIGON (VILORATOR TIPO ZN50 D//MP.)</t>
  </si>
  <si>
    <t>REMITO 2215</t>
  </si>
  <si>
    <t>ASERRADORA (MARCA NIWA)</t>
  </si>
  <si>
    <t>AGUSTINA SANTA CRUZ (LA REJA GRANDE II)</t>
  </si>
  <si>
    <t>LCE (CLIVIO NORBERTO)</t>
  </si>
  <si>
    <t>GRUPO FALPAT</t>
  </si>
  <si>
    <t>ESTANCIA SANTA ELENA</t>
  </si>
  <si>
    <t>CONST.ALMAJO (LOMAS DE ZAMORA)</t>
  </si>
  <si>
    <t>REMITO 22220</t>
  </si>
  <si>
    <t>SALIO TIJERA (MARCA SNORKET S3370 RT) OBRA MERCEDEZ</t>
  </si>
  <si>
    <t>CA (PRIMITERRA TONINO)</t>
  </si>
  <si>
    <t>LCE (MENDEZ JOSE)</t>
  </si>
  <si>
    <t>24-03 AL 31-03-2025</t>
  </si>
  <si>
    <t>24-02 31-02-2025</t>
  </si>
  <si>
    <t>PAULA TINANT (B NORTE DEL PILAR L81)</t>
  </si>
  <si>
    <t>PULA TINANT (B NORTE DEL PILAR L81)</t>
  </si>
  <si>
    <t>REMITO 2224</t>
  </si>
  <si>
    <t>SALIO MINI PALA CARGADORA TIPO BOB CAT MOD. CATERPILLAC (CAT) 246 D3 (FATAGA CHOFER: GARCIA CRISTIAN)</t>
  </si>
  <si>
    <t>01-04 AL 05-04-2025</t>
  </si>
  <si>
    <t>07-04 AL 12-04-2025</t>
  </si>
  <si>
    <t>14-04 AL 19-04-2025</t>
  </si>
  <si>
    <t>21-04 AL 30-04-2025</t>
  </si>
  <si>
    <t>01-04 AL 30-04-2025</t>
  </si>
  <si>
    <t>CA (CLIVIO NORBERTO)</t>
  </si>
  <si>
    <t>CONST.ALMAJO (CAMPANA)</t>
  </si>
  <si>
    <t>ABREGON SABRINA MARIA</t>
  </si>
  <si>
    <t>REMITO 22235</t>
  </si>
  <si>
    <t>PALA CARGADORA MINI BOBCAT MODELO 246 D3 SERIE 2023 CATERPILLER (SIN DETALLE)</t>
  </si>
  <si>
    <t>CONST.ALMAJO (TERRAVISTA L55)</t>
  </si>
  <si>
    <t>CONST.ALMAJO (LA REJA MORENO)</t>
  </si>
  <si>
    <t>FEDERICO DRAGONE (B NORTE DEL PILAR L59)</t>
  </si>
  <si>
    <t>CA (MAHFUD GASTON)</t>
  </si>
  <si>
    <t>REMITO 22240</t>
  </si>
  <si>
    <t>INGRESO MORTERO X 1 CAJA (VALOR PESOS) CHOFER :MOREYRA WALTER</t>
  </si>
  <si>
    <t>CONST.ALMAJO (PREDIO QUE RODEA COVELIA)</t>
  </si>
  <si>
    <t>CA (CORDOBA RAMON)</t>
  </si>
  <si>
    <t>CA (MENDEZ ANDREZ)</t>
  </si>
  <si>
    <t>FABRICIO LUJAN (LUJAN)</t>
  </si>
  <si>
    <t>REMITO 22244</t>
  </si>
  <si>
    <t>SALIO EXCAVADORA  320 (PANAMERICANA 197 CHOFER BUSTAMANTE LUCAS)</t>
  </si>
  <si>
    <t>REMITO 22247</t>
  </si>
  <si>
    <t>SALIO 4 FAJAS GRANDES Y CHICAS 4 GRILLETES GRANDES Y CHICAS 2 ESTROBOS (3MT)</t>
  </si>
  <si>
    <t>LCE (GONZALEZ DIEGO)</t>
  </si>
  <si>
    <t>KIOSHI (ALICIA MOREAU DE JUSTO 1780)</t>
  </si>
  <si>
    <t>CONST.ALMAJO (1982 MUÑOZ Y ARGUERO)</t>
  </si>
  <si>
    <t>NICOLAS (LA REJA)</t>
  </si>
  <si>
    <t>ALCARAZ LUIS (PILETERO)</t>
  </si>
  <si>
    <t>GERRARDO LOPIZZO (NORTE DEL PILAR)</t>
  </si>
  <si>
    <t>LCE (CORDOBA RAMON)</t>
  </si>
  <si>
    <t>REMITO 22250</t>
  </si>
  <si>
    <t>SALIO A CODWING DON TORCUATO (PILOTES CANT 14) CHOFER: BUSTAMANTE LUCAS / AD 740 MO</t>
  </si>
  <si>
    <t>CONST.ALMAJO (PANAMERICANA KM 28</t>
  </si>
  <si>
    <t>REMITO 20454</t>
  </si>
  <si>
    <t>SALIO OBRA CAMPANA SNORKEL S3370RT CHOFER: SCONDO JOSE</t>
  </si>
  <si>
    <t>REMITO 20462</t>
  </si>
  <si>
    <t>SALIO OLIVERA / SAMET .PERFILES/ESTRUCTURAS ARMADAS PILOTES. 45 UNIDADES.</t>
  </si>
  <si>
    <t>LCE (ALMIRON CARLOS RENE)</t>
  </si>
  <si>
    <t>CA (ALCARAZ PABLO</t>
  </si>
  <si>
    <t>LEANDRO MARTIN</t>
  </si>
  <si>
    <t>ALMAJO (BENITO)</t>
  </si>
  <si>
    <t>REMITO 20468</t>
  </si>
  <si>
    <t>SALIO CARRETON ACOPLADO PATENTE AF 238 XL</t>
  </si>
  <si>
    <t>Columna1</t>
  </si>
  <si>
    <t>SPOSITO (GARCIA CRISTIAN)</t>
  </si>
  <si>
    <t>CONST,ALMAJO (CAMPANA)</t>
  </si>
  <si>
    <t>E020</t>
  </si>
  <si>
    <t xml:space="preserve">ESTABILIZADO GRANULOMETRICO 0/20 </t>
  </si>
  <si>
    <t>SOLEDAD (RETIRA EN PLANTA)</t>
  </si>
  <si>
    <t>LCE (RISOLUTO CARLOS)</t>
  </si>
  <si>
    <t>01-05 AL 10-05-2025</t>
  </si>
  <si>
    <t>12-05 AL 17-05-2025</t>
  </si>
  <si>
    <t>19-05 AL 24-05-2025</t>
  </si>
  <si>
    <t>26-05 AL 31-05-2025</t>
  </si>
  <si>
    <t>01-05 AL 31-05-2025</t>
  </si>
  <si>
    <t>OCHOA JUAN</t>
  </si>
  <si>
    <t>MONTE BERNINA</t>
  </si>
  <si>
    <t xml:space="preserve">EDUARDO SUIGO </t>
  </si>
  <si>
    <t>LCE (DAMBROSIO JOSE )</t>
  </si>
  <si>
    <t>CONST.ALMAJO (SAN MIGUEL GRAL SALVIO)</t>
  </si>
  <si>
    <t>CONST.ALMAJO (LUJAN)</t>
  </si>
  <si>
    <t>ALMAJO (LA REJA)</t>
  </si>
  <si>
    <t>ALMAJO (LUJAN)</t>
  </si>
  <si>
    <t>ALMAJO LUJAN</t>
  </si>
  <si>
    <t>ALAN MEDINA (MORENO LUJAN)</t>
  </si>
  <si>
    <t>MEDINA ALAN RAMON</t>
  </si>
  <si>
    <t>TINANT PAULA (NORTE DEL PILAR)</t>
  </si>
  <si>
    <t>CONST.ALMAJO (OBRA NUEVA MERLO (MARIANO)</t>
  </si>
  <si>
    <t>REMITO 21162</t>
  </si>
  <si>
    <t>INGRESO DOBLADORA DE HIRRO CHOFER : VIDAL JONATHAN</t>
  </si>
  <si>
    <t>REMITO 21163</t>
  </si>
  <si>
    <t>SALIO ASERRADORA DE HORMIGON MARCA :NIWA</t>
  </si>
  <si>
    <t>OSORIO (VILLA VERDE PILAR)</t>
  </si>
  <si>
    <t>CONST.ALMAJO (MARTIN MIGUENS 7290</t>
  </si>
  <si>
    <t>CONST.ALMAJO (SAMET)</t>
  </si>
  <si>
    <t>CONST.ALMAJO (NAUDIR)</t>
  </si>
  <si>
    <t xml:space="preserve">KIOSHI </t>
  </si>
  <si>
    <t>KIOSHI</t>
  </si>
  <si>
    <t>REMITO 21168</t>
  </si>
  <si>
    <t>1 BOMBACENTRIFUGA,1 MORZA DE BANCO,TALONARIOS (REMITOS), 5 LTS DE CERA, 10 LTS PULPITO, ROPA DE TRABAJO,PLASTIFICANTE 351 (20 LTS)</t>
  </si>
  <si>
    <t>02-06 AL 07-06-2025</t>
  </si>
  <si>
    <t>09-06 AL 14-06-2025</t>
  </si>
  <si>
    <t>16-06 AL 21-06-2025</t>
  </si>
  <si>
    <t>23-06 AL 30-06-2025</t>
  </si>
  <si>
    <t>01-06 AL 30-06-2025</t>
  </si>
  <si>
    <t>23-06- AL 30-06-2025</t>
  </si>
  <si>
    <t>CONST.ALMAJO (NORDELTA ISLA L84)</t>
  </si>
  <si>
    <t>GERARDO LOPIZZO (NORDELTA ISLA L184)</t>
  </si>
  <si>
    <t>CONST.ALMAJO (LOS ALAMOS LUJAN)</t>
  </si>
  <si>
    <t>REMITO 21173</t>
  </si>
  <si>
    <t>SALIO 1 BIDON PULPITO 10 LTS, 4 PAQUETES DE ORDEN DE CARGA IMPRESAS CON TRIPICADO, 10 TALONARIOS POR PAQUETES, CAJAS CON TALONARIOS POR 55 UNIDADES SUELTOS SIN EMPAQUETAR.</t>
  </si>
  <si>
    <t>REMITO 21176</t>
  </si>
  <si>
    <t>SALIO TIJERA</t>
  </si>
  <si>
    <t>IRINEO ETCHEVERRY AGRO</t>
  </si>
  <si>
    <t>MARCELO SALINAS (SAN DIEGO)</t>
  </si>
  <si>
    <t>REMITO 21181</t>
  </si>
  <si>
    <t>SALIO TIJERA MARCA SNORKEL MODELO 533 70DL</t>
  </si>
  <si>
    <t>ALMAJO (SAN MIGUEL GRAL SALVIO)</t>
  </si>
  <si>
    <t>W351R</t>
  </si>
  <si>
    <t>W</t>
  </si>
  <si>
    <t>ALMAJO</t>
  </si>
  <si>
    <t>SANTIAGO ITHURRART LA COLINA 195)</t>
  </si>
  <si>
    <t>OBRA OLIVERA</t>
  </si>
  <si>
    <t>METALURGICA DUROLL</t>
  </si>
  <si>
    <t>REMITO 19361</t>
  </si>
  <si>
    <t>SALIO MOTONIVELADORA CAT-SEM915</t>
  </si>
  <si>
    <t>REMITO 19369</t>
  </si>
  <si>
    <t>SALIO 1 PERCHA PARA CHAPAS DE ACERO Y MATERIALES DE CORRALON ,2FAJAS CON TRACKS</t>
  </si>
  <si>
    <t>ALMAJO ,PANAMERICANA KM 28</t>
  </si>
  <si>
    <t>01 07 AL 05-07-2025</t>
  </si>
  <si>
    <t>01-07 AL 05-07-2025</t>
  </si>
  <si>
    <t>07-07 AL 12-07-2025</t>
  </si>
  <si>
    <t>14-07 AL 19-07-2025</t>
  </si>
  <si>
    <t>21-07 AL 31-07-2025</t>
  </si>
  <si>
    <t>01-07- AL 31-07-2025</t>
  </si>
  <si>
    <t>01-07 AL 31-07-2025</t>
  </si>
  <si>
    <t>MARCELO SALINAS</t>
  </si>
  <si>
    <t>SPOSITO (BARBOZA NICOLAS)</t>
  </si>
  <si>
    <t>ALMAJO ,TERRAVISTA L55</t>
  </si>
  <si>
    <t>REMITO 19364</t>
  </si>
  <si>
    <t>SALIO PALLETS DE MADERA PARA ACOPIO DE MATERIALES DE CONSTRUCCION CANTIDAD 40</t>
  </si>
  <si>
    <t>ARIEL DE LA FUENTE</t>
  </si>
  <si>
    <t>ALBERTO BENITO ,GRAL RODRIGUEZ</t>
  </si>
  <si>
    <t>MAPEI</t>
  </si>
  <si>
    <t>W5</t>
  </si>
  <si>
    <t>W500R</t>
  </si>
  <si>
    <t>ALMAJO ,PASAJE DELLEPIANE</t>
  </si>
  <si>
    <t>ALMAJO ,CAMPANA FAB PINTURA</t>
  </si>
  <si>
    <t>ALMAJO ,CAMPANA</t>
  </si>
  <si>
    <t>ALMAJO ,FABRICA DE CABLES</t>
  </si>
  <si>
    <t>ALMAJO ,MORENO</t>
  </si>
  <si>
    <t>ALMAJO ,OLIVERA</t>
  </si>
  <si>
    <t>NORBERTO BALDIVIA</t>
  </si>
  <si>
    <t>AM</t>
  </si>
  <si>
    <t>REMITO 19381</t>
  </si>
  <si>
    <t>SALIO CLARK MARCA TOYOTA</t>
  </si>
  <si>
    <t>ALMAJO ,CAMINO CINTURA</t>
  </si>
  <si>
    <t>REMITO</t>
  </si>
  <si>
    <t>SALIO 1CARRETILLA, 1TROMPITO, 3PALAS, 10BALDES, CAJON DE HERRAMIENTAS, ANDAMIOS</t>
  </si>
  <si>
    <t>LEONARDO MARTIN LANDI</t>
  </si>
  <si>
    <t>HUGO PRIETO</t>
  </si>
  <si>
    <t>MARCOS HARRIS</t>
  </si>
  <si>
    <t>E100</t>
  </si>
  <si>
    <t>ESTABILIZADO 0-100 X TN</t>
  </si>
  <si>
    <t>DIEGO ORLANDO</t>
  </si>
  <si>
    <t>GABRIEL ZEGRETTI</t>
  </si>
  <si>
    <t>ALMAJO ZARATE</t>
  </si>
  <si>
    <t>ALMAJO PASAJE DELLEPIANE</t>
  </si>
  <si>
    <t>ALMAJO OLIVERA</t>
  </si>
  <si>
    <t>CARLOS ARCE</t>
  </si>
  <si>
    <t>CARLOS ALBERTO</t>
  </si>
  <si>
    <t>DIEGO VILASECO</t>
  </si>
  <si>
    <t>ALMAJO TERRAVISTA</t>
  </si>
  <si>
    <t>ALMAJO LUIS MARIA DRAGO</t>
  </si>
  <si>
    <t>OIKOS MORENO</t>
  </si>
  <si>
    <t>RDC</t>
  </si>
  <si>
    <t>RDC DRUMS 200 KG</t>
  </si>
  <si>
    <t>OIKOS DON EUGENIO L 108</t>
  </si>
  <si>
    <t>REMITO 19389</t>
  </si>
  <si>
    <t>SALIO DE PLANTA PERCHA PARA CHAPA</t>
  </si>
  <si>
    <t>LCE (LUJAN)</t>
  </si>
  <si>
    <t>ALMAJO MORENO FRANCHI</t>
  </si>
  <si>
    <t>18-072025</t>
  </si>
  <si>
    <t>REMITO 19398</t>
  </si>
  <si>
    <t>SALIO CIGÜEÑA MARCA SNORKEL</t>
  </si>
  <si>
    <t>REMITO 19399</t>
  </si>
  <si>
    <t>SALIO BOB CAT 246 D3</t>
  </si>
  <si>
    <t>CA (WILBERGER)</t>
  </si>
  <si>
    <t>ALMAJO PANAMERICANA KM28</t>
  </si>
  <si>
    <t>ALMAJO FATAGA</t>
  </si>
  <si>
    <t>OIKOS DON EUGENIO L108</t>
  </si>
  <si>
    <t>REMITO 19313</t>
  </si>
  <si>
    <t>SALIO PALA CATERPILER 246 D3</t>
  </si>
  <si>
    <t>ALMAJO QUERUBIN PACHECO</t>
  </si>
  <si>
    <t>ALMAJO ACCESO OESTE</t>
  </si>
  <si>
    <t>01 08 AL 09-08-2025</t>
  </si>
  <si>
    <t>01-08 AL 09-08-2025</t>
  </si>
  <si>
    <t>11-08 AL 16-08-2025</t>
  </si>
  <si>
    <t>18-08 AL 23-08-2025</t>
  </si>
  <si>
    <t>25-08 AL 30-08-2025</t>
  </si>
  <si>
    <t>01-08 AL 30-08-2025</t>
  </si>
  <si>
    <t>SANTAGO ITHURRART</t>
  </si>
  <si>
    <t>ALMAJO SAMET</t>
  </si>
  <si>
    <t>ALMAJO BA AS VILLAGE L221</t>
  </si>
  <si>
    <t>MATIAS ORTIZ MEDAL</t>
  </si>
  <si>
    <t>ALMAJO GRAL RODRIGUEZ</t>
  </si>
  <si>
    <t>MAS HOUSE</t>
  </si>
  <si>
    <t xml:space="preserve">ALMAJO </t>
  </si>
  <si>
    <t>PIGNANELLI</t>
  </si>
  <si>
    <t>EMANUEL PAZ</t>
  </si>
  <si>
    <t>CERRO FEDERACION</t>
  </si>
  <si>
    <t>ESTACION SANTA ELENA</t>
  </si>
  <si>
    <t>MARIO CHOFER GRUA</t>
  </si>
  <si>
    <t>OIKOS</t>
  </si>
  <si>
    <t>ALMAJO LANUS</t>
  </si>
  <si>
    <t>ESTEBAN LOS CARDALES</t>
  </si>
  <si>
    <t>LOPIZZO</t>
  </si>
  <si>
    <t>VICTOR BARRIONUEVO</t>
  </si>
  <si>
    <t>SELVA MARTIRE</t>
  </si>
  <si>
    <t>ELASTICOS JONY LUJAN</t>
  </si>
  <si>
    <t>ALMAJO ESCOBAR</t>
  </si>
  <si>
    <t>DANIEL PISOS IND ESPERANZA</t>
  </si>
  <si>
    <t>01-09 AL 06-09-2025</t>
  </si>
  <si>
    <t>01-06 AL 06-09-2025</t>
  </si>
  <si>
    <t>08-09 AL 13-09-2025</t>
  </si>
  <si>
    <t>15-09 AL 20-09-2025</t>
  </si>
  <si>
    <t>22-09 AL 30-09-2025</t>
  </si>
  <si>
    <t>01-09 AL 30-09-2025</t>
  </si>
  <si>
    <t>ALMAJO MERLO</t>
  </si>
  <si>
    <t>VICTOR FRANCHI</t>
  </si>
  <si>
    <t>REMITO 19334</t>
  </si>
  <si>
    <t>REMITO 19335</t>
  </si>
  <si>
    <t>SALIO MONTACARGA MARCA LIUGONG SERIE A -25</t>
  </si>
  <si>
    <t>SALIO RETRO EXCAVADORA MARCA CAT 320 JUEGO DE LLAVES</t>
  </si>
  <si>
    <t>GEO VIAL</t>
  </si>
  <si>
    <t>ALMAJO OLIVERA CASA</t>
  </si>
  <si>
    <t>GERMAN MEDINA</t>
  </si>
  <si>
    <t>LCE (SCONDO JOSE)</t>
  </si>
  <si>
    <t>REMITO 1300</t>
  </si>
  <si>
    <t>SALIO AUTOELEVADOR LIVGONG</t>
  </si>
  <si>
    <t>SPOSITO (MENDEZ ANDRES)</t>
  </si>
  <si>
    <t>SPOSITO (BRUERA JUAN)</t>
  </si>
  <si>
    <t>SPOSITO (SOTOMAYOR)</t>
  </si>
  <si>
    <t>SPOSITO (ORTIZ CRISTIAN)</t>
  </si>
  <si>
    <t>SPOSITO (OCHOA ANIBAL)</t>
  </si>
  <si>
    <t>SPOSITO (GALLO ROBERTO)</t>
  </si>
  <si>
    <t>LCE (DAMBRIOSO JOSE)</t>
  </si>
  <si>
    <t>JULIO ZAMORA MOSCARDI</t>
  </si>
  <si>
    <t>SPOSITO (ALONSO MIGUEL)</t>
  </si>
  <si>
    <t>SPSOITO (GALLO ROBERTO)</t>
  </si>
  <si>
    <t>REMITO 19344</t>
  </si>
  <si>
    <t>SALIO 2 TACHOS DE 1000 LTS UREA</t>
  </si>
  <si>
    <t>ALMAJO MERCEDES</t>
  </si>
  <si>
    <t>ALMAJO JOSE C PAZ</t>
  </si>
  <si>
    <t>REMITO 1306</t>
  </si>
  <si>
    <t>SALIO TRACTOR MASSEY FERGUSON 6713</t>
  </si>
  <si>
    <t>REMITO 1310</t>
  </si>
  <si>
    <t>SALIO RECORTE DE VARILLAS DE 16MM</t>
  </si>
  <si>
    <t>HERNAN ACOSTA</t>
  </si>
  <si>
    <t>REMITO 1316</t>
  </si>
  <si>
    <t>CINTA TRANSPORTADORA MATSO (DEVOLUCION)</t>
  </si>
  <si>
    <t>SPOSITO (VIVAS LEONEL)</t>
  </si>
  <si>
    <t>REMITO1322</t>
  </si>
  <si>
    <t>SALIO UNA GRUA TEREX - CARRETON  AF 990 AN</t>
  </si>
  <si>
    <t>LCE (CABELLO DAMIAN)</t>
  </si>
  <si>
    <t>SPOSITO (CESAR AGUSTIN)</t>
  </si>
  <si>
    <t>VICTORIA MARTIRE EL ESPINILLO</t>
  </si>
  <si>
    <t>ALMAJO FRENTE FATAGA</t>
  </si>
  <si>
    <t>CONSORCIO PROPIETARIO</t>
  </si>
  <si>
    <t>22-09 AL 27-09-2025</t>
  </si>
  <si>
    <t>01-10 AL 04-10-2025</t>
  </si>
  <si>
    <t>06-10 AL 11-10-2025</t>
  </si>
  <si>
    <t>13-10 AL 18-10-2025</t>
  </si>
  <si>
    <t>20-10 AL 25-10-2025</t>
  </si>
  <si>
    <t>27-10 AL 31-10-2025</t>
  </si>
  <si>
    <t>29-09 AL 30-09-2025</t>
  </si>
  <si>
    <t>01-10 AL 30-10-2025</t>
  </si>
  <si>
    <t>LCE (AGÜERO TOMAS)</t>
  </si>
  <si>
    <t>OSORIO</t>
  </si>
  <si>
    <t>ALBERTO BENITO MORENO</t>
  </si>
  <si>
    <t>LCE (VILLANUEVA GERMAN)</t>
  </si>
  <si>
    <t>CA (CABELLO DAMIAN)</t>
  </si>
  <si>
    <t>ARIEL LOPEZ</t>
  </si>
  <si>
    <t>PATRICIA REY</t>
  </si>
  <si>
    <t>MATIAS BAFFA</t>
  </si>
  <si>
    <t>BANEGA FABIAN</t>
  </si>
  <si>
    <t>PISCINA ADRIANA</t>
  </si>
  <si>
    <t>SALINAS MARCELO</t>
  </si>
  <si>
    <t>ZEGRETTI ALTO DE LUJAN L17</t>
  </si>
  <si>
    <t>ALMAO OLIVERA</t>
  </si>
  <si>
    <t>LAURA CECILIA</t>
  </si>
  <si>
    <t>DIEGO OJEDA</t>
  </si>
  <si>
    <t>OCHOS ANIBAL</t>
  </si>
  <si>
    <t>MD</t>
  </si>
  <si>
    <t>MAPETARD CH DRUMS 220KG</t>
  </si>
  <si>
    <t>ALMAJO PUERTO DE FRUTOS</t>
  </si>
  <si>
    <t>BMYT CONSTRUCTORA</t>
  </si>
  <si>
    <t>DESPRES FERNANDO</t>
  </si>
  <si>
    <t>FIUMARA FRANCO</t>
  </si>
  <si>
    <t>REMITO 1365</t>
  </si>
  <si>
    <t>INGRESA TRACTOR MASSEY FERGUSON 6713 MAS ARADO DE 2 CUERPOS</t>
  </si>
  <si>
    <t>CA (LASTRA MARCELO)</t>
  </si>
  <si>
    <t>OJEDA DIEGO ORLANDO</t>
  </si>
  <si>
    <t>REMITO 1386</t>
  </si>
  <si>
    <t>SALIO PALA EXCAVADORA MARCA: KOMATSU KA 380-6</t>
  </si>
  <si>
    <t>REMITO 1389</t>
  </si>
  <si>
    <t>SALIO RETRO EXCAVADORA A ORUGA MARCA: DEVELON ,MODELO: 225 LCA</t>
  </si>
  <si>
    <t>ZAMORA JULIO</t>
  </si>
  <si>
    <t>REMITO 1393</t>
  </si>
  <si>
    <t>SALIO GRUA TELESCOPICA MARCA : TEREX RT 555</t>
  </si>
  <si>
    <t xml:space="preserve">O </t>
  </si>
  <si>
    <t>CONSTANZO JORGE LUJAN</t>
  </si>
  <si>
    <t>MARTIRE SELVA</t>
  </si>
  <si>
    <t>ACOSTA HERNAN</t>
  </si>
  <si>
    <t>CRISCI LUCIANO</t>
  </si>
  <si>
    <t>ORTIZ MATIAS</t>
  </si>
  <si>
    <t>REMITO 1403</t>
  </si>
  <si>
    <t>REMITO 1404</t>
  </si>
  <si>
    <t>SALIO MOTONIVELADORA MARCA: CAT CATERPILLAR 140K</t>
  </si>
  <si>
    <t>SALIO RETRO DEVELON DX 220 KR 50A (PILOTERA)</t>
  </si>
  <si>
    <t>CICCARELLI FEDERICO</t>
  </si>
  <si>
    <t>SEGOVIA JOSE</t>
  </si>
  <si>
    <t>01-11 AL 08-11-2025</t>
  </si>
  <si>
    <t>10-11 AL 15-11-2025</t>
  </si>
  <si>
    <t>17-11 AL 22-11-2025</t>
  </si>
  <si>
    <t>24-11 AL 29-11-2025</t>
  </si>
  <si>
    <t>01-11 AL 29-11-2025</t>
  </si>
  <si>
    <t>CONTINENTAL NICOLAS</t>
  </si>
  <si>
    <t>MOSCARDI MARCELA</t>
  </si>
  <si>
    <t xml:space="preserve">SOLIS LAURA </t>
  </si>
  <si>
    <t>BAFFA LA COLINA</t>
  </si>
  <si>
    <t>SPOSITO (PALOS MAURICIO)</t>
  </si>
  <si>
    <t>FABIAN FINCAS DON EUGENIO</t>
  </si>
  <si>
    <t>REMITO 1429</t>
  </si>
  <si>
    <t>SALIO ANCLAJES PARA ESTRUCTURAS PARA HORMIGON 21 UNIDADES</t>
  </si>
  <si>
    <t>LOPEZ ARIEL</t>
  </si>
  <si>
    <t>ALMAJO ABDALA</t>
  </si>
  <si>
    <t>SPOSITO (LASTRA MARCELO)</t>
  </si>
  <si>
    <t>SPOSITO (SILVA ARIEL)</t>
  </si>
  <si>
    <t>EMILANO GRUPO MAILO</t>
  </si>
  <si>
    <t>DICIO BELEN</t>
  </si>
  <si>
    <t>VENTAS HERNAN</t>
  </si>
  <si>
    <t>SPOSITO (GARCIA JORGE)</t>
  </si>
  <si>
    <t>A1 CONTRUCTORA</t>
  </si>
  <si>
    <t>01-12 AL 06-12-2025</t>
  </si>
  <si>
    <t>08-12 AL 13-12-2025</t>
  </si>
  <si>
    <t>15-12 AL 20-12-2025</t>
  </si>
  <si>
    <t>25-12 AL 31-12-2025</t>
  </si>
  <si>
    <t>01-12 AL 31-12-2025</t>
  </si>
  <si>
    <t>CA (FERNENDEZ IVAN)</t>
  </si>
  <si>
    <t>CA (VILLANUEVA GERMAN)</t>
  </si>
  <si>
    <t>LCE (DAMBROSIO)</t>
  </si>
  <si>
    <t>MELO GRUAS</t>
  </si>
  <si>
    <t>REMITO 1454</t>
  </si>
  <si>
    <t>SALIO PALA EXCAVADORA TIPO BOB CAT 236 D3</t>
  </si>
  <si>
    <t>ITHURRART SANTIAGO</t>
  </si>
  <si>
    <t>MEDINA GERMAN</t>
  </si>
  <si>
    <t>CA (RISSO JOSE)</t>
  </si>
  <si>
    <t>VENTURA CLAUDIO</t>
  </si>
  <si>
    <t>ELISEO</t>
  </si>
  <si>
    <t>CRISCI JULIO</t>
  </si>
  <si>
    <t>REMITO 1463</t>
  </si>
  <si>
    <t>SALIO TRACTOR MARCA : MASSET FERGUSON MODELO 6713</t>
  </si>
  <si>
    <t>SPOSITO ( FIRPO)</t>
  </si>
  <si>
    <t>CAÑETE FRANCISCO</t>
  </si>
  <si>
    <t>SAIA DARIO</t>
  </si>
  <si>
    <t>CRECHET CARLOS</t>
  </si>
  <si>
    <t>NUÑEZ GUSTAVO</t>
  </si>
  <si>
    <t>PANTONE ARGENTINA</t>
  </si>
  <si>
    <t>REY PATRICIA</t>
  </si>
  <si>
    <t>MARTIRE VICTORIA</t>
  </si>
  <si>
    <t>ZEGRETTI ALTO DE LUJAN L1</t>
  </si>
  <si>
    <t>JAVIER RE</t>
  </si>
  <si>
    <t>CA</t>
  </si>
  <si>
    <t>MESSEL</t>
  </si>
  <si>
    <t>OJEDA DIEGO</t>
  </si>
  <si>
    <t>PLV SRL</t>
  </si>
  <si>
    <t>SPOSITO</t>
  </si>
  <si>
    <t>LCE</t>
  </si>
  <si>
    <t>RODRIGUEZ LUCAS</t>
  </si>
  <si>
    <t>REMITO 1488</t>
  </si>
  <si>
    <t>SALIO RETROPALA MINI EXCAVADORA TIPO BOB CAT CATERPILLAR 236 D3</t>
  </si>
  <si>
    <t>01-01 AL 10-01-2026</t>
  </si>
  <si>
    <t>01-01 AL 31-01-2026</t>
  </si>
  <si>
    <t>12-01 AL 17-01-2026</t>
  </si>
  <si>
    <t>19-01 AL 24-01-2026</t>
  </si>
  <si>
    <t>26-01 AL 31-01-2026</t>
  </si>
  <si>
    <t>MARTIN LA COLINA</t>
  </si>
  <si>
    <t>OIKOS DON EUGENIO</t>
  </si>
  <si>
    <t>ALMAJO PANAMERICANA KM 28</t>
  </si>
  <si>
    <t>REMITO 1493</t>
  </si>
  <si>
    <t>INGRESO MOSQUITERO</t>
  </si>
  <si>
    <t>REMITO 1495</t>
  </si>
  <si>
    <t>SALIO 2 BINERS DE 1000 LTS</t>
  </si>
  <si>
    <t>REMITO 1500</t>
  </si>
  <si>
    <t>SALIO RETRO PILOTERA A ORUGAS , MARCA DEVELON , MODELO DX220 - KR 50A. UN JUEGO DE LLAVES</t>
  </si>
  <si>
    <t>FIUMARA FRANCO FINCAS DON EUGENI</t>
  </si>
  <si>
    <t>SEGOVIA JOSE CHOFER</t>
  </si>
  <si>
    <t>CONTINENTAL NICOLAS SAN SEBASTIAN</t>
  </si>
  <si>
    <t xml:space="preserve"> JAVIER RE GRAL RODRIGUEZ</t>
  </si>
  <si>
    <t>JAVIER RE GRAL RODRIGUEZ</t>
  </si>
  <si>
    <t>CANDELA REAL SALAS</t>
  </si>
  <si>
    <t>EMILIANO GRUPO MAILO</t>
  </si>
  <si>
    <t>BENITO ALBERTO</t>
  </si>
  <si>
    <t>REMITO 1508</t>
  </si>
  <si>
    <t>SALIO MINI PALA 24-06 D</t>
  </si>
  <si>
    <t>PAPESCHI MARIANO</t>
  </si>
  <si>
    <t>MFB</t>
  </si>
  <si>
    <t>MAPEFILL E BASGS 25KG</t>
  </si>
  <si>
    <t>S45</t>
  </si>
  <si>
    <t>SELLADOR (MAPEFLEX PU 45 FT 111 GREY 20X 600ML</t>
  </si>
  <si>
    <t>REMITO 1521</t>
  </si>
  <si>
    <t>SALIO CAMION CON VOLCADORA MERCEDES BENZ ACCELO 1016</t>
  </si>
  <si>
    <t>PAZ EMNAUEL</t>
  </si>
  <si>
    <t>PVL SRL</t>
  </si>
  <si>
    <t>REMITO 1528</t>
  </si>
  <si>
    <t>SALIO 1 BIDON PULPITO X10 LTS / 20 CUBIERTAS DE 295 / 1 CUCHILLA PARA BALDE TIPO PALA / 2 BATERIAS CHICAS 110 / 2 BATERIAS GRANDES</t>
  </si>
  <si>
    <t>GUZMAN BEATRIZ</t>
  </si>
  <si>
    <t>IFRAN GERMAN</t>
  </si>
  <si>
    <t>VENTURA JOSE PILAR</t>
  </si>
  <si>
    <t>RIMAULO GISELA</t>
  </si>
  <si>
    <t>REMITO 1540</t>
  </si>
  <si>
    <t>SALIO MARTILLO BOB CAT</t>
  </si>
  <si>
    <t>REMITO1541</t>
  </si>
  <si>
    <t>SALIO TRACTOR MASSEY FERCUSON 6713</t>
  </si>
  <si>
    <t>02-02 AL 07-02-2026</t>
  </si>
  <si>
    <t>09-02 AL 14-02-2026</t>
  </si>
  <si>
    <t>REMITO 1544</t>
  </si>
  <si>
    <t>SALIO MANITOU AUTOELEVADOR</t>
  </si>
  <si>
    <t>REMITO 1549</t>
  </si>
  <si>
    <t>SALIO TIJERA AUTOELEVADOR</t>
  </si>
  <si>
    <t>REMITO 1554</t>
  </si>
  <si>
    <t>RETRO EXCAVADORA A ORUGA DE BALDE MARCA KOMATSU MODELO PC 210 LC</t>
  </si>
  <si>
    <t>EQUIMAC</t>
  </si>
  <si>
    <t>PAGANO JUAN PABLO</t>
  </si>
  <si>
    <t>LA FURIA</t>
  </si>
  <si>
    <t>GOMEZ EMANUEL</t>
  </si>
  <si>
    <t>CONSORCIO DE PROPIETARIO</t>
  </si>
  <si>
    <t>REMITO 1567</t>
  </si>
  <si>
    <t>SALIO ENRROLLADOR MODELO PRINCIPAL DISPLAY</t>
  </si>
  <si>
    <t>SEQUEIRA ROCIO</t>
  </si>
  <si>
    <t>REMITO 1568</t>
  </si>
  <si>
    <t>SALIO RETRO EXCAVADORA A ORUGA CATERPILLAR 320 CAMPO ALTO UBAJAY / UN JUEGO DE LLAVES GENERICOS (CARMEN DE ARECO)</t>
  </si>
  <si>
    <t>SEBASTIAN PISOS IND</t>
  </si>
  <si>
    <t>ALMAJO LA REJA</t>
  </si>
  <si>
    <t>PASPECHI MARIANO</t>
  </si>
  <si>
    <t>01-02 AL 28-02-2026</t>
  </si>
  <si>
    <t>16-02 AL 21-02-2026</t>
  </si>
  <si>
    <t>23-02 AL 28-02-2026</t>
  </si>
  <si>
    <t>02-03 AL 07-03-2026</t>
  </si>
  <si>
    <t>09-03 AL 14-03-2026</t>
  </si>
  <si>
    <t>16-03 AL 21-03-2026</t>
  </si>
  <si>
    <t>23-03 AL 31-03-2026</t>
  </si>
  <si>
    <t>01-03 AL 31-03-2026</t>
  </si>
  <si>
    <t>CORREA ANGEL</t>
  </si>
  <si>
    <t>REMITO 1573</t>
  </si>
  <si>
    <t>SALIO EXCAVADORA TIPO BOB CAT CATERPILLAR 236 D3 / 2 MARTILLOS BOB CAT / 2 MECHAS BOB CAT</t>
  </si>
  <si>
    <t>REMITO 1575</t>
  </si>
  <si>
    <t>SALIO LLAVE (COPIA) RETRO DEVELON DX 220 KR50 A (PILOTERA) / CAJA DE HERRAMIENTAS</t>
  </si>
  <si>
    <t>REMITO1574</t>
  </si>
  <si>
    <t>SALIO EXCAVADORA TIPO BOB CAT CATERPILLAR MODELO 246 D3</t>
  </si>
  <si>
    <t>JUAN MARTIN ARQUITECTO</t>
  </si>
  <si>
    <t>CEJAS ALEJANDRA</t>
  </si>
  <si>
    <t>REMITO 1593</t>
  </si>
  <si>
    <t>SALIO CIGÜEÑA HIDRAULICA MARCA JLG LIFT MODELO 450A SERIE 2</t>
  </si>
  <si>
    <t>ZEGRETTI GABRIEL</t>
  </si>
  <si>
    <t>ACOPIO RUTA 25</t>
  </si>
  <si>
    <t>ALCABLE LUJAN</t>
  </si>
  <si>
    <t>PABLO AGUILERA ZORRILLA</t>
  </si>
  <si>
    <t>REMITO 1612</t>
  </si>
  <si>
    <t>SALIO 2 BALDES DE PERFORADORES PARA DEVELON (PILOTERA) / 1 BALDE DE 30MM / 1 BALDE DE 40MM.</t>
  </si>
  <si>
    <t>01-04 AL 11-04-2026</t>
  </si>
  <si>
    <t>01-04 AL 30-04-2026</t>
  </si>
  <si>
    <t>13-04 AL 18-04-2026</t>
  </si>
  <si>
    <t>20-04 AL 25-04-2026</t>
  </si>
  <si>
    <t>27-04 AL 30-04-2026</t>
  </si>
  <si>
    <t>ALMAJO CAMPING SUTIAGA</t>
  </si>
  <si>
    <t>REMITO 1616</t>
  </si>
  <si>
    <t>SALIO TIJRA AUTOELEVADOR</t>
  </si>
  <si>
    <t>REMITO 1619</t>
  </si>
  <si>
    <t>SALIO 4 CUBIERTAS 205/60 R15</t>
  </si>
  <si>
    <t>PETRILLI GISELL</t>
  </si>
  <si>
    <t>REMITO 1630</t>
  </si>
  <si>
    <t>SALIO BASE PARA PILOTINES DE HORMIGON ELABORADO X 6 UNIDADES</t>
  </si>
  <si>
    <t>ALMAJO IBICUY</t>
  </si>
  <si>
    <t>ALMAJO MORENO</t>
  </si>
  <si>
    <t>VIZCAINO MARLEN</t>
  </si>
  <si>
    <t>ELASTICO JONY LUJAN</t>
  </si>
  <si>
    <t>ALMAJO SARGENTO</t>
  </si>
  <si>
    <t>DIAZ PABLO</t>
  </si>
  <si>
    <t>04-05 AL 09-05-2026</t>
  </si>
  <si>
    <t>11-05 AL 16-05-2026</t>
  </si>
  <si>
    <t>18-05 AL 23-05-2026</t>
  </si>
  <si>
    <t>25-05 AL 30-05-2026</t>
  </si>
  <si>
    <t>25-05- AL 30-05-2026</t>
  </si>
  <si>
    <t>01-05 AL 31-05-2026</t>
  </si>
  <si>
    <t>ALMAJO COVELIA</t>
  </si>
  <si>
    <t>NICOLAS CONTINENTAL</t>
  </si>
  <si>
    <t>ALMAJO CAMPANA</t>
  </si>
  <si>
    <t>JORGE HABAN</t>
  </si>
  <si>
    <t>ELECTROTECNIA GW SA</t>
  </si>
  <si>
    <t>ALMAJAO LUJAN</t>
  </si>
  <si>
    <t>DIEGO LUJAN</t>
  </si>
  <si>
    <t>YANINA TEDESCO</t>
  </si>
  <si>
    <t>01-06 AL 06-06-2026</t>
  </si>
  <si>
    <t>08-06 AL 13-06-2026</t>
  </si>
  <si>
    <t>08-06 AL 13-06-206</t>
  </si>
  <si>
    <t>15-06 AL 20-06-2026</t>
  </si>
  <si>
    <t>22-06 AL 30-06-2026</t>
  </si>
  <si>
    <t>01-06 AL 30-06-2026</t>
  </si>
  <si>
    <t>HABAN JORGE</t>
  </si>
  <si>
    <t>TEDESCO YANINA</t>
  </si>
  <si>
    <t>QUIROZ JULIAN</t>
  </si>
  <si>
    <t>GUTIERREZ DIEGO</t>
  </si>
  <si>
    <t>DIEGO GUTIERREZ</t>
  </si>
  <si>
    <t>DIEGO OPEN DOOR</t>
  </si>
  <si>
    <t>SOCIEDAD ADM LUJAN</t>
  </si>
  <si>
    <t>ALMAJO BARADERO</t>
  </si>
  <si>
    <t>BA</t>
  </si>
  <si>
    <t>LUBFIL DIEGO</t>
  </si>
  <si>
    <t>MAYTE</t>
  </si>
  <si>
    <t>GLATTI GLADYS</t>
  </si>
  <si>
    <t>T</t>
  </si>
  <si>
    <t>01-07 AL 11-07-2026</t>
  </si>
  <si>
    <t>CALVENTE JOAQUIN</t>
  </si>
  <si>
    <t>ZARZA DAMIAN</t>
  </si>
  <si>
    <t>BRITEZ LEANDRO SAKURA 2</t>
  </si>
  <si>
    <t>LUCHETTI JUAN</t>
  </si>
  <si>
    <t>MODICA JUAN</t>
  </si>
  <si>
    <t>HORMIGONERA CAMPANA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</si>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</sst>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$_-;\-* #,##0.00\ _$_-;_-* &quot;-&quot;??\ _$_-;_-@_-"/>
    <numFmt numFmtId="165" formatCode="#,##0.00;[Red]#,##0.00"/>
    <numFmt numFmtId="166" formatCode="_-* #,##0.000\ _$_-;\-* #,##0.000\ _$_-;_-* &quot;-&quot;??\ _$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8">
    <xf numFmtId="0" fontId="0" fillId="0" borderId="0" xfId="0"/>
    <xf numFmtId="49" fontId="0" fillId="0" borderId="0" xfId="0" applyNumberFormat="1" applyAlignment="1"/>
    <xf numFmtId="0" fontId="0" fillId="0" borderId="0" xfId="1" applyNumberFormat="1" applyFont="1"/>
    <xf numFmtId="49" fontId="0" fillId="0" borderId="1" xfId="0" applyNumberFormat="1" applyBorder="1" applyAlignment="1"/>
    <xf numFmtId="0" fontId="0" fillId="0" borderId="1" xfId="1" applyNumberFormat="1" applyFont="1" applyBorder="1"/>
    <xf numFmtId="0" fontId="2" fillId="2" borderId="1" xfId="0" applyFont="1" applyFill="1" applyBorder="1"/>
    <xf numFmtId="0" fontId="2" fillId="3" borderId="1" xfId="0" applyFont="1" applyFill="1" applyBorder="1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16" fontId="0" fillId="0" borderId="1" xfId="1" applyNumberFormat="1" applyFont="1" applyBorder="1"/>
    <xf numFmtId="49" fontId="2" fillId="4" borderId="1" xfId="0" applyNumberFormat="1" applyFont="1" applyFill="1" applyBorder="1" applyAlignment="1"/>
    <xf numFmtId="0" fontId="2" fillId="4" borderId="1" xfId="1" applyNumberFormat="1" applyFont="1" applyFill="1" applyBorder="1"/>
    <xf numFmtId="0" fontId="2" fillId="4" borderId="1" xfId="0" applyFont="1" applyFill="1" applyBorder="1"/>
    <xf numFmtId="0" fontId="2" fillId="5" borderId="0" xfId="0" applyFont="1" applyFill="1" applyAlignment="1">
      <alignment horizontal="center" vertical="top"/>
    </xf>
    <xf numFmtId="0" fontId="0" fillId="5" borderId="1" xfId="1" applyNumberFormat="1" applyFont="1" applyFill="1" applyBorder="1"/>
    <xf numFmtId="0" fontId="0" fillId="5" borderId="0" xfId="0" applyFill="1"/>
    <xf numFmtId="14" fontId="0" fillId="0" borderId="1" xfId="0" applyNumberFormat="1" applyBorder="1"/>
    <xf numFmtId="0" fontId="0" fillId="5" borderId="1" xfId="0" applyFill="1" applyBorder="1"/>
    <xf numFmtId="0" fontId="0" fillId="0" borderId="0" xfId="0" applyFill="1" applyBorder="1"/>
    <xf numFmtId="0" fontId="0" fillId="0" borderId="0" xfId="0" applyFill="1"/>
    <xf numFmtId="49" fontId="0" fillId="0" borderId="1" xfId="0" applyNumberFormat="1" applyFill="1" applyBorder="1" applyAlignment="1"/>
    <xf numFmtId="164" fontId="0" fillId="0" borderId="1" xfId="1" applyFont="1" applyBorder="1"/>
    <xf numFmtId="0" fontId="0" fillId="4" borderId="0" xfId="0" applyFill="1"/>
    <xf numFmtId="0" fontId="0" fillId="0" borderId="4" xfId="0" applyBorder="1"/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9" xfId="1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1" xfId="1" applyFont="1" applyBorder="1" applyAlignment="1">
      <alignment horizontal="center"/>
    </xf>
    <xf numFmtId="164" fontId="0" fillId="0" borderId="11" xfId="1" applyFont="1" applyBorder="1"/>
    <xf numFmtId="0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 wrapText="1"/>
    </xf>
    <xf numFmtId="0" fontId="0" fillId="0" borderId="0" xfId="0" applyNumberFormat="1"/>
    <xf numFmtId="165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6" borderId="1" xfId="1" applyNumberFormat="1" applyFont="1" applyFill="1" applyBorder="1"/>
    <xf numFmtId="16" fontId="0" fillId="6" borderId="1" xfId="1" applyNumberFormat="1" applyFont="1" applyFill="1" applyBorder="1"/>
    <xf numFmtId="0" fontId="0" fillId="0" borderId="13" xfId="0" applyBorder="1"/>
    <xf numFmtId="0" fontId="0" fillId="8" borderId="14" xfId="0" applyFill="1" applyBorder="1"/>
    <xf numFmtId="0" fontId="0" fillId="0" borderId="15" xfId="0" applyBorder="1"/>
    <xf numFmtId="0" fontId="0" fillId="0" borderId="16" xfId="0" applyBorder="1"/>
    <xf numFmtId="0" fontId="2" fillId="5" borderId="0" xfId="0" applyFont="1" applyFill="1" applyBorder="1" applyAlignment="1">
      <alignment horizontal="center" vertical="top"/>
    </xf>
    <xf numFmtId="0" fontId="0" fillId="0" borderId="17" xfId="0" applyBorder="1"/>
    <xf numFmtId="49" fontId="2" fillId="4" borderId="18" xfId="0" applyNumberFormat="1" applyFont="1" applyFill="1" applyBorder="1" applyAlignment="1"/>
    <xf numFmtId="0" fontId="2" fillId="4" borderId="19" xfId="0" applyFont="1" applyFill="1" applyBorder="1"/>
    <xf numFmtId="0" fontId="0" fillId="6" borderId="23" xfId="1" applyNumberFormat="1" applyFont="1" applyFill="1" applyBorder="1"/>
    <xf numFmtId="0" fontId="2" fillId="9" borderId="0" xfId="0" applyFont="1" applyFill="1" applyAlignment="1">
      <alignment horizontal="center" vertical="top"/>
    </xf>
    <xf numFmtId="0" fontId="2" fillId="9" borderId="0" xfId="0" applyFont="1" applyFill="1" applyAlignment="1">
      <alignment horizontal="center" vertical="center"/>
    </xf>
    <xf numFmtId="164" fontId="0" fillId="0" borderId="0" xfId="1" applyFont="1"/>
    <xf numFmtId="164" fontId="0" fillId="7" borderId="19" xfId="1" applyFont="1" applyFill="1" applyBorder="1"/>
    <xf numFmtId="0" fontId="0" fillId="0" borderId="5" xfId="0" applyFill="1" applyBorder="1"/>
    <xf numFmtId="164" fontId="0" fillId="0" borderId="4" xfId="1" applyNumberFormat="1" applyFont="1" applyBorder="1"/>
    <xf numFmtId="164" fontId="0" fillId="0" borderId="11" xfId="1" applyNumberFormat="1" applyFont="1" applyBorder="1"/>
    <xf numFmtId="164" fontId="0" fillId="0" borderId="11" xfId="1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0" borderId="5" xfId="1" applyFont="1" applyFill="1" applyBorder="1"/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164" fontId="0" fillId="0" borderId="1" xfId="1" applyFont="1" applyFill="1" applyBorder="1"/>
    <xf numFmtId="0" fontId="0" fillId="0" borderId="6" xfId="0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164" fontId="0" fillId="0" borderId="1" xfId="1" applyNumberFormat="1" applyFont="1" applyBorder="1"/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6" borderId="4" xfId="1" applyNumberFormat="1" applyFont="1" applyFill="1" applyBorder="1"/>
    <xf numFmtId="164" fontId="0" fillId="7" borderId="24" xfId="1" applyFont="1" applyFill="1" applyBorder="1"/>
    <xf numFmtId="164" fontId="0" fillId="7" borderId="1" xfId="0" applyNumberFormat="1" applyFill="1" applyBorder="1"/>
    <xf numFmtId="164" fontId="0" fillId="0" borderId="9" xfId="1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5" xfId="1" applyNumberFormat="1" applyFont="1" applyBorder="1" applyAlignment="1">
      <alignment horizontal="center"/>
    </xf>
    <xf numFmtId="164" fontId="0" fillId="0" borderId="25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66" fontId="0" fillId="0" borderId="4" xfId="1" applyNumberFormat="1" applyFont="1" applyBorder="1"/>
    <xf numFmtId="166" fontId="0" fillId="0" borderId="11" xfId="1" applyNumberFormat="1" applyFont="1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1" applyNumberFormat="1" applyFont="1" applyBorder="1"/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8" borderId="20" xfId="0" applyNumberForma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49" fontId="0" fillId="8" borderId="22" xfId="0" applyNumberForma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4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$_-;\-* #,##0.00\ _$_-;_-* &quot;-&quot;??\ _$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0\ _$_-;\-* #,##0.000\ _$_-;_-* &quot;-&quot;??\ _$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_-* #,##0.000\ _$_-;\-* #,##0.000\ _$_-;_-* &quot;-&quot;??\ _$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$_-;\-* #,##0.00\ _$_-;_-* &quot;-&quot;??\ _$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A75ACA-DE8C-4117-81A7-293DCDD27BD2}" name="Tabla797" displayName="Tabla797" ref="A5:F23" totalsRowShown="0" headerRowDxfId="136" headerRowBorderDxfId="135" tableBorderDxfId="134" totalsRowBorderDxfId="133">
  <autoFilter ref="A5:F23" xr:uid="{11596D09-FC4E-4FC3-900F-6D223B47EBC3}"/>
  <tableColumns count="6">
    <tableColumn id="1" xr3:uid="{8687972C-6B7F-4919-8DD0-A9D8C4C3EAB2}" name="CODIGO DEL PRODUCTO" dataDxfId="132"/>
    <tableColumn id="2" xr3:uid="{C5463AAF-7D3B-425E-8EE0-13BAE077EB7C}" name="DESCRIPCION" dataDxfId="131"/>
    <tableColumn id="3" xr3:uid="{A2F9156C-88CD-4ED1-8230-95E3F7AD1C40}" name="EXISTENCIAS INICIALES" dataDxfId="130"/>
    <tableColumn id="4" xr3:uid="{0EF93FE3-C066-45B7-83B6-2CC8E6713408}" name="ENTRADAS" dataDxfId="129" dataCellStyle="Millares">
      <calculatedColumnFormula>SUMIF(Tabla91116[CODIGO DEL PRODUCTO],Tabla797[[#This Row],[CODIGO DEL PRODUCTO]],Tabla91116[CANTIDAD KG])/1000</calculatedColumnFormula>
    </tableColumn>
    <tableColumn id="5" xr3:uid="{85FAAF10-4060-4DFE-8ADD-7B222BE65107}" name="SALIDAS" dataDxfId="128" dataCellStyle="Millares">
      <calculatedColumnFormula>SUMIF(Tabla81015[CODIGO DEL PRODUCTO],Tabla797[[#This Row],[CODIGO DEL PRODUCTO]],Tabla81015[CANTIDAD KG])/1000</calculatedColumnFormula>
    </tableColumn>
    <tableColumn id="6" xr3:uid="{4B49D0AC-CDA4-4A06-9A83-3623415B0115}" name="STOCK TN" dataDxfId="127" dataCellStyle="Millares">
      <calculatedColumnFormula>Tabla797[[#This Row],[EXISTENCIAS INICIALES]]+Tabla797[[#This Row],[ENTRADAS]]-Tabla797[[#This Row],[SALIDAS]]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2436ED-3017-4E20-AD67-473D29100FAA}" name="Tabla81015" displayName="Tabla81015" ref="H5:N1083" totalsRowShown="0" headerRowDxfId="126" dataDxfId="124" headerRowBorderDxfId="125" tableBorderDxfId="123" totalsRowBorderDxfId="122">
  <autoFilter ref="H5:N1083" xr:uid="{B04910EB-9F64-4EBE-9AA1-3DEEAC48CC11}"/>
  <tableColumns count="7">
    <tableColumn id="1" xr3:uid="{552841C8-D2D7-4489-8831-98F5A01C4B7F}" name="REMITOS" dataDxfId="121"/>
    <tableColumn id="6" xr3:uid="{731B0204-2777-439E-8137-38366D95A8FC}" name="OBSERVACION" dataDxfId="120"/>
    <tableColumn id="2" xr3:uid="{9ADFE668-657D-4EFD-98EB-CC761771D722}" name="FECHA" dataDxfId="119"/>
    <tableColumn id="3" xr3:uid="{A1F71EEF-B3B2-4CDA-8D4C-3CCAC2DBE102}" name="CODIGO DEL PRODUCTO" dataDxfId="118"/>
    <tableColumn id="4" xr3:uid="{CB576425-1181-415D-AA7A-6C644835FDE4}" name="DESCRIPCION " dataDxfId="117">
      <calculatedColumnFormula>VLOOKUP(Tabla81015[[#This Row],[CODIGO DEL PRODUCTO]],Tabla79[],2,FALSE)</calculatedColumnFormula>
    </tableColumn>
    <tableColumn id="5" xr3:uid="{3146628B-7221-4B5D-9ED5-8D858E90BB8E}" name="CANTIDAD KG" dataDxfId="116" dataCellStyle="Millares"/>
    <tableColumn id="7" xr3:uid="{4BCECCF4-0D6E-4711-A1C3-64F589B2F3B1}" name="Columna1" dataDxfId="11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515A5B6-E048-400C-811A-AA1BA761CEB8}" name="Tabla91116" displayName="Tabla91116" ref="O5:T3000" totalsRowShown="0" headerRowDxfId="114" dataDxfId="112" headerRowBorderDxfId="113" tableBorderDxfId="111" totalsRowBorderDxfId="110">
  <autoFilter ref="O5:T3000" xr:uid="{2D1E0D1E-F11D-427A-B72B-7F51E8F18C19}"/>
  <sortState xmlns:xlrd2="http://schemas.microsoft.com/office/spreadsheetml/2017/richdata2" ref="O6:T3000">
    <sortCondition ref="Q5:Q3000"/>
  </sortState>
  <tableColumns count="6">
    <tableColumn id="1" xr3:uid="{5801A43B-7393-43E2-B0AC-4197C7B4A5BC}" name="REMITOS" dataDxfId="109"/>
    <tableColumn id="6" xr3:uid="{F9F45F6E-72DB-4BB3-9978-5788AFD50401}" name="OBSERVACION" dataDxfId="108"/>
    <tableColumn id="2" xr3:uid="{38624841-CE0C-4649-A969-351A694D9595}" name="FECHA" dataDxfId="107"/>
    <tableColumn id="3" xr3:uid="{59FAF797-9758-4872-BA8B-AFF8AB7F5EDC}" name="CODIGO DEL PRODUCTO" dataDxfId="106"/>
    <tableColumn id="4" xr3:uid="{58299343-4743-4CE4-8532-7D4441C15A3E}" name="DESCRIPCION " dataDxfId="105">
      <calculatedColumnFormula>VLOOKUP(Tabla91116[[#This Row],[CODIGO DEL PRODUCTO]],Tabla797[],2,FALSE)</calculatedColumnFormula>
    </tableColumn>
    <tableColumn id="5" xr3:uid="{77EF5DF2-4309-4971-A9EF-A05A141D6A7C}" name="CANTIDAD KG" dataDxfId="104" dataCellStyle="Millares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C5A75F-A5B9-4249-8795-86C378CF04E0}" name="Tabla79" displayName="Tabla79" ref="A5:F21" totalsRowShown="0" headerRowDxfId="99" headerRowBorderDxfId="98" tableBorderDxfId="97" totalsRowBorderDxfId="96">
  <autoFilter ref="A5:F21" xr:uid="{CA73CEAC-102E-486E-8837-AD6F5B31FFB7}"/>
  <tableColumns count="6">
    <tableColumn id="1" xr3:uid="{794E787B-9ABD-4E2A-B554-898F242141EB}" name="CODIGO DEL PRODUCTO" dataDxfId="95"/>
    <tableColumn id="2" xr3:uid="{546368DD-29FB-4A79-802E-862EA41E18AB}" name="DESCRIPCION" dataDxfId="94"/>
    <tableColumn id="3" xr3:uid="{74487DD3-01E5-4494-98FF-1B52189DF9FE}" name="EXISTENCIAS INICIALES" dataDxfId="93"/>
    <tableColumn id="4" xr3:uid="{A24EC57D-90C7-4163-9275-F61B078A03A6}" name="ENTRADAS" dataDxfId="92" dataCellStyle="Millares">
      <calculatedColumnFormula>SUMIF(Tabla911[CODIGO DEL PRODUCTO],Tabla79[[#This Row],[CODIGO DEL PRODUCTO]],Tabla911[CANTIDAD KG])/1000</calculatedColumnFormula>
    </tableColumn>
    <tableColumn id="5" xr3:uid="{85953C59-229F-4F98-87B4-CF594D0088ED}" name="SALIDAS" dataDxfId="91" dataCellStyle="Millares">
      <calculatedColumnFormula>SUMIF(Tabla810[CODIGO DEL PRODUCTO],Tabla79[[#This Row],[CODIGO DEL PRODUCTO]],Tabla810[CANTIDAD KG])/1000</calculatedColumnFormula>
    </tableColumn>
    <tableColumn id="6" xr3:uid="{03BA0B6C-3E8A-4F93-B2AE-48D678DB86F3}" name="STOCK TN" dataDxfId="90" dataCellStyle="Millares">
      <calculatedColumnFormula>Tabla79[[#This Row],[EXISTENCIAS INICIALES]]+Tabla79[[#This Row],[ENTRADAS]]-Tabla79[[#This Row],[SALIDAS]]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E8754C-AE87-4BBD-8FC7-7AC9C793F43D}" name="Tabla810" displayName="Tabla810" ref="H5:M1083" totalsRowShown="0" headerRowDxfId="89" dataDxfId="87" headerRowBorderDxfId="88" tableBorderDxfId="86" totalsRowBorderDxfId="85">
  <autoFilter ref="H5:M1083" xr:uid="{68EB7D16-AB71-4FD4-990B-3F4CDF6483C7}"/>
  <tableColumns count="6">
    <tableColumn id="1" xr3:uid="{D8F6E919-BE69-4C1A-BF6F-A175494C9E84}" name="REMITOS" dataDxfId="84"/>
    <tableColumn id="6" xr3:uid="{F25B6A57-0C51-4096-AA0F-E1E8D1AC2FCA}" name="OBSERVACION" dataDxfId="83"/>
    <tableColumn id="2" xr3:uid="{648AE951-81C6-4D70-A0D9-7CF5FD474C3A}" name="FECHA" dataDxfId="82"/>
    <tableColumn id="3" xr3:uid="{559EB8D1-1A5C-44CC-AAFD-C85AD032D25A}" name="CODIGO DEL PRODUCTO" dataDxfId="81"/>
    <tableColumn id="4" xr3:uid="{BE32A10B-44A1-41CB-A90F-380B2E59922A}" name="DESCRIPCION " dataDxfId="80">
      <calculatedColumnFormula>VLOOKUP(Tabla810[[#This Row],[CODIGO DEL PRODUCTO]],Tabla79[],2,FALSE)</calculatedColumnFormula>
    </tableColumn>
    <tableColumn id="5" xr3:uid="{A671F299-EE86-4DC1-A5F2-6B19753076AF}" name="CANTIDAD KG" dataDxfId="79" dataCellStyle="Millares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3985B0-C679-4E8F-A42B-028FB9DF2DBB}" name="Tabla911" displayName="Tabla911" ref="O5:U3000" totalsRowShown="0" headerRowDxfId="78" dataDxfId="76" headerRowBorderDxfId="77" tableBorderDxfId="75" totalsRowBorderDxfId="74">
  <autoFilter ref="O5:U3000" xr:uid="{762B6BAD-9D48-467E-9D2A-1E62F56B84AE}"/>
  <tableColumns count="7">
    <tableColumn id="1" xr3:uid="{53E31FD8-21C2-4FFB-B17F-5E6D1A7FF370}" name="REMITOS" dataDxfId="73"/>
    <tableColumn id="6" xr3:uid="{A2DFD763-98D6-4AD6-AA2E-0B999107156A}" name="OBSERVACION" dataDxfId="72"/>
    <tableColumn id="2" xr3:uid="{940807EF-038A-4EFA-BD8F-67B6F3C594BA}" name="FECHA" dataDxfId="71"/>
    <tableColumn id="3" xr3:uid="{DDC18BFE-DF33-4476-9BDA-14B2664AB69B}" name="CODIGO DEL PRODUCTO" dataDxfId="70"/>
    <tableColumn id="4" xr3:uid="{1BE87305-0D0A-4E1A-B68B-1EC0872D7C87}" name="DESCRIPCION " dataDxfId="69">
      <calculatedColumnFormula>VLOOKUP(Tabla911[[#This Row],[CODIGO DEL PRODUCTO]],Tabla7[],2,FALSE)</calculatedColumnFormula>
    </tableColumn>
    <tableColumn id="5" xr3:uid="{8A34C8CF-7578-41A7-A237-91EEFB6EB75E}" name="CANTIDAD KG" dataDxfId="68" dataCellStyle="Millares"/>
    <tableColumn id="7" xr3:uid="{CB39B0D3-4E09-43A5-9383-42860598DA57}" name="Columna1" dataDxfId="67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7" displayName="Tabla7" ref="A5:F16" totalsRowShown="0" headerRowDxfId="64" headerRowBorderDxfId="63" tableBorderDxfId="62" totalsRowBorderDxfId="61">
  <autoFilter ref="A5:F16" xr:uid="{00000000-0009-0000-0100-000001000000}"/>
  <tableColumns count="6">
    <tableColumn id="1" xr3:uid="{00000000-0010-0000-0000-000001000000}" name="CODIGO DEL PRODUCTO" dataDxfId="60"/>
    <tableColumn id="2" xr3:uid="{00000000-0010-0000-0000-000002000000}" name="DESCRIPCION" dataDxfId="59"/>
    <tableColumn id="3" xr3:uid="{00000000-0010-0000-0000-000003000000}" name="EXISTENCIAS INICIALES" dataDxfId="58"/>
    <tableColumn id="4" xr3:uid="{00000000-0010-0000-0000-000004000000}" name="ENTRADAS" dataDxfId="57" dataCellStyle="Millares">
      <calculatedColumnFormula>SUMIF(Tabla9[CODIGO DEL PRODUCTO],Tabla7[[#This Row],[CODIGO DEL PRODUCTO]],Tabla9[CANTIDAD KG])/1000</calculatedColumnFormula>
    </tableColumn>
    <tableColumn id="5" xr3:uid="{00000000-0010-0000-0000-000005000000}" name="SALIDAS" dataDxfId="56" dataCellStyle="Millares">
      <calculatedColumnFormula>SUMIF(Tabla8[CODIGO DEL PRODUCTO],Tabla7[[#This Row],[CODIGO DEL PRODUCTO]],Tabla8[CANTIDAD KG])/1000</calculatedColumnFormula>
    </tableColumn>
    <tableColumn id="6" xr3:uid="{00000000-0010-0000-0000-000006000000}" name="STOCK TN" dataDxfId="55" dataCellStyle="Millares">
      <calculatedColumnFormula>Tabla7[[#This Row],[EXISTENCIAS INICIALES]]+Tabla7[[#This Row],[ENTRADAS]]-Tabla7[[#This Row],[SALIDAS]]</calculatedColumnFormula>
    </tableColumn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8" displayName="Tabla8" ref="H5:M431" totalsRowShown="0" headerRowDxfId="54" dataDxfId="52" headerRowBorderDxfId="53" tableBorderDxfId="51" totalsRowBorderDxfId="50">
  <autoFilter ref="H5:M431" xr:uid="{00000000-0009-0000-0100-000005000000}"/>
  <tableColumns count="6">
    <tableColumn id="1" xr3:uid="{00000000-0010-0000-0100-000001000000}" name="REMITOS" dataDxfId="49"/>
    <tableColumn id="6" xr3:uid="{00000000-0010-0000-0100-000006000000}" name="OBSERVACION" dataDxfId="48"/>
    <tableColumn id="2" xr3:uid="{00000000-0010-0000-0100-000002000000}" name="FECHA" dataDxfId="47"/>
    <tableColumn id="3" xr3:uid="{00000000-0010-0000-0100-000003000000}" name="CODIGO DEL PRODUCTO" dataDxfId="46"/>
    <tableColumn id="4" xr3:uid="{00000000-0010-0000-0100-000004000000}" name="DESCRIPCION " dataDxfId="45">
      <calculatedColumnFormula>VLOOKUP(Tabla8[[#This Row],[CODIGO DEL PRODUCTO]],Tabla7[],2,FALSE)</calculatedColumnFormula>
    </tableColumn>
    <tableColumn id="5" xr3:uid="{00000000-0010-0000-0100-000005000000}" name="CANTIDAD KG" dataDxfId="44" dataCellStyle="Millares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a9" displayName="Tabla9" ref="O5:T703" totalsRowShown="0" headerRowDxfId="43" dataDxfId="41" headerRowBorderDxfId="42" tableBorderDxfId="40" totalsRowBorderDxfId="39">
  <autoFilter ref="O5:T703" xr:uid="{00000000-0009-0000-0100-000007000000}"/>
  <tableColumns count="6">
    <tableColumn id="1" xr3:uid="{00000000-0010-0000-0200-000001000000}" name="REMITOS" dataDxfId="38"/>
    <tableColumn id="6" xr3:uid="{00000000-0010-0000-0200-000006000000}" name="OBSERVACION" dataDxfId="37"/>
    <tableColumn id="2" xr3:uid="{00000000-0010-0000-0200-000002000000}" name="FECHA" dataDxfId="36"/>
    <tableColumn id="3" xr3:uid="{00000000-0010-0000-0200-000003000000}" name="CODIGO DEL PRODUCTO" dataDxfId="35"/>
    <tableColumn id="4" xr3:uid="{00000000-0010-0000-0200-000004000000}" name="DESCRIPCION " dataDxfId="34">
      <calculatedColumnFormula>VLOOKUP(Tabla9[[#This Row],[CODIGO DEL PRODUCTO]],Tabla7[],2,FALSE)</calculatedColumnFormula>
    </tableColumn>
    <tableColumn id="5" xr3:uid="{00000000-0010-0000-0200-000005000000}" name="CANTIDAD KG" dataDxfId="33" dataCellStyle="Millares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a712" displayName="Tabla712" ref="A5:F14" totalsRowShown="0" headerRowDxfId="31" headerRowBorderDxfId="30" tableBorderDxfId="29" totalsRowBorderDxfId="28">
  <autoFilter ref="A5:F14" xr:uid="{00000000-0009-0000-0100-00000B000000}"/>
  <tableColumns count="6">
    <tableColumn id="1" xr3:uid="{00000000-0010-0000-0700-000001000000}" name="CODIGO DEL PRODUCTO" dataDxfId="27"/>
    <tableColumn id="2" xr3:uid="{00000000-0010-0000-0700-000002000000}" name="DESCRIPCION" dataDxfId="26"/>
    <tableColumn id="3" xr3:uid="{00000000-0010-0000-0700-000003000000}" name="EXISTENCIAS INICIALES" dataDxfId="25"/>
    <tableColumn id="4" xr3:uid="{00000000-0010-0000-0700-000004000000}" name="ENTRADAS" dataDxfId="24" dataCellStyle="Millares">
      <calculatedColumnFormula>SUMIF(Tabla914[CODIGO DEL PRODUCTO],Tabla712[[#This Row],[CODIGO DEL PRODUCTO]],Tabla914[CANTIDAD KG])/1000</calculatedColumnFormula>
    </tableColumn>
    <tableColumn id="5" xr3:uid="{00000000-0010-0000-0700-000005000000}" name="SALIDAS" dataDxfId="23" dataCellStyle="Millares">
      <calculatedColumnFormula>SUMIF(Tabla813[CODIGO DEL PRODUCTO],Tabla712[[#This Row],[CODIGO DEL PRODUCTO]],Tabla813[CANTIDAD KG])/1000</calculatedColumnFormula>
    </tableColumn>
    <tableColumn id="6" xr3:uid="{00000000-0010-0000-0700-000006000000}" name="STOCK TN" dataDxfId="22" dataCellStyle="Millares">
      <calculatedColumnFormula>Tabla712[[#This Row],[EXISTENCIAS INICIALES]]+Tabla712[[#This Row],[ENTRADAS]]-Tabla712[[#This Row],[SALIDAS]]</calculatedColumnFormula>
    </tableColumn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a813" displayName="Tabla813" ref="H5:M79" totalsRowShown="0" headerRowDxfId="21" dataDxfId="19" headerRowBorderDxfId="20" tableBorderDxfId="18" totalsRowBorderDxfId="17">
  <autoFilter ref="H5:M79" xr:uid="{00000000-0009-0000-0100-00000C000000}"/>
  <tableColumns count="6">
    <tableColumn id="1" xr3:uid="{00000000-0010-0000-0800-000001000000}" name="REMITOS" dataDxfId="16"/>
    <tableColumn id="6" xr3:uid="{00000000-0010-0000-0800-000006000000}" name="OBSERVACION" dataDxfId="15"/>
    <tableColumn id="2" xr3:uid="{00000000-0010-0000-0800-000002000000}" name="FECHA" dataDxfId="14"/>
    <tableColumn id="3" xr3:uid="{00000000-0010-0000-0800-000003000000}" name="CODIGO DEL PRODUCTO" dataDxfId="13"/>
    <tableColumn id="4" xr3:uid="{00000000-0010-0000-0800-000004000000}" name="DESCRIPCION " dataDxfId="12">
      <calculatedColumnFormula>VLOOKUP(Tabla813[[#This Row],[CODIGO DEL PRODUCTO]],Tabla712[],2,FALSE)</calculatedColumnFormula>
    </tableColumn>
    <tableColumn id="5" xr3:uid="{00000000-0010-0000-0800-000005000000}" name="CANTIDAD KG" dataDxfId="11" dataCellStyle="Millares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a914" displayName="Tabla914" ref="O5:T54" totalsRowShown="0" headerRowDxfId="10" dataDxfId="8" headerRowBorderDxfId="9" tableBorderDxfId="7" totalsRowBorderDxfId="6">
  <autoFilter ref="O5:T54" xr:uid="{00000000-0009-0000-0100-00000D000000}"/>
  <tableColumns count="6">
    <tableColumn id="1" xr3:uid="{00000000-0010-0000-0900-000001000000}" name="REMITOS" dataDxfId="5"/>
    <tableColumn id="6" xr3:uid="{00000000-0010-0000-0900-000006000000}" name="OBSERVACION" dataDxfId="4"/>
    <tableColumn id="2" xr3:uid="{00000000-0010-0000-0900-000002000000}" name="FECHA" dataDxfId="3"/>
    <tableColumn id="3" xr3:uid="{00000000-0010-0000-0900-000003000000}" name="CODIGO DEL PRODUCTO" dataDxfId="2"/>
    <tableColumn id="4" xr3:uid="{00000000-0010-0000-0900-000004000000}" name="DESCRIPCION " dataDxfId="1">
      <calculatedColumnFormula>VLOOKUP(Tabla914[[#This Row],[CODIGO DEL PRODUCTO]],Tabla712[],2,FALSE)</calculatedColumnFormula>
    </tableColumn>
    <tableColumn id="5" xr3:uid="{00000000-0010-0000-0900-000005000000}" name="CANTIDAD KG" dataDxfId="0" dataCellStyle="Millare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697"/>
  <sheetViews>
    <sheetView topLeftCell="A7" workbookViewId="0">
      <selection activeCell="C40" sqref="C40"/>
    </sheetView>
  </sheetViews>
  <sheetFormatPr baseColWidth="10" defaultRowHeight="15" x14ac:dyDescent="0.25"/>
  <cols>
    <col min="1" max="1" width="13.42578125" bestFit="1" customWidth="1"/>
    <col min="2" max="2" width="22.140625" bestFit="1" customWidth="1"/>
    <col min="3" max="3" width="11.5703125" bestFit="1" customWidth="1"/>
    <col min="6" max="6" width="23" bestFit="1" customWidth="1"/>
    <col min="10" max="10" width="22" bestFit="1" customWidth="1"/>
    <col min="12" max="12" width="3.28515625" customWidth="1"/>
    <col min="14" max="14" width="26.42578125" bestFit="1" customWidth="1"/>
    <col min="16" max="16" width="4.42578125" customWidth="1"/>
    <col min="18" max="18" width="22" bestFit="1" customWidth="1"/>
  </cols>
  <sheetData>
    <row r="2" spans="1:3" x14ac:dyDescent="0.25">
      <c r="A2" s="8" t="s">
        <v>7</v>
      </c>
      <c r="B2" s="6" t="s">
        <v>0</v>
      </c>
      <c r="C2" s="5" t="s">
        <v>5</v>
      </c>
    </row>
    <row r="3" spans="1:3" x14ac:dyDescent="0.25">
      <c r="A3" s="160">
        <v>45558</v>
      </c>
      <c r="B3" s="3" t="s">
        <v>1</v>
      </c>
      <c r="C3" s="4">
        <v>8512</v>
      </c>
    </row>
    <row r="4" spans="1:3" x14ac:dyDescent="0.25">
      <c r="A4" s="161"/>
      <c r="B4" s="3" t="s">
        <v>2</v>
      </c>
      <c r="C4" s="4">
        <v>3740</v>
      </c>
    </row>
    <row r="5" spans="1:3" x14ac:dyDescent="0.25">
      <c r="A5" s="161"/>
      <c r="B5" s="3" t="s">
        <v>3</v>
      </c>
      <c r="C5" s="4">
        <v>9450</v>
      </c>
    </row>
    <row r="6" spans="1:3" x14ac:dyDescent="0.25">
      <c r="A6" s="161"/>
      <c r="B6" s="3" t="s">
        <v>4</v>
      </c>
      <c r="C6" s="4">
        <v>4860</v>
      </c>
    </row>
    <row r="7" spans="1:3" x14ac:dyDescent="0.25">
      <c r="A7" s="161"/>
      <c r="B7" s="3" t="s">
        <v>6</v>
      </c>
      <c r="C7" s="4">
        <v>5600</v>
      </c>
    </row>
    <row r="8" spans="1:3" x14ac:dyDescent="0.25">
      <c r="A8" s="161"/>
      <c r="B8" s="4" t="s">
        <v>10</v>
      </c>
      <c r="C8" s="9"/>
    </row>
    <row r="9" spans="1:3" x14ac:dyDescent="0.25">
      <c r="A9" s="161"/>
      <c r="B9" s="4" t="s">
        <v>11</v>
      </c>
      <c r="C9" s="9"/>
    </row>
    <row r="10" spans="1:3" x14ac:dyDescent="0.25">
      <c r="A10" s="162"/>
      <c r="B10" s="21" t="s">
        <v>24</v>
      </c>
      <c r="C10" s="9"/>
    </row>
    <row r="11" spans="1:3" x14ac:dyDescent="0.25">
      <c r="A11" s="1"/>
      <c r="B11" s="2"/>
    </row>
    <row r="14" spans="1:3" x14ac:dyDescent="0.25">
      <c r="B14" s="14" t="s">
        <v>16</v>
      </c>
    </row>
    <row r="15" spans="1:3" x14ac:dyDescent="0.25">
      <c r="A15" s="11" t="s">
        <v>7</v>
      </c>
      <c r="B15" s="12" t="s">
        <v>0</v>
      </c>
      <c r="C15" s="13" t="s">
        <v>5</v>
      </c>
    </row>
    <row r="16" spans="1:3" x14ac:dyDescent="0.25">
      <c r="A16" s="163" t="s">
        <v>8</v>
      </c>
      <c r="B16" s="4" t="s">
        <v>6</v>
      </c>
      <c r="C16" s="4">
        <v>332.03899999999999</v>
      </c>
    </row>
    <row r="17" spans="1:19" x14ac:dyDescent="0.25">
      <c r="A17" s="164"/>
      <c r="B17" s="4" t="s">
        <v>9</v>
      </c>
      <c r="C17" s="4">
        <v>208.77600000000001</v>
      </c>
    </row>
    <row r="18" spans="1:19" x14ac:dyDescent="0.25">
      <c r="A18" s="164"/>
      <c r="B18" s="4" t="s">
        <v>24</v>
      </c>
      <c r="C18" s="4">
        <v>9.1140000000000008</v>
      </c>
    </row>
    <row r="19" spans="1:19" x14ac:dyDescent="0.25">
      <c r="A19" s="164"/>
      <c r="B19" s="4" t="s">
        <v>10</v>
      </c>
      <c r="C19" s="9">
        <v>177.82400000000001</v>
      </c>
    </row>
    <row r="20" spans="1:19" x14ac:dyDescent="0.25">
      <c r="A20" s="164"/>
      <c r="B20" s="4" t="s">
        <v>12</v>
      </c>
      <c r="C20" s="9">
        <v>1019.82</v>
      </c>
    </row>
    <row r="21" spans="1:19" x14ac:dyDescent="0.25">
      <c r="A21" s="164"/>
      <c r="B21" s="10" t="s">
        <v>14</v>
      </c>
      <c r="C21" s="9">
        <v>43.972999999999999</v>
      </c>
    </row>
    <row r="22" spans="1:19" x14ac:dyDescent="0.25">
      <c r="A22" s="164"/>
      <c r="B22" s="4" t="s">
        <v>13</v>
      </c>
      <c r="C22" s="9">
        <v>54.676000000000002</v>
      </c>
    </row>
    <row r="23" spans="1:19" x14ac:dyDescent="0.25">
      <c r="A23" s="165"/>
      <c r="B23" s="4" t="s">
        <v>15</v>
      </c>
      <c r="C23" s="9">
        <v>484.06099999999998</v>
      </c>
    </row>
    <row r="24" spans="1:19" x14ac:dyDescent="0.25">
      <c r="A24" s="1"/>
      <c r="B24" s="2"/>
    </row>
    <row r="25" spans="1:19" x14ac:dyDescent="0.25">
      <c r="A25" s="1"/>
      <c r="B25" s="15" t="s">
        <v>18</v>
      </c>
      <c r="F25" s="16" t="s">
        <v>18</v>
      </c>
      <c r="J25" s="16" t="s">
        <v>18</v>
      </c>
      <c r="N25" s="16" t="s">
        <v>18</v>
      </c>
      <c r="R25" s="16" t="s">
        <v>18</v>
      </c>
    </row>
    <row r="26" spans="1:19" x14ac:dyDescent="0.25">
      <c r="A26" s="3" t="s">
        <v>19</v>
      </c>
      <c r="B26" s="4">
        <v>620</v>
      </c>
      <c r="C26" s="9">
        <v>35180</v>
      </c>
      <c r="E26" s="17">
        <v>45559</v>
      </c>
      <c r="F26" s="9" t="s">
        <v>22</v>
      </c>
      <c r="G26" s="9">
        <v>32220</v>
      </c>
      <c r="I26" s="17">
        <v>45561</v>
      </c>
      <c r="J26" s="9" t="s">
        <v>20</v>
      </c>
      <c r="K26" s="9">
        <v>32120</v>
      </c>
      <c r="M26" s="17">
        <v>45562</v>
      </c>
      <c r="N26" s="9" t="s">
        <v>17</v>
      </c>
      <c r="O26" s="9">
        <v>3620</v>
      </c>
      <c r="Q26" s="17">
        <v>45565</v>
      </c>
      <c r="R26" s="9" t="s">
        <v>20</v>
      </c>
      <c r="S26" s="9">
        <v>32540</v>
      </c>
    </row>
    <row r="27" spans="1:19" x14ac:dyDescent="0.25">
      <c r="A27" s="3" t="s">
        <v>19</v>
      </c>
      <c r="B27" s="4" t="s">
        <v>6</v>
      </c>
      <c r="C27" s="9">
        <v>35660</v>
      </c>
      <c r="E27" s="17">
        <v>45560</v>
      </c>
      <c r="F27" s="9" t="s">
        <v>22</v>
      </c>
      <c r="G27" s="9">
        <v>32380</v>
      </c>
      <c r="I27" s="17">
        <v>45561</v>
      </c>
      <c r="J27" s="18" t="s">
        <v>21</v>
      </c>
      <c r="K27" s="9">
        <v>4120</v>
      </c>
      <c r="M27" s="17">
        <v>45562</v>
      </c>
      <c r="N27" s="9" t="s">
        <v>20</v>
      </c>
      <c r="O27" s="9">
        <v>32200</v>
      </c>
    </row>
    <row r="28" spans="1:19" x14ac:dyDescent="0.25">
      <c r="A28" s="3" t="s">
        <v>19</v>
      </c>
      <c r="B28" s="4" t="s">
        <v>20</v>
      </c>
      <c r="C28" s="9">
        <v>32280</v>
      </c>
      <c r="E28" s="17">
        <v>45559</v>
      </c>
      <c r="F28" s="18" t="s">
        <v>23</v>
      </c>
      <c r="G28" s="9">
        <v>24200</v>
      </c>
      <c r="N28" s="19"/>
    </row>
    <row r="29" spans="1:19" x14ac:dyDescent="0.25">
      <c r="A29" s="3" t="s">
        <v>19</v>
      </c>
      <c r="B29" s="15" t="s">
        <v>21</v>
      </c>
      <c r="C29" s="9">
        <v>10680</v>
      </c>
      <c r="N29" s="19"/>
    </row>
    <row r="30" spans="1:19" x14ac:dyDescent="0.25">
      <c r="A30" s="1"/>
      <c r="B30" s="2"/>
      <c r="F30" s="20"/>
    </row>
    <row r="31" spans="1:19" x14ac:dyDescent="0.25">
      <c r="A31" s="1"/>
      <c r="B31" s="2"/>
    </row>
    <row r="32" spans="1:19" x14ac:dyDescent="0.25">
      <c r="A32" s="1"/>
      <c r="B32" s="2"/>
      <c r="E32" s="7"/>
    </row>
    <row r="33" spans="1:6" x14ac:dyDescent="0.25">
      <c r="A33" s="1"/>
      <c r="B33" s="2"/>
    </row>
    <row r="34" spans="1:6" x14ac:dyDescent="0.25">
      <c r="A34" s="1"/>
      <c r="B34" s="2"/>
    </row>
    <row r="35" spans="1:6" x14ac:dyDescent="0.25">
      <c r="A35" s="1"/>
      <c r="B35" s="2"/>
    </row>
    <row r="36" spans="1:6" x14ac:dyDescent="0.25">
      <c r="A36" s="1"/>
      <c r="B36" s="2"/>
    </row>
    <row r="37" spans="1:6" x14ac:dyDescent="0.25">
      <c r="A37" s="1"/>
      <c r="B37" s="2"/>
    </row>
    <row r="38" spans="1:6" x14ac:dyDescent="0.25">
      <c r="A38" s="1"/>
      <c r="B38" s="2"/>
    </row>
    <row r="39" spans="1:6" x14ac:dyDescent="0.25">
      <c r="A39" s="1"/>
      <c r="B39" s="2"/>
    </row>
    <row r="40" spans="1:6" x14ac:dyDescent="0.25">
      <c r="A40" s="1"/>
      <c r="B40" s="2"/>
      <c r="F40">
        <v>0</v>
      </c>
    </row>
    <row r="41" spans="1:6" x14ac:dyDescent="0.25">
      <c r="A41" s="1"/>
      <c r="B41" s="2"/>
    </row>
    <row r="42" spans="1:6" x14ac:dyDescent="0.25">
      <c r="A42" s="1"/>
      <c r="B42" s="2"/>
    </row>
    <row r="43" spans="1:6" x14ac:dyDescent="0.25">
      <c r="A43" s="1"/>
      <c r="B43" s="2"/>
    </row>
    <row r="44" spans="1:6" x14ac:dyDescent="0.25">
      <c r="A44" s="1"/>
      <c r="B44" s="2"/>
    </row>
    <row r="45" spans="1:6" x14ac:dyDescent="0.25">
      <c r="A45" s="1"/>
      <c r="B45" s="2"/>
    </row>
    <row r="46" spans="1:6" x14ac:dyDescent="0.25">
      <c r="A46" s="1"/>
      <c r="B46" s="2"/>
    </row>
    <row r="47" spans="1:6" x14ac:dyDescent="0.25">
      <c r="A47" s="1"/>
      <c r="B47" s="2"/>
    </row>
    <row r="48" spans="1:6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  <row r="70" spans="1:2" x14ac:dyDescent="0.25">
      <c r="A70" s="1"/>
      <c r="B70" s="2"/>
    </row>
    <row r="71" spans="1:2" x14ac:dyDescent="0.25">
      <c r="A71" s="1"/>
      <c r="B71" s="2"/>
    </row>
    <row r="72" spans="1:2" x14ac:dyDescent="0.25">
      <c r="A72" s="1"/>
      <c r="B72" s="2"/>
    </row>
    <row r="73" spans="1:2" x14ac:dyDescent="0.25">
      <c r="A73" s="1"/>
      <c r="B73" s="2"/>
    </row>
    <row r="74" spans="1:2" x14ac:dyDescent="0.25">
      <c r="A74" s="1"/>
      <c r="B74" s="2"/>
    </row>
    <row r="75" spans="1:2" x14ac:dyDescent="0.25">
      <c r="A75" s="1"/>
      <c r="B75" s="2"/>
    </row>
    <row r="76" spans="1:2" x14ac:dyDescent="0.25">
      <c r="A76" s="1"/>
      <c r="B76" s="2"/>
    </row>
    <row r="77" spans="1:2" x14ac:dyDescent="0.25">
      <c r="A77" s="1"/>
      <c r="B77" s="2"/>
    </row>
    <row r="78" spans="1:2" x14ac:dyDescent="0.25">
      <c r="A78" s="1"/>
      <c r="B78" s="2"/>
    </row>
    <row r="79" spans="1:2" x14ac:dyDescent="0.25">
      <c r="A79" s="1"/>
      <c r="B79" s="2"/>
    </row>
    <row r="80" spans="1:2" x14ac:dyDescent="0.25">
      <c r="A80" s="1"/>
      <c r="B80" s="2"/>
    </row>
    <row r="81" spans="1:2" x14ac:dyDescent="0.25">
      <c r="A81" s="1"/>
      <c r="B81" s="2"/>
    </row>
    <row r="82" spans="1:2" x14ac:dyDescent="0.25">
      <c r="A82" s="1"/>
      <c r="B82" s="2"/>
    </row>
    <row r="83" spans="1:2" x14ac:dyDescent="0.25">
      <c r="A83" s="1"/>
      <c r="B83" s="2"/>
    </row>
    <row r="84" spans="1:2" x14ac:dyDescent="0.25">
      <c r="A84" s="1"/>
      <c r="B84" s="2"/>
    </row>
    <row r="85" spans="1:2" x14ac:dyDescent="0.25">
      <c r="A85" s="1"/>
      <c r="B85" s="2"/>
    </row>
    <row r="86" spans="1:2" x14ac:dyDescent="0.25">
      <c r="A86" s="1"/>
      <c r="B86" s="2"/>
    </row>
    <row r="87" spans="1:2" x14ac:dyDescent="0.25">
      <c r="A87" s="1"/>
      <c r="B87" s="2"/>
    </row>
    <row r="88" spans="1:2" x14ac:dyDescent="0.25">
      <c r="A88" s="1"/>
      <c r="B88" s="2"/>
    </row>
    <row r="89" spans="1:2" x14ac:dyDescent="0.25">
      <c r="A89" s="1"/>
      <c r="B89" s="2"/>
    </row>
    <row r="90" spans="1:2" x14ac:dyDescent="0.25">
      <c r="A90" s="1"/>
      <c r="B90" s="2"/>
    </row>
    <row r="91" spans="1:2" x14ac:dyDescent="0.25">
      <c r="A91" s="1"/>
      <c r="B91" s="2"/>
    </row>
    <row r="92" spans="1:2" x14ac:dyDescent="0.25">
      <c r="A92" s="1"/>
      <c r="B92" s="2"/>
    </row>
    <row r="93" spans="1:2" x14ac:dyDescent="0.25">
      <c r="A93" s="1"/>
      <c r="B93" s="2"/>
    </row>
    <row r="94" spans="1:2" x14ac:dyDescent="0.25">
      <c r="A94" s="1"/>
      <c r="B94" s="2"/>
    </row>
    <row r="95" spans="1:2" x14ac:dyDescent="0.25">
      <c r="A95" s="1"/>
      <c r="B95" s="2"/>
    </row>
    <row r="96" spans="1:2" x14ac:dyDescent="0.25">
      <c r="A96" s="1"/>
      <c r="B96" s="2"/>
    </row>
    <row r="97" spans="1:2" x14ac:dyDescent="0.25">
      <c r="A97" s="1"/>
      <c r="B97" s="2"/>
    </row>
    <row r="98" spans="1:2" x14ac:dyDescent="0.25">
      <c r="A98" s="1"/>
      <c r="B98" s="2"/>
    </row>
    <row r="99" spans="1:2" x14ac:dyDescent="0.25">
      <c r="A99" s="1"/>
      <c r="B99" s="2"/>
    </row>
    <row r="100" spans="1:2" x14ac:dyDescent="0.25">
      <c r="A100" s="1"/>
      <c r="B100" s="2"/>
    </row>
    <row r="101" spans="1:2" x14ac:dyDescent="0.25">
      <c r="A101" s="1"/>
      <c r="B101" s="2"/>
    </row>
    <row r="102" spans="1:2" x14ac:dyDescent="0.25">
      <c r="A102" s="1"/>
      <c r="B102" s="2"/>
    </row>
    <row r="103" spans="1:2" x14ac:dyDescent="0.25">
      <c r="A103" s="1"/>
      <c r="B103" s="2"/>
    </row>
    <row r="104" spans="1:2" x14ac:dyDescent="0.25">
      <c r="A104" s="1"/>
      <c r="B104" s="2"/>
    </row>
    <row r="105" spans="1:2" x14ac:dyDescent="0.25">
      <c r="A105" s="1"/>
      <c r="B105" s="2"/>
    </row>
    <row r="106" spans="1:2" x14ac:dyDescent="0.25">
      <c r="A106" s="1"/>
      <c r="B106" s="2"/>
    </row>
    <row r="107" spans="1:2" x14ac:dyDescent="0.25">
      <c r="A107" s="1"/>
      <c r="B107" s="2"/>
    </row>
    <row r="108" spans="1:2" x14ac:dyDescent="0.25">
      <c r="A108" s="1"/>
      <c r="B108" s="2"/>
    </row>
    <row r="109" spans="1:2" x14ac:dyDescent="0.25">
      <c r="A109" s="1"/>
      <c r="B109" s="2"/>
    </row>
    <row r="110" spans="1:2" x14ac:dyDescent="0.25">
      <c r="A110" s="1"/>
      <c r="B110" s="2"/>
    </row>
    <row r="111" spans="1:2" x14ac:dyDescent="0.25">
      <c r="A111" s="1"/>
      <c r="B111" s="2"/>
    </row>
    <row r="112" spans="1:2" x14ac:dyDescent="0.25">
      <c r="A112" s="1"/>
      <c r="B112" s="2"/>
    </row>
    <row r="113" spans="1:2" x14ac:dyDescent="0.25">
      <c r="A113" s="1"/>
      <c r="B113" s="2"/>
    </row>
    <row r="114" spans="1:2" x14ac:dyDescent="0.25">
      <c r="A114" s="1"/>
      <c r="B114" s="2"/>
    </row>
    <row r="115" spans="1:2" x14ac:dyDescent="0.25">
      <c r="A115" s="1"/>
      <c r="B115" s="2"/>
    </row>
    <row r="116" spans="1:2" x14ac:dyDescent="0.25">
      <c r="A116" s="1"/>
      <c r="B116" s="2"/>
    </row>
    <row r="117" spans="1:2" x14ac:dyDescent="0.25">
      <c r="A117" s="1"/>
      <c r="B117" s="2"/>
    </row>
    <row r="118" spans="1:2" x14ac:dyDescent="0.25">
      <c r="A118" s="1"/>
      <c r="B118" s="2"/>
    </row>
    <row r="119" spans="1:2" x14ac:dyDescent="0.25">
      <c r="A119" s="1"/>
      <c r="B119" s="2"/>
    </row>
    <row r="120" spans="1:2" x14ac:dyDescent="0.25">
      <c r="A120" s="1"/>
      <c r="B120" s="2"/>
    </row>
    <row r="121" spans="1:2" x14ac:dyDescent="0.25">
      <c r="A121" s="1"/>
      <c r="B121" s="2"/>
    </row>
    <row r="122" spans="1:2" x14ac:dyDescent="0.25">
      <c r="A122" s="1"/>
      <c r="B122" s="2"/>
    </row>
    <row r="123" spans="1:2" x14ac:dyDescent="0.25">
      <c r="A123" s="1"/>
      <c r="B123" s="2"/>
    </row>
    <row r="124" spans="1:2" x14ac:dyDescent="0.25">
      <c r="A124" s="1"/>
      <c r="B124" s="2"/>
    </row>
    <row r="125" spans="1:2" x14ac:dyDescent="0.25">
      <c r="A125" s="1"/>
      <c r="B125" s="2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  <row r="526" spans="1:2" x14ac:dyDescent="0.25">
      <c r="A526" s="1"/>
      <c r="B526" s="2"/>
    </row>
    <row r="527" spans="1:2" x14ac:dyDescent="0.25">
      <c r="A527" s="1"/>
      <c r="B527" s="2"/>
    </row>
    <row r="528" spans="1:2" x14ac:dyDescent="0.25">
      <c r="A528" s="1"/>
      <c r="B528" s="2"/>
    </row>
    <row r="529" spans="1:2" x14ac:dyDescent="0.25">
      <c r="A529" s="1"/>
      <c r="B529" s="2"/>
    </row>
    <row r="530" spans="1:2" x14ac:dyDescent="0.25">
      <c r="A530" s="1"/>
      <c r="B530" s="2"/>
    </row>
    <row r="531" spans="1:2" x14ac:dyDescent="0.25">
      <c r="A531" s="1"/>
      <c r="B531" s="2"/>
    </row>
    <row r="532" spans="1:2" x14ac:dyDescent="0.25">
      <c r="A532" s="1"/>
      <c r="B532" s="2"/>
    </row>
    <row r="533" spans="1:2" x14ac:dyDescent="0.25">
      <c r="A533" s="1"/>
      <c r="B533" s="2"/>
    </row>
    <row r="534" spans="1:2" x14ac:dyDescent="0.25">
      <c r="A534" s="1"/>
      <c r="B534" s="2"/>
    </row>
    <row r="535" spans="1:2" x14ac:dyDescent="0.25">
      <c r="A535" s="1"/>
      <c r="B535" s="2"/>
    </row>
    <row r="536" spans="1:2" x14ac:dyDescent="0.25">
      <c r="A536" s="1"/>
      <c r="B536" s="2"/>
    </row>
    <row r="537" spans="1:2" x14ac:dyDescent="0.25">
      <c r="A537" s="1"/>
      <c r="B537" s="2"/>
    </row>
    <row r="538" spans="1:2" x14ac:dyDescent="0.25">
      <c r="A538" s="1"/>
      <c r="B538" s="2"/>
    </row>
    <row r="539" spans="1:2" x14ac:dyDescent="0.25">
      <c r="A539" s="1"/>
      <c r="B539" s="2"/>
    </row>
    <row r="540" spans="1:2" x14ac:dyDescent="0.25">
      <c r="A540" s="1"/>
      <c r="B540" s="2"/>
    </row>
    <row r="541" spans="1:2" x14ac:dyDescent="0.25">
      <c r="A541" s="1"/>
      <c r="B541" s="2"/>
    </row>
    <row r="542" spans="1:2" x14ac:dyDescent="0.25">
      <c r="A542" s="1"/>
      <c r="B542" s="2"/>
    </row>
    <row r="543" spans="1:2" x14ac:dyDescent="0.25">
      <c r="A543" s="1"/>
      <c r="B543" s="2"/>
    </row>
    <row r="544" spans="1:2" x14ac:dyDescent="0.25">
      <c r="A544" s="1"/>
      <c r="B544" s="2"/>
    </row>
    <row r="545" spans="1:2" x14ac:dyDescent="0.25">
      <c r="A545" s="1"/>
      <c r="B545" s="2"/>
    </row>
    <row r="546" spans="1:2" x14ac:dyDescent="0.25">
      <c r="A546" s="1"/>
      <c r="B546" s="2"/>
    </row>
    <row r="547" spans="1:2" x14ac:dyDescent="0.25">
      <c r="A547" s="1"/>
      <c r="B547" s="2"/>
    </row>
    <row r="548" spans="1:2" x14ac:dyDescent="0.25">
      <c r="A548" s="1"/>
      <c r="B548" s="2"/>
    </row>
    <row r="549" spans="1:2" x14ac:dyDescent="0.25">
      <c r="A549" s="1"/>
      <c r="B549" s="2"/>
    </row>
    <row r="550" spans="1:2" x14ac:dyDescent="0.25">
      <c r="A550" s="1"/>
      <c r="B550" s="2"/>
    </row>
    <row r="551" spans="1:2" x14ac:dyDescent="0.25">
      <c r="A551" s="1"/>
      <c r="B551" s="2"/>
    </row>
    <row r="552" spans="1:2" x14ac:dyDescent="0.25">
      <c r="A552" s="1"/>
      <c r="B552" s="2"/>
    </row>
    <row r="553" spans="1:2" x14ac:dyDescent="0.25">
      <c r="A553" s="1"/>
      <c r="B553" s="2"/>
    </row>
    <row r="554" spans="1:2" x14ac:dyDescent="0.25">
      <c r="A554" s="1"/>
      <c r="B554" s="2"/>
    </row>
    <row r="555" spans="1:2" x14ac:dyDescent="0.25">
      <c r="A555" s="1"/>
      <c r="B555" s="2"/>
    </row>
    <row r="556" spans="1:2" x14ac:dyDescent="0.25">
      <c r="A556" s="1"/>
      <c r="B556" s="2"/>
    </row>
    <row r="557" spans="1:2" x14ac:dyDescent="0.25">
      <c r="A557" s="1"/>
      <c r="B557" s="2"/>
    </row>
    <row r="558" spans="1:2" x14ac:dyDescent="0.25">
      <c r="A558" s="1"/>
      <c r="B558" s="2"/>
    </row>
    <row r="559" spans="1:2" x14ac:dyDescent="0.25">
      <c r="A559" s="1"/>
      <c r="B559" s="2"/>
    </row>
    <row r="560" spans="1:2" x14ac:dyDescent="0.25">
      <c r="A560" s="1"/>
      <c r="B560" s="2"/>
    </row>
    <row r="561" spans="1:2" x14ac:dyDescent="0.25">
      <c r="A561" s="1"/>
      <c r="B561" s="2"/>
    </row>
    <row r="562" spans="1:2" x14ac:dyDescent="0.25">
      <c r="A562" s="1"/>
      <c r="B562" s="2"/>
    </row>
    <row r="563" spans="1:2" x14ac:dyDescent="0.25">
      <c r="A563" s="1"/>
      <c r="B563" s="2"/>
    </row>
    <row r="564" spans="1:2" x14ac:dyDescent="0.25">
      <c r="A564" s="1"/>
      <c r="B564" s="2"/>
    </row>
    <row r="565" spans="1:2" x14ac:dyDescent="0.25">
      <c r="A565" s="1"/>
      <c r="B565" s="2"/>
    </row>
    <row r="566" spans="1:2" x14ac:dyDescent="0.25">
      <c r="A566" s="1"/>
      <c r="B566" s="2"/>
    </row>
    <row r="567" spans="1:2" x14ac:dyDescent="0.25">
      <c r="A567" s="1"/>
      <c r="B567" s="2"/>
    </row>
    <row r="568" spans="1:2" x14ac:dyDescent="0.25">
      <c r="A568" s="1"/>
      <c r="B568" s="2"/>
    </row>
    <row r="569" spans="1:2" x14ac:dyDescent="0.25">
      <c r="A569" s="1"/>
      <c r="B569" s="2"/>
    </row>
    <row r="570" spans="1:2" x14ac:dyDescent="0.25">
      <c r="A570" s="1"/>
      <c r="B570" s="2"/>
    </row>
    <row r="571" spans="1:2" x14ac:dyDescent="0.25">
      <c r="A571" s="1"/>
      <c r="B571" s="2"/>
    </row>
    <row r="572" spans="1:2" x14ac:dyDescent="0.25">
      <c r="A572" s="1"/>
      <c r="B572" s="2"/>
    </row>
    <row r="573" spans="1:2" x14ac:dyDescent="0.25">
      <c r="A573" s="1"/>
      <c r="B573" s="2"/>
    </row>
    <row r="574" spans="1:2" x14ac:dyDescent="0.25">
      <c r="A574" s="1"/>
      <c r="B574" s="2"/>
    </row>
    <row r="575" spans="1:2" x14ac:dyDescent="0.25">
      <c r="A575" s="1"/>
      <c r="B575" s="2"/>
    </row>
    <row r="576" spans="1:2" x14ac:dyDescent="0.25">
      <c r="A576" s="1"/>
      <c r="B576" s="2"/>
    </row>
    <row r="577" spans="1:2" x14ac:dyDescent="0.25">
      <c r="A577" s="1"/>
      <c r="B577" s="2"/>
    </row>
    <row r="578" spans="1:2" x14ac:dyDescent="0.25">
      <c r="A578" s="1"/>
      <c r="B578" s="2"/>
    </row>
    <row r="579" spans="1:2" x14ac:dyDescent="0.25">
      <c r="A579" s="1"/>
      <c r="B579" s="2"/>
    </row>
    <row r="580" spans="1:2" x14ac:dyDescent="0.25">
      <c r="A580" s="1"/>
      <c r="B580" s="2"/>
    </row>
    <row r="581" spans="1:2" x14ac:dyDescent="0.25">
      <c r="A581" s="1"/>
      <c r="B581" s="2"/>
    </row>
    <row r="582" spans="1:2" x14ac:dyDescent="0.25">
      <c r="A582" s="1"/>
      <c r="B582" s="2"/>
    </row>
    <row r="583" spans="1:2" x14ac:dyDescent="0.25">
      <c r="A583" s="1"/>
      <c r="B583" s="2"/>
    </row>
    <row r="584" spans="1:2" x14ac:dyDescent="0.25">
      <c r="A584" s="1"/>
      <c r="B584" s="2"/>
    </row>
    <row r="585" spans="1:2" x14ac:dyDescent="0.25">
      <c r="A585" s="1"/>
      <c r="B585" s="2"/>
    </row>
    <row r="586" spans="1:2" x14ac:dyDescent="0.25">
      <c r="A586" s="1"/>
      <c r="B586" s="2"/>
    </row>
    <row r="587" spans="1:2" x14ac:dyDescent="0.25">
      <c r="A587" s="1"/>
      <c r="B587" s="2"/>
    </row>
    <row r="588" spans="1:2" x14ac:dyDescent="0.25">
      <c r="A588" s="1"/>
      <c r="B588" s="2"/>
    </row>
    <row r="589" spans="1:2" x14ac:dyDescent="0.25">
      <c r="A589" s="1"/>
      <c r="B589" s="2"/>
    </row>
    <row r="590" spans="1:2" x14ac:dyDescent="0.25">
      <c r="A590" s="1"/>
      <c r="B590" s="2"/>
    </row>
    <row r="591" spans="1:2" x14ac:dyDescent="0.25">
      <c r="A591" s="1"/>
      <c r="B591" s="2"/>
    </row>
    <row r="592" spans="1:2" x14ac:dyDescent="0.25">
      <c r="A592" s="1"/>
      <c r="B592" s="2"/>
    </row>
    <row r="593" spans="1:2" x14ac:dyDescent="0.25">
      <c r="A593" s="1"/>
      <c r="B593" s="2"/>
    </row>
    <row r="594" spans="1:2" x14ac:dyDescent="0.25">
      <c r="A594" s="1"/>
      <c r="B594" s="2"/>
    </row>
    <row r="595" spans="1:2" x14ac:dyDescent="0.25">
      <c r="A595" s="1"/>
      <c r="B595" s="2"/>
    </row>
    <row r="596" spans="1:2" x14ac:dyDescent="0.25">
      <c r="A596" s="1"/>
      <c r="B596" s="2"/>
    </row>
    <row r="597" spans="1:2" x14ac:dyDescent="0.25">
      <c r="A597" s="1"/>
      <c r="B597" s="2"/>
    </row>
    <row r="598" spans="1:2" x14ac:dyDescent="0.25">
      <c r="A598" s="1"/>
      <c r="B598" s="2"/>
    </row>
    <row r="599" spans="1:2" x14ac:dyDescent="0.25">
      <c r="A599" s="1"/>
      <c r="B599" s="2"/>
    </row>
    <row r="600" spans="1:2" x14ac:dyDescent="0.25">
      <c r="A600" s="1"/>
      <c r="B600" s="2"/>
    </row>
    <row r="601" spans="1:2" x14ac:dyDescent="0.25">
      <c r="A601" s="1"/>
      <c r="B601" s="2"/>
    </row>
    <row r="602" spans="1:2" x14ac:dyDescent="0.25">
      <c r="A602" s="1"/>
      <c r="B602" s="2"/>
    </row>
    <row r="603" spans="1:2" x14ac:dyDescent="0.25">
      <c r="A603" s="1"/>
      <c r="B603" s="2"/>
    </row>
    <row r="604" spans="1:2" x14ac:dyDescent="0.25">
      <c r="A604" s="1"/>
      <c r="B604" s="2"/>
    </row>
    <row r="605" spans="1:2" x14ac:dyDescent="0.25">
      <c r="A605" s="1"/>
      <c r="B605" s="2"/>
    </row>
    <row r="606" spans="1:2" x14ac:dyDescent="0.25">
      <c r="A606" s="1"/>
      <c r="B606" s="2"/>
    </row>
    <row r="607" spans="1:2" x14ac:dyDescent="0.25">
      <c r="A607" s="1"/>
      <c r="B607" s="2"/>
    </row>
    <row r="608" spans="1:2" x14ac:dyDescent="0.25">
      <c r="A608" s="1"/>
      <c r="B608" s="2"/>
    </row>
    <row r="609" spans="1:2" x14ac:dyDescent="0.25">
      <c r="A609" s="1"/>
      <c r="B609" s="2"/>
    </row>
    <row r="610" spans="1:2" x14ac:dyDescent="0.25">
      <c r="A610" s="1"/>
      <c r="B610" s="2"/>
    </row>
    <row r="611" spans="1:2" x14ac:dyDescent="0.25">
      <c r="A611" s="1"/>
      <c r="B611" s="2"/>
    </row>
    <row r="612" spans="1:2" x14ac:dyDescent="0.25">
      <c r="A612" s="1"/>
      <c r="B612" s="2"/>
    </row>
    <row r="613" spans="1:2" x14ac:dyDescent="0.25">
      <c r="A613" s="1"/>
      <c r="B613" s="2"/>
    </row>
    <row r="614" spans="1:2" x14ac:dyDescent="0.25">
      <c r="A614" s="1"/>
      <c r="B614" s="2"/>
    </row>
    <row r="615" spans="1:2" x14ac:dyDescent="0.25">
      <c r="A615" s="1"/>
      <c r="B615" s="2"/>
    </row>
    <row r="616" spans="1:2" x14ac:dyDescent="0.25">
      <c r="A616" s="1"/>
      <c r="B616" s="2"/>
    </row>
    <row r="617" spans="1:2" x14ac:dyDescent="0.25">
      <c r="A617" s="1"/>
      <c r="B617" s="2"/>
    </row>
    <row r="618" spans="1:2" x14ac:dyDescent="0.25">
      <c r="A618" s="1"/>
      <c r="B618" s="2"/>
    </row>
    <row r="619" spans="1:2" x14ac:dyDescent="0.25">
      <c r="A619" s="1"/>
      <c r="B619" s="2"/>
    </row>
    <row r="620" spans="1:2" x14ac:dyDescent="0.25">
      <c r="A620" s="1"/>
      <c r="B620" s="2"/>
    </row>
    <row r="621" spans="1:2" x14ac:dyDescent="0.25">
      <c r="A621" s="1"/>
      <c r="B621" s="2"/>
    </row>
    <row r="622" spans="1:2" x14ac:dyDescent="0.25">
      <c r="A622" s="1"/>
      <c r="B622" s="2"/>
    </row>
    <row r="623" spans="1:2" x14ac:dyDescent="0.25">
      <c r="A623" s="1"/>
      <c r="B623" s="2"/>
    </row>
    <row r="624" spans="1:2" x14ac:dyDescent="0.25">
      <c r="A624" s="1"/>
      <c r="B624" s="2"/>
    </row>
    <row r="625" spans="1:2" x14ac:dyDescent="0.25">
      <c r="A625" s="1"/>
      <c r="B625" s="2"/>
    </row>
    <row r="626" spans="1:2" x14ac:dyDescent="0.25">
      <c r="A626" s="1"/>
      <c r="B626" s="2"/>
    </row>
    <row r="627" spans="1:2" x14ac:dyDescent="0.25">
      <c r="A627" s="1"/>
      <c r="B627" s="2"/>
    </row>
    <row r="628" spans="1:2" x14ac:dyDescent="0.25">
      <c r="A628" s="1"/>
      <c r="B628" s="2"/>
    </row>
    <row r="629" spans="1:2" x14ac:dyDescent="0.25">
      <c r="A629" s="1"/>
      <c r="B629" s="2"/>
    </row>
    <row r="630" spans="1:2" x14ac:dyDescent="0.25">
      <c r="A630" s="1"/>
      <c r="B630" s="2"/>
    </row>
    <row r="631" spans="1:2" x14ac:dyDescent="0.25">
      <c r="A631" s="1"/>
      <c r="B631" s="2"/>
    </row>
    <row r="632" spans="1:2" x14ac:dyDescent="0.25">
      <c r="A632" s="1"/>
      <c r="B632" s="2"/>
    </row>
    <row r="633" spans="1:2" x14ac:dyDescent="0.25">
      <c r="A633" s="1"/>
      <c r="B633" s="2"/>
    </row>
    <row r="634" spans="1:2" x14ac:dyDescent="0.25">
      <c r="A634" s="1"/>
      <c r="B634" s="2"/>
    </row>
    <row r="635" spans="1:2" x14ac:dyDescent="0.25">
      <c r="A635" s="1"/>
      <c r="B635" s="2"/>
    </row>
    <row r="636" spans="1:2" x14ac:dyDescent="0.25">
      <c r="A636" s="1"/>
      <c r="B636" s="2"/>
    </row>
    <row r="637" spans="1:2" x14ac:dyDescent="0.25">
      <c r="A637" s="1"/>
      <c r="B637" s="2"/>
    </row>
    <row r="638" spans="1:2" x14ac:dyDescent="0.25">
      <c r="A638" s="1"/>
      <c r="B638" s="2"/>
    </row>
    <row r="639" spans="1:2" x14ac:dyDescent="0.25">
      <c r="A639" s="1"/>
      <c r="B639" s="2"/>
    </row>
    <row r="640" spans="1:2" x14ac:dyDescent="0.25">
      <c r="A640" s="1"/>
      <c r="B640" s="2"/>
    </row>
    <row r="641" spans="1:2" x14ac:dyDescent="0.25">
      <c r="A641" s="1"/>
      <c r="B641" s="2"/>
    </row>
    <row r="642" spans="1:2" x14ac:dyDescent="0.25">
      <c r="A642" s="1"/>
      <c r="B642" s="2"/>
    </row>
    <row r="643" spans="1:2" x14ac:dyDescent="0.25">
      <c r="A643" s="1"/>
      <c r="B643" s="2"/>
    </row>
    <row r="644" spans="1:2" x14ac:dyDescent="0.25">
      <c r="A644" s="1"/>
      <c r="B644" s="2"/>
    </row>
    <row r="645" spans="1:2" x14ac:dyDescent="0.25">
      <c r="A645" s="1"/>
      <c r="B645" s="2"/>
    </row>
    <row r="646" spans="1:2" x14ac:dyDescent="0.25">
      <c r="A646" s="1"/>
      <c r="B646" s="2"/>
    </row>
    <row r="647" spans="1:2" x14ac:dyDescent="0.25">
      <c r="A647" s="1"/>
      <c r="B647" s="2"/>
    </row>
    <row r="648" spans="1:2" x14ac:dyDescent="0.25">
      <c r="A648" s="1"/>
      <c r="B648" s="2"/>
    </row>
    <row r="649" spans="1:2" x14ac:dyDescent="0.25">
      <c r="A649" s="1"/>
      <c r="B649" s="2"/>
    </row>
    <row r="650" spans="1:2" x14ac:dyDescent="0.25">
      <c r="A650" s="1"/>
      <c r="B650" s="2"/>
    </row>
    <row r="651" spans="1:2" x14ac:dyDescent="0.25">
      <c r="A651" s="1"/>
      <c r="B651" s="2"/>
    </row>
    <row r="652" spans="1:2" x14ac:dyDescent="0.25">
      <c r="A652" s="1"/>
      <c r="B652" s="2"/>
    </row>
    <row r="653" spans="1:2" x14ac:dyDescent="0.25">
      <c r="A653" s="1"/>
      <c r="B653" s="2"/>
    </row>
    <row r="654" spans="1:2" x14ac:dyDescent="0.25">
      <c r="A654" s="1"/>
      <c r="B654" s="2"/>
    </row>
    <row r="655" spans="1:2" x14ac:dyDescent="0.25">
      <c r="A655" s="1"/>
      <c r="B655" s="2"/>
    </row>
    <row r="656" spans="1:2" x14ac:dyDescent="0.25">
      <c r="A656" s="1"/>
      <c r="B656" s="2"/>
    </row>
    <row r="657" spans="1:2" x14ac:dyDescent="0.25">
      <c r="A657" s="1"/>
      <c r="B657" s="2"/>
    </row>
    <row r="658" spans="1:2" x14ac:dyDescent="0.25">
      <c r="A658" s="1"/>
      <c r="B658" s="2"/>
    </row>
    <row r="659" spans="1:2" x14ac:dyDescent="0.25">
      <c r="A659" s="1"/>
      <c r="B659" s="2"/>
    </row>
    <row r="660" spans="1:2" x14ac:dyDescent="0.25">
      <c r="A660" s="1"/>
      <c r="B660" s="2"/>
    </row>
    <row r="661" spans="1:2" x14ac:dyDescent="0.25">
      <c r="A661" s="1"/>
      <c r="B661" s="2"/>
    </row>
    <row r="662" spans="1:2" x14ac:dyDescent="0.25">
      <c r="A662" s="1"/>
      <c r="B662" s="2"/>
    </row>
    <row r="663" spans="1:2" x14ac:dyDescent="0.25">
      <c r="A663" s="1"/>
      <c r="B663" s="2"/>
    </row>
    <row r="664" spans="1:2" x14ac:dyDescent="0.25">
      <c r="A664" s="1"/>
      <c r="B664" s="2"/>
    </row>
    <row r="665" spans="1:2" x14ac:dyDescent="0.25">
      <c r="A665" s="1"/>
      <c r="B665" s="2"/>
    </row>
    <row r="666" spans="1:2" x14ac:dyDescent="0.25">
      <c r="A666" s="1"/>
      <c r="B666" s="2"/>
    </row>
    <row r="667" spans="1:2" x14ac:dyDescent="0.25">
      <c r="A667" s="1"/>
      <c r="B667" s="2"/>
    </row>
    <row r="668" spans="1:2" x14ac:dyDescent="0.25">
      <c r="A668" s="1"/>
      <c r="B668" s="2"/>
    </row>
    <row r="669" spans="1:2" x14ac:dyDescent="0.25">
      <c r="A669" s="1"/>
      <c r="B669" s="2"/>
    </row>
    <row r="670" spans="1:2" x14ac:dyDescent="0.25">
      <c r="A670" s="1"/>
      <c r="B670" s="2"/>
    </row>
    <row r="671" spans="1:2" x14ac:dyDescent="0.25">
      <c r="A671" s="1"/>
      <c r="B671" s="2"/>
    </row>
    <row r="672" spans="1:2" x14ac:dyDescent="0.25">
      <c r="A672" s="1"/>
      <c r="B672" s="2"/>
    </row>
    <row r="673" spans="1:2" x14ac:dyDescent="0.25">
      <c r="A673" s="1"/>
      <c r="B673" s="2"/>
    </row>
    <row r="674" spans="1:2" x14ac:dyDescent="0.25">
      <c r="A674" s="1"/>
      <c r="B674" s="2"/>
    </row>
    <row r="675" spans="1:2" x14ac:dyDescent="0.25">
      <c r="A675" s="1"/>
      <c r="B675" s="2"/>
    </row>
    <row r="676" spans="1:2" x14ac:dyDescent="0.25">
      <c r="A676" s="1"/>
      <c r="B676" s="2"/>
    </row>
    <row r="677" spans="1:2" x14ac:dyDescent="0.25">
      <c r="A677" s="1"/>
      <c r="B677" s="2"/>
    </row>
    <row r="678" spans="1:2" x14ac:dyDescent="0.25">
      <c r="A678" s="1"/>
      <c r="B678" s="2"/>
    </row>
    <row r="679" spans="1:2" x14ac:dyDescent="0.25">
      <c r="A679" s="1"/>
      <c r="B679" s="2"/>
    </row>
    <row r="680" spans="1:2" x14ac:dyDescent="0.25">
      <c r="A680" s="1"/>
      <c r="B680" s="2"/>
    </row>
    <row r="681" spans="1:2" x14ac:dyDescent="0.25">
      <c r="A681" s="1"/>
      <c r="B681" s="2"/>
    </row>
    <row r="682" spans="1:2" x14ac:dyDescent="0.25">
      <c r="A682" s="1"/>
      <c r="B682" s="2"/>
    </row>
    <row r="683" spans="1:2" x14ac:dyDescent="0.25">
      <c r="A683" s="1"/>
      <c r="B683" s="2"/>
    </row>
    <row r="684" spans="1:2" x14ac:dyDescent="0.25">
      <c r="A684" s="1"/>
      <c r="B684" s="2"/>
    </row>
    <row r="685" spans="1:2" x14ac:dyDescent="0.25">
      <c r="A685" s="1"/>
      <c r="B685" s="2"/>
    </row>
    <row r="686" spans="1:2" x14ac:dyDescent="0.25">
      <c r="A686" s="1"/>
      <c r="B686" s="2"/>
    </row>
    <row r="687" spans="1:2" x14ac:dyDescent="0.25">
      <c r="A687" s="1"/>
      <c r="B687" s="2"/>
    </row>
    <row r="688" spans="1:2" x14ac:dyDescent="0.25">
      <c r="A688" s="1"/>
      <c r="B688" s="2"/>
    </row>
    <row r="689" spans="1:2" x14ac:dyDescent="0.25">
      <c r="A689" s="1"/>
      <c r="B689" s="2"/>
    </row>
    <row r="690" spans="1:2" x14ac:dyDescent="0.25">
      <c r="A690" s="1"/>
      <c r="B690" s="2"/>
    </row>
    <row r="691" spans="1:2" x14ac:dyDescent="0.25">
      <c r="A691" s="1"/>
      <c r="B691" s="2"/>
    </row>
    <row r="692" spans="1:2" x14ac:dyDescent="0.25">
      <c r="A692" s="1"/>
      <c r="B692" s="2"/>
    </row>
    <row r="693" spans="1:2" x14ac:dyDescent="0.25">
      <c r="A693" s="1"/>
      <c r="B693" s="2"/>
    </row>
    <row r="694" spans="1:2" x14ac:dyDescent="0.25">
      <c r="A694" s="1"/>
      <c r="B694" s="2"/>
    </row>
    <row r="695" spans="1:2" x14ac:dyDescent="0.25">
      <c r="A695" s="1"/>
      <c r="B695" s="2"/>
    </row>
    <row r="696" spans="1:2" x14ac:dyDescent="0.25">
      <c r="A696" s="1"/>
      <c r="B696" s="2"/>
    </row>
    <row r="697" spans="1:2" x14ac:dyDescent="0.25">
      <c r="A697" s="1"/>
      <c r="B697" s="2"/>
    </row>
    <row r="698" spans="1:2" x14ac:dyDescent="0.25">
      <c r="A698" s="1"/>
      <c r="B698" s="2"/>
    </row>
    <row r="699" spans="1:2" x14ac:dyDescent="0.25">
      <c r="A699" s="1"/>
      <c r="B699" s="2"/>
    </row>
    <row r="700" spans="1:2" x14ac:dyDescent="0.25">
      <c r="A700" s="1"/>
      <c r="B700" s="2"/>
    </row>
    <row r="701" spans="1:2" x14ac:dyDescent="0.25">
      <c r="A701" s="1"/>
      <c r="B701" s="2"/>
    </row>
    <row r="702" spans="1:2" x14ac:dyDescent="0.25">
      <c r="A702" s="1"/>
      <c r="B702" s="2"/>
    </row>
    <row r="703" spans="1:2" x14ac:dyDescent="0.25">
      <c r="A703" s="1"/>
      <c r="B703" s="2"/>
    </row>
    <row r="704" spans="1:2" x14ac:dyDescent="0.25">
      <c r="A704" s="1"/>
      <c r="B704" s="2"/>
    </row>
    <row r="705" spans="1:2" x14ac:dyDescent="0.25">
      <c r="A705" s="1"/>
      <c r="B705" s="2"/>
    </row>
    <row r="706" spans="1:2" x14ac:dyDescent="0.25">
      <c r="A706" s="1"/>
      <c r="B706" s="2"/>
    </row>
    <row r="707" spans="1:2" x14ac:dyDescent="0.25">
      <c r="A707" s="1"/>
      <c r="B707" s="2"/>
    </row>
    <row r="708" spans="1:2" x14ac:dyDescent="0.25">
      <c r="A708" s="1"/>
      <c r="B708" s="2"/>
    </row>
    <row r="709" spans="1:2" x14ac:dyDescent="0.25">
      <c r="A709" s="1"/>
      <c r="B709" s="2"/>
    </row>
    <row r="710" spans="1:2" x14ac:dyDescent="0.25">
      <c r="A710" s="1"/>
      <c r="B710" s="2"/>
    </row>
    <row r="711" spans="1:2" x14ac:dyDescent="0.25">
      <c r="A711" s="1"/>
      <c r="B711" s="2"/>
    </row>
    <row r="712" spans="1:2" x14ac:dyDescent="0.25">
      <c r="A712" s="1"/>
      <c r="B712" s="2"/>
    </row>
    <row r="713" spans="1:2" x14ac:dyDescent="0.25">
      <c r="A713" s="1"/>
      <c r="B713" s="2"/>
    </row>
    <row r="714" spans="1:2" x14ac:dyDescent="0.25">
      <c r="A714" s="1"/>
      <c r="B714" s="2"/>
    </row>
    <row r="715" spans="1:2" x14ac:dyDescent="0.25">
      <c r="A715" s="1"/>
      <c r="B715" s="2"/>
    </row>
    <row r="716" spans="1:2" x14ac:dyDescent="0.25">
      <c r="A716" s="1"/>
      <c r="B716" s="2"/>
    </row>
    <row r="717" spans="1:2" x14ac:dyDescent="0.25">
      <c r="A717" s="1"/>
      <c r="B717" s="2"/>
    </row>
    <row r="718" spans="1:2" x14ac:dyDescent="0.25">
      <c r="A718" s="1"/>
      <c r="B718" s="2"/>
    </row>
    <row r="719" spans="1:2" x14ac:dyDescent="0.25">
      <c r="A719" s="1"/>
      <c r="B719" s="2"/>
    </row>
    <row r="720" spans="1:2" x14ac:dyDescent="0.25">
      <c r="A720" s="1"/>
      <c r="B720" s="2"/>
    </row>
    <row r="721" spans="1:2" x14ac:dyDescent="0.25">
      <c r="A721" s="1"/>
      <c r="B721" s="2"/>
    </row>
    <row r="722" spans="1:2" x14ac:dyDescent="0.25">
      <c r="A722" s="1"/>
      <c r="B722" s="2"/>
    </row>
    <row r="723" spans="1:2" x14ac:dyDescent="0.25">
      <c r="A723" s="1"/>
      <c r="B723" s="2"/>
    </row>
    <row r="724" spans="1:2" x14ac:dyDescent="0.25">
      <c r="A724" s="1"/>
      <c r="B724" s="2"/>
    </row>
    <row r="725" spans="1:2" x14ac:dyDescent="0.25">
      <c r="A725" s="1"/>
      <c r="B725" s="2"/>
    </row>
    <row r="726" spans="1:2" x14ac:dyDescent="0.25">
      <c r="A726" s="1"/>
      <c r="B726" s="2"/>
    </row>
    <row r="727" spans="1:2" x14ac:dyDescent="0.25">
      <c r="A727" s="1"/>
      <c r="B727" s="2"/>
    </row>
    <row r="728" spans="1:2" x14ac:dyDescent="0.25">
      <c r="A728" s="1"/>
      <c r="B728" s="2"/>
    </row>
    <row r="729" spans="1:2" x14ac:dyDescent="0.25">
      <c r="A729" s="1"/>
      <c r="B729" s="2"/>
    </row>
    <row r="730" spans="1:2" x14ac:dyDescent="0.25">
      <c r="A730" s="1"/>
      <c r="B730" s="2"/>
    </row>
    <row r="731" spans="1:2" x14ac:dyDescent="0.25">
      <c r="A731" s="1"/>
      <c r="B731" s="2"/>
    </row>
    <row r="732" spans="1:2" x14ac:dyDescent="0.25">
      <c r="A732" s="1"/>
      <c r="B732" s="2"/>
    </row>
    <row r="733" spans="1:2" x14ac:dyDescent="0.25">
      <c r="A733" s="1"/>
      <c r="B733" s="2"/>
    </row>
    <row r="734" spans="1:2" x14ac:dyDescent="0.25">
      <c r="A734" s="1"/>
      <c r="B734" s="2"/>
    </row>
    <row r="735" spans="1:2" x14ac:dyDescent="0.25">
      <c r="A735" s="1"/>
      <c r="B735" s="2"/>
    </row>
    <row r="736" spans="1:2" x14ac:dyDescent="0.25">
      <c r="A736" s="1"/>
      <c r="B736" s="2"/>
    </row>
    <row r="737" spans="1:2" x14ac:dyDescent="0.25">
      <c r="A737" s="1"/>
      <c r="B737" s="2"/>
    </row>
    <row r="738" spans="1:2" x14ac:dyDescent="0.25">
      <c r="A738" s="1"/>
      <c r="B738" s="2"/>
    </row>
    <row r="739" spans="1:2" x14ac:dyDescent="0.25">
      <c r="A739" s="1"/>
      <c r="B739" s="2"/>
    </row>
    <row r="740" spans="1:2" x14ac:dyDescent="0.25">
      <c r="A740" s="1"/>
      <c r="B740" s="2"/>
    </row>
    <row r="741" spans="1:2" x14ac:dyDescent="0.25">
      <c r="A741" s="1"/>
      <c r="B741" s="2"/>
    </row>
    <row r="742" spans="1:2" x14ac:dyDescent="0.25">
      <c r="A742" s="1"/>
      <c r="B742" s="2"/>
    </row>
    <row r="743" spans="1:2" x14ac:dyDescent="0.25">
      <c r="A743" s="1"/>
      <c r="B743" s="2"/>
    </row>
    <row r="744" spans="1:2" x14ac:dyDescent="0.25">
      <c r="A744" s="1"/>
      <c r="B744" s="2"/>
    </row>
    <row r="745" spans="1:2" x14ac:dyDescent="0.25">
      <c r="A745" s="1"/>
      <c r="B745" s="2"/>
    </row>
    <row r="746" spans="1:2" x14ac:dyDescent="0.25">
      <c r="A746" s="1"/>
      <c r="B746" s="2"/>
    </row>
    <row r="747" spans="1:2" x14ac:dyDescent="0.25">
      <c r="A747" s="1"/>
      <c r="B747" s="2"/>
    </row>
    <row r="748" spans="1:2" x14ac:dyDescent="0.25">
      <c r="A748" s="1"/>
      <c r="B748" s="2"/>
    </row>
    <row r="749" spans="1:2" x14ac:dyDescent="0.25">
      <c r="A749" s="1"/>
      <c r="B749" s="2"/>
    </row>
    <row r="750" spans="1:2" x14ac:dyDescent="0.25">
      <c r="A750" s="1"/>
      <c r="B750" s="2"/>
    </row>
    <row r="751" spans="1:2" x14ac:dyDescent="0.25">
      <c r="A751" s="1"/>
      <c r="B751" s="2"/>
    </row>
    <row r="752" spans="1:2" x14ac:dyDescent="0.25">
      <c r="A752" s="1"/>
      <c r="B752" s="2"/>
    </row>
    <row r="753" spans="1:2" x14ac:dyDescent="0.25">
      <c r="A753" s="1"/>
      <c r="B753" s="2"/>
    </row>
    <row r="754" spans="1:2" x14ac:dyDescent="0.25">
      <c r="A754" s="1"/>
      <c r="B754" s="2"/>
    </row>
    <row r="755" spans="1:2" x14ac:dyDescent="0.25">
      <c r="A755" s="1"/>
      <c r="B755" s="2"/>
    </row>
    <row r="756" spans="1:2" x14ac:dyDescent="0.25">
      <c r="A756" s="1"/>
      <c r="B756" s="2"/>
    </row>
    <row r="757" spans="1:2" x14ac:dyDescent="0.25">
      <c r="A757" s="1"/>
      <c r="B757" s="2"/>
    </row>
    <row r="758" spans="1:2" x14ac:dyDescent="0.25">
      <c r="A758" s="1"/>
      <c r="B758" s="2"/>
    </row>
    <row r="759" spans="1:2" x14ac:dyDescent="0.25">
      <c r="A759" s="1"/>
      <c r="B759" s="2"/>
    </row>
    <row r="760" spans="1:2" x14ac:dyDescent="0.25">
      <c r="A760" s="1"/>
      <c r="B760" s="2"/>
    </row>
    <row r="761" spans="1:2" x14ac:dyDescent="0.25">
      <c r="A761" s="1"/>
      <c r="B761" s="2"/>
    </row>
    <row r="762" spans="1:2" x14ac:dyDescent="0.25">
      <c r="A762" s="1"/>
      <c r="B762" s="2"/>
    </row>
    <row r="763" spans="1:2" x14ac:dyDescent="0.25">
      <c r="A763" s="1"/>
      <c r="B763" s="2"/>
    </row>
    <row r="764" spans="1:2" x14ac:dyDescent="0.25">
      <c r="A764" s="1"/>
      <c r="B764" s="2"/>
    </row>
    <row r="765" spans="1:2" x14ac:dyDescent="0.25">
      <c r="A765" s="1"/>
      <c r="B765" s="2"/>
    </row>
    <row r="766" spans="1:2" x14ac:dyDescent="0.25">
      <c r="A766" s="1"/>
      <c r="B766" s="2"/>
    </row>
    <row r="767" spans="1:2" x14ac:dyDescent="0.25">
      <c r="A767" s="1"/>
      <c r="B767" s="2"/>
    </row>
    <row r="768" spans="1:2" x14ac:dyDescent="0.25">
      <c r="A768" s="1"/>
      <c r="B768" s="2"/>
    </row>
    <row r="769" spans="1:2" x14ac:dyDescent="0.25">
      <c r="A769" s="1"/>
      <c r="B769" s="2"/>
    </row>
    <row r="770" spans="1:2" x14ac:dyDescent="0.25">
      <c r="A770" s="1"/>
      <c r="B770" s="2"/>
    </row>
    <row r="771" spans="1:2" x14ac:dyDescent="0.25">
      <c r="A771" s="1"/>
      <c r="B771" s="2"/>
    </row>
    <row r="772" spans="1:2" x14ac:dyDescent="0.25">
      <c r="A772" s="1"/>
      <c r="B772" s="2"/>
    </row>
    <row r="773" spans="1:2" x14ac:dyDescent="0.25">
      <c r="A773" s="1"/>
      <c r="B773" s="2"/>
    </row>
    <row r="774" spans="1:2" x14ac:dyDescent="0.25">
      <c r="A774" s="1"/>
      <c r="B774" s="2"/>
    </row>
    <row r="775" spans="1:2" x14ac:dyDescent="0.25">
      <c r="A775" s="1"/>
      <c r="B775" s="2"/>
    </row>
    <row r="776" spans="1:2" x14ac:dyDescent="0.25">
      <c r="A776" s="1"/>
      <c r="B776" s="2"/>
    </row>
    <row r="777" spans="1:2" x14ac:dyDescent="0.25">
      <c r="A777" s="1"/>
      <c r="B777" s="2"/>
    </row>
    <row r="778" spans="1:2" x14ac:dyDescent="0.25">
      <c r="A778" s="1"/>
      <c r="B778" s="2"/>
    </row>
    <row r="779" spans="1:2" x14ac:dyDescent="0.25">
      <c r="A779" s="1"/>
      <c r="B779" s="2"/>
    </row>
    <row r="780" spans="1:2" x14ac:dyDescent="0.25">
      <c r="A780" s="1"/>
      <c r="B780" s="2"/>
    </row>
    <row r="781" spans="1:2" x14ac:dyDescent="0.25">
      <c r="A781" s="1"/>
      <c r="B781" s="2"/>
    </row>
    <row r="782" spans="1:2" x14ac:dyDescent="0.25">
      <c r="A782" s="1"/>
      <c r="B782" s="2"/>
    </row>
    <row r="783" spans="1:2" x14ac:dyDescent="0.25">
      <c r="A783" s="1"/>
      <c r="B783" s="2"/>
    </row>
    <row r="784" spans="1:2" x14ac:dyDescent="0.25">
      <c r="A784" s="1"/>
      <c r="B784" s="2"/>
    </row>
    <row r="785" spans="1:2" x14ac:dyDescent="0.25">
      <c r="A785" s="1"/>
      <c r="B785" s="2"/>
    </row>
    <row r="786" spans="1:2" x14ac:dyDescent="0.25">
      <c r="A786" s="1"/>
      <c r="B786" s="2"/>
    </row>
    <row r="787" spans="1:2" x14ac:dyDescent="0.25">
      <c r="A787" s="1"/>
      <c r="B787" s="2"/>
    </row>
    <row r="788" spans="1:2" x14ac:dyDescent="0.25">
      <c r="A788" s="1"/>
      <c r="B788" s="2"/>
    </row>
    <row r="789" spans="1:2" x14ac:dyDescent="0.25">
      <c r="A789" s="1"/>
      <c r="B789" s="2"/>
    </row>
    <row r="790" spans="1:2" x14ac:dyDescent="0.25">
      <c r="A790" s="1"/>
      <c r="B790" s="2"/>
    </row>
    <row r="791" spans="1:2" x14ac:dyDescent="0.25">
      <c r="A791" s="1"/>
      <c r="B791" s="2"/>
    </row>
    <row r="792" spans="1:2" x14ac:dyDescent="0.25">
      <c r="A792" s="1"/>
      <c r="B792" s="2"/>
    </row>
    <row r="793" spans="1:2" x14ac:dyDescent="0.25">
      <c r="A793" s="1"/>
      <c r="B793" s="2"/>
    </row>
    <row r="794" spans="1:2" x14ac:dyDescent="0.25">
      <c r="A794" s="1"/>
      <c r="B794" s="2"/>
    </row>
    <row r="795" spans="1:2" x14ac:dyDescent="0.25">
      <c r="A795" s="1"/>
      <c r="B795" s="2"/>
    </row>
    <row r="796" spans="1:2" x14ac:dyDescent="0.25">
      <c r="A796" s="1"/>
      <c r="B796" s="2"/>
    </row>
    <row r="797" spans="1:2" x14ac:dyDescent="0.25">
      <c r="A797" s="1"/>
      <c r="B797" s="2"/>
    </row>
    <row r="798" spans="1:2" x14ac:dyDescent="0.25">
      <c r="A798" s="1"/>
      <c r="B798" s="2"/>
    </row>
    <row r="799" spans="1:2" x14ac:dyDescent="0.25">
      <c r="A799" s="1"/>
      <c r="B799" s="2"/>
    </row>
    <row r="800" spans="1:2" x14ac:dyDescent="0.25">
      <c r="A800" s="1"/>
      <c r="B800" s="2"/>
    </row>
    <row r="801" spans="1:2" x14ac:dyDescent="0.25">
      <c r="A801" s="1"/>
      <c r="B801" s="2"/>
    </row>
    <row r="802" spans="1:2" x14ac:dyDescent="0.25">
      <c r="A802" s="1"/>
      <c r="B802" s="2"/>
    </row>
    <row r="803" spans="1:2" x14ac:dyDescent="0.25">
      <c r="A803" s="1"/>
      <c r="B803" s="2"/>
    </row>
    <row r="804" spans="1:2" x14ac:dyDescent="0.25">
      <c r="A804" s="1"/>
      <c r="B804" s="2"/>
    </row>
    <row r="805" spans="1:2" x14ac:dyDescent="0.25">
      <c r="A805" s="1"/>
      <c r="B805" s="2"/>
    </row>
    <row r="806" spans="1:2" x14ac:dyDescent="0.25">
      <c r="A806" s="1"/>
      <c r="B806" s="2"/>
    </row>
    <row r="807" spans="1:2" x14ac:dyDescent="0.25">
      <c r="A807" s="1"/>
      <c r="B807" s="2"/>
    </row>
    <row r="808" spans="1:2" x14ac:dyDescent="0.25">
      <c r="A808" s="1"/>
      <c r="B808" s="2"/>
    </row>
    <row r="809" spans="1:2" x14ac:dyDescent="0.25">
      <c r="A809" s="1"/>
      <c r="B809" s="2"/>
    </row>
    <row r="810" spans="1:2" x14ac:dyDescent="0.25">
      <c r="A810" s="1"/>
      <c r="B810" s="2"/>
    </row>
    <row r="811" spans="1:2" x14ac:dyDescent="0.25">
      <c r="A811" s="1"/>
      <c r="B811" s="2"/>
    </row>
    <row r="812" spans="1:2" x14ac:dyDescent="0.25">
      <c r="A812" s="1"/>
      <c r="B812" s="2"/>
    </row>
    <row r="813" spans="1:2" x14ac:dyDescent="0.25">
      <c r="A813" s="1"/>
      <c r="B813" s="2"/>
    </row>
    <row r="814" spans="1:2" x14ac:dyDescent="0.25">
      <c r="A814" s="1"/>
      <c r="B814" s="2"/>
    </row>
    <row r="815" spans="1:2" x14ac:dyDescent="0.25">
      <c r="A815" s="1"/>
      <c r="B815" s="2"/>
    </row>
    <row r="816" spans="1:2" x14ac:dyDescent="0.25">
      <c r="A816" s="1"/>
      <c r="B816" s="2"/>
    </row>
    <row r="817" spans="1:2" x14ac:dyDescent="0.25">
      <c r="A817" s="1"/>
      <c r="B817" s="2"/>
    </row>
    <row r="818" spans="1:2" x14ac:dyDescent="0.25">
      <c r="A818" s="1"/>
      <c r="B818" s="2"/>
    </row>
    <row r="819" spans="1:2" x14ac:dyDescent="0.25">
      <c r="A819" s="1"/>
      <c r="B819" s="2"/>
    </row>
    <row r="820" spans="1:2" x14ac:dyDescent="0.25">
      <c r="A820" s="1"/>
      <c r="B820" s="2"/>
    </row>
    <row r="821" spans="1:2" x14ac:dyDescent="0.25">
      <c r="A821" s="1"/>
      <c r="B821" s="2"/>
    </row>
    <row r="822" spans="1:2" x14ac:dyDescent="0.25">
      <c r="A822" s="1"/>
      <c r="B822" s="2"/>
    </row>
    <row r="823" spans="1:2" x14ac:dyDescent="0.25">
      <c r="A823" s="1"/>
      <c r="B823" s="2"/>
    </row>
    <row r="824" spans="1:2" x14ac:dyDescent="0.25">
      <c r="A824" s="1"/>
      <c r="B824" s="2"/>
    </row>
    <row r="825" spans="1:2" x14ac:dyDescent="0.25">
      <c r="A825" s="1"/>
      <c r="B825" s="2"/>
    </row>
    <row r="826" spans="1:2" x14ac:dyDescent="0.25">
      <c r="A826" s="1"/>
      <c r="B826" s="2"/>
    </row>
    <row r="827" spans="1:2" x14ac:dyDescent="0.25">
      <c r="A827" s="1"/>
      <c r="B827" s="2"/>
    </row>
    <row r="828" spans="1:2" x14ac:dyDescent="0.25">
      <c r="A828" s="1"/>
      <c r="B828" s="2"/>
    </row>
    <row r="829" spans="1:2" x14ac:dyDescent="0.25">
      <c r="A829" s="1"/>
      <c r="B829" s="2"/>
    </row>
    <row r="830" spans="1:2" x14ac:dyDescent="0.25">
      <c r="A830" s="1"/>
      <c r="B830" s="2"/>
    </row>
    <row r="831" spans="1:2" x14ac:dyDescent="0.25">
      <c r="A831" s="1"/>
      <c r="B831" s="2"/>
    </row>
    <row r="832" spans="1:2" x14ac:dyDescent="0.25">
      <c r="A832" s="1"/>
      <c r="B832" s="2"/>
    </row>
    <row r="833" spans="1:2" x14ac:dyDescent="0.25">
      <c r="A833" s="1"/>
      <c r="B833" s="2"/>
    </row>
    <row r="834" spans="1:2" x14ac:dyDescent="0.25">
      <c r="A834" s="1"/>
      <c r="B834" s="2"/>
    </row>
    <row r="835" spans="1:2" x14ac:dyDescent="0.25">
      <c r="A835" s="1"/>
      <c r="B835" s="2"/>
    </row>
    <row r="836" spans="1:2" x14ac:dyDescent="0.25">
      <c r="A836" s="1"/>
      <c r="B836" s="2"/>
    </row>
    <row r="837" spans="1:2" x14ac:dyDescent="0.25">
      <c r="A837" s="1"/>
      <c r="B837" s="2"/>
    </row>
    <row r="838" spans="1:2" x14ac:dyDescent="0.25">
      <c r="A838" s="1"/>
      <c r="B838" s="2"/>
    </row>
    <row r="839" spans="1:2" x14ac:dyDescent="0.25">
      <c r="A839" s="1"/>
      <c r="B839" s="2"/>
    </row>
    <row r="840" spans="1:2" x14ac:dyDescent="0.25">
      <c r="A840" s="1"/>
      <c r="B840" s="2"/>
    </row>
    <row r="841" spans="1:2" x14ac:dyDescent="0.25">
      <c r="A841" s="1"/>
      <c r="B841" s="2"/>
    </row>
    <row r="842" spans="1:2" x14ac:dyDescent="0.25">
      <c r="A842" s="1"/>
      <c r="B842" s="2"/>
    </row>
    <row r="843" spans="1:2" x14ac:dyDescent="0.25">
      <c r="A843" s="1"/>
      <c r="B843" s="2"/>
    </row>
    <row r="844" spans="1:2" x14ac:dyDescent="0.25">
      <c r="A844" s="1"/>
      <c r="B844" s="2"/>
    </row>
    <row r="845" spans="1:2" x14ac:dyDescent="0.25">
      <c r="A845" s="1"/>
      <c r="B845" s="2"/>
    </row>
    <row r="846" spans="1:2" x14ac:dyDescent="0.25">
      <c r="A846" s="1"/>
      <c r="B846" s="2"/>
    </row>
    <row r="847" spans="1:2" x14ac:dyDescent="0.25">
      <c r="A847" s="1"/>
      <c r="B847" s="2"/>
    </row>
    <row r="848" spans="1:2" x14ac:dyDescent="0.25">
      <c r="A848" s="1"/>
      <c r="B848" s="2"/>
    </row>
    <row r="849" spans="1:2" x14ac:dyDescent="0.25">
      <c r="A849" s="1"/>
      <c r="B849" s="2"/>
    </row>
    <row r="850" spans="1:2" x14ac:dyDescent="0.25">
      <c r="A850" s="1"/>
      <c r="B850" s="2"/>
    </row>
    <row r="851" spans="1:2" x14ac:dyDescent="0.25">
      <c r="A851" s="1"/>
      <c r="B851" s="2"/>
    </row>
    <row r="852" spans="1:2" x14ac:dyDescent="0.25">
      <c r="A852" s="1"/>
      <c r="B852" s="2"/>
    </row>
    <row r="853" spans="1:2" x14ac:dyDescent="0.25">
      <c r="A853" s="1"/>
      <c r="B853" s="2"/>
    </row>
    <row r="854" spans="1:2" x14ac:dyDescent="0.25">
      <c r="A854" s="1"/>
      <c r="B854" s="2"/>
    </row>
    <row r="855" spans="1:2" x14ac:dyDescent="0.25">
      <c r="A855" s="1"/>
      <c r="B855" s="2"/>
    </row>
    <row r="856" spans="1:2" x14ac:dyDescent="0.25">
      <c r="A856" s="1"/>
      <c r="B856" s="2"/>
    </row>
    <row r="857" spans="1:2" x14ac:dyDescent="0.25">
      <c r="A857" s="1"/>
      <c r="B857" s="2"/>
    </row>
    <row r="858" spans="1:2" x14ac:dyDescent="0.25">
      <c r="A858" s="1"/>
      <c r="B858" s="2"/>
    </row>
    <row r="859" spans="1:2" x14ac:dyDescent="0.25">
      <c r="A859" s="1"/>
      <c r="B859" s="2"/>
    </row>
    <row r="860" spans="1:2" x14ac:dyDescent="0.25">
      <c r="A860" s="1"/>
      <c r="B860" s="2"/>
    </row>
    <row r="861" spans="1:2" x14ac:dyDescent="0.25">
      <c r="A861" s="1"/>
      <c r="B861" s="2"/>
    </row>
    <row r="862" spans="1:2" x14ac:dyDescent="0.25">
      <c r="A862" s="1"/>
      <c r="B862" s="2"/>
    </row>
    <row r="863" spans="1:2" x14ac:dyDescent="0.25">
      <c r="A863" s="1"/>
      <c r="B863" s="2"/>
    </row>
    <row r="864" spans="1:2" x14ac:dyDescent="0.25">
      <c r="A864" s="1"/>
      <c r="B864" s="2"/>
    </row>
    <row r="865" spans="1:2" x14ac:dyDescent="0.25">
      <c r="A865" s="1"/>
      <c r="B865" s="2"/>
    </row>
    <row r="866" spans="1:2" x14ac:dyDescent="0.25">
      <c r="A866" s="1"/>
      <c r="B866" s="2"/>
    </row>
    <row r="867" spans="1:2" x14ac:dyDescent="0.25">
      <c r="A867" s="1"/>
      <c r="B867" s="2"/>
    </row>
    <row r="868" spans="1:2" x14ac:dyDescent="0.25">
      <c r="A868" s="1"/>
      <c r="B868" s="2"/>
    </row>
    <row r="869" spans="1:2" x14ac:dyDescent="0.25">
      <c r="A869" s="1"/>
      <c r="B869" s="2"/>
    </row>
    <row r="870" spans="1:2" x14ac:dyDescent="0.25">
      <c r="A870" s="1"/>
      <c r="B870" s="2"/>
    </row>
    <row r="871" spans="1:2" x14ac:dyDescent="0.25">
      <c r="A871" s="1"/>
      <c r="B871" s="2"/>
    </row>
    <row r="872" spans="1:2" x14ac:dyDescent="0.25">
      <c r="A872" s="1"/>
      <c r="B872" s="2"/>
    </row>
    <row r="873" spans="1:2" x14ac:dyDescent="0.25">
      <c r="A873" s="1"/>
      <c r="B873" s="2"/>
    </row>
    <row r="874" spans="1:2" x14ac:dyDescent="0.25">
      <c r="A874" s="1"/>
      <c r="B874" s="2"/>
    </row>
    <row r="875" spans="1:2" x14ac:dyDescent="0.25">
      <c r="A875" s="1"/>
      <c r="B875" s="2"/>
    </row>
    <row r="876" spans="1:2" x14ac:dyDescent="0.25">
      <c r="A876" s="1"/>
      <c r="B876" s="2"/>
    </row>
    <row r="877" spans="1:2" x14ac:dyDescent="0.25">
      <c r="A877" s="1"/>
      <c r="B877" s="2"/>
    </row>
    <row r="878" spans="1:2" x14ac:dyDescent="0.25">
      <c r="A878" s="1"/>
      <c r="B878" s="2"/>
    </row>
    <row r="879" spans="1:2" x14ac:dyDescent="0.25">
      <c r="A879" s="1"/>
      <c r="B879" s="2"/>
    </row>
    <row r="880" spans="1:2" x14ac:dyDescent="0.25">
      <c r="A880" s="1"/>
      <c r="B880" s="2"/>
    </row>
    <row r="881" spans="1:2" x14ac:dyDescent="0.25">
      <c r="A881" s="1"/>
      <c r="B881" s="2"/>
    </row>
    <row r="882" spans="1:2" x14ac:dyDescent="0.25">
      <c r="A882" s="1"/>
      <c r="B882" s="2"/>
    </row>
    <row r="883" spans="1:2" x14ac:dyDescent="0.25">
      <c r="A883" s="1"/>
      <c r="B883" s="2"/>
    </row>
    <row r="884" spans="1:2" x14ac:dyDescent="0.25">
      <c r="A884" s="1"/>
      <c r="B884" s="2"/>
    </row>
    <row r="885" spans="1:2" x14ac:dyDescent="0.25">
      <c r="A885" s="1"/>
      <c r="B885" s="2"/>
    </row>
    <row r="886" spans="1:2" x14ac:dyDescent="0.25">
      <c r="A886" s="1"/>
      <c r="B886" s="2"/>
    </row>
    <row r="887" spans="1:2" x14ac:dyDescent="0.25">
      <c r="A887" s="1"/>
      <c r="B887" s="2"/>
    </row>
    <row r="888" spans="1:2" x14ac:dyDescent="0.25">
      <c r="A888" s="1"/>
      <c r="B888" s="2"/>
    </row>
    <row r="889" spans="1:2" x14ac:dyDescent="0.25">
      <c r="A889" s="1"/>
      <c r="B889" s="2"/>
    </row>
    <row r="890" spans="1:2" x14ac:dyDescent="0.25">
      <c r="A890" s="1"/>
      <c r="B890" s="2"/>
    </row>
    <row r="891" spans="1:2" x14ac:dyDescent="0.25">
      <c r="A891" s="1"/>
      <c r="B891" s="2"/>
    </row>
    <row r="892" spans="1:2" x14ac:dyDescent="0.25">
      <c r="A892" s="1"/>
      <c r="B892" s="2"/>
    </row>
    <row r="893" spans="1:2" x14ac:dyDescent="0.25">
      <c r="A893" s="1"/>
      <c r="B893" s="2"/>
    </row>
    <row r="894" spans="1:2" x14ac:dyDescent="0.25">
      <c r="A894" s="1"/>
      <c r="B894" s="2"/>
    </row>
    <row r="895" spans="1:2" x14ac:dyDescent="0.25">
      <c r="A895" s="1"/>
      <c r="B895" s="2"/>
    </row>
    <row r="896" spans="1:2" x14ac:dyDescent="0.25">
      <c r="A896" s="1"/>
      <c r="B896" s="2"/>
    </row>
    <row r="897" spans="1:2" x14ac:dyDescent="0.25">
      <c r="A897" s="1"/>
      <c r="B897" s="2"/>
    </row>
    <row r="898" spans="1:2" x14ac:dyDescent="0.25">
      <c r="A898" s="1"/>
      <c r="B898" s="2"/>
    </row>
    <row r="899" spans="1:2" x14ac:dyDescent="0.25">
      <c r="A899" s="1"/>
      <c r="B899" s="2"/>
    </row>
    <row r="900" spans="1:2" x14ac:dyDescent="0.25">
      <c r="A900" s="1"/>
      <c r="B900" s="2"/>
    </row>
    <row r="901" spans="1:2" x14ac:dyDescent="0.25">
      <c r="A901" s="1"/>
      <c r="B901" s="2"/>
    </row>
    <row r="902" spans="1:2" x14ac:dyDescent="0.25">
      <c r="A902" s="1"/>
      <c r="B902" s="2"/>
    </row>
    <row r="903" spans="1:2" x14ac:dyDescent="0.25">
      <c r="A903" s="1"/>
      <c r="B903" s="2"/>
    </row>
    <row r="904" spans="1:2" x14ac:dyDescent="0.25">
      <c r="A904" s="1"/>
      <c r="B904" s="2"/>
    </row>
    <row r="905" spans="1:2" x14ac:dyDescent="0.25">
      <c r="A905" s="1"/>
      <c r="B905" s="2"/>
    </row>
    <row r="906" spans="1:2" x14ac:dyDescent="0.25">
      <c r="A906" s="1"/>
      <c r="B906" s="2"/>
    </row>
    <row r="907" spans="1:2" x14ac:dyDescent="0.25">
      <c r="A907" s="1"/>
      <c r="B907" s="2"/>
    </row>
    <row r="908" spans="1:2" x14ac:dyDescent="0.25">
      <c r="A908" s="1"/>
      <c r="B908" s="2"/>
    </row>
    <row r="909" spans="1:2" x14ac:dyDescent="0.25">
      <c r="A909" s="1"/>
      <c r="B909" s="2"/>
    </row>
    <row r="910" spans="1:2" x14ac:dyDescent="0.25">
      <c r="A910" s="1"/>
      <c r="B910" s="2"/>
    </row>
    <row r="911" spans="1:2" x14ac:dyDescent="0.25">
      <c r="A911" s="1"/>
      <c r="B911" s="2"/>
    </row>
    <row r="912" spans="1:2" x14ac:dyDescent="0.25">
      <c r="A912" s="1"/>
      <c r="B912" s="2"/>
    </row>
    <row r="913" spans="1:2" x14ac:dyDescent="0.25">
      <c r="A913" s="1"/>
      <c r="B913" s="2"/>
    </row>
    <row r="914" spans="1:2" x14ac:dyDescent="0.25">
      <c r="A914" s="1"/>
      <c r="B914" s="2"/>
    </row>
    <row r="915" spans="1:2" x14ac:dyDescent="0.25">
      <c r="A915" s="1"/>
      <c r="B915" s="2"/>
    </row>
    <row r="916" spans="1:2" x14ac:dyDescent="0.25">
      <c r="A916" s="1"/>
      <c r="B916" s="2"/>
    </row>
    <row r="917" spans="1:2" x14ac:dyDescent="0.25">
      <c r="A917" s="1"/>
      <c r="B917" s="2"/>
    </row>
    <row r="918" spans="1:2" x14ac:dyDescent="0.25">
      <c r="A918" s="1"/>
      <c r="B918" s="2"/>
    </row>
    <row r="919" spans="1:2" x14ac:dyDescent="0.25">
      <c r="A919" s="1"/>
      <c r="B919" s="2"/>
    </row>
    <row r="920" spans="1:2" x14ac:dyDescent="0.25">
      <c r="A920" s="1"/>
      <c r="B920" s="2"/>
    </row>
    <row r="921" spans="1:2" x14ac:dyDescent="0.25">
      <c r="A921" s="1"/>
      <c r="B921" s="2"/>
    </row>
    <row r="922" spans="1:2" x14ac:dyDescent="0.25">
      <c r="A922" s="1"/>
      <c r="B922" s="2"/>
    </row>
    <row r="923" spans="1:2" x14ac:dyDescent="0.25">
      <c r="A923" s="1"/>
      <c r="B923" s="2"/>
    </row>
    <row r="924" spans="1:2" x14ac:dyDescent="0.25">
      <c r="A924" s="1"/>
      <c r="B924" s="2"/>
    </row>
    <row r="925" spans="1:2" x14ac:dyDescent="0.25">
      <c r="A925" s="1"/>
      <c r="B925" s="2"/>
    </row>
    <row r="926" spans="1:2" x14ac:dyDescent="0.25">
      <c r="A926" s="1"/>
      <c r="B926" s="2"/>
    </row>
    <row r="927" spans="1:2" x14ac:dyDescent="0.25">
      <c r="A927" s="1"/>
      <c r="B927" s="2"/>
    </row>
    <row r="928" spans="1:2" x14ac:dyDescent="0.25">
      <c r="A928" s="1"/>
      <c r="B928" s="2"/>
    </row>
    <row r="929" spans="1:2" x14ac:dyDescent="0.25">
      <c r="A929" s="1"/>
      <c r="B929" s="2"/>
    </row>
    <row r="930" spans="1:2" x14ac:dyDescent="0.25">
      <c r="A930" s="1"/>
      <c r="B930" s="2"/>
    </row>
    <row r="931" spans="1:2" x14ac:dyDescent="0.25">
      <c r="A931" s="1"/>
      <c r="B931" s="2"/>
    </row>
    <row r="932" spans="1:2" x14ac:dyDescent="0.25">
      <c r="A932" s="1"/>
      <c r="B932" s="2"/>
    </row>
    <row r="933" spans="1:2" x14ac:dyDescent="0.25">
      <c r="A933" s="1"/>
      <c r="B933" s="2"/>
    </row>
    <row r="934" spans="1:2" x14ac:dyDescent="0.25">
      <c r="A934" s="1"/>
      <c r="B934" s="2"/>
    </row>
    <row r="935" spans="1:2" x14ac:dyDescent="0.25">
      <c r="A935" s="1"/>
      <c r="B935" s="2"/>
    </row>
    <row r="936" spans="1:2" x14ac:dyDescent="0.25">
      <c r="A936" s="1"/>
      <c r="B936" s="2"/>
    </row>
    <row r="937" spans="1:2" x14ac:dyDescent="0.25">
      <c r="A937" s="1"/>
      <c r="B937" s="2"/>
    </row>
    <row r="938" spans="1:2" x14ac:dyDescent="0.25">
      <c r="A938" s="1"/>
      <c r="B938" s="2"/>
    </row>
    <row r="939" spans="1:2" x14ac:dyDescent="0.25">
      <c r="A939" s="1"/>
      <c r="B939" s="2"/>
    </row>
    <row r="940" spans="1:2" x14ac:dyDescent="0.25">
      <c r="A940" s="1"/>
      <c r="B940" s="2"/>
    </row>
    <row r="941" spans="1:2" x14ac:dyDescent="0.25">
      <c r="A941" s="1"/>
      <c r="B941" s="2"/>
    </row>
    <row r="942" spans="1:2" x14ac:dyDescent="0.25">
      <c r="A942" s="1"/>
      <c r="B942" s="2"/>
    </row>
    <row r="943" spans="1:2" x14ac:dyDescent="0.25">
      <c r="A943" s="1"/>
      <c r="B943" s="2"/>
    </row>
    <row r="944" spans="1:2" x14ac:dyDescent="0.25">
      <c r="A944" s="1"/>
      <c r="B944" s="2"/>
    </row>
    <row r="945" spans="1:2" x14ac:dyDescent="0.25">
      <c r="A945" s="1"/>
      <c r="B945" s="2"/>
    </row>
    <row r="946" spans="1:2" x14ac:dyDescent="0.25">
      <c r="A946" s="1"/>
      <c r="B946" s="2"/>
    </row>
    <row r="947" spans="1:2" x14ac:dyDescent="0.25">
      <c r="A947" s="1"/>
      <c r="B947" s="2"/>
    </row>
    <row r="948" spans="1:2" x14ac:dyDescent="0.25">
      <c r="A948" s="1"/>
      <c r="B948" s="2"/>
    </row>
    <row r="949" spans="1:2" x14ac:dyDescent="0.25">
      <c r="A949" s="1"/>
      <c r="B949" s="2"/>
    </row>
    <row r="950" spans="1:2" x14ac:dyDescent="0.25">
      <c r="A950" s="1"/>
      <c r="B950" s="2"/>
    </row>
    <row r="951" spans="1:2" x14ac:dyDescent="0.25">
      <c r="A951" s="1"/>
      <c r="B951" s="2"/>
    </row>
    <row r="952" spans="1:2" x14ac:dyDescent="0.25">
      <c r="A952" s="1"/>
      <c r="B952" s="2"/>
    </row>
    <row r="953" spans="1:2" x14ac:dyDescent="0.25">
      <c r="A953" s="1"/>
      <c r="B953" s="2"/>
    </row>
    <row r="954" spans="1:2" x14ac:dyDescent="0.25">
      <c r="A954" s="1"/>
      <c r="B954" s="2"/>
    </row>
    <row r="955" spans="1:2" x14ac:dyDescent="0.25">
      <c r="A955" s="1"/>
      <c r="B955" s="2"/>
    </row>
    <row r="956" spans="1:2" x14ac:dyDescent="0.25">
      <c r="A956" s="1"/>
      <c r="B956" s="2"/>
    </row>
    <row r="957" spans="1:2" x14ac:dyDescent="0.25">
      <c r="A957" s="1"/>
      <c r="B957" s="2"/>
    </row>
    <row r="958" spans="1:2" x14ac:dyDescent="0.25">
      <c r="A958" s="1"/>
      <c r="B958" s="2"/>
    </row>
    <row r="959" spans="1:2" x14ac:dyDescent="0.25">
      <c r="A959" s="1"/>
      <c r="B959" s="2"/>
    </row>
    <row r="960" spans="1:2" x14ac:dyDescent="0.25">
      <c r="A960" s="1"/>
      <c r="B960" s="2"/>
    </row>
    <row r="961" spans="1:2" x14ac:dyDescent="0.25">
      <c r="A961" s="1"/>
      <c r="B961" s="2"/>
    </row>
    <row r="962" spans="1:2" x14ac:dyDescent="0.25">
      <c r="A962" s="1"/>
      <c r="B962" s="2"/>
    </row>
    <row r="963" spans="1:2" x14ac:dyDescent="0.25">
      <c r="A963" s="1"/>
      <c r="B963" s="2"/>
    </row>
    <row r="964" spans="1:2" x14ac:dyDescent="0.25">
      <c r="A964" s="1"/>
      <c r="B964" s="2"/>
    </row>
    <row r="965" spans="1:2" x14ac:dyDescent="0.25">
      <c r="A965" s="1"/>
      <c r="B965" s="2"/>
    </row>
    <row r="966" spans="1:2" x14ac:dyDescent="0.25">
      <c r="A966" s="1"/>
      <c r="B966" s="2"/>
    </row>
    <row r="967" spans="1:2" x14ac:dyDescent="0.25">
      <c r="A967" s="1"/>
      <c r="B967" s="2"/>
    </row>
    <row r="968" spans="1:2" x14ac:dyDescent="0.25">
      <c r="A968" s="1"/>
      <c r="B968" s="2"/>
    </row>
    <row r="969" spans="1:2" x14ac:dyDescent="0.25">
      <c r="A969" s="1"/>
      <c r="B969" s="2"/>
    </row>
    <row r="970" spans="1:2" x14ac:dyDescent="0.25">
      <c r="A970" s="1"/>
      <c r="B970" s="2"/>
    </row>
    <row r="971" spans="1:2" x14ac:dyDescent="0.25">
      <c r="A971" s="1"/>
      <c r="B971" s="2"/>
    </row>
    <row r="972" spans="1:2" x14ac:dyDescent="0.25">
      <c r="A972" s="1"/>
      <c r="B972" s="2"/>
    </row>
    <row r="973" spans="1:2" x14ac:dyDescent="0.25">
      <c r="A973" s="1"/>
      <c r="B973" s="2"/>
    </row>
    <row r="974" spans="1:2" x14ac:dyDescent="0.25">
      <c r="A974" s="1"/>
      <c r="B974" s="2"/>
    </row>
    <row r="975" spans="1:2" x14ac:dyDescent="0.25">
      <c r="A975" s="1"/>
      <c r="B975" s="2"/>
    </row>
    <row r="976" spans="1:2" x14ac:dyDescent="0.25">
      <c r="A976" s="1"/>
      <c r="B976" s="2"/>
    </row>
    <row r="977" spans="1:2" x14ac:dyDescent="0.25">
      <c r="A977" s="1"/>
      <c r="B977" s="2"/>
    </row>
    <row r="978" spans="1:2" x14ac:dyDescent="0.25">
      <c r="A978" s="1"/>
      <c r="B978" s="2"/>
    </row>
    <row r="979" spans="1:2" x14ac:dyDescent="0.25">
      <c r="A979" s="1"/>
      <c r="B979" s="2"/>
    </row>
    <row r="980" spans="1:2" x14ac:dyDescent="0.25">
      <c r="A980" s="1"/>
      <c r="B980" s="2"/>
    </row>
    <row r="981" spans="1:2" x14ac:dyDescent="0.25">
      <c r="A981" s="1"/>
      <c r="B981" s="2"/>
    </row>
    <row r="982" spans="1:2" x14ac:dyDescent="0.25">
      <c r="A982" s="1"/>
      <c r="B982" s="2"/>
    </row>
    <row r="983" spans="1:2" x14ac:dyDescent="0.25">
      <c r="A983" s="1"/>
      <c r="B983" s="2"/>
    </row>
    <row r="984" spans="1:2" x14ac:dyDescent="0.25">
      <c r="A984" s="1"/>
      <c r="B984" s="2"/>
    </row>
    <row r="985" spans="1:2" x14ac:dyDescent="0.25">
      <c r="A985" s="1"/>
      <c r="B985" s="2"/>
    </row>
    <row r="986" spans="1:2" x14ac:dyDescent="0.25">
      <c r="A986" s="1"/>
      <c r="B986" s="2"/>
    </row>
    <row r="987" spans="1:2" x14ac:dyDescent="0.25">
      <c r="A987" s="1"/>
      <c r="B987" s="2"/>
    </row>
    <row r="988" spans="1:2" x14ac:dyDescent="0.25">
      <c r="A988" s="1"/>
      <c r="B988" s="2"/>
    </row>
    <row r="989" spans="1:2" x14ac:dyDescent="0.25">
      <c r="A989" s="1"/>
      <c r="B989" s="2"/>
    </row>
    <row r="990" spans="1:2" x14ac:dyDescent="0.25">
      <c r="A990" s="1"/>
      <c r="B990" s="2"/>
    </row>
    <row r="991" spans="1:2" x14ac:dyDescent="0.25">
      <c r="A991" s="1"/>
      <c r="B991" s="2"/>
    </row>
    <row r="992" spans="1:2" x14ac:dyDescent="0.25">
      <c r="A992" s="1"/>
      <c r="B992" s="2"/>
    </row>
    <row r="993" spans="1:2" x14ac:dyDescent="0.25">
      <c r="A993" s="1"/>
      <c r="B993" s="2"/>
    </row>
    <row r="994" spans="1:2" x14ac:dyDescent="0.25">
      <c r="A994" s="1"/>
      <c r="B994" s="2"/>
    </row>
    <row r="995" spans="1:2" x14ac:dyDescent="0.25">
      <c r="A995" s="1"/>
      <c r="B995" s="2"/>
    </row>
    <row r="996" spans="1:2" x14ac:dyDescent="0.25">
      <c r="A996" s="1"/>
      <c r="B996" s="2"/>
    </row>
    <row r="997" spans="1:2" x14ac:dyDescent="0.25">
      <c r="A997" s="1"/>
      <c r="B997" s="2"/>
    </row>
    <row r="998" spans="1:2" x14ac:dyDescent="0.25">
      <c r="A998" s="1"/>
      <c r="B998" s="2"/>
    </row>
    <row r="999" spans="1:2" x14ac:dyDescent="0.25">
      <c r="A999" s="1"/>
      <c r="B999" s="2"/>
    </row>
    <row r="1000" spans="1:2" x14ac:dyDescent="0.25">
      <c r="A1000" s="1"/>
      <c r="B1000" s="2"/>
    </row>
    <row r="1001" spans="1:2" x14ac:dyDescent="0.25">
      <c r="A1001" s="1"/>
      <c r="B1001" s="2"/>
    </row>
    <row r="1002" spans="1:2" x14ac:dyDescent="0.25">
      <c r="A1002" s="1"/>
      <c r="B1002" s="2"/>
    </row>
    <row r="1003" spans="1:2" x14ac:dyDescent="0.25">
      <c r="A1003" s="1"/>
      <c r="B1003" s="2"/>
    </row>
    <row r="1004" spans="1:2" x14ac:dyDescent="0.25">
      <c r="A1004" s="1"/>
      <c r="B1004" s="2"/>
    </row>
    <row r="1005" spans="1:2" x14ac:dyDescent="0.25">
      <c r="A1005" s="1"/>
      <c r="B1005" s="2"/>
    </row>
    <row r="1006" spans="1:2" x14ac:dyDescent="0.25">
      <c r="A1006" s="1"/>
      <c r="B1006" s="2"/>
    </row>
    <row r="1007" spans="1:2" x14ac:dyDescent="0.25">
      <c r="A1007" s="1"/>
      <c r="B1007" s="2"/>
    </row>
    <row r="1008" spans="1:2" x14ac:dyDescent="0.25">
      <c r="A1008" s="1"/>
      <c r="B1008" s="2"/>
    </row>
    <row r="1009" spans="1:2" x14ac:dyDescent="0.25">
      <c r="A1009" s="1"/>
      <c r="B1009" s="2"/>
    </row>
    <row r="1010" spans="1:2" x14ac:dyDescent="0.25">
      <c r="A1010" s="1"/>
      <c r="B1010" s="2"/>
    </row>
    <row r="1011" spans="1:2" x14ac:dyDescent="0.25">
      <c r="A1011" s="1"/>
      <c r="B1011" s="2"/>
    </row>
    <row r="1012" spans="1:2" x14ac:dyDescent="0.25">
      <c r="A1012" s="1"/>
      <c r="B1012" s="2"/>
    </row>
    <row r="1013" spans="1:2" x14ac:dyDescent="0.25">
      <c r="A1013" s="1"/>
      <c r="B1013" s="2"/>
    </row>
    <row r="1014" spans="1:2" x14ac:dyDescent="0.25">
      <c r="A1014" s="1"/>
      <c r="B1014" s="2"/>
    </row>
    <row r="1015" spans="1:2" x14ac:dyDescent="0.25">
      <c r="A1015" s="1"/>
      <c r="B1015" s="2"/>
    </row>
    <row r="1016" spans="1:2" x14ac:dyDescent="0.25">
      <c r="A1016" s="1"/>
      <c r="B1016" s="2"/>
    </row>
    <row r="1017" spans="1:2" x14ac:dyDescent="0.25">
      <c r="A1017" s="1"/>
      <c r="B1017" s="2"/>
    </row>
    <row r="1018" spans="1:2" x14ac:dyDescent="0.25">
      <c r="A1018" s="1"/>
      <c r="B1018" s="2"/>
    </row>
    <row r="1019" spans="1:2" x14ac:dyDescent="0.25">
      <c r="A1019" s="1"/>
      <c r="B1019" s="2"/>
    </row>
    <row r="1020" spans="1:2" x14ac:dyDescent="0.25">
      <c r="A1020" s="1"/>
      <c r="B1020" s="2"/>
    </row>
    <row r="1021" spans="1:2" x14ac:dyDescent="0.25">
      <c r="A1021" s="1"/>
      <c r="B1021" s="2"/>
    </row>
    <row r="1022" spans="1:2" x14ac:dyDescent="0.25">
      <c r="A1022" s="1"/>
      <c r="B1022" s="2"/>
    </row>
    <row r="1023" spans="1:2" x14ac:dyDescent="0.25">
      <c r="A1023" s="1"/>
      <c r="B1023" s="2"/>
    </row>
    <row r="1024" spans="1:2" x14ac:dyDescent="0.25">
      <c r="A1024" s="1"/>
      <c r="B1024" s="2"/>
    </row>
    <row r="1025" spans="1:2" x14ac:dyDescent="0.25">
      <c r="A1025" s="1"/>
      <c r="B1025" s="2"/>
    </row>
    <row r="1026" spans="1:2" x14ac:dyDescent="0.25">
      <c r="A1026" s="1"/>
      <c r="B1026" s="2"/>
    </row>
    <row r="1027" spans="1:2" x14ac:dyDescent="0.25">
      <c r="A1027" s="1"/>
      <c r="B1027" s="2"/>
    </row>
    <row r="1028" spans="1:2" x14ac:dyDescent="0.25">
      <c r="A1028" s="1"/>
      <c r="B1028" s="2"/>
    </row>
    <row r="1029" spans="1:2" x14ac:dyDescent="0.25">
      <c r="A1029" s="1"/>
      <c r="B1029" s="2"/>
    </row>
    <row r="1030" spans="1:2" x14ac:dyDescent="0.25">
      <c r="A1030" s="1"/>
      <c r="B1030" s="2"/>
    </row>
    <row r="1031" spans="1:2" x14ac:dyDescent="0.25">
      <c r="A1031" s="1"/>
      <c r="B1031" s="2"/>
    </row>
    <row r="1032" spans="1:2" x14ac:dyDescent="0.25">
      <c r="A1032" s="1"/>
      <c r="B1032" s="2"/>
    </row>
    <row r="1033" spans="1:2" x14ac:dyDescent="0.25">
      <c r="A1033" s="1"/>
      <c r="B1033" s="2"/>
    </row>
    <row r="1034" spans="1:2" x14ac:dyDescent="0.25">
      <c r="A1034" s="1"/>
      <c r="B1034" s="2"/>
    </row>
    <row r="1035" spans="1:2" x14ac:dyDescent="0.25">
      <c r="A1035" s="1"/>
      <c r="B1035" s="2"/>
    </row>
    <row r="1036" spans="1:2" x14ac:dyDescent="0.25">
      <c r="A1036" s="1"/>
      <c r="B1036" s="2"/>
    </row>
    <row r="1037" spans="1:2" x14ac:dyDescent="0.25">
      <c r="A1037" s="1"/>
      <c r="B1037" s="2"/>
    </row>
    <row r="1038" spans="1:2" x14ac:dyDescent="0.25">
      <c r="A1038" s="1"/>
      <c r="B1038" s="2"/>
    </row>
    <row r="1039" spans="1:2" x14ac:dyDescent="0.25">
      <c r="A1039" s="1"/>
      <c r="B1039" s="2"/>
    </row>
    <row r="1040" spans="1:2" x14ac:dyDescent="0.25">
      <c r="A1040" s="1"/>
      <c r="B1040" s="2"/>
    </row>
    <row r="1041" spans="1:2" x14ac:dyDescent="0.25">
      <c r="A1041" s="1"/>
      <c r="B1041" s="2"/>
    </row>
    <row r="1042" spans="1:2" x14ac:dyDescent="0.25">
      <c r="A1042" s="1"/>
      <c r="B1042" s="2"/>
    </row>
    <row r="1043" spans="1:2" x14ac:dyDescent="0.25">
      <c r="A1043" s="1"/>
      <c r="B1043" s="2"/>
    </row>
    <row r="1044" spans="1:2" x14ac:dyDescent="0.25">
      <c r="A1044" s="1"/>
      <c r="B1044" s="2"/>
    </row>
    <row r="1045" spans="1:2" x14ac:dyDescent="0.25">
      <c r="A1045" s="1"/>
      <c r="B1045" s="2"/>
    </row>
    <row r="1046" spans="1:2" x14ac:dyDescent="0.25">
      <c r="A1046" s="1"/>
      <c r="B1046" s="2"/>
    </row>
    <row r="1047" spans="1:2" x14ac:dyDescent="0.25">
      <c r="A1047" s="1"/>
      <c r="B1047" s="2"/>
    </row>
    <row r="1048" spans="1:2" x14ac:dyDescent="0.25">
      <c r="A1048" s="1"/>
      <c r="B1048" s="2"/>
    </row>
    <row r="1049" spans="1:2" x14ac:dyDescent="0.25">
      <c r="A1049" s="1"/>
      <c r="B1049" s="2"/>
    </row>
    <row r="1050" spans="1:2" x14ac:dyDescent="0.25">
      <c r="A1050" s="1"/>
      <c r="B1050" s="2"/>
    </row>
    <row r="1051" spans="1:2" x14ac:dyDescent="0.25">
      <c r="A1051" s="1"/>
      <c r="B1051" s="2"/>
    </row>
    <row r="1052" spans="1:2" x14ac:dyDescent="0.25">
      <c r="A1052" s="1"/>
      <c r="B1052" s="2"/>
    </row>
    <row r="1053" spans="1:2" x14ac:dyDescent="0.25">
      <c r="A1053" s="1"/>
      <c r="B1053" s="2"/>
    </row>
    <row r="1054" spans="1:2" x14ac:dyDescent="0.25">
      <c r="A1054" s="1"/>
      <c r="B1054" s="2"/>
    </row>
    <row r="1055" spans="1:2" x14ac:dyDescent="0.25">
      <c r="A1055" s="1"/>
      <c r="B1055" s="2"/>
    </row>
    <row r="1056" spans="1:2" x14ac:dyDescent="0.25">
      <c r="A1056" s="1"/>
      <c r="B1056" s="2"/>
    </row>
    <row r="1057" spans="1:2" x14ac:dyDescent="0.25">
      <c r="A1057" s="1"/>
      <c r="B1057" s="2"/>
    </row>
    <row r="1058" spans="1:2" x14ac:dyDescent="0.25">
      <c r="A1058" s="1"/>
      <c r="B1058" s="2"/>
    </row>
    <row r="1059" spans="1:2" x14ac:dyDescent="0.25">
      <c r="A1059" s="1"/>
      <c r="B1059" s="2"/>
    </row>
    <row r="1060" spans="1:2" x14ac:dyDescent="0.25">
      <c r="A1060" s="1"/>
      <c r="B1060" s="2"/>
    </row>
    <row r="1061" spans="1:2" x14ac:dyDescent="0.25">
      <c r="A1061" s="1"/>
      <c r="B1061" s="2"/>
    </row>
    <row r="1062" spans="1:2" x14ac:dyDescent="0.25">
      <c r="A1062" s="1"/>
      <c r="B1062" s="2"/>
    </row>
    <row r="1063" spans="1:2" x14ac:dyDescent="0.25">
      <c r="A1063" s="1"/>
      <c r="B1063" s="2"/>
    </row>
    <row r="1064" spans="1:2" x14ac:dyDescent="0.25">
      <c r="A1064" s="1"/>
      <c r="B1064" s="2"/>
    </row>
    <row r="1065" spans="1:2" x14ac:dyDescent="0.25">
      <c r="A1065" s="1"/>
      <c r="B1065" s="2"/>
    </row>
    <row r="1066" spans="1:2" x14ac:dyDescent="0.25">
      <c r="A1066" s="1"/>
      <c r="B1066" s="2"/>
    </row>
    <row r="1067" spans="1:2" x14ac:dyDescent="0.25">
      <c r="A1067" s="1"/>
      <c r="B1067" s="2"/>
    </row>
    <row r="1068" spans="1:2" x14ac:dyDescent="0.25">
      <c r="A1068" s="1"/>
      <c r="B1068" s="2"/>
    </row>
    <row r="1069" spans="1:2" x14ac:dyDescent="0.25">
      <c r="A1069" s="1"/>
      <c r="B1069" s="2"/>
    </row>
    <row r="1070" spans="1:2" x14ac:dyDescent="0.25">
      <c r="A1070" s="1"/>
      <c r="B1070" s="2"/>
    </row>
    <row r="1071" spans="1:2" x14ac:dyDescent="0.25">
      <c r="A1071" s="1"/>
      <c r="B1071" s="2"/>
    </row>
    <row r="1072" spans="1:2" x14ac:dyDescent="0.25">
      <c r="A1072" s="1"/>
      <c r="B1072" s="2"/>
    </row>
    <row r="1073" spans="1:2" x14ac:dyDescent="0.25">
      <c r="A1073" s="1"/>
      <c r="B1073" s="2"/>
    </row>
    <row r="1074" spans="1:2" x14ac:dyDescent="0.25">
      <c r="A1074" s="1"/>
      <c r="B1074" s="2"/>
    </row>
    <row r="1075" spans="1:2" x14ac:dyDescent="0.25">
      <c r="A1075" s="1"/>
      <c r="B1075" s="2"/>
    </row>
    <row r="1076" spans="1:2" x14ac:dyDescent="0.25">
      <c r="A1076" s="1"/>
      <c r="B1076" s="2"/>
    </row>
    <row r="1077" spans="1:2" x14ac:dyDescent="0.25">
      <c r="A1077" s="1"/>
      <c r="B1077" s="2"/>
    </row>
    <row r="1078" spans="1:2" x14ac:dyDescent="0.25">
      <c r="A1078" s="1"/>
      <c r="B1078" s="2"/>
    </row>
    <row r="1079" spans="1:2" x14ac:dyDescent="0.25">
      <c r="A1079" s="1"/>
      <c r="B1079" s="2"/>
    </row>
    <row r="1080" spans="1:2" x14ac:dyDescent="0.25">
      <c r="A1080" s="1"/>
      <c r="B1080" s="2"/>
    </row>
    <row r="1081" spans="1:2" x14ac:dyDescent="0.25">
      <c r="A1081" s="1"/>
      <c r="B1081" s="2"/>
    </row>
    <row r="1082" spans="1:2" x14ac:dyDescent="0.25">
      <c r="A1082" s="1"/>
      <c r="B1082" s="2"/>
    </row>
    <row r="1083" spans="1:2" x14ac:dyDescent="0.25">
      <c r="A1083" s="1"/>
      <c r="B1083" s="2"/>
    </row>
    <row r="1084" spans="1:2" x14ac:dyDescent="0.25">
      <c r="A1084" s="1"/>
      <c r="B1084" s="2"/>
    </row>
    <row r="1085" spans="1:2" x14ac:dyDescent="0.25">
      <c r="A1085" s="1"/>
      <c r="B1085" s="2"/>
    </row>
    <row r="1086" spans="1:2" x14ac:dyDescent="0.25">
      <c r="A1086" s="1"/>
      <c r="B1086" s="2"/>
    </row>
    <row r="1087" spans="1:2" x14ac:dyDescent="0.25">
      <c r="A1087" s="1"/>
      <c r="B1087" s="2"/>
    </row>
    <row r="1088" spans="1:2" x14ac:dyDescent="0.25">
      <c r="A1088" s="1"/>
      <c r="B1088" s="2"/>
    </row>
    <row r="1089" spans="1:2" x14ac:dyDescent="0.25">
      <c r="A1089" s="1"/>
      <c r="B1089" s="2"/>
    </row>
    <row r="1090" spans="1:2" x14ac:dyDescent="0.25">
      <c r="A1090" s="1"/>
      <c r="B1090" s="2"/>
    </row>
    <row r="1091" spans="1:2" x14ac:dyDescent="0.25">
      <c r="A1091" s="1"/>
      <c r="B1091" s="2"/>
    </row>
    <row r="1092" spans="1:2" x14ac:dyDescent="0.25">
      <c r="A1092" s="1"/>
      <c r="B1092" s="2"/>
    </row>
    <row r="1093" spans="1:2" x14ac:dyDescent="0.25">
      <c r="A1093" s="1"/>
      <c r="B1093" s="2"/>
    </row>
    <row r="1094" spans="1:2" x14ac:dyDescent="0.25">
      <c r="A1094" s="1"/>
      <c r="B1094" s="2"/>
    </row>
    <row r="1095" spans="1:2" x14ac:dyDescent="0.25">
      <c r="A1095" s="1"/>
      <c r="B1095" s="2"/>
    </row>
    <row r="1096" spans="1:2" x14ac:dyDescent="0.25">
      <c r="A1096" s="1"/>
      <c r="B1096" s="2"/>
    </row>
    <row r="1097" spans="1:2" x14ac:dyDescent="0.25">
      <c r="A1097" s="1"/>
      <c r="B1097" s="2"/>
    </row>
    <row r="1098" spans="1:2" x14ac:dyDescent="0.25">
      <c r="A1098" s="1"/>
      <c r="B1098" s="2"/>
    </row>
    <row r="1099" spans="1:2" x14ac:dyDescent="0.25">
      <c r="A1099" s="1"/>
      <c r="B1099" s="2"/>
    </row>
    <row r="1100" spans="1:2" x14ac:dyDescent="0.25">
      <c r="A1100" s="1"/>
      <c r="B1100" s="2"/>
    </row>
    <row r="1101" spans="1:2" x14ac:dyDescent="0.25">
      <c r="A1101" s="1"/>
      <c r="B1101" s="2"/>
    </row>
    <row r="1102" spans="1:2" x14ac:dyDescent="0.25">
      <c r="A1102" s="1"/>
      <c r="B1102" s="2"/>
    </row>
    <row r="1103" spans="1:2" x14ac:dyDescent="0.25">
      <c r="A1103" s="1"/>
      <c r="B1103" s="2"/>
    </row>
    <row r="1104" spans="1:2" x14ac:dyDescent="0.25">
      <c r="A1104" s="1"/>
      <c r="B1104" s="2"/>
    </row>
    <row r="1105" spans="1:2" x14ac:dyDescent="0.25">
      <c r="A1105" s="1"/>
      <c r="B1105" s="2"/>
    </row>
    <row r="1106" spans="1:2" x14ac:dyDescent="0.25">
      <c r="A1106" s="1"/>
      <c r="B1106" s="2"/>
    </row>
    <row r="1107" spans="1:2" x14ac:dyDescent="0.25">
      <c r="A1107" s="1"/>
      <c r="B1107" s="2"/>
    </row>
    <row r="1108" spans="1:2" x14ac:dyDescent="0.25">
      <c r="A1108" s="1"/>
      <c r="B1108" s="2"/>
    </row>
    <row r="1109" spans="1:2" x14ac:dyDescent="0.25">
      <c r="A1109" s="1"/>
      <c r="B1109" s="2"/>
    </row>
    <row r="1110" spans="1:2" x14ac:dyDescent="0.25">
      <c r="A1110" s="1"/>
      <c r="B1110" s="2"/>
    </row>
    <row r="1111" spans="1:2" x14ac:dyDescent="0.25">
      <c r="A1111" s="1"/>
      <c r="B1111" s="2"/>
    </row>
    <row r="1112" spans="1:2" x14ac:dyDescent="0.25">
      <c r="A1112" s="1"/>
      <c r="B1112" s="2"/>
    </row>
    <row r="1113" spans="1:2" x14ac:dyDescent="0.25">
      <c r="A1113" s="1"/>
      <c r="B1113" s="2"/>
    </row>
    <row r="1114" spans="1:2" x14ac:dyDescent="0.25">
      <c r="A1114" s="1"/>
      <c r="B1114" s="2"/>
    </row>
    <row r="1115" spans="1:2" x14ac:dyDescent="0.25">
      <c r="A1115" s="1"/>
      <c r="B1115" s="2"/>
    </row>
    <row r="1116" spans="1:2" x14ac:dyDescent="0.25">
      <c r="A1116" s="1"/>
      <c r="B1116" s="2"/>
    </row>
    <row r="1117" spans="1:2" x14ac:dyDescent="0.25">
      <c r="A1117" s="1"/>
      <c r="B1117" s="2"/>
    </row>
    <row r="1118" spans="1:2" x14ac:dyDescent="0.25">
      <c r="A1118" s="1"/>
      <c r="B1118" s="2"/>
    </row>
    <row r="1119" spans="1:2" x14ac:dyDescent="0.25">
      <c r="A1119" s="1"/>
      <c r="B1119" s="2"/>
    </row>
    <row r="1120" spans="1:2" x14ac:dyDescent="0.25">
      <c r="A1120" s="1"/>
      <c r="B1120" s="2"/>
    </row>
    <row r="1121" spans="1:2" x14ac:dyDescent="0.25">
      <c r="A1121" s="1"/>
      <c r="B1121" s="2"/>
    </row>
    <row r="1122" spans="1:2" x14ac:dyDescent="0.25">
      <c r="A1122" s="1"/>
      <c r="B1122" s="2"/>
    </row>
    <row r="1123" spans="1:2" x14ac:dyDescent="0.25">
      <c r="A1123" s="1"/>
      <c r="B1123" s="2"/>
    </row>
    <row r="1124" spans="1:2" x14ac:dyDescent="0.25">
      <c r="A1124" s="1"/>
      <c r="B1124" s="2"/>
    </row>
    <row r="1125" spans="1:2" x14ac:dyDescent="0.25">
      <c r="A1125" s="1"/>
      <c r="B1125" s="2"/>
    </row>
    <row r="1126" spans="1:2" x14ac:dyDescent="0.25">
      <c r="A1126" s="1"/>
      <c r="B1126" s="2"/>
    </row>
    <row r="1127" spans="1:2" x14ac:dyDescent="0.25">
      <c r="A1127" s="1"/>
      <c r="B1127" s="2"/>
    </row>
    <row r="1128" spans="1:2" x14ac:dyDescent="0.25">
      <c r="A1128" s="1"/>
      <c r="B1128" s="2"/>
    </row>
    <row r="1129" spans="1:2" x14ac:dyDescent="0.25">
      <c r="A1129" s="1"/>
      <c r="B1129" s="2"/>
    </row>
    <row r="1130" spans="1:2" x14ac:dyDescent="0.25">
      <c r="A1130" s="1"/>
      <c r="B1130" s="2"/>
    </row>
    <row r="1131" spans="1:2" x14ac:dyDescent="0.25">
      <c r="A1131" s="1"/>
      <c r="B1131" s="2"/>
    </row>
    <row r="1132" spans="1:2" x14ac:dyDescent="0.25">
      <c r="A1132" s="1"/>
      <c r="B1132" s="2"/>
    </row>
    <row r="1133" spans="1:2" x14ac:dyDescent="0.25">
      <c r="A1133" s="1"/>
      <c r="B1133" s="2"/>
    </row>
    <row r="1134" spans="1:2" x14ac:dyDescent="0.25">
      <c r="A1134" s="1"/>
      <c r="B1134" s="2"/>
    </row>
    <row r="1135" spans="1:2" x14ac:dyDescent="0.25">
      <c r="A1135" s="1"/>
      <c r="B1135" s="2"/>
    </row>
    <row r="1136" spans="1:2" x14ac:dyDescent="0.25">
      <c r="A1136" s="1"/>
      <c r="B1136" s="2"/>
    </row>
    <row r="1137" spans="1:2" x14ac:dyDescent="0.25">
      <c r="A1137" s="1"/>
      <c r="B1137" s="2"/>
    </row>
    <row r="1138" spans="1:2" x14ac:dyDescent="0.25">
      <c r="A1138" s="1"/>
      <c r="B1138" s="2"/>
    </row>
    <row r="1139" spans="1:2" x14ac:dyDescent="0.25">
      <c r="A1139" s="1"/>
      <c r="B1139" s="2"/>
    </row>
    <row r="1140" spans="1:2" x14ac:dyDescent="0.25">
      <c r="A1140" s="1"/>
      <c r="B1140" s="2"/>
    </row>
    <row r="1141" spans="1:2" x14ac:dyDescent="0.25">
      <c r="A1141" s="1"/>
      <c r="B1141" s="2"/>
    </row>
    <row r="1142" spans="1:2" x14ac:dyDescent="0.25">
      <c r="A1142" s="1"/>
      <c r="B1142" s="2"/>
    </row>
    <row r="1143" spans="1:2" x14ac:dyDescent="0.25">
      <c r="A1143" s="1"/>
      <c r="B1143" s="2"/>
    </row>
    <row r="1144" spans="1:2" x14ac:dyDescent="0.25">
      <c r="A1144" s="1"/>
      <c r="B1144" s="2"/>
    </row>
    <row r="1145" spans="1:2" x14ac:dyDescent="0.25">
      <c r="A1145" s="1"/>
      <c r="B1145" s="2"/>
    </row>
    <row r="1146" spans="1:2" x14ac:dyDescent="0.25">
      <c r="A1146" s="1"/>
      <c r="B1146" s="2"/>
    </row>
    <row r="1147" spans="1:2" x14ac:dyDescent="0.25">
      <c r="A1147" s="1"/>
      <c r="B1147" s="2"/>
    </row>
    <row r="1148" spans="1:2" x14ac:dyDescent="0.25">
      <c r="A1148" s="1"/>
      <c r="B1148" s="2"/>
    </row>
    <row r="1149" spans="1:2" x14ac:dyDescent="0.25">
      <c r="A1149" s="1"/>
      <c r="B1149" s="2"/>
    </row>
    <row r="1150" spans="1:2" x14ac:dyDescent="0.25">
      <c r="A1150" s="1"/>
      <c r="B1150" s="2"/>
    </row>
    <row r="1151" spans="1:2" x14ac:dyDescent="0.25">
      <c r="A1151" s="1"/>
      <c r="B1151" s="2"/>
    </row>
    <row r="1152" spans="1:2" x14ac:dyDescent="0.25">
      <c r="A1152" s="1"/>
      <c r="B1152" s="2"/>
    </row>
    <row r="1153" spans="1:2" x14ac:dyDescent="0.25">
      <c r="A1153" s="1"/>
      <c r="B1153" s="2"/>
    </row>
    <row r="1154" spans="1:2" x14ac:dyDescent="0.25">
      <c r="A1154" s="1"/>
      <c r="B1154" s="2"/>
    </row>
    <row r="1155" spans="1:2" x14ac:dyDescent="0.25">
      <c r="A1155" s="1"/>
      <c r="B1155" s="2"/>
    </row>
    <row r="1156" spans="1:2" x14ac:dyDescent="0.25">
      <c r="A1156" s="1"/>
      <c r="B1156" s="2"/>
    </row>
    <row r="1157" spans="1:2" x14ac:dyDescent="0.25">
      <c r="A1157" s="1"/>
      <c r="B1157" s="2"/>
    </row>
    <row r="1158" spans="1:2" x14ac:dyDescent="0.25">
      <c r="A1158" s="1"/>
      <c r="B1158" s="2"/>
    </row>
    <row r="1159" spans="1:2" x14ac:dyDescent="0.25">
      <c r="A1159" s="1"/>
      <c r="B1159" s="2"/>
    </row>
    <row r="1160" spans="1:2" x14ac:dyDescent="0.25">
      <c r="A1160" s="1"/>
      <c r="B1160" s="2"/>
    </row>
    <row r="1161" spans="1:2" x14ac:dyDescent="0.25">
      <c r="A1161" s="1"/>
      <c r="B1161" s="2"/>
    </row>
    <row r="1162" spans="1:2" x14ac:dyDescent="0.25">
      <c r="A1162" s="1"/>
      <c r="B1162" s="2"/>
    </row>
    <row r="1163" spans="1:2" x14ac:dyDescent="0.25">
      <c r="A1163" s="1"/>
      <c r="B1163" s="2"/>
    </row>
    <row r="1164" spans="1:2" x14ac:dyDescent="0.25">
      <c r="A1164" s="1"/>
      <c r="B1164" s="2"/>
    </row>
    <row r="1165" spans="1:2" x14ac:dyDescent="0.25">
      <c r="A1165" s="1"/>
      <c r="B1165" s="2"/>
    </row>
    <row r="1166" spans="1:2" x14ac:dyDescent="0.25">
      <c r="A1166" s="1"/>
      <c r="B1166" s="2"/>
    </row>
    <row r="1167" spans="1:2" x14ac:dyDescent="0.25">
      <c r="A1167" s="1"/>
      <c r="B1167" s="2"/>
    </row>
    <row r="1168" spans="1:2" x14ac:dyDescent="0.25">
      <c r="A1168" s="1"/>
      <c r="B1168" s="2"/>
    </row>
    <row r="1169" spans="1:2" x14ac:dyDescent="0.25">
      <c r="A1169" s="1"/>
      <c r="B1169" s="2"/>
    </row>
    <row r="1170" spans="1:2" x14ac:dyDescent="0.25">
      <c r="A1170" s="1"/>
      <c r="B1170" s="2"/>
    </row>
    <row r="1171" spans="1:2" x14ac:dyDescent="0.25">
      <c r="A1171" s="1"/>
      <c r="B1171" s="2"/>
    </row>
    <row r="1172" spans="1:2" x14ac:dyDescent="0.25">
      <c r="A1172" s="1"/>
      <c r="B1172" s="2"/>
    </row>
    <row r="1173" spans="1:2" x14ac:dyDescent="0.25">
      <c r="A1173" s="1"/>
      <c r="B1173" s="2"/>
    </row>
    <row r="1174" spans="1:2" x14ac:dyDescent="0.25">
      <c r="A1174" s="1"/>
      <c r="B1174" s="2"/>
    </row>
    <row r="1175" spans="1:2" x14ac:dyDescent="0.25">
      <c r="A1175" s="1"/>
      <c r="B1175" s="2"/>
    </row>
    <row r="1176" spans="1:2" x14ac:dyDescent="0.25">
      <c r="A1176" s="1"/>
      <c r="B1176" s="2"/>
    </row>
    <row r="1177" spans="1:2" x14ac:dyDescent="0.25">
      <c r="A1177" s="1"/>
      <c r="B1177" s="2"/>
    </row>
    <row r="1178" spans="1:2" x14ac:dyDescent="0.25">
      <c r="A1178" s="1"/>
      <c r="B1178" s="2"/>
    </row>
    <row r="1179" spans="1:2" x14ac:dyDescent="0.25">
      <c r="A1179" s="1"/>
      <c r="B1179" s="2"/>
    </row>
    <row r="1180" spans="1:2" x14ac:dyDescent="0.25">
      <c r="A1180" s="1"/>
      <c r="B1180" s="2"/>
    </row>
    <row r="1181" spans="1:2" x14ac:dyDescent="0.25">
      <c r="A1181" s="1"/>
      <c r="B1181" s="2"/>
    </row>
    <row r="1182" spans="1:2" x14ac:dyDescent="0.25">
      <c r="A1182" s="1"/>
      <c r="B1182" s="2"/>
    </row>
    <row r="1183" spans="1:2" x14ac:dyDescent="0.25">
      <c r="A1183" s="1"/>
      <c r="B1183" s="2"/>
    </row>
    <row r="1184" spans="1:2" x14ac:dyDescent="0.25">
      <c r="A1184" s="1"/>
      <c r="B1184" s="2"/>
    </row>
    <row r="1185" spans="1:2" x14ac:dyDescent="0.25">
      <c r="A1185" s="1"/>
      <c r="B1185" s="2"/>
    </row>
    <row r="1186" spans="1:2" x14ac:dyDescent="0.25">
      <c r="A1186" s="1"/>
      <c r="B1186" s="2"/>
    </row>
    <row r="1187" spans="1:2" x14ac:dyDescent="0.25">
      <c r="A1187" s="1"/>
      <c r="B1187" s="2"/>
    </row>
    <row r="1188" spans="1:2" x14ac:dyDescent="0.25">
      <c r="A1188" s="1"/>
      <c r="B1188" s="2"/>
    </row>
    <row r="1189" spans="1:2" x14ac:dyDescent="0.25">
      <c r="A1189" s="1"/>
      <c r="B1189" s="2"/>
    </row>
    <row r="1190" spans="1:2" x14ac:dyDescent="0.25">
      <c r="A1190" s="1"/>
      <c r="B1190" s="2"/>
    </row>
    <row r="1191" spans="1:2" x14ac:dyDescent="0.25">
      <c r="A1191" s="1"/>
      <c r="B1191" s="2"/>
    </row>
    <row r="1192" spans="1:2" x14ac:dyDescent="0.25">
      <c r="A1192" s="1"/>
      <c r="B1192" s="2"/>
    </row>
    <row r="1193" spans="1:2" x14ac:dyDescent="0.25">
      <c r="A1193" s="1"/>
      <c r="B1193" s="2"/>
    </row>
    <row r="1194" spans="1:2" x14ac:dyDescent="0.25">
      <c r="A1194" s="1"/>
      <c r="B1194" s="2"/>
    </row>
    <row r="1195" spans="1:2" x14ac:dyDescent="0.25">
      <c r="A1195" s="1"/>
      <c r="B1195" s="2"/>
    </row>
    <row r="1196" spans="1:2" x14ac:dyDescent="0.25">
      <c r="A1196" s="1"/>
      <c r="B1196" s="2"/>
    </row>
    <row r="1197" spans="1:2" x14ac:dyDescent="0.25">
      <c r="A1197" s="1"/>
      <c r="B1197" s="2"/>
    </row>
    <row r="1198" spans="1:2" x14ac:dyDescent="0.25">
      <c r="A1198" s="1"/>
      <c r="B1198" s="2"/>
    </row>
    <row r="1199" spans="1:2" x14ac:dyDescent="0.25">
      <c r="A1199" s="1"/>
      <c r="B1199" s="2"/>
    </row>
    <row r="1200" spans="1:2" x14ac:dyDescent="0.25">
      <c r="A1200" s="1"/>
      <c r="B1200" s="2"/>
    </row>
    <row r="1201" spans="1:2" x14ac:dyDescent="0.25">
      <c r="A1201" s="1"/>
      <c r="B1201" s="2"/>
    </row>
    <row r="1202" spans="1:2" x14ac:dyDescent="0.25">
      <c r="A1202" s="1"/>
      <c r="B1202" s="2"/>
    </row>
    <row r="1203" spans="1:2" x14ac:dyDescent="0.25">
      <c r="A1203" s="1"/>
      <c r="B1203" s="2"/>
    </row>
    <row r="1204" spans="1:2" x14ac:dyDescent="0.25">
      <c r="A1204" s="1"/>
      <c r="B1204" s="2"/>
    </row>
    <row r="1205" spans="1:2" x14ac:dyDescent="0.25">
      <c r="A1205" s="1"/>
      <c r="B1205" s="2"/>
    </row>
    <row r="1206" spans="1:2" x14ac:dyDescent="0.25">
      <c r="A1206" s="1"/>
      <c r="B1206" s="2"/>
    </row>
    <row r="1207" spans="1:2" x14ac:dyDescent="0.25">
      <c r="A1207" s="1"/>
      <c r="B1207" s="2"/>
    </row>
    <row r="1208" spans="1:2" x14ac:dyDescent="0.25">
      <c r="A1208" s="1"/>
      <c r="B1208" s="2"/>
    </row>
    <row r="1209" spans="1:2" x14ac:dyDescent="0.25">
      <c r="A1209" s="1"/>
      <c r="B1209" s="2"/>
    </row>
    <row r="1210" spans="1:2" x14ac:dyDescent="0.25">
      <c r="A1210" s="1"/>
      <c r="B1210" s="2"/>
    </row>
    <row r="1211" spans="1:2" x14ac:dyDescent="0.25">
      <c r="A1211" s="1"/>
      <c r="B1211" s="2"/>
    </row>
    <row r="1212" spans="1:2" x14ac:dyDescent="0.25">
      <c r="A1212" s="1"/>
      <c r="B1212" s="2"/>
    </row>
    <row r="1213" spans="1:2" x14ac:dyDescent="0.25">
      <c r="A1213" s="1"/>
      <c r="B1213" s="2"/>
    </row>
    <row r="1214" spans="1:2" x14ac:dyDescent="0.25">
      <c r="A1214" s="1"/>
      <c r="B1214" s="2"/>
    </row>
    <row r="1215" spans="1:2" x14ac:dyDescent="0.25">
      <c r="A1215" s="1"/>
      <c r="B1215" s="2"/>
    </row>
    <row r="1216" spans="1:2" x14ac:dyDescent="0.25">
      <c r="A1216" s="1"/>
      <c r="B1216" s="2"/>
    </row>
    <row r="1217" spans="1:2" x14ac:dyDescent="0.25">
      <c r="A1217" s="1"/>
      <c r="B1217" s="2"/>
    </row>
    <row r="1218" spans="1:2" x14ac:dyDescent="0.25">
      <c r="A1218" s="1"/>
      <c r="B1218" s="2"/>
    </row>
    <row r="1219" spans="1:2" x14ac:dyDescent="0.25">
      <c r="A1219" s="1"/>
      <c r="B1219" s="2"/>
    </row>
    <row r="1220" spans="1:2" x14ac:dyDescent="0.25">
      <c r="A1220" s="1"/>
      <c r="B1220" s="2"/>
    </row>
    <row r="1221" spans="1:2" x14ac:dyDescent="0.25">
      <c r="A1221" s="1"/>
      <c r="B1221" s="2"/>
    </row>
    <row r="1222" spans="1:2" x14ac:dyDescent="0.25">
      <c r="A1222" s="1"/>
      <c r="B1222" s="2"/>
    </row>
    <row r="1223" spans="1:2" x14ac:dyDescent="0.25">
      <c r="A1223" s="1"/>
      <c r="B1223" s="2"/>
    </row>
    <row r="1224" spans="1:2" x14ac:dyDescent="0.25">
      <c r="A1224" s="1"/>
      <c r="B1224" s="2"/>
    </row>
    <row r="1225" spans="1:2" x14ac:dyDescent="0.25">
      <c r="A1225" s="1"/>
      <c r="B1225" s="2"/>
    </row>
    <row r="1226" spans="1:2" x14ac:dyDescent="0.25">
      <c r="A1226" s="1"/>
      <c r="B1226" s="2"/>
    </row>
    <row r="1227" spans="1:2" x14ac:dyDescent="0.25">
      <c r="A1227" s="1"/>
      <c r="B1227" s="2"/>
    </row>
    <row r="1228" spans="1:2" x14ac:dyDescent="0.25">
      <c r="A1228" s="1"/>
      <c r="B1228" s="2"/>
    </row>
    <row r="1229" spans="1:2" x14ac:dyDescent="0.25">
      <c r="A1229" s="1"/>
      <c r="B1229" s="2"/>
    </row>
    <row r="1230" spans="1:2" x14ac:dyDescent="0.25">
      <c r="A1230" s="1"/>
      <c r="B1230" s="2"/>
    </row>
    <row r="1231" spans="1:2" x14ac:dyDescent="0.25">
      <c r="A1231" s="1"/>
      <c r="B1231" s="2"/>
    </row>
    <row r="1232" spans="1:2" x14ac:dyDescent="0.25">
      <c r="A1232" s="1"/>
      <c r="B1232" s="2"/>
    </row>
    <row r="1233" spans="1:2" x14ac:dyDescent="0.25">
      <c r="A1233" s="1"/>
      <c r="B1233" s="2"/>
    </row>
    <row r="1234" spans="1:2" x14ac:dyDescent="0.25">
      <c r="A1234" s="1"/>
      <c r="B1234" s="2"/>
    </row>
    <row r="1235" spans="1:2" x14ac:dyDescent="0.25">
      <c r="A1235" s="1"/>
      <c r="B1235" s="2"/>
    </row>
    <row r="1236" spans="1:2" x14ac:dyDescent="0.25">
      <c r="A1236" s="1"/>
      <c r="B1236" s="2"/>
    </row>
    <row r="1237" spans="1:2" x14ac:dyDescent="0.25">
      <c r="A1237" s="1"/>
      <c r="B1237" s="2"/>
    </row>
    <row r="1238" spans="1:2" x14ac:dyDescent="0.25">
      <c r="A1238" s="1"/>
      <c r="B1238" s="2"/>
    </row>
    <row r="1239" spans="1:2" x14ac:dyDescent="0.25">
      <c r="A1239" s="1"/>
      <c r="B1239" s="2"/>
    </row>
    <row r="1240" spans="1:2" x14ac:dyDescent="0.25">
      <c r="A1240" s="1"/>
      <c r="B1240" s="2"/>
    </row>
    <row r="1241" spans="1:2" x14ac:dyDescent="0.25">
      <c r="A1241" s="1"/>
      <c r="B1241" s="2"/>
    </row>
    <row r="1242" spans="1:2" x14ac:dyDescent="0.25">
      <c r="A1242" s="1"/>
      <c r="B1242" s="2"/>
    </row>
    <row r="1243" spans="1:2" x14ac:dyDescent="0.25">
      <c r="A1243" s="1"/>
      <c r="B1243" s="2"/>
    </row>
    <row r="1244" spans="1:2" x14ac:dyDescent="0.25">
      <c r="A1244" s="1"/>
      <c r="B1244" s="2"/>
    </row>
    <row r="1245" spans="1:2" x14ac:dyDescent="0.25">
      <c r="A1245" s="1"/>
      <c r="B1245" s="2"/>
    </row>
    <row r="1246" spans="1:2" x14ac:dyDescent="0.25">
      <c r="A1246" s="1"/>
      <c r="B1246" s="2"/>
    </row>
    <row r="1247" spans="1:2" x14ac:dyDescent="0.25">
      <c r="A1247" s="1"/>
      <c r="B1247" s="2"/>
    </row>
    <row r="1248" spans="1:2" x14ac:dyDescent="0.25">
      <c r="A1248" s="1"/>
      <c r="B1248" s="2"/>
    </row>
    <row r="1249" spans="1:2" x14ac:dyDescent="0.25">
      <c r="A1249" s="1"/>
      <c r="B1249" s="2"/>
    </row>
    <row r="1250" spans="1:2" x14ac:dyDescent="0.25">
      <c r="A1250" s="1"/>
      <c r="B1250" s="2"/>
    </row>
    <row r="1251" spans="1:2" x14ac:dyDescent="0.25">
      <c r="A1251" s="1"/>
      <c r="B1251" s="2"/>
    </row>
    <row r="1252" spans="1:2" x14ac:dyDescent="0.25">
      <c r="A1252" s="1"/>
      <c r="B1252" s="2"/>
    </row>
    <row r="1253" spans="1:2" x14ac:dyDescent="0.25">
      <c r="A1253" s="1"/>
      <c r="B1253" s="2"/>
    </row>
    <row r="1254" spans="1:2" x14ac:dyDescent="0.25">
      <c r="A1254" s="1"/>
      <c r="B1254" s="2"/>
    </row>
    <row r="1255" spans="1:2" x14ac:dyDescent="0.25">
      <c r="A1255" s="1"/>
      <c r="B1255" s="2"/>
    </row>
    <row r="1256" spans="1:2" x14ac:dyDescent="0.25">
      <c r="A1256" s="1"/>
      <c r="B1256" s="2"/>
    </row>
    <row r="1257" spans="1:2" x14ac:dyDescent="0.25">
      <c r="A1257" s="1"/>
      <c r="B1257" s="2"/>
    </row>
    <row r="1258" spans="1:2" x14ac:dyDescent="0.25">
      <c r="A1258" s="1"/>
      <c r="B1258" s="2"/>
    </row>
    <row r="1259" spans="1:2" x14ac:dyDescent="0.25">
      <c r="A1259" s="1"/>
      <c r="B1259" s="2"/>
    </row>
    <row r="1260" spans="1:2" x14ac:dyDescent="0.25">
      <c r="A1260" s="1"/>
      <c r="B1260" s="2"/>
    </row>
    <row r="1261" spans="1:2" x14ac:dyDescent="0.25">
      <c r="A1261" s="1"/>
      <c r="B1261" s="2"/>
    </row>
    <row r="1262" spans="1:2" x14ac:dyDescent="0.25">
      <c r="A1262" s="1"/>
      <c r="B1262" s="2"/>
    </row>
    <row r="1263" spans="1:2" x14ac:dyDescent="0.25">
      <c r="A1263" s="1"/>
      <c r="B1263" s="2"/>
    </row>
    <row r="1264" spans="1:2" x14ac:dyDescent="0.25">
      <c r="A1264" s="1"/>
      <c r="B1264" s="2"/>
    </row>
    <row r="1265" spans="1:2" x14ac:dyDescent="0.25">
      <c r="A1265" s="1"/>
      <c r="B1265" s="2"/>
    </row>
    <row r="1266" spans="1:2" x14ac:dyDescent="0.25">
      <c r="A1266" s="1"/>
      <c r="B1266" s="2"/>
    </row>
    <row r="1267" spans="1:2" x14ac:dyDescent="0.25">
      <c r="A1267" s="1"/>
      <c r="B1267" s="2"/>
    </row>
    <row r="1268" spans="1:2" x14ac:dyDescent="0.25">
      <c r="A1268" s="1"/>
      <c r="B1268" s="2"/>
    </row>
    <row r="1269" spans="1:2" x14ac:dyDescent="0.25">
      <c r="A1269" s="1"/>
      <c r="B1269" s="2"/>
    </row>
    <row r="1270" spans="1:2" x14ac:dyDescent="0.25">
      <c r="A1270" s="1"/>
      <c r="B1270" s="2"/>
    </row>
    <row r="1271" spans="1:2" x14ac:dyDescent="0.25">
      <c r="A1271" s="1"/>
      <c r="B1271" s="2"/>
    </row>
    <row r="1272" spans="1:2" x14ac:dyDescent="0.25">
      <c r="A1272" s="1"/>
      <c r="B1272" s="2"/>
    </row>
    <row r="1273" spans="1:2" x14ac:dyDescent="0.25">
      <c r="A1273" s="1"/>
      <c r="B1273" s="2"/>
    </row>
    <row r="1274" spans="1:2" x14ac:dyDescent="0.25">
      <c r="A1274" s="1"/>
      <c r="B1274" s="2"/>
    </row>
    <row r="1275" spans="1:2" x14ac:dyDescent="0.25">
      <c r="A1275" s="1"/>
      <c r="B1275" s="2"/>
    </row>
    <row r="1276" spans="1:2" x14ac:dyDescent="0.25">
      <c r="A1276" s="1"/>
      <c r="B1276" s="2"/>
    </row>
    <row r="1277" spans="1:2" x14ac:dyDescent="0.25">
      <c r="A1277" s="1"/>
      <c r="B1277" s="2"/>
    </row>
    <row r="1278" spans="1:2" x14ac:dyDescent="0.25">
      <c r="A1278" s="1"/>
      <c r="B1278" s="2"/>
    </row>
    <row r="1279" spans="1:2" x14ac:dyDescent="0.25">
      <c r="A1279" s="1"/>
      <c r="B1279" s="2"/>
    </row>
    <row r="1280" spans="1:2" x14ac:dyDescent="0.25">
      <c r="A1280" s="1"/>
      <c r="B1280" s="2"/>
    </row>
    <row r="1281" spans="1:2" x14ac:dyDescent="0.25">
      <c r="A1281" s="1"/>
      <c r="B1281" s="2"/>
    </row>
    <row r="1282" spans="1:2" x14ac:dyDescent="0.25">
      <c r="A1282" s="1"/>
      <c r="B1282" s="2"/>
    </row>
    <row r="1283" spans="1:2" x14ac:dyDescent="0.25">
      <c r="A1283" s="1"/>
      <c r="B1283" s="2"/>
    </row>
    <row r="1284" spans="1:2" x14ac:dyDescent="0.25">
      <c r="A1284" s="1"/>
      <c r="B1284" s="2"/>
    </row>
    <row r="1285" spans="1:2" x14ac:dyDescent="0.25">
      <c r="A1285" s="1"/>
      <c r="B1285" s="2"/>
    </row>
    <row r="1286" spans="1:2" x14ac:dyDescent="0.25">
      <c r="A1286" s="1"/>
      <c r="B1286" s="2"/>
    </row>
    <row r="1287" spans="1:2" x14ac:dyDescent="0.25">
      <c r="A1287" s="1"/>
      <c r="B1287" s="2"/>
    </row>
    <row r="1288" spans="1:2" x14ac:dyDescent="0.25">
      <c r="A1288" s="1"/>
      <c r="B1288" s="2"/>
    </row>
    <row r="1289" spans="1:2" x14ac:dyDescent="0.25">
      <c r="A1289" s="1"/>
      <c r="B1289" s="2"/>
    </row>
    <row r="1290" spans="1:2" x14ac:dyDescent="0.25">
      <c r="A1290" s="1"/>
      <c r="B1290" s="2"/>
    </row>
    <row r="1291" spans="1:2" x14ac:dyDescent="0.25">
      <c r="A1291" s="1"/>
      <c r="B1291" s="2"/>
    </row>
    <row r="1292" spans="1:2" x14ac:dyDescent="0.25">
      <c r="A1292" s="1"/>
      <c r="B1292" s="2"/>
    </row>
    <row r="1293" spans="1:2" x14ac:dyDescent="0.25">
      <c r="A1293" s="1"/>
      <c r="B1293" s="2"/>
    </row>
    <row r="1294" spans="1:2" x14ac:dyDescent="0.25">
      <c r="A1294" s="1"/>
      <c r="B1294" s="2"/>
    </row>
    <row r="1295" spans="1:2" x14ac:dyDescent="0.25">
      <c r="A1295" s="1"/>
      <c r="B1295" s="2"/>
    </row>
    <row r="1296" spans="1:2" x14ac:dyDescent="0.25">
      <c r="A1296" s="1"/>
      <c r="B1296" s="2"/>
    </row>
    <row r="1297" spans="1:2" x14ac:dyDescent="0.25">
      <c r="A1297" s="1"/>
      <c r="B1297" s="2"/>
    </row>
    <row r="1298" spans="1:2" x14ac:dyDescent="0.25">
      <c r="A1298" s="1"/>
      <c r="B1298" s="2"/>
    </row>
    <row r="1299" spans="1:2" x14ac:dyDescent="0.25">
      <c r="A1299" s="1"/>
      <c r="B1299" s="2"/>
    </row>
    <row r="1300" spans="1:2" x14ac:dyDescent="0.25">
      <c r="A1300" s="1"/>
      <c r="B1300" s="2"/>
    </row>
    <row r="1301" spans="1:2" x14ac:dyDescent="0.25">
      <c r="A1301" s="1"/>
      <c r="B1301" s="2"/>
    </row>
    <row r="1302" spans="1:2" x14ac:dyDescent="0.25">
      <c r="A1302" s="1"/>
      <c r="B1302" s="2"/>
    </row>
    <row r="1303" spans="1:2" x14ac:dyDescent="0.25">
      <c r="A1303" s="1"/>
      <c r="B1303" s="2"/>
    </row>
    <row r="1304" spans="1:2" x14ac:dyDescent="0.25">
      <c r="A1304" s="1"/>
      <c r="B1304" s="2"/>
    </row>
    <row r="1305" spans="1:2" x14ac:dyDescent="0.25">
      <c r="A1305" s="1"/>
      <c r="B1305" s="2"/>
    </row>
    <row r="1306" spans="1:2" x14ac:dyDescent="0.25">
      <c r="A1306" s="1"/>
      <c r="B1306" s="2"/>
    </row>
    <row r="1307" spans="1:2" x14ac:dyDescent="0.25">
      <c r="A1307" s="1"/>
      <c r="B1307" s="2"/>
    </row>
    <row r="1308" spans="1:2" x14ac:dyDescent="0.25">
      <c r="A1308" s="1"/>
      <c r="B1308" s="2"/>
    </row>
    <row r="1309" spans="1:2" x14ac:dyDescent="0.25">
      <c r="A1309" s="1"/>
      <c r="B1309" s="2"/>
    </row>
    <row r="1310" spans="1:2" x14ac:dyDescent="0.25">
      <c r="A1310" s="1"/>
      <c r="B1310" s="2"/>
    </row>
    <row r="1311" spans="1:2" x14ac:dyDescent="0.25">
      <c r="A1311" s="1"/>
      <c r="B1311" s="2"/>
    </row>
    <row r="1312" spans="1:2" x14ac:dyDescent="0.25">
      <c r="A1312" s="1"/>
      <c r="B1312" s="2"/>
    </row>
    <row r="1313" spans="1:2" x14ac:dyDescent="0.25">
      <c r="A1313" s="1"/>
      <c r="B1313" s="2"/>
    </row>
    <row r="1314" spans="1:2" x14ac:dyDescent="0.25">
      <c r="A1314" s="1"/>
      <c r="B1314" s="2"/>
    </row>
    <row r="1315" spans="1:2" x14ac:dyDescent="0.25">
      <c r="A1315" s="1"/>
      <c r="B1315" s="2"/>
    </row>
    <row r="1316" spans="1:2" x14ac:dyDescent="0.25">
      <c r="A1316" s="1"/>
      <c r="B1316" s="2"/>
    </row>
    <row r="1317" spans="1:2" x14ac:dyDescent="0.25">
      <c r="A1317" s="1"/>
      <c r="B1317" s="2"/>
    </row>
    <row r="1318" spans="1:2" x14ac:dyDescent="0.25">
      <c r="A1318" s="1"/>
      <c r="B1318" s="2"/>
    </row>
    <row r="1319" spans="1:2" x14ac:dyDescent="0.25">
      <c r="A1319" s="1"/>
      <c r="B1319" s="2"/>
    </row>
    <row r="1320" spans="1:2" x14ac:dyDescent="0.25">
      <c r="A1320" s="1"/>
      <c r="B1320" s="2"/>
    </row>
    <row r="1321" spans="1:2" x14ac:dyDescent="0.25">
      <c r="A1321" s="1"/>
      <c r="B1321" s="2"/>
    </row>
    <row r="1322" spans="1:2" x14ac:dyDescent="0.25">
      <c r="A1322" s="1"/>
      <c r="B1322" s="2"/>
    </row>
    <row r="1323" spans="1:2" x14ac:dyDescent="0.25">
      <c r="A1323" s="1"/>
      <c r="B1323" s="2"/>
    </row>
    <row r="1324" spans="1:2" x14ac:dyDescent="0.25">
      <c r="A1324" s="1"/>
      <c r="B1324" s="2"/>
    </row>
    <row r="1325" spans="1:2" x14ac:dyDescent="0.25">
      <c r="A1325" s="1"/>
      <c r="B1325" s="2"/>
    </row>
    <row r="1326" spans="1:2" x14ac:dyDescent="0.25">
      <c r="A1326" s="1"/>
      <c r="B1326" s="2"/>
    </row>
    <row r="1327" spans="1:2" x14ac:dyDescent="0.25">
      <c r="A1327" s="1"/>
      <c r="B1327" s="2"/>
    </row>
    <row r="1328" spans="1:2" x14ac:dyDescent="0.25">
      <c r="A1328" s="1"/>
      <c r="B1328" s="2"/>
    </row>
    <row r="1329" spans="1:2" x14ac:dyDescent="0.25">
      <c r="A1329" s="1"/>
      <c r="B1329" s="2"/>
    </row>
    <row r="1330" spans="1:2" x14ac:dyDescent="0.25">
      <c r="A1330" s="1"/>
      <c r="B1330" s="2"/>
    </row>
    <row r="1331" spans="1:2" x14ac:dyDescent="0.25">
      <c r="A1331" s="1"/>
      <c r="B1331" s="2"/>
    </row>
    <row r="1332" spans="1:2" x14ac:dyDescent="0.25">
      <c r="A1332" s="1"/>
      <c r="B1332" s="2"/>
    </row>
    <row r="1333" spans="1:2" x14ac:dyDescent="0.25">
      <c r="A1333" s="1"/>
      <c r="B1333" s="2"/>
    </row>
    <row r="1334" spans="1:2" x14ac:dyDescent="0.25">
      <c r="A1334" s="1"/>
      <c r="B1334" s="2"/>
    </row>
    <row r="1335" spans="1:2" x14ac:dyDescent="0.25">
      <c r="A1335" s="1"/>
      <c r="B1335" s="2"/>
    </row>
    <row r="1336" spans="1:2" x14ac:dyDescent="0.25">
      <c r="A1336" s="1"/>
      <c r="B1336" s="2"/>
    </row>
    <row r="1337" spans="1:2" x14ac:dyDescent="0.25">
      <c r="A1337" s="1"/>
      <c r="B1337" s="2"/>
    </row>
    <row r="1338" spans="1:2" x14ac:dyDescent="0.25">
      <c r="A1338" s="1"/>
      <c r="B1338" s="2"/>
    </row>
    <row r="1339" spans="1:2" x14ac:dyDescent="0.25">
      <c r="A1339" s="1"/>
      <c r="B1339" s="2"/>
    </row>
    <row r="1340" spans="1:2" x14ac:dyDescent="0.25">
      <c r="A1340" s="1"/>
      <c r="B1340" s="2"/>
    </row>
    <row r="1341" spans="1:2" x14ac:dyDescent="0.25">
      <c r="A1341" s="1"/>
      <c r="B1341" s="2"/>
    </row>
    <row r="1342" spans="1:2" x14ac:dyDescent="0.25">
      <c r="A1342" s="1"/>
      <c r="B1342" s="2"/>
    </row>
    <row r="1343" spans="1:2" x14ac:dyDescent="0.25">
      <c r="A1343" s="1"/>
      <c r="B1343" s="2"/>
    </row>
    <row r="1344" spans="1:2" x14ac:dyDescent="0.25">
      <c r="A1344" s="1"/>
      <c r="B1344" s="2"/>
    </row>
    <row r="1345" spans="1:2" x14ac:dyDescent="0.25">
      <c r="A1345" s="1"/>
      <c r="B1345" s="2"/>
    </row>
    <row r="1346" spans="1:2" x14ac:dyDescent="0.25">
      <c r="A1346" s="1"/>
      <c r="B1346" s="2"/>
    </row>
    <row r="1347" spans="1:2" x14ac:dyDescent="0.25">
      <c r="A1347" s="1"/>
      <c r="B1347" s="2"/>
    </row>
    <row r="1348" spans="1:2" x14ac:dyDescent="0.25">
      <c r="A1348" s="1"/>
      <c r="B1348" s="2"/>
    </row>
    <row r="1349" spans="1:2" x14ac:dyDescent="0.25">
      <c r="A1349" s="1"/>
      <c r="B1349" s="2"/>
    </row>
    <row r="1350" spans="1:2" x14ac:dyDescent="0.25">
      <c r="A1350" s="1"/>
      <c r="B1350" s="2"/>
    </row>
    <row r="1351" spans="1:2" x14ac:dyDescent="0.25">
      <c r="A1351" s="1"/>
      <c r="B1351" s="2"/>
    </row>
    <row r="1352" spans="1:2" x14ac:dyDescent="0.25">
      <c r="A1352" s="1"/>
      <c r="B1352" s="2"/>
    </row>
    <row r="1353" spans="1:2" x14ac:dyDescent="0.25">
      <c r="A1353" s="1"/>
      <c r="B1353" s="2"/>
    </row>
    <row r="1354" spans="1:2" x14ac:dyDescent="0.25">
      <c r="A1354" s="1"/>
      <c r="B1354" s="2"/>
    </row>
    <row r="1355" spans="1:2" x14ac:dyDescent="0.25">
      <c r="A1355" s="1"/>
      <c r="B1355" s="2"/>
    </row>
    <row r="1356" spans="1:2" x14ac:dyDescent="0.25">
      <c r="A1356" s="1"/>
      <c r="B1356" s="2"/>
    </row>
    <row r="1357" spans="1:2" x14ac:dyDescent="0.25">
      <c r="A1357" s="1"/>
      <c r="B1357" s="2"/>
    </row>
    <row r="1358" spans="1:2" x14ac:dyDescent="0.25">
      <c r="A1358" s="1"/>
      <c r="B1358" s="2"/>
    </row>
    <row r="1359" spans="1:2" x14ac:dyDescent="0.25">
      <c r="A1359" s="1"/>
      <c r="B1359" s="2"/>
    </row>
    <row r="1360" spans="1:2" x14ac:dyDescent="0.25">
      <c r="A1360" s="1"/>
      <c r="B1360" s="2"/>
    </row>
    <row r="1361" spans="1:2" x14ac:dyDescent="0.25">
      <c r="A1361" s="1"/>
      <c r="B1361" s="2"/>
    </row>
    <row r="1362" spans="1:2" x14ac:dyDescent="0.25">
      <c r="A1362" s="1"/>
      <c r="B1362" s="2"/>
    </row>
    <row r="1363" spans="1:2" x14ac:dyDescent="0.25">
      <c r="A1363" s="1"/>
      <c r="B1363" s="2"/>
    </row>
    <row r="1364" spans="1:2" x14ac:dyDescent="0.25">
      <c r="A1364" s="1"/>
      <c r="B1364" s="2"/>
    </row>
    <row r="1365" spans="1:2" x14ac:dyDescent="0.25">
      <c r="A1365" s="1"/>
      <c r="B1365" s="2"/>
    </row>
    <row r="1366" spans="1:2" x14ac:dyDescent="0.25">
      <c r="A1366" s="1"/>
      <c r="B1366" s="2"/>
    </row>
    <row r="1367" spans="1:2" x14ac:dyDescent="0.25">
      <c r="A1367" s="1"/>
      <c r="B1367" s="2"/>
    </row>
    <row r="1368" spans="1:2" x14ac:dyDescent="0.25">
      <c r="A1368" s="1"/>
      <c r="B1368" s="2"/>
    </row>
    <row r="1369" spans="1:2" x14ac:dyDescent="0.25">
      <c r="A1369" s="1"/>
      <c r="B1369" s="2"/>
    </row>
    <row r="1370" spans="1:2" x14ac:dyDescent="0.25">
      <c r="A1370" s="1"/>
      <c r="B1370" s="2"/>
    </row>
    <row r="1371" spans="1:2" x14ac:dyDescent="0.25">
      <c r="A1371" s="1"/>
      <c r="B1371" s="2"/>
    </row>
    <row r="1372" spans="1:2" x14ac:dyDescent="0.25">
      <c r="A1372" s="1"/>
      <c r="B1372" s="2"/>
    </row>
    <row r="1373" spans="1:2" x14ac:dyDescent="0.25">
      <c r="A1373" s="1"/>
      <c r="B1373" s="2"/>
    </row>
    <row r="1374" spans="1:2" x14ac:dyDescent="0.25">
      <c r="A1374" s="1"/>
      <c r="B1374" s="2"/>
    </row>
    <row r="1375" spans="1:2" x14ac:dyDescent="0.25">
      <c r="A1375" s="1"/>
      <c r="B1375" s="2"/>
    </row>
    <row r="1376" spans="1:2" x14ac:dyDescent="0.25">
      <c r="A1376" s="1"/>
      <c r="B1376" s="2"/>
    </row>
    <row r="1377" spans="1:2" x14ac:dyDescent="0.25">
      <c r="A1377" s="1"/>
      <c r="B1377" s="2"/>
    </row>
    <row r="1378" spans="1:2" x14ac:dyDescent="0.25">
      <c r="A1378" s="1"/>
      <c r="B1378" s="2"/>
    </row>
    <row r="1379" spans="1:2" x14ac:dyDescent="0.25">
      <c r="A1379" s="1"/>
      <c r="B1379" s="2"/>
    </row>
    <row r="1380" spans="1:2" x14ac:dyDescent="0.25">
      <c r="A1380" s="1"/>
      <c r="B1380" s="2"/>
    </row>
    <row r="1381" spans="1:2" x14ac:dyDescent="0.25">
      <c r="A1381" s="1"/>
      <c r="B1381" s="2"/>
    </row>
    <row r="1382" spans="1:2" x14ac:dyDescent="0.25">
      <c r="A1382" s="1"/>
      <c r="B1382" s="2"/>
    </row>
    <row r="1383" spans="1:2" x14ac:dyDescent="0.25">
      <c r="A1383" s="1"/>
      <c r="B1383" s="2"/>
    </row>
    <row r="1384" spans="1:2" x14ac:dyDescent="0.25">
      <c r="A1384" s="1"/>
      <c r="B1384" s="2"/>
    </row>
    <row r="1385" spans="1:2" x14ac:dyDescent="0.25">
      <c r="A1385" s="1"/>
      <c r="B1385" s="2"/>
    </row>
    <row r="1386" spans="1:2" x14ac:dyDescent="0.25">
      <c r="A1386" s="1"/>
      <c r="B1386" s="2"/>
    </row>
    <row r="1387" spans="1:2" x14ac:dyDescent="0.25">
      <c r="A1387" s="1"/>
      <c r="B1387" s="2"/>
    </row>
    <row r="1388" spans="1:2" x14ac:dyDescent="0.25">
      <c r="A1388" s="1"/>
      <c r="B1388" s="2"/>
    </row>
    <row r="1389" spans="1:2" x14ac:dyDescent="0.25">
      <c r="A1389" s="1"/>
      <c r="B1389" s="2"/>
    </row>
    <row r="1390" spans="1:2" x14ac:dyDescent="0.25">
      <c r="A1390" s="1"/>
      <c r="B1390" s="2"/>
    </row>
    <row r="1391" spans="1:2" x14ac:dyDescent="0.25">
      <c r="A1391" s="1"/>
      <c r="B1391" s="2"/>
    </row>
    <row r="1392" spans="1:2" x14ac:dyDescent="0.25">
      <c r="A1392" s="1"/>
      <c r="B1392" s="2"/>
    </row>
    <row r="1393" spans="1:2" x14ac:dyDescent="0.25">
      <c r="A1393" s="1"/>
      <c r="B1393" s="2"/>
    </row>
    <row r="1394" spans="1:2" x14ac:dyDescent="0.25">
      <c r="A1394" s="1"/>
      <c r="B1394" s="2"/>
    </row>
    <row r="1395" spans="1:2" x14ac:dyDescent="0.25">
      <c r="A1395" s="1"/>
      <c r="B1395" s="2"/>
    </row>
    <row r="1396" spans="1:2" x14ac:dyDescent="0.25">
      <c r="A1396" s="1"/>
      <c r="B1396" s="2"/>
    </row>
    <row r="1397" spans="1:2" x14ac:dyDescent="0.25">
      <c r="A1397" s="1"/>
      <c r="B1397" s="2"/>
    </row>
    <row r="1398" spans="1:2" x14ac:dyDescent="0.25">
      <c r="A1398" s="1"/>
      <c r="B1398" s="2"/>
    </row>
    <row r="1399" spans="1:2" x14ac:dyDescent="0.25">
      <c r="A1399" s="1"/>
      <c r="B1399" s="2"/>
    </row>
    <row r="1400" spans="1:2" x14ac:dyDescent="0.25">
      <c r="A1400" s="1"/>
      <c r="B1400" s="2"/>
    </row>
    <row r="1401" spans="1:2" x14ac:dyDescent="0.25">
      <c r="A1401" s="1"/>
      <c r="B1401" s="2"/>
    </row>
    <row r="1402" spans="1:2" x14ac:dyDescent="0.25">
      <c r="A1402" s="1"/>
      <c r="B1402" s="2"/>
    </row>
    <row r="1403" spans="1:2" x14ac:dyDescent="0.25">
      <c r="A1403" s="1"/>
      <c r="B1403" s="2"/>
    </row>
    <row r="1404" spans="1:2" x14ac:dyDescent="0.25">
      <c r="A1404" s="1"/>
      <c r="B1404" s="2"/>
    </row>
    <row r="1405" spans="1:2" x14ac:dyDescent="0.25">
      <c r="A1405" s="1"/>
      <c r="B1405" s="2"/>
    </row>
    <row r="1406" spans="1:2" x14ac:dyDescent="0.25">
      <c r="A1406" s="1"/>
      <c r="B1406" s="2"/>
    </row>
    <row r="1407" spans="1:2" x14ac:dyDescent="0.25">
      <c r="A1407" s="1"/>
      <c r="B1407" s="2"/>
    </row>
    <row r="1408" spans="1:2" x14ac:dyDescent="0.25">
      <c r="A1408" s="1"/>
      <c r="B1408" s="2"/>
    </row>
    <row r="1409" spans="1:2" x14ac:dyDescent="0.25">
      <c r="A1409" s="1"/>
      <c r="B1409" s="2"/>
    </row>
    <row r="1410" spans="1:2" x14ac:dyDescent="0.25">
      <c r="A1410" s="1"/>
      <c r="B1410" s="2"/>
    </row>
    <row r="1411" spans="1:2" x14ac:dyDescent="0.25">
      <c r="A1411" s="1"/>
      <c r="B1411" s="2"/>
    </row>
    <row r="1412" spans="1:2" x14ac:dyDescent="0.25">
      <c r="A1412" s="1"/>
      <c r="B1412" s="2"/>
    </row>
    <row r="1413" spans="1:2" x14ac:dyDescent="0.25">
      <c r="A1413" s="1"/>
      <c r="B1413" s="2"/>
    </row>
    <row r="1414" spans="1:2" x14ac:dyDescent="0.25">
      <c r="A1414" s="1"/>
      <c r="B1414" s="2"/>
    </row>
    <row r="1415" spans="1:2" x14ac:dyDescent="0.25">
      <c r="A1415" s="1"/>
      <c r="B1415" s="2"/>
    </row>
    <row r="1416" spans="1:2" x14ac:dyDescent="0.25">
      <c r="A1416" s="1"/>
      <c r="B1416" s="2"/>
    </row>
    <row r="1417" spans="1:2" x14ac:dyDescent="0.25">
      <c r="A1417" s="1"/>
      <c r="B1417" s="2"/>
    </row>
    <row r="1418" spans="1:2" x14ac:dyDescent="0.25">
      <c r="A1418" s="1"/>
      <c r="B1418" s="2"/>
    </row>
    <row r="1419" spans="1:2" x14ac:dyDescent="0.25">
      <c r="A1419" s="1"/>
      <c r="B1419" s="2"/>
    </row>
    <row r="1420" spans="1:2" x14ac:dyDescent="0.25">
      <c r="A1420" s="1"/>
      <c r="B1420" s="2"/>
    </row>
    <row r="1421" spans="1:2" x14ac:dyDescent="0.25">
      <c r="A1421" s="1"/>
      <c r="B1421" s="2"/>
    </row>
    <row r="1422" spans="1:2" x14ac:dyDescent="0.25">
      <c r="A1422" s="1"/>
      <c r="B1422" s="2"/>
    </row>
    <row r="1423" spans="1:2" x14ac:dyDescent="0.25">
      <c r="A1423" s="1"/>
      <c r="B1423" s="2"/>
    </row>
    <row r="1424" spans="1:2" x14ac:dyDescent="0.25">
      <c r="A1424" s="1"/>
      <c r="B1424" s="2"/>
    </row>
    <row r="1425" spans="1:2" x14ac:dyDescent="0.25">
      <c r="A1425" s="1"/>
      <c r="B1425" s="2"/>
    </row>
    <row r="1426" spans="1:2" x14ac:dyDescent="0.25">
      <c r="A1426" s="1"/>
      <c r="B1426" s="2"/>
    </row>
    <row r="1427" spans="1:2" x14ac:dyDescent="0.25">
      <c r="A1427" s="1"/>
      <c r="B1427" s="2"/>
    </row>
    <row r="1428" spans="1:2" x14ac:dyDescent="0.25">
      <c r="A1428" s="1"/>
      <c r="B1428" s="2"/>
    </row>
    <row r="1429" spans="1:2" x14ac:dyDescent="0.25">
      <c r="A1429" s="1"/>
      <c r="B1429" s="2"/>
    </row>
    <row r="1430" spans="1:2" x14ac:dyDescent="0.25">
      <c r="A1430" s="1"/>
      <c r="B1430" s="2"/>
    </row>
    <row r="1431" spans="1:2" x14ac:dyDescent="0.25">
      <c r="A1431" s="1"/>
      <c r="B1431" s="2"/>
    </row>
    <row r="1432" spans="1:2" x14ac:dyDescent="0.25">
      <c r="A1432" s="1"/>
      <c r="B1432" s="2"/>
    </row>
    <row r="1433" spans="1:2" x14ac:dyDescent="0.25">
      <c r="A1433" s="1"/>
      <c r="B1433" s="2"/>
    </row>
    <row r="1434" spans="1:2" x14ac:dyDescent="0.25">
      <c r="A1434" s="1"/>
      <c r="B1434" s="2"/>
    </row>
    <row r="1435" spans="1:2" x14ac:dyDescent="0.25">
      <c r="A1435" s="1"/>
      <c r="B1435" s="2"/>
    </row>
    <row r="1436" spans="1:2" x14ac:dyDescent="0.25">
      <c r="A1436" s="1"/>
      <c r="B1436" s="2"/>
    </row>
    <row r="1437" spans="1:2" x14ac:dyDescent="0.25">
      <c r="A1437" s="1"/>
      <c r="B1437" s="2"/>
    </row>
    <row r="1438" spans="1:2" x14ac:dyDescent="0.25">
      <c r="A1438" s="1"/>
      <c r="B1438" s="2"/>
    </row>
    <row r="1439" spans="1:2" x14ac:dyDescent="0.25">
      <c r="A1439" s="1"/>
      <c r="B1439" s="2"/>
    </row>
    <row r="1440" spans="1:2" x14ac:dyDescent="0.25">
      <c r="A1440" s="1"/>
      <c r="B1440" s="2"/>
    </row>
    <row r="1441" spans="1:2" x14ac:dyDescent="0.25">
      <c r="A1441" s="1"/>
      <c r="B1441" s="2"/>
    </row>
    <row r="1442" spans="1:2" x14ac:dyDescent="0.25">
      <c r="A1442" s="1"/>
      <c r="B1442" s="2"/>
    </row>
    <row r="1443" spans="1:2" x14ac:dyDescent="0.25">
      <c r="A1443" s="1"/>
      <c r="B1443" s="2"/>
    </row>
    <row r="1444" spans="1:2" x14ac:dyDescent="0.25">
      <c r="A1444" s="1"/>
      <c r="B1444" s="2"/>
    </row>
    <row r="1445" spans="1:2" x14ac:dyDescent="0.25">
      <c r="A1445" s="1"/>
      <c r="B1445" s="2"/>
    </row>
    <row r="1446" spans="1:2" x14ac:dyDescent="0.25">
      <c r="A1446" s="1"/>
      <c r="B1446" s="2"/>
    </row>
    <row r="1447" spans="1:2" x14ac:dyDescent="0.25">
      <c r="A1447" s="1"/>
      <c r="B1447" s="2"/>
    </row>
    <row r="1448" spans="1:2" x14ac:dyDescent="0.25">
      <c r="A1448" s="1"/>
      <c r="B1448" s="2"/>
    </row>
    <row r="1449" spans="1:2" x14ac:dyDescent="0.25">
      <c r="A1449" s="1"/>
      <c r="B1449" s="2"/>
    </row>
    <row r="1450" spans="1:2" x14ac:dyDescent="0.25">
      <c r="A1450" s="1"/>
      <c r="B1450" s="2"/>
    </row>
    <row r="1451" spans="1:2" x14ac:dyDescent="0.25">
      <c r="A1451" s="1"/>
      <c r="B1451" s="2"/>
    </row>
    <row r="1452" spans="1:2" x14ac:dyDescent="0.25">
      <c r="A1452" s="1"/>
      <c r="B1452" s="2"/>
    </row>
    <row r="1453" spans="1:2" x14ac:dyDescent="0.25">
      <c r="A1453" s="1"/>
      <c r="B1453" s="2"/>
    </row>
    <row r="1454" spans="1:2" x14ac:dyDescent="0.25">
      <c r="A1454" s="1"/>
      <c r="B1454" s="2"/>
    </row>
    <row r="1455" spans="1:2" x14ac:dyDescent="0.25">
      <c r="A1455" s="1"/>
      <c r="B1455" s="2"/>
    </row>
    <row r="1456" spans="1:2" x14ac:dyDescent="0.25">
      <c r="A1456" s="1"/>
      <c r="B1456" s="2"/>
    </row>
    <row r="1457" spans="1:2" x14ac:dyDescent="0.25">
      <c r="A1457" s="1"/>
      <c r="B1457" s="2"/>
    </row>
    <row r="1458" spans="1:2" x14ac:dyDescent="0.25">
      <c r="A1458" s="1"/>
      <c r="B1458" s="2"/>
    </row>
    <row r="1459" spans="1:2" x14ac:dyDescent="0.25">
      <c r="A1459" s="1"/>
      <c r="B1459" s="2"/>
    </row>
    <row r="1460" spans="1:2" x14ac:dyDescent="0.25">
      <c r="A1460" s="1"/>
      <c r="B1460" s="2"/>
    </row>
    <row r="1461" spans="1:2" x14ac:dyDescent="0.25">
      <c r="A1461" s="1"/>
      <c r="B1461" s="2"/>
    </row>
    <row r="1462" spans="1:2" x14ac:dyDescent="0.25">
      <c r="A1462" s="1"/>
      <c r="B1462" s="2"/>
    </row>
    <row r="1463" spans="1:2" x14ac:dyDescent="0.25">
      <c r="A1463" s="1"/>
      <c r="B1463" s="2"/>
    </row>
    <row r="1464" spans="1:2" x14ac:dyDescent="0.25">
      <c r="A1464" s="1"/>
      <c r="B1464" s="2"/>
    </row>
    <row r="1465" spans="1:2" x14ac:dyDescent="0.25">
      <c r="A1465" s="1"/>
      <c r="B1465" s="2"/>
    </row>
    <row r="1466" spans="1:2" x14ac:dyDescent="0.25">
      <c r="A1466" s="1"/>
      <c r="B1466" s="2"/>
    </row>
    <row r="1467" spans="1:2" x14ac:dyDescent="0.25">
      <c r="A1467" s="1"/>
      <c r="B1467" s="2"/>
    </row>
    <row r="1468" spans="1:2" x14ac:dyDescent="0.25">
      <c r="A1468" s="1"/>
      <c r="B1468" s="2"/>
    </row>
    <row r="1469" spans="1:2" x14ac:dyDescent="0.25">
      <c r="A1469" s="1"/>
      <c r="B1469" s="2"/>
    </row>
    <row r="1470" spans="1:2" x14ac:dyDescent="0.25">
      <c r="A1470" s="1"/>
      <c r="B1470" s="2"/>
    </row>
    <row r="1471" spans="1:2" x14ac:dyDescent="0.25">
      <c r="A1471" s="1"/>
      <c r="B1471" s="2"/>
    </row>
    <row r="1472" spans="1:2" x14ac:dyDescent="0.25">
      <c r="A1472" s="1"/>
      <c r="B1472" s="2"/>
    </row>
    <row r="1473" spans="1:2" x14ac:dyDescent="0.25">
      <c r="A1473" s="1"/>
      <c r="B1473" s="2"/>
    </row>
    <row r="1474" spans="1:2" x14ac:dyDescent="0.25">
      <c r="A1474" s="1"/>
      <c r="B1474" s="2"/>
    </row>
    <row r="1475" spans="1:2" x14ac:dyDescent="0.25">
      <c r="A1475" s="1"/>
      <c r="B1475" s="2"/>
    </row>
    <row r="1476" spans="1:2" x14ac:dyDescent="0.25">
      <c r="A1476" s="1"/>
      <c r="B1476" s="2"/>
    </row>
    <row r="1477" spans="1:2" x14ac:dyDescent="0.25">
      <c r="A1477" s="1"/>
      <c r="B1477" s="2"/>
    </row>
    <row r="1478" spans="1:2" x14ac:dyDescent="0.25">
      <c r="A1478" s="1"/>
      <c r="B1478" s="2"/>
    </row>
    <row r="1479" spans="1:2" x14ac:dyDescent="0.25">
      <c r="A1479" s="1"/>
      <c r="B1479" s="2"/>
    </row>
    <row r="1480" spans="1:2" x14ac:dyDescent="0.25">
      <c r="A1480" s="1"/>
      <c r="B1480" s="2"/>
    </row>
    <row r="1481" spans="1:2" x14ac:dyDescent="0.25">
      <c r="A1481" s="1"/>
      <c r="B1481" s="2"/>
    </row>
    <row r="1482" spans="1:2" x14ac:dyDescent="0.25">
      <c r="A1482" s="1"/>
      <c r="B1482" s="2"/>
    </row>
    <row r="1483" spans="1:2" x14ac:dyDescent="0.25">
      <c r="A1483" s="1"/>
      <c r="B1483" s="2"/>
    </row>
    <row r="1484" spans="1:2" x14ac:dyDescent="0.25">
      <c r="A1484" s="1"/>
      <c r="B1484" s="2"/>
    </row>
    <row r="1485" spans="1:2" x14ac:dyDescent="0.25">
      <c r="A1485" s="1"/>
      <c r="B1485" s="2"/>
    </row>
    <row r="1486" spans="1:2" x14ac:dyDescent="0.25">
      <c r="A1486" s="1"/>
      <c r="B1486" s="2"/>
    </row>
    <row r="1487" spans="1:2" x14ac:dyDescent="0.25">
      <c r="A1487" s="1"/>
      <c r="B1487" s="2"/>
    </row>
    <row r="1488" spans="1:2" x14ac:dyDescent="0.25">
      <c r="A1488" s="1"/>
      <c r="B1488" s="2"/>
    </row>
    <row r="1489" spans="1:2" x14ac:dyDescent="0.25">
      <c r="A1489" s="1"/>
      <c r="B1489" s="2"/>
    </row>
    <row r="1490" spans="1:2" x14ac:dyDescent="0.25">
      <c r="A1490" s="1"/>
      <c r="B1490" s="2"/>
    </row>
    <row r="1491" spans="1:2" x14ac:dyDescent="0.25">
      <c r="A1491" s="1"/>
      <c r="B1491" s="2"/>
    </row>
    <row r="1492" spans="1:2" x14ac:dyDescent="0.25">
      <c r="A1492" s="1"/>
      <c r="B1492" s="2"/>
    </row>
    <row r="1493" spans="1:2" x14ac:dyDescent="0.25">
      <c r="A1493" s="1"/>
      <c r="B1493" s="2"/>
    </row>
    <row r="1494" spans="1:2" x14ac:dyDescent="0.25">
      <c r="A1494" s="1"/>
      <c r="B1494" s="2"/>
    </row>
    <row r="1495" spans="1:2" x14ac:dyDescent="0.25">
      <c r="A1495" s="1"/>
      <c r="B1495" s="2"/>
    </row>
    <row r="1496" spans="1:2" x14ac:dyDescent="0.25">
      <c r="A1496" s="1"/>
      <c r="B1496" s="2"/>
    </row>
    <row r="1497" spans="1:2" x14ac:dyDescent="0.25">
      <c r="A1497" s="1"/>
      <c r="B1497" s="2"/>
    </row>
    <row r="1498" spans="1:2" x14ac:dyDescent="0.25">
      <c r="A1498" s="1"/>
      <c r="B1498" s="2"/>
    </row>
    <row r="1499" spans="1:2" x14ac:dyDescent="0.25">
      <c r="A1499" s="1"/>
      <c r="B1499" s="2"/>
    </row>
    <row r="1500" spans="1:2" x14ac:dyDescent="0.25">
      <c r="A1500" s="1"/>
      <c r="B1500" s="2"/>
    </row>
    <row r="1501" spans="1:2" x14ac:dyDescent="0.25">
      <c r="A1501" s="1"/>
      <c r="B1501" s="2"/>
    </row>
    <row r="1502" spans="1:2" x14ac:dyDescent="0.25">
      <c r="A1502" s="1"/>
      <c r="B1502" s="2"/>
    </row>
    <row r="1503" spans="1:2" x14ac:dyDescent="0.25">
      <c r="A1503" s="1"/>
      <c r="B1503" s="2"/>
    </row>
    <row r="1504" spans="1:2" x14ac:dyDescent="0.25">
      <c r="A1504" s="1"/>
      <c r="B1504" s="2"/>
    </row>
    <row r="1505" spans="1:2" x14ac:dyDescent="0.25">
      <c r="A1505" s="1"/>
      <c r="B1505" s="2"/>
    </row>
    <row r="1506" spans="1:2" x14ac:dyDescent="0.25">
      <c r="A1506" s="1"/>
      <c r="B1506" s="2"/>
    </row>
    <row r="1507" spans="1:2" x14ac:dyDescent="0.25">
      <c r="A1507" s="1"/>
      <c r="B1507" s="2"/>
    </row>
    <row r="1508" spans="1:2" x14ac:dyDescent="0.25">
      <c r="A1508" s="1"/>
      <c r="B1508" s="2"/>
    </row>
    <row r="1509" spans="1:2" x14ac:dyDescent="0.25">
      <c r="A1509" s="1"/>
      <c r="B1509" s="2"/>
    </row>
    <row r="1510" spans="1:2" x14ac:dyDescent="0.25">
      <c r="A1510" s="1"/>
      <c r="B1510" s="2"/>
    </row>
    <row r="1511" spans="1:2" x14ac:dyDescent="0.25">
      <c r="A1511" s="1"/>
      <c r="B1511" s="2"/>
    </row>
    <row r="1512" spans="1:2" x14ac:dyDescent="0.25">
      <c r="A1512" s="1"/>
      <c r="B1512" s="2"/>
    </row>
    <row r="1513" spans="1:2" x14ac:dyDescent="0.25">
      <c r="A1513" s="1"/>
      <c r="B1513" s="2"/>
    </row>
    <row r="1514" spans="1:2" x14ac:dyDescent="0.25">
      <c r="A1514" s="1"/>
      <c r="B1514" s="2"/>
    </row>
    <row r="1515" spans="1:2" x14ac:dyDescent="0.25">
      <c r="A1515" s="1"/>
      <c r="B1515" s="2"/>
    </row>
    <row r="1516" spans="1:2" x14ac:dyDescent="0.25">
      <c r="A1516" s="1"/>
      <c r="B1516" s="2"/>
    </row>
    <row r="1517" spans="1:2" x14ac:dyDescent="0.25">
      <c r="A1517" s="1"/>
      <c r="B1517" s="2"/>
    </row>
    <row r="1518" spans="1:2" x14ac:dyDescent="0.25">
      <c r="A1518" s="1"/>
      <c r="B1518" s="2"/>
    </row>
    <row r="1519" spans="1:2" x14ac:dyDescent="0.25">
      <c r="A1519" s="1"/>
      <c r="B1519" s="2"/>
    </row>
    <row r="1520" spans="1:2" x14ac:dyDescent="0.25">
      <c r="A1520" s="1"/>
      <c r="B1520" s="2"/>
    </row>
    <row r="1521" spans="1:2" x14ac:dyDescent="0.25">
      <c r="A1521" s="1"/>
      <c r="B1521" s="2"/>
    </row>
    <row r="1522" spans="1:2" x14ac:dyDescent="0.25">
      <c r="A1522" s="1"/>
      <c r="B1522" s="2"/>
    </row>
    <row r="1523" spans="1:2" x14ac:dyDescent="0.25">
      <c r="A1523" s="1"/>
      <c r="B1523" s="2"/>
    </row>
    <row r="1524" spans="1:2" x14ac:dyDescent="0.25">
      <c r="A1524" s="1"/>
      <c r="B1524" s="2"/>
    </row>
    <row r="1525" spans="1:2" x14ac:dyDescent="0.25">
      <c r="A1525" s="1"/>
      <c r="B1525" s="2"/>
    </row>
    <row r="1526" spans="1:2" x14ac:dyDescent="0.25">
      <c r="A1526" s="1"/>
      <c r="B1526" s="2"/>
    </row>
    <row r="1527" spans="1:2" x14ac:dyDescent="0.25">
      <c r="A1527" s="1"/>
      <c r="B1527" s="2"/>
    </row>
    <row r="1528" spans="1:2" x14ac:dyDescent="0.25">
      <c r="A1528" s="1"/>
      <c r="B1528" s="2"/>
    </row>
    <row r="1529" spans="1:2" x14ac:dyDescent="0.25">
      <c r="A1529" s="1"/>
      <c r="B1529" s="2"/>
    </row>
    <row r="1530" spans="1:2" x14ac:dyDescent="0.25">
      <c r="A1530" s="1"/>
      <c r="B1530" s="2"/>
    </row>
    <row r="1531" spans="1:2" x14ac:dyDescent="0.25">
      <c r="A1531" s="1"/>
      <c r="B1531" s="2"/>
    </row>
    <row r="1532" spans="1:2" x14ac:dyDescent="0.25">
      <c r="A1532" s="1"/>
      <c r="B1532" s="2"/>
    </row>
    <row r="1533" spans="1:2" x14ac:dyDescent="0.25">
      <c r="A1533" s="1"/>
      <c r="B1533" s="2"/>
    </row>
    <row r="1534" spans="1:2" x14ac:dyDescent="0.25">
      <c r="A1534" s="1"/>
      <c r="B1534" s="2"/>
    </row>
    <row r="1535" spans="1:2" x14ac:dyDescent="0.25">
      <c r="A1535" s="1"/>
      <c r="B1535" s="2"/>
    </row>
    <row r="1536" spans="1:2" x14ac:dyDescent="0.25">
      <c r="A1536" s="1"/>
      <c r="B1536" s="2"/>
    </row>
    <row r="1537" spans="1:2" x14ac:dyDescent="0.25">
      <c r="A1537" s="1"/>
      <c r="B1537" s="2"/>
    </row>
    <row r="1538" spans="1:2" x14ac:dyDescent="0.25">
      <c r="A1538" s="1"/>
      <c r="B1538" s="2"/>
    </row>
    <row r="1539" spans="1:2" x14ac:dyDescent="0.25">
      <c r="A1539" s="1"/>
      <c r="B1539" s="2"/>
    </row>
    <row r="1540" spans="1:2" x14ac:dyDescent="0.25">
      <c r="A1540" s="1"/>
      <c r="B1540" s="2"/>
    </row>
    <row r="1541" spans="1:2" x14ac:dyDescent="0.25">
      <c r="A1541" s="1"/>
      <c r="B1541" s="2"/>
    </row>
    <row r="1542" spans="1:2" x14ac:dyDescent="0.25">
      <c r="A1542" s="1"/>
      <c r="B1542" s="2"/>
    </row>
    <row r="1543" spans="1:2" x14ac:dyDescent="0.25">
      <c r="A1543" s="1"/>
      <c r="B1543" s="2"/>
    </row>
    <row r="1544" spans="1:2" x14ac:dyDescent="0.25">
      <c r="A1544" s="1"/>
      <c r="B1544" s="2"/>
    </row>
    <row r="1545" spans="1:2" x14ac:dyDescent="0.25">
      <c r="A1545" s="1"/>
      <c r="B1545" s="2"/>
    </row>
    <row r="1546" spans="1:2" x14ac:dyDescent="0.25">
      <c r="A1546" s="1"/>
      <c r="B1546" s="2"/>
    </row>
    <row r="1547" spans="1:2" x14ac:dyDescent="0.25">
      <c r="A1547" s="1"/>
      <c r="B1547" s="2"/>
    </row>
    <row r="1548" spans="1:2" x14ac:dyDescent="0.25">
      <c r="A1548" s="1"/>
      <c r="B1548" s="2"/>
    </row>
    <row r="1549" spans="1:2" x14ac:dyDescent="0.25">
      <c r="A1549" s="1"/>
      <c r="B1549" s="2"/>
    </row>
    <row r="1550" spans="1:2" x14ac:dyDescent="0.25">
      <c r="A1550" s="1"/>
      <c r="B1550" s="2"/>
    </row>
    <row r="1551" spans="1:2" x14ac:dyDescent="0.25">
      <c r="A1551" s="1"/>
      <c r="B1551" s="2"/>
    </row>
    <row r="1552" spans="1:2" x14ac:dyDescent="0.25">
      <c r="A1552" s="1"/>
      <c r="B1552" s="2"/>
    </row>
    <row r="1553" spans="1:2" x14ac:dyDescent="0.25">
      <c r="A1553" s="1"/>
      <c r="B1553" s="2"/>
    </row>
    <row r="1554" spans="1:2" x14ac:dyDescent="0.25">
      <c r="A1554" s="1"/>
      <c r="B1554" s="2"/>
    </row>
    <row r="1555" spans="1:2" x14ac:dyDescent="0.25">
      <c r="A1555" s="1"/>
      <c r="B1555" s="2"/>
    </row>
    <row r="1556" spans="1:2" x14ac:dyDescent="0.25">
      <c r="A1556" s="1"/>
      <c r="B1556" s="2"/>
    </row>
    <row r="1557" spans="1:2" x14ac:dyDescent="0.25">
      <c r="A1557" s="1"/>
      <c r="B1557" s="2"/>
    </row>
    <row r="1558" spans="1:2" x14ac:dyDescent="0.25">
      <c r="A1558" s="1"/>
      <c r="B1558" s="2"/>
    </row>
    <row r="1559" spans="1:2" x14ac:dyDescent="0.25">
      <c r="A1559" s="1"/>
      <c r="B1559" s="2"/>
    </row>
    <row r="1560" spans="1:2" x14ac:dyDescent="0.25">
      <c r="A1560" s="1"/>
      <c r="B1560" s="2"/>
    </row>
    <row r="1561" spans="1:2" x14ac:dyDescent="0.25">
      <c r="A1561" s="1"/>
      <c r="B1561" s="2"/>
    </row>
    <row r="1562" spans="1:2" x14ac:dyDescent="0.25">
      <c r="A1562" s="1"/>
      <c r="B1562" s="2"/>
    </row>
    <row r="1563" spans="1:2" x14ac:dyDescent="0.25">
      <c r="A1563" s="1"/>
      <c r="B1563" s="2"/>
    </row>
    <row r="1564" spans="1:2" x14ac:dyDescent="0.25">
      <c r="A1564" s="1"/>
      <c r="B1564" s="2"/>
    </row>
    <row r="1565" spans="1:2" x14ac:dyDescent="0.25">
      <c r="A1565" s="1"/>
      <c r="B1565" s="2"/>
    </row>
    <row r="1566" spans="1:2" x14ac:dyDescent="0.25">
      <c r="A1566" s="1"/>
      <c r="B1566" s="2"/>
    </row>
    <row r="1567" spans="1:2" x14ac:dyDescent="0.25">
      <c r="A1567" s="1"/>
      <c r="B1567" s="2"/>
    </row>
    <row r="1568" spans="1:2" x14ac:dyDescent="0.25">
      <c r="A1568" s="1"/>
      <c r="B1568" s="2"/>
    </row>
    <row r="1569" spans="1:2" x14ac:dyDescent="0.25">
      <c r="A1569" s="1"/>
      <c r="B1569" s="2"/>
    </row>
    <row r="1570" spans="1:2" x14ac:dyDescent="0.25">
      <c r="A1570" s="1"/>
      <c r="B1570" s="2"/>
    </row>
    <row r="1571" spans="1:2" x14ac:dyDescent="0.25">
      <c r="A1571" s="1"/>
      <c r="B1571" s="2"/>
    </row>
    <row r="1572" spans="1:2" x14ac:dyDescent="0.25">
      <c r="A1572" s="1"/>
      <c r="B1572" s="2"/>
    </row>
    <row r="1573" spans="1:2" x14ac:dyDescent="0.25">
      <c r="A1573" s="1"/>
      <c r="B1573" s="2"/>
    </row>
    <row r="1574" spans="1:2" x14ac:dyDescent="0.25">
      <c r="A1574" s="1"/>
      <c r="B1574" s="2"/>
    </row>
    <row r="1575" spans="1:2" x14ac:dyDescent="0.25">
      <c r="A1575" s="1"/>
      <c r="B1575" s="2"/>
    </row>
    <row r="1576" spans="1:2" x14ac:dyDescent="0.25">
      <c r="A1576" s="1"/>
      <c r="B1576" s="2"/>
    </row>
    <row r="1577" spans="1:2" x14ac:dyDescent="0.25">
      <c r="A1577" s="1"/>
      <c r="B1577" s="2"/>
    </row>
    <row r="1578" spans="1:2" x14ac:dyDescent="0.25">
      <c r="A1578" s="1"/>
      <c r="B1578" s="2"/>
    </row>
    <row r="1579" spans="1:2" x14ac:dyDescent="0.25">
      <c r="A1579" s="1"/>
      <c r="B1579" s="2"/>
    </row>
    <row r="1580" spans="1:2" x14ac:dyDescent="0.25">
      <c r="A1580" s="1"/>
      <c r="B1580" s="2"/>
    </row>
    <row r="1581" spans="1:2" x14ac:dyDescent="0.25">
      <c r="A1581" s="1"/>
      <c r="B1581" s="2"/>
    </row>
    <row r="1582" spans="1:2" x14ac:dyDescent="0.25">
      <c r="A1582" s="1"/>
      <c r="B1582" s="2"/>
    </row>
    <row r="1583" spans="1:2" x14ac:dyDescent="0.25">
      <c r="A1583" s="1"/>
      <c r="B1583" s="2"/>
    </row>
    <row r="1584" spans="1:2" x14ac:dyDescent="0.25">
      <c r="A1584" s="1"/>
      <c r="B1584" s="2"/>
    </row>
    <row r="1585" spans="1:2" x14ac:dyDescent="0.25">
      <c r="A1585" s="1"/>
      <c r="B1585" s="2"/>
    </row>
    <row r="1586" spans="1:2" x14ac:dyDescent="0.25">
      <c r="A1586" s="1"/>
      <c r="B1586" s="2"/>
    </row>
    <row r="1587" spans="1:2" x14ac:dyDescent="0.25">
      <c r="A1587" s="1"/>
      <c r="B1587" s="2"/>
    </row>
    <row r="1588" spans="1:2" x14ac:dyDescent="0.25">
      <c r="A1588" s="1"/>
      <c r="B1588" s="2"/>
    </row>
    <row r="1589" spans="1:2" x14ac:dyDescent="0.25">
      <c r="A1589" s="1"/>
      <c r="B1589" s="2"/>
    </row>
    <row r="1590" spans="1:2" x14ac:dyDescent="0.25">
      <c r="A1590" s="1"/>
      <c r="B1590" s="2"/>
    </row>
    <row r="1591" spans="1:2" x14ac:dyDescent="0.25">
      <c r="A1591" s="1"/>
      <c r="B1591" s="2"/>
    </row>
    <row r="1592" spans="1:2" x14ac:dyDescent="0.25">
      <c r="A1592" s="1"/>
      <c r="B1592" s="2"/>
    </row>
    <row r="1593" spans="1:2" x14ac:dyDescent="0.25">
      <c r="A1593" s="1"/>
      <c r="B1593" s="2"/>
    </row>
    <row r="1594" spans="1:2" x14ac:dyDescent="0.25">
      <c r="A1594" s="1"/>
      <c r="B1594" s="2"/>
    </row>
    <row r="1595" spans="1:2" x14ac:dyDescent="0.25">
      <c r="A1595" s="1"/>
      <c r="B1595" s="2"/>
    </row>
    <row r="1596" spans="1:2" x14ac:dyDescent="0.25">
      <c r="A1596" s="1"/>
      <c r="B1596" s="2"/>
    </row>
    <row r="1597" spans="1:2" x14ac:dyDescent="0.25">
      <c r="A1597" s="1"/>
      <c r="B1597" s="2"/>
    </row>
    <row r="1598" spans="1:2" x14ac:dyDescent="0.25">
      <c r="A1598" s="1"/>
      <c r="B1598" s="2"/>
    </row>
    <row r="1599" spans="1:2" x14ac:dyDescent="0.25">
      <c r="A1599" s="1"/>
      <c r="B1599" s="2"/>
    </row>
    <row r="1600" spans="1:2" x14ac:dyDescent="0.25">
      <c r="A1600" s="1"/>
      <c r="B1600" s="2"/>
    </row>
    <row r="1601" spans="1:2" x14ac:dyDescent="0.25">
      <c r="A1601" s="1"/>
      <c r="B1601" s="2"/>
    </row>
    <row r="1602" spans="1:2" x14ac:dyDescent="0.25">
      <c r="A1602" s="1"/>
      <c r="B1602" s="2"/>
    </row>
    <row r="1603" spans="1:2" x14ac:dyDescent="0.25">
      <c r="A1603" s="1"/>
      <c r="B1603" s="2"/>
    </row>
    <row r="1604" spans="1:2" x14ac:dyDescent="0.25">
      <c r="A1604" s="1"/>
      <c r="B1604" s="2"/>
    </row>
    <row r="1605" spans="1:2" x14ac:dyDescent="0.25">
      <c r="A1605" s="1"/>
      <c r="B1605" s="2"/>
    </row>
    <row r="1606" spans="1:2" x14ac:dyDescent="0.25">
      <c r="A1606" s="1"/>
      <c r="B1606" s="2"/>
    </row>
    <row r="1607" spans="1:2" x14ac:dyDescent="0.25">
      <c r="A1607" s="1"/>
      <c r="B1607" s="2"/>
    </row>
    <row r="1608" spans="1:2" x14ac:dyDescent="0.25">
      <c r="A1608" s="1"/>
      <c r="B1608" s="2"/>
    </row>
    <row r="1609" spans="1:2" x14ac:dyDescent="0.25">
      <c r="A1609" s="1"/>
      <c r="B1609" s="2"/>
    </row>
    <row r="1610" spans="1:2" x14ac:dyDescent="0.25">
      <c r="A1610" s="1"/>
      <c r="B1610" s="2"/>
    </row>
    <row r="1611" spans="1:2" x14ac:dyDescent="0.25">
      <c r="A1611" s="1"/>
      <c r="B1611" s="2"/>
    </row>
    <row r="1612" spans="1:2" x14ac:dyDescent="0.25">
      <c r="A1612" s="1"/>
      <c r="B1612" s="2"/>
    </row>
    <row r="1613" spans="1:2" x14ac:dyDescent="0.25">
      <c r="A1613" s="1"/>
      <c r="B1613" s="2"/>
    </row>
    <row r="1614" spans="1:2" x14ac:dyDescent="0.25">
      <c r="A1614" s="1"/>
      <c r="B1614" s="2"/>
    </row>
    <row r="1615" spans="1:2" x14ac:dyDescent="0.25">
      <c r="A1615" s="1"/>
      <c r="B1615" s="2"/>
    </row>
    <row r="1616" spans="1:2" x14ac:dyDescent="0.25">
      <c r="A1616" s="1"/>
      <c r="B1616" s="2"/>
    </row>
    <row r="1617" spans="1:2" x14ac:dyDescent="0.25">
      <c r="A1617" s="1"/>
      <c r="B1617" s="2"/>
    </row>
    <row r="1618" spans="1:2" x14ac:dyDescent="0.25">
      <c r="A1618" s="1"/>
      <c r="B1618" s="2"/>
    </row>
    <row r="1619" spans="1:2" x14ac:dyDescent="0.25">
      <c r="A1619" s="1"/>
      <c r="B1619" s="2"/>
    </row>
    <row r="1620" spans="1:2" x14ac:dyDescent="0.25">
      <c r="A1620" s="1"/>
      <c r="B1620" s="2"/>
    </row>
    <row r="1621" spans="1:2" x14ac:dyDescent="0.25">
      <c r="A1621" s="1"/>
      <c r="B1621" s="2"/>
    </row>
    <row r="1622" spans="1:2" x14ac:dyDescent="0.25">
      <c r="A1622" s="1"/>
      <c r="B1622" s="2"/>
    </row>
    <row r="1623" spans="1:2" x14ac:dyDescent="0.25">
      <c r="A1623" s="1"/>
      <c r="B1623" s="2"/>
    </row>
    <row r="1624" spans="1:2" x14ac:dyDescent="0.25">
      <c r="A1624" s="1"/>
      <c r="B1624" s="2"/>
    </row>
    <row r="1625" spans="1:2" x14ac:dyDescent="0.25">
      <c r="A1625" s="1"/>
      <c r="B1625" s="2"/>
    </row>
    <row r="1626" spans="1:2" x14ac:dyDescent="0.25">
      <c r="A1626" s="1"/>
      <c r="B1626" s="2"/>
    </row>
    <row r="1627" spans="1:2" x14ac:dyDescent="0.25">
      <c r="A1627" s="1"/>
      <c r="B1627" s="2"/>
    </row>
    <row r="1628" spans="1:2" x14ac:dyDescent="0.25">
      <c r="A1628" s="1"/>
      <c r="B1628" s="2"/>
    </row>
    <row r="1629" spans="1:2" x14ac:dyDescent="0.25">
      <c r="A1629" s="1"/>
      <c r="B1629" s="2"/>
    </row>
    <row r="1630" spans="1:2" x14ac:dyDescent="0.25">
      <c r="A1630" s="1"/>
      <c r="B1630" s="2"/>
    </row>
    <row r="1631" spans="1:2" x14ac:dyDescent="0.25">
      <c r="A1631" s="1"/>
      <c r="B1631" s="2"/>
    </row>
    <row r="1632" spans="1:2" x14ac:dyDescent="0.25">
      <c r="A1632" s="1"/>
      <c r="B1632" s="2"/>
    </row>
    <row r="1633" spans="1:2" x14ac:dyDescent="0.25">
      <c r="A1633" s="1"/>
      <c r="B1633" s="2"/>
    </row>
    <row r="1634" spans="1:2" x14ac:dyDescent="0.25">
      <c r="A1634" s="1"/>
      <c r="B1634" s="2"/>
    </row>
    <row r="1635" spans="1:2" x14ac:dyDescent="0.25">
      <c r="A1635" s="1"/>
      <c r="B1635" s="2"/>
    </row>
    <row r="1636" spans="1:2" x14ac:dyDescent="0.25">
      <c r="A1636" s="1"/>
      <c r="B1636" s="2"/>
    </row>
    <row r="1637" spans="1:2" x14ac:dyDescent="0.25">
      <c r="A1637" s="1"/>
      <c r="B1637" s="2"/>
    </row>
    <row r="1638" spans="1:2" x14ac:dyDescent="0.25">
      <c r="A1638" s="1"/>
      <c r="B1638" s="2"/>
    </row>
    <row r="1639" spans="1:2" x14ac:dyDescent="0.25">
      <c r="A1639" s="1"/>
      <c r="B1639" s="2"/>
    </row>
    <row r="1640" spans="1:2" x14ac:dyDescent="0.25">
      <c r="A1640" s="1"/>
      <c r="B1640" s="2"/>
    </row>
    <row r="1641" spans="1:2" x14ac:dyDescent="0.25">
      <c r="A1641" s="1"/>
      <c r="B1641" s="2"/>
    </row>
    <row r="1642" spans="1:2" x14ac:dyDescent="0.25">
      <c r="A1642" s="1"/>
      <c r="B1642" s="2"/>
    </row>
    <row r="1643" spans="1:2" x14ac:dyDescent="0.25">
      <c r="A1643" s="1"/>
      <c r="B1643" s="2"/>
    </row>
    <row r="1644" spans="1:2" x14ac:dyDescent="0.25">
      <c r="A1644" s="1"/>
      <c r="B1644" s="2"/>
    </row>
    <row r="1645" spans="1:2" x14ac:dyDescent="0.25">
      <c r="A1645" s="1"/>
      <c r="B1645" s="2"/>
    </row>
    <row r="1646" spans="1:2" x14ac:dyDescent="0.25">
      <c r="A1646" s="1"/>
      <c r="B1646" s="2"/>
    </row>
    <row r="1647" spans="1:2" x14ac:dyDescent="0.25">
      <c r="A1647" s="1"/>
      <c r="B1647" s="2"/>
    </row>
    <row r="1648" spans="1:2" x14ac:dyDescent="0.25">
      <c r="A1648" s="1"/>
      <c r="B1648" s="2"/>
    </row>
    <row r="1649" spans="1:2" x14ac:dyDescent="0.25">
      <c r="A1649" s="1"/>
      <c r="B1649" s="2"/>
    </row>
    <row r="1650" spans="1:2" x14ac:dyDescent="0.25">
      <c r="A1650" s="1"/>
      <c r="B1650" s="2"/>
    </row>
    <row r="1651" spans="1:2" x14ac:dyDescent="0.25">
      <c r="A1651" s="1"/>
      <c r="B1651" s="2"/>
    </row>
    <row r="1652" spans="1:2" x14ac:dyDescent="0.25">
      <c r="A1652" s="1"/>
      <c r="B1652" s="2"/>
    </row>
    <row r="1653" spans="1:2" x14ac:dyDescent="0.25">
      <c r="A1653" s="1"/>
      <c r="B1653" s="2"/>
    </row>
    <row r="1654" spans="1:2" x14ac:dyDescent="0.25">
      <c r="A1654" s="1"/>
      <c r="B1654" s="2"/>
    </row>
    <row r="1655" spans="1:2" x14ac:dyDescent="0.25">
      <c r="A1655" s="1"/>
      <c r="B1655" s="2"/>
    </row>
    <row r="1656" spans="1:2" x14ac:dyDescent="0.25">
      <c r="A1656" s="1"/>
      <c r="B1656" s="2"/>
    </row>
    <row r="1657" spans="1:2" x14ac:dyDescent="0.25">
      <c r="A1657" s="1"/>
      <c r="B1657" s="2"/>
    </row>
    <row r="1658" spans="1:2" x14ac:dyDescent="0.25">
      <c r="A1658" s="1"/>
      <c r="B1658" s="2"/>
    </row>
    <row r="1659" spans="1:2" x14ac:dyDescent="0.25">
      <c r="A1659" s="1"/>
      <c r="B1659" s="2"/>
    </row>
    <row r="1660" spans="1:2" x14ac:dyDescent="0.25">
      <c r="A1660" s="1"/>
      <c r="B1660" s="2"/>
    </row>
    <row r="1661" spans="1:2" x14ac:dyDescent="0.25">
      <c r="A1661" s="1"/>
      <c r="B1661" s="2"/>
    </row>
    <row r="1662" spans="1:2" x14ac:dyDescent="0.25">
      <c r="A1662" s="1"/>
      <c r="B1662" s="2"/>
    </row>
    <row r="1663" spans="1:2" x14ac:dyDescent="0.25">
      <c r="A1663" s="1"/>
      <c r="B1663" s="2"/>
    </row>
    <row r="1664" spans="1:2" x14ac:dyDescent="0.25">
      <c r="A1664" s="1"/>
      <c r="B1664" s="2"/>
    </row>
    <row r="1665" spans="1:2" x14ac:dyDescent="0.25">
      <c r="A1665" s="1"/>
      <c r="B1665" s="2"/>
    </row>
    <row r="1666" spans="1:2" x14ac:dyDescent="0.25">
      <c r="A1666" s="1"/>
      <c r="B1666" s="2"/>
    </row>
    <row r="1667" spans="1:2" x14ac:dyDescent="0.25">
      <c r="A1667" s="1"/>
      <c r="B1667" s="2"/>
    </row>
    <row r="1668" spans="1:2" x14ac:dyDescent="0.25">
      <c r="A1668" s="1"/>
      <c r="B1668" s="2"/>
    </row>
    <row r="1669" spans="1:2" x14ac:dyDescent="0.25">
      <c r="A1669" s="1"/>
      <c r="B1669" s="2"/>
    </row>
    <row r="1670" spans="1:2" x14ac:dyDescent="0.25">
      <c r="A1670" s="1"/>
      <c r="B1670" s="2"/>
    </row>
    <row r="1671" spans="1:2" x14ac:dyDescent="0.25">
      <c r="A1671" s="1"/>
      <c r="B1671" s="2"/>
    </row>
    <row r="1672" spans="1:2" x14ac:dyDescent="0.25">
      <c r="A1672" s="1"/>
      <c r="B1672" s="2"/>
    </row>
    <row r="1673" spans="1:2" x14ac:dyDescent="0.25">
      <c r="A1673" s="1"/>
      <c r="B1673" s="2"/>
    </row>
    <row r="1674" spans="1:2" x14ac:dyDescent="0.25">
      <c r="A1674" s="1"/>
      <c r="B1674" s="2"/>
    </row>
    <row r="1675" spans="1:2" x14ac:dyDescent="0.25">
      <c r="A1675" s="1"/>
      <c r="B1675" s="2"/>
    </row>
    <row r="1676" spans="1:2" x14ac:dyDescent="0.25">
      <c r="A1676" s="1"/>
      <c r="B1676" s="2"/>
    </row>
    <row r="1677" spans="1:2" x14ac:dyDescent="0.25">
      <c r="A1677" s="1"/>
      <c r="B1677" s="2"/>
    </row>
    <row r="1678" spans="1:2" x14ac:dyDescent="0.25">
      <c r="A1678" s="1"/>
      <c r="B1678" s="2"/>
    </row>
    <row r="1679" spans="1:2" x14ac:dyDescent="0.25">
      <c r="A1679" s="1"/>
      <c r="B1679" s="2"/>
    </row>
    <row r="1680" spans="1:2" x14ac:dyDescent="0.25">
      <c r="A1680" s="1"/>
      <c r="B1680" s="2"/>
    </row>
    <row r="1681" spans="1:2" x14ac:dyDescent="0.25">
      <c r="A1681" s="1"/>
      <c r="B1681" s="2"/>
    </row>
    <row r="1682" spans="1:2" x14ac:dyDescent="0.25">
      <c r="A1682" s="1"/>
      <c r="B1682" s="2"/>
    </row>
    <row r="1683" spans="1:2" x14ac:dyDescent="0.25">
      <c r="A1683" s="1"/>
      <c r="B1683" s="2"/>
    </row>
    <row r="1684" spans="1:2" x14ac:dyDescent="0.25">
      <c r="A1684" s="1"/>
      <c r="B1684" s="2"/>
    </row>
    <row r="1685" spans="1:2" x14ac:dyDescent="0.25">
      <c r="A1685" s="1"/>
      <c r="B1685" s="2"/>
    </row>
    <row r="1686" spans="1:2" x14ac:dyDescent="0.25">
      <c r="A1686" s="1"/>
      <c r="B1686" s="2"/>
    </row>
    <row r="1687" spans="1:2" x14ac:dyDescent="0.25">
      <c r="A1687" s="1"/>
      <c r="B1687" s="2"/>
    </row>
    <row r="1688" spans="1:2" x14ac:dyDescent="0.25">
      <c r="A1688" s="1"/>
      <c r="B1688" s="2"/>
    </row>
    <row r="1689" spans="1:2" x14ac:dyDescent="0.25">
      <c r="A1689" s="1"/>
      <c r="B1689" s="2"/>
    </row>
    <row r="1690" spans="1:2" x14ac:dyDescent="0.25">
      <c r="A1690" s="1"/>
      <c r="B1690" s="2"/>
    </row>
    <row r="1691" spans="1:2" x14ac:dyDescent="0.25">
      <c r="A1691" s="1"/>
      <c r="B1691" s="2"/>
    </row>
    <row r="1692" spans="1:2" x14ac:dyDescent="0.25">
      <c r="A1692" s="1"/>
      <c r="B1692" s="2"/>
    </row>
    <row r="1693" spans="1:2" x14ac:dyDescent="0.25">
      <c r="A1693" s="1"/>
      <c r="B1693" s="2"/>
    </row>
    <row r="1694" spans="1:2" x14ac:dyDescent="0.25">
      <c r="A1694" s="1"/>
      <c r="B1694" s="2"/>
    </row>
    <row r="1695" spans="1:2" x14ac:dyDescent="0.25">
      <c r="A1695" s="1"/>
      <c r="B1695" s="2"/>
    </row>
    <row r="1696" spans="1:2" x14ac:dyDescent="0.25">
      <c r="A1696" s="1"/>
      <c r="B1696" s="2"/>
    </row>
    <row r="1697" spans="1:2" x14ac:dyDescent="0.25">
      <c r="A1697" s="1"/>
      <c r="B1697" s="2"/>
    </row>
    <row r="1698" spans="1:2" x14ac:dyDescent="0.25">
      <c r="A1698" s="1"/>
      <c r="B1698" s="2"/>
    </row>
    <row r="1699" spans="1:2" x14ac:dyDescent="0.25">
      <c r="A1699" s="1"/>
      <c r="B1699" s="2"/>
    </row>
    <row r="1700" spans="1:2" x14ac:dyDescent="0.25">
      <c r="A1700" s="1"/>
      <c r="B1700" s="2"/>
    </row>
    <row r="1701" spans="1:2" x14ac:dyDescent="0.25">
      <c r="A1701" s="1"/>
      <c r="B1701" s="2"/>
    </row>
    <row r="1702" spans="1:2" x14ac:dyDescent="0.25">
      <c r="A1702" s="1"/>
      <c r="B1702" s="2"/>
    </row>
    <row r="1703" spans="1:2" x14ac:dyDescent="0.25">
      <c r="A1703" s="1"/>
      <c r="B1703" s="2"/>
    </row>
    <row r="1704" spans="1:2" x14ac:dyDescent="0.25">
      <c r="A1704" s="1"/>
      <c r="B1704" s="2"/>
    </row>
    <row r="1705" spans="1:2" x14ac:dyDescent="0.25">
      <c r="A1705" s="1"/>
      <c r="B1705" s="2"/>
    </row>
    <row r="1706" spans="1:2" x14ac:dyDescent="0.25">
      <c r="A1706" s="1"/>
      <c r="B1706" s="2"/>
    </row>
    <row r="1707" spans="1:2" x14ac:dyDescent="0.25">
      <c r="A1707" s="1"/>
      <c r="B1707" s="2"/>
    </row>
    <row r="1708" spans="1:2" x14ac:dyDescent="0.25">
      <c r="A1708" s="1"/>
      <c r="B1708" s="2"/>
    </row>
    <row r="1709" spans="1:2" x14ac:dyDescent="0.25">
      <c r="A1709" s="1"/>
      <c r="B1709" s="2"/>
    </row>
    <row r="1710" spans="1:2" x14ac:dyDescent="0.25">
      <c r="A1710" s="1"/>
      <c r="B1710" s="2"/>
    </row>
    <row r="1711" spans="1:2" x14ac:dyDescent="0.25">
      <c r="A1711" s="1"/>
      <c r="B1711" s="2"/>
    </row>
    <row r="1712" spans="1:2" x14ac:dyDescent="0.25">
      <c r="A1712" s="1"/>
      <c r="B1712" s="2"/>
    </row>
    <row r="1713" spans="1:2" x14ac:dyDescent="0.25">
      <c r="A1713" s="1"/>
      <c r="B1713" s="2"/>
    </row>
    <row r="1714" spans="1:2" x14ac:dyDescent="0.25">
      <c r="A1714" s="1"/>
      <c r="B1714" s="2"/>
    </row>
    <row r="1715" spans="1:2" x14ac:dyDescent="0.25">
      <c r="A1715" s="1"/>
      <c r="B1715" s="2"/>
    </row>
    <row r="1716" spans="1:2" x14ac:dyDescent="0.25">
      <c r="A1716" s="1"/>
      <c r="B1716" s="2"/>
    </row>
    <row r="1717" spans="1:2" x14ac:dyDescent="0.25">
      <c r="A1717" s="1"/>
      <c r="B1717" s="2"/>
    </row>
    <row r="1718" spans="1:2" x14ac:dyDescent="0.25">
      <c r="A1718" s="1"/>
      <c r="B1718" s="2"/>
    </row>
    <row r="1719" spans="1:2" x14ac:dyDescent="0.25">
      <c r="A1719" s="1"/>
      <c r="B1719" s="2"/>
    </row>
    <row r="1720" spans="1:2" x14ac:dyDescent="0.25">
      <c r="A1720" s="1"/>
      <c r="B1720" s="2"/>
    </row>
    <row r="1721" spans="1:2" x14ac:dyDescent="0.25">
      <c r="A1721" s="1"/>
      <c r="B1721" s="2"/>
    </row>
    <row r="1722" spans="1:2" x14ac:dyDescent="0.25">
      <c r="A1722" s="1"/>
      <c r="B1722" s="2"/>
    </row>
    <row r="1723" spans="1:2" x14ac:dyDescent="0.25">
      <c r="A1723" s="1"/>
      <c r="B1723" s="2"/>
    </row>
    <row r="1724" spans="1:2" x14ac:dyDescent="0.25">
      <c r="A1724" s="1"/>
      <c r="B1724" s="2"/>
    </row>
    <row r="1725" spans="1:2" x14ac:dyDescent="0.25">
      <c r="A1725" s="1"/>
      <c r="B1725" s="2"/>
    </row>
    <row r="1726" spans="1:2" x14ac:dyDescent="0.25">
      <c r="A1726" s="1"/>
      <c r="B1726" s="2"/>
    </row>
    <row r="1727" spans="1:2" x14ac:dyDescent="0.25">
      <c r="A1727" s="1"/>
      <c r="B1727" s="2"/>
    </row>
    <row r="1728" spans="1:2" x14ac:dyDescent="0.25">
      <c r="A1728" s="1"/>
      <c r="B1728" s="2"/>
    </row>
    <row r="1729" spans="1:2" x14ac:dyDescent="0.25">
      <c r="A1729" s="1"/>
      <c r="B1729" s="2"/>
    </row>
    <row r="1730" spans="1:2" x14ac:dyDescent="0.25">
      <c r="A1730" s="1"/>
      <c r="B1730" s="2"/>
    </row>
    <row r="1731" spans="1:2" x14ac:dyDescent="0.25">
      <c r="A1731" s="1"/>
      <c r="B1731" s="2"/>
    </row>
    <row r="1732" spans="1:2" x14ac:dyDescent="0.25">
      <c r="A1732" s="1"/>
      <c r="B1732" s="2"/>
    </row>
    <row r="1733" spans="1:2" x14ac:dyDescent="0.25">
      <c r="A1733" s="1"/>
      <c r="B1733" s="2"/>
    </row>
    <row r="1734" spans="1:2" x14ac:dyDescent="0.25">
      <c r="A1734" s="1"/>
      <c r="B1734" s="2"/>
    </row>
    <row r="1735" spans="1:2" x14ac:dyDescent="0.25">
      <c r="A1735" s="1"/>
      <c r="B1735" s="2"/>
    </row>
    <row r="1736" spans="1:2" x14ac:dyDescent="0.25">
      <c r="A1736" s="1"/>
      <c r="B1736" s="2"/>
    </row>
    <row r="1737" spans="1:2" x14ac:dyDescent="0.25">
      <c r="A1737" s="1"/>
      <c r="B1737" s="2"/>
    </row>
    <row r="1738" spans="1:2" x14ac:dyDescent="0.25">
      <c r="A1738" s="1"/>
      <c r="B1738" s="2"/>
    </row>
    <row r="1739" spans="1:2" x14ac:dyDescent="0.25">
      <c r="A1739" s="1"/>
      <c r="B1739" s="2"/>
    </row>
    <row r="1740" spans="1:2" x14ac:dyDescent="0.25">
      <c r="A1740" s="1"/>
      <c r="B1740" s="2"/>
    </row>
    <row r="1741" spans="1:2" x14ac:dyDescent="0.25">
      <c r="A1741" s="1"/>
      <c r="B1741" s="2"/>
    </row>
    <row r="1742" spans="1:2" x14ac:dyDescent="0.25">
      <c r="A1742" s="1"/>
      <c r="B1742" s="2"/>
    </row>
    <row r="1743" spans="1:2" x14ac:dyDescent="0.25">
      <c r="A1743" s="1"/>
      <c r="B1743" s="2"/>
    </row>
    <row r="1744" spans="1:2" x14ac:dyDescent="0.25">
      <c r="A1744" s="1"/>
      <c r="B1744" s="2"/>
    </row>
    <row r="1745" spans="1:2" x14ac:dyDescent="0.25">
      <c r="A1745" s="1"/>
      <c r="B1745" s="2"/>
    </row>
    <row r="1746" spans="1:2" x14ac:dyDescent="0.25">
      <c r="A1746" s="1"/>
      <c r="B1746" s="2"/>
    </row>
    <row r="1747" spans="1:2" x14ac:dyDescent="0.25">
      <c r="A1747" s="1"/>
      <c r="B1747" s="2"/>
    </row>
    <row r="1748" spans="1:2" x14ac:dyDescent="0.25">
      <c r="A1748" s="1"/>
      <c r="B1748" s="2"/>
    </row>
    <row r="1749" spans="1:2" x14ac:dyDescent="0.25">
      <c r="A1749" s="1"/>
      <c r="B1749" s="2"/>
    </row>
    <row r="1750" spans="1:2" x14ac:dyDescent="0.25">
      <c r="A1750" s="1"/>
      <c r="B1750" s="2"/>
    </row>
    <row r="1751" spans="1:2" x14ac:dyDescent="0.25">
      <c r="A1751" s="1"/>
      <c r="B1751" s="2"/>
    </row>
    <row r="1752" spans="1:2" x14ac:dyDescent="0.25">
      <c r="A1752" s="1"/>
      <c r="B1752" s="2"/>
    </row>
    <row r="1753" spans="1:2" x14ac:dyDescent="0.25">
      <c r="A1753" s="1"/>
      <c r="B1753" s="2"/>
    </row>
    <row r="1754" spans="1:2" x14ac:dyDescent="0.25">
      <c r="A1754" s="1"/>
      <c r="B1754" s="2"/>
    </row>
    <row r="1755" spans="1:2" x14ac:dyDescent="0.25">
      <c r="A1755" s="1"/>
      <c r="B1755" s="2"/>
    </row>
    <row r="1756" spans="1:2" x14ac:dyDescent="0.25">
      <c r="A1756" s="1"/>
      <c r="B1756" s="2"/>
    </row>
    <row r="1757" spans="1:2" x14ac:dyDescent="0.25">
      <c r="A1757" s="1"/>
      <c r="B1757" s="2"/>
    </row>
    <row r="1758" spans="1:2" x14ac:dyDescent="0.25">
      <c r="A1758" s="1"/>
      <c r="B1758" s="2"/>
    </row>
    <row r="1759" spans="1:2" x14ac:dyDescent="0.25">
      <c r="A1759" s="1"/>
      <c r="B1759" s="2"/>
    </row>
    <row r="1760" spans="1:2" x14ac:dyDescent="0.25">
      <c r="A1760" s="1"/>
      <c r="B1760" s="2"/>
    </row>
    <row r="1761" spans="1:2" x14ac:dyDescent="0.25">
      <c r="A1761" s="1"/>
      <c r="B1761" s="2"/>
    </row>
    <row r="1762" spans="1:2" x14ac:dyDescent="0.25">
      <c r="A1762" s="1"/>
      <c r="B1762" s="2"/>
    </row>
    <row r="1763" spans="1:2" x14ac:dyDescent="0.25">
      <c r="A1763" s="1"/>
      <c r="B1763" s="2"/>
    </row>
    <row r="1764" spans="1:2" x14ac:dyDescent="0.25">
      <c r="A1764" s="1"/>
      <c r="B1764" s="2"/>
    </row>
    <row r="1765" spans="1:2" x14ac:dyDescent="0.25">
      <c r="A1765" s="1"/>
      <c r="B1765" s="2"/>
    </row>
    <row r="1766" spans="1:2" x14ac:dyDescent="0.25">
      <c r="A1766" s="1"/>
      <c r="B1766" s="2"/>
    </row>
    <row r="1767" spans="1:2" x14ac:dyDescent="0.25">
      <c r="A1767" s="1"/>
      <c r="B1767" s="2"/>
    </row>
    <row r="1768" spans="1:2" x14ac:dyDescent="0.25">
      <c r="A1768" s="1"/>
      <c r="B1768" s="2"/>
    </row>
    <row r="1769" spans="1:2" x14ac:dyDescent="0.25">
      <c r="A1769" s="1"/>
      <c r="B1769" s="2"/>
    </row>
    <row r="1770" spans="1:2" x14ac:dyDescent="0.25">
      <c r="A1770" s="1"/>
      <c r="B1770" s="2"/>
    </row>
    <row r="1771" spans="1:2" x14ac:dyDescent="0.25">
      <c r="A1771" s="1"/>
      <c r="B1771" s="2"/>
    </row>
    <row r="1772" spans="1:2" x14ac:dyDescent="0.25">
      <c r="A1772" s="1"/>
      <c r="B1772" s="2"/>
    </row>
    <row r="1773" spans="1:2" x14ac:dyDescent="0.25">
      <c r="A1773" s="1"/>
      <c r="B1773" s="2"/>
    </row>
    <row r="1774" spans="1:2" x14ac:dyDescent="0.25">
      <c r="A1774" s="1"/>
      <c r="B1774" s="2"/>
    </row>
    <row r="1775" spans="1:2" x14ac:dyDescent="0.25">
      <c r="A1775" s="1"/>
      <c r="B1775" s="2"/>
    </row>
    <row r="1776" spans="1:2" x14ac:dyDescent="0.25">
      <c r="A1776" s="1"/>
      <c r="B1776" s="2"/>
    </row>
    <row r="1777" spans="1:2" x14ac:dyDescent="0.25">
      <c r="A1777" s="1"/>
      <c r="B1777" s="2"/>
    </row>
    <row r="1778" spans="1:2" x14ac:dyDescent="0.25">
      <c r="A1778" s="1"/>
      <c r="B1778" s="2"/>
    </row>
    <row r="1779" spans="1:2" x14ac:dyDescent="0.25">
      <c r="A1779" s="1"/>
      <c r="B1779" s="2"/>
    </row>
    <row r="1780" spans="1:2" x14ac:dyDescent="0.25">
      <c r="A1780" s="1"/>
      <c r="B1780" s="2"/>
    </row>
    <row r="1781" spans="1:2" x14ac:dyDescent="0.25">
      <c r="A1781" s="1"/>
      <c r="B1781" s="2"/>
    </row>
    <row r="1782" spans="1:2" x14ac:dyDescent="0.25">
      <c r="A1782" s="1"/>
      <c r="B1782" s="2"/>
    </row>
    <row r="1783" spans="1:2" x14ac:dyDescent="0.25">
      <c r="A1783" s="1"/>
      <c r="B1783" s="2"/>
    </row>
    <row r="1784" spans="1:2" x14ac:dyDescent="0.25">
      <c r="A1784" s="1"/>
      <c r="B1784" s="2"/>
    </row>
    <row r="1785" spans="1:2" x14ac:dyDescent="0.25">
      <c r="A1785" s="1"/>
      <c r="B1785" s="2"/>
    </row>
    <row r="1786" spans="1:2" x14ac:dyDescent="0.25">
      <c r="A1786" s="1"/>
      <c r="B1786" s="2"/>
    </row>
    <row r="1787" spans="1:2" x14ac:dyDescent="0.25">
      <c r="A1787" s="1"/>
      <c r="B1787" s="2"/>
    </row>
    <row r="1788" spans="1:2" x14ac:dyDescent="0.25">
      <c r="A1788" s="1"/>
      <c r="B1788" s="2"/>
    </row>
    <row r="1789" spans="1:2" x14ac:dyDescent="0.25">
      <c r="A1789" s="1"/>
      <c r="B1789" s="2"/>
    </row>
    <row r="1790" spans="1:2" x14ac:dyDescent="0.25">
      <c r="A1790" s="1"/>
      <c r="B1790" s="2"/>
    </row>
    <row r="1791" spans="1:2" x14ac:dyDescent="0.25">
      <c r="A1791" s="1"/>
      <c r="B1791" s="2"/>
    </row>
    <row r="1792" spans="1:2" x14ac:dyDescent="0.25">
      <c r="A1792" s="1"/>
      <c r="B1792" s="2"/>
    </row>
    <row r="1793" spans="1:2" x14ac:dyDescent="0.25">
      <c r="A1793" s="1"/>
      <c r="B1793" s="2"/>
    </row>
    <row r="1794" spans="1:2" x14ac:dyDescent="0.25">
      <c r="A1794" s="1"/>
      <c r="B1794" s="2"/>
    </row>
    <row r="1795" spans="1:2" x14ac:dyDescent="0.25">
      <c r="A1795" s="1"/>
      <c r="B1795" s="2"/>
    </row>
    <row r="1796" spans="1:2" x14ac:dyDescent="0.25">
      <c r="A1796" s="1"/>
      <c r="B1796" s="2"/>
    </row>
    <row r="1797" spans="1:2" x14ac:dyDescent="0.25">
      <c r="A1797" s="1"/>
      <c r="B1797" s="2"/>
    </row>
    <row r="1798" spans="1:2" x14ac:dyDescent="0.25">
      <c r="A1798" s="1"/>
      <c r="B1798" s="2"/>
    </row>
    <row r="1799" spans="1:2" x14ac:dyDescent="0.25">
      <c r="A1799" s="1"/>
      <c r="B1799" s="2"/>
    </row>
    <row r="1800" spans="1:2" x14ac:dyDescent="0.25">
      <c r="A1800" s="1"/>
      <c r="B1800" s="2"/>
    </row>
    <row r="1801" spans="1:2" x14ac:dyDescent="0.25">
      <c r="A1801" s="1"/>
      <c r="B1801" s="2"/>
    </row>
    <row r="1802" spans="1:2" x14ac:dyDescent="0.25">
      <c r="A1802" s="1"/>
      <c r="B1802" s="2"/>
    </row>
    <row r="1803" spans="1:2" x14ac:dyDescent="0.25">
      <c r="A1803" s="1"/>
      <c r="B1803" s="2"/>
    </row>
    <row r="1804" spans="1:2" x14ac:dyDescent="0.25">
      <c r="A1804" s="1"/>
      <c r="B1804" s="2"/>
    </row>
    <row r="1805" spans="1:2" x14ac:dyDescent="0.25">
      <c r="A1805" s="1"/>
      <c r="B1805" s="2"/>
    </row>
    <row r="1806" spans="1:2" x14ac:dyDescent="0.25">
      <c r="A1806" s="1"/>
      <c r="B1806" s="2"/>
    </row>
    <row r="1807" spans="1:2" x14ac:dyDescent="0.25">
      <c r="A1807" s="1"/>
      <c r="B1807" s="2"/>
    </row>
    <row r="1808" spans="1:2" x14ac:dyDescent="0.25">
      <c r="A1808" s="1"/>
      <c r="B1808" s="2"/>
    </row>
    <row r="1809" spans="1:2" x14ac:dyDescent="0.25">
      <c r="A1809" s="1"/>
      <c r="B1809" s="2"/>
    </row>
    <row r="1810" spans="1:2" x14ac:dyDescent="0.25">
      <c r="A1810" s="1"/>
      <c r="B1810" s="2"/>
    </row>
    <row r="1811" spans="1:2" x14ac:dyDescent="0.25">
      <c r="A1811" s="1"/>
      <c r="B1811" s="2"/>
    </row>
    <row r="1812" spans="1:2" x14ac:dyDescent="0.25">
      <c r="A1812" s="1"/>
      <c r="B1812" s="2"/>
    </row>
    <row r="1813" spans="1:2" x14ac:dyDescent="0.25">
      <c r="A1813" s="1"/>
      <c r="B1813" s="2"/>
    </row>
    <row r="1814" spans="1:2" x14ac:dyDescent="0.25">
      <c r="A1814" s="1"/>
      <c r="B1814" s="2"/>
    </row>
    <row r="1815" spans="1:2" x14ac:dyDescent="0.25">
      <c r="A1815" s="1"/>
      <c r="B1815" s="2"/>
    </row>
    <row r="1816" spans="1:2" x14ac:dyDescent="0.25">
      <c r="A1816" s="1"/>
      <c r="B1816" s="2"/>
    </row>
    <row r="1817" spans="1:2" x14ac:dyDescent="0.25">
      <c r="A1817" s="1"/>
      <c r="B1817" s="2"/>
    </row>
    <row r="1818" spans="1:2" x14ac:dyDescent="0.25">
      <c r="A1818" s="1"/>
      <c r="B1818" s="2"/>
    </row>
    <row r="1819" spans="1:2" x14ac:dyDescent="0.25">
      <c r="A1819" s="1"/>
      <c r="B1819" s="2"/>
    </row>
    <row r="1820" spans="1:2" x14ac:dyDescent="0.25">
      <c r="A1820" s="1"/>
      <c r="B1820" s="2"/>
    </row>
    <row r="1821" spans="1:2" x14ac:dyDescent="0.25">
      <c r="A1821" s="1"/>
      <c r="B1821" s="2"/>
    </row>
    <row r="1822" spans="1:2" x14ac:dyDescent="0.25">
      <c r="A1822" s="1"/>
      <c r="B1822" s="2"/>
    </row>
    <row r="1823" spans="1:2" x14ac:dyDescent="0.25">
      <c r="A1823" s="1"/>
      <c r="B1823" s="2"/>
    </row>
    <row r="1824" spans="1:2" x14ac:dyDescent="0.25">
      <c r="A1824" s="1"/>
      <c r="B1824" s="2"/>
    </row>
    <row r="1825" spans="1:2" x14ac:dyDescent="0.25">
      <c r="A1825" s="1"/>
      <c r="B1825" s="2"/>
    </row>
    <row r="1826" spans="1:2" x14ac:dyDescent="0.25">
      <c r="A1826" s="1"/>
      <c r="B1826" s="2"/>
    </row>
    <row r="1827" spans="1:2" x14ac:dyDescent="0.25">
      <c r="A1827" s="1"/>
      <c r="B1827" s="2"/>
    </row>
    <row r="1828" spans="1:2" x14ac:dyDescent="0.25">
      <c r="A1828" s="1"/>
      <c r="B1828" s="2"/>
    </row>
    <row r="1829" spans="1:2" x14ac:dyDescent="0.25">
      <c r="A1829" s="1"/>
      <c r="B1829" s="2"/>
    </row>
    <row r="1830" spans="1:2" x14ac:dyDescent="0.25">
      <c r="A1830" s="1"/>
      <c r="B1830" s="2"/>
    </row>
    <row r="1831" spans="1:2" x14ac:dyDescent="0.25">
      <c r="A1831" s="1"/>
      <c r="B1831" s="2"/>
    </row>
    <row r="1832" spans="1:2" x14ac:dyDescent="0.25">
      <c r="A1832" s="1"/>
      <c r="B1832" s="2"/>
    </row>
    <row r="1833" spans="1:2" x14ac:dyDescent="0.25">
      <c r="A1833" s="1"/>
      <c r="B1833" s="2"/>
    </row>
    <row r="1834" spans="1:2" x14ac:dyDescent="0.25">
      <c r="A1834" s="1"/>
      <c r="B1834" s="2"/>
    </row>
    <row r="1835" spans="1:2" x14ac:dyDescent="0.25">
      <c r="A1835" s="1"/>
      <c r="B1835" s="2"/>
    </row>
    <row r="1836" spans="1:2" x14ac:dyDescent="0.25">
      <c r="A1836" s="1"/>
      <c r="B1836" s="2"/>
    </row>
    <row r="1837" spans="1:2" x14ac:dyDescent="0.25">
      <c r="A1837" s="1"/>
      <c r="B1837" s="2"/>
    </row>
    <row r="1838" spans="1:2" x14ac:dyDescent="0.25">
      <c r="A1838" s="1"/>
      <c r="B1838" s="2"/>
    </row>
    <row r="1839" spans="1:2" x14ac:dyDescent="0.25">
      <c r="A1839" s="1"/>
      <c r="B1839" s="2"/>
    </row>
    <row r="1840" spans="1:2" x14ac:dyDescent="0.25">
      <c r="A1840" s="1"/>
      <c r="B1840" s="2"/>
    </row>
    <row r="1841" spans="1:2" x14ac:dyDescent="0.25">
      <c r="A1841" s="1"/>
      <c r="B1841" s="2"/>
    </row>
    <row r="1842" spans="1:2" x14ac:dyDescent="0.25">
      <c r="A1842" s="1"/>
      <c r="B1842" s="2"/>
    </row>
    <row r="1843" spans="1:2" x14ac:dyDescent="0.25">
      <c r="A1843" s="1"/>
      <c r="B1843" s="2"/>
    </row>
    <row r="1844" spans="1:2" x14ac:dyDescent="0.25">
      <c r="A1844" s="1"/>
      <c r="B1844" s="2"/>
    </row>
    <row r="1845" spans="1:2" x14ac:dyDescent="0.25">
      <c r="A1845" s="1"/>
      <c r="B1845" s="2"/>
    </row>
    <row r="1846" spans="1:2" x14ac:dyDescent="0.25">
      <c r="A1846" s="1"/>
      <c r="B1846" s="2"/>
    </row>
    <row r="1847" spans="1:2" x14ac:dyDescent="0.25">
      <c r="A1847" s="1"/>
      <c r="B1847" s="2"/>
    </row>
    <row r="1848" spans="1:2" x14ac:dyDescent="0.25">
      <c r="A1848" s="1"/>
      <c r="B1848" s="2"/>
    </row>
    <row r="1849" spans="1:2" x14ac:dyDescent="0.25">
      <c r="A1849" s="1"/>
      <c r="B1849" s="2"/>
    </row>
    <row r="1850" spans="1:2" x14ac:dyDescent="0.25">
      <c r="A1850" s="1"/>
      <c r="B1850" s="2"/>
    </row>
    <row r="1851" spans="1:2" x14ac:dyDescent="0.25">
      <c r="A1851" s="1"/>
      <c r="B1851" s="2"/>
    </row>
    <row r="1852" spans="1:2" x14ac:dyDescent="0.25">
      <c r="A1852" s="1"/>
      <c r="B1852" s="2"/>
    </row>
    <row r="1853" spans="1:2" x14ac:dyDescent="0.25">
      <c r="A1853" s="1"/>
      <c r="B1853" s="2"/>
    </row>
    <row r="1854" spans="1:2" x14ac:dyDescent="0.25">
      <c r="A1854" s="1"/>
      <c r="B1854" s="2"/>
    </row>
    <row r="1855" spans="1:2" x14ac:dyDescent="0.25">
      <c r="A1855" s="1"/>
      <c r="B1855" s="2"/>
    </row>
    <row r="1856" spans="1:2" x14ac:dyDescent="0.25">
      <c r="A1856" s="1"/>
      <c r="B1856" s="2"/>
    </row>
    <row r="1857" spans="1:2" x14ac:dyDescent="0.25">
      <c r="A1857" s="1"/>
      <c r="B1857" s="2"/>
    </row>
    <row r="1858" spans="1:2" x14ac:dyDescent="0.25">
      <c r="A1858" s="1"/>
      <c r="B1858" s="2"/>
    </row>
    <row r="1859" spans="1:2" x14ac:dyDescent="0.25">
      <c r="A1859" s="1"/>
      <c r="B1859" s="2"/>
    </row>
    <row r="1860" spans="1:2" x14ac:dyDescent="0.25">
      <c r="A1860" s="1"/>
      <c r="B1860" s="2"/>
    </row>
    <row r="1861" spans="1:2" x14ac:dyDescent="0.25">
      <c r="A1861" s="1"/>
      <c r="B1861" s="2"/>
    </row>
    <row r="1862" spans="1:2" x14ac:dyDescent="0.25">
      <c r="A1862" s="1"/>
      <c r="B1862" s="2"/>
    </row>
    <row r="1863" spans="1:2" x14ac:dyDescent="0.25">
      <c r="A1863" s="1"/>
      <c r="B1863" s="2"/>
    </row>
    <row r="1864" spans="1:2" x14ac:dyDescent="0.25">
      <c r="A1864" s="1"/>
      <c r="B1864" s="2"/>
    </row>
    <row r="1865" spans="1:2" x14ac:dyDescent="0.25">
      <c r="A1865" s="1"/>
      <c r="B1865" s="2"/>
    </row>
    <row r="1866" spans="1:2" x14ac:dyDescent="0.25">
      <c r="A1866" s="1"/>
      <c r="B1866" s="2"/>
    </row>
    <row r="1867" spans="1:2" x14ac:dyDescent="0.25">
      <c r="A1867" s="1"/>
      <c r="B1867" s="2"/>
    </row>
    <row r="1868" spans="1:2" x14ac:dyDescent="0.25">
      <c r="A1868" s="1"/>
      <c r="B1868" s="2"/>
    </row>
    <row r="1869" spans="1:2" x14ac:dyDescent="0.25">
      <c r="A1869" s="1"/>
      <c r="B1869" s="2"/>
    </row>
    <row r="1870" spans="1:2" x14ac:dyDescent="0.25">
      <c r="A1870" s="1"/>
      <c r="B1870" s="2"/>
    </row>
    <row r="1871" spans="1:2" x14ac:dyDescent="0.25">
      <c r="A1871" s="1"/>
      <c r="B1871" s="2"/>
    </row>
    <row r="1872" spans="1:2" x14ac:dyDescent="0.25">
      <c r="A1872" s="1"/>
      <c r="B1872" s="2"/>
    </row>
    <row r="1873" spans="1:2" x14ac:dyDescent="0.25">
      <c r="A1873" s="1"/>
      <c r="B1873" s="2"/>
    </row>
    <row r="1874" spans="1:2" x14ac:dyDescent="0.25">
      <c r="A1874" s="1"/>
      <c r="B1874" s="2"/>
    </row>
    <row r="1875" spans="1:2" x14ac:dyDescent="0.25">
      <c r="A1875" s="1"/>
      <c r="B1875" s="2"/>
    </row>
    <row r="1876" spans="1:2" x14ac:dyDescent="0.25">
      <c r="A1876" s="1"/>
      <c r="B1876" s="2"/>
    </row>
    <row r="1877" spans="1:2" x14ac:dyDescent="0.25">
      <c r="A1877" s="1"/>
      <c r="B1877" s="2"/>
    </row>
    <row r="1878" spans="1:2" x14ac:dyDescent="0.25">
      <c r="A1878" s="1"/>
      <c r="B1878" s="2"/>
    </row>
    <row r="1879" spans="1:2" x14ac:dyDescent="0.25">
      <c r="A1879" s="1"/>
      <c r="B1879" s="2"/>
    </row>
    <row r="1880" spans="1:2" x14ac:dyDescent="0.25">
      <c r="A1880" s="1"/>
      <c r="B1880" s="2"/>
    </row>
    <row r="1881" spans="1:2" x14ac:dyDescent="0.25">
      <c r="A1881" s="1"/>
      <c r="B1881" s="2"/>
    </row>
    <row r="1882" spans="1:2" x14ac:dyDescent="0.25">
      <c r="A1882" s="1"/>
      <c r="B1882" s="2"/>
    </row>
    <row r="1883" spans="1:2" x14ac:dyDescent="0.25">
      <c r="A1883" s="1"/>
      <c r="B1883" s="2"/>
    </row>
    <row r="1884" spans="1:2" x14ac:dyDescent="0.25">
      <c r="A1884" s="1"/>
      <c r="B1884" s="2"/>
    </row>
    <row r="1885" spans="1:2" x14ac:dyDescent="0.25">
      <c r="A1885" s="1"/>
      <c r="B1885" s="2"/>
    </row>
    <row r="1886" spans="1:2" x14ac:dyDescent="0.25">
      <c r="A1886" s="1"/>
      <c r="B1886" s="2"/>
    </row>
    <row r="1887" spans="1:2" x14ac:dyDescent="0.25">
      <c r="A1887" s="1"/>
      <c r="B1887" s="2"/>
    </row>
    <row r="1888" spans="1:2" x14ac:dyDescent="0.25">
      <c r="A1888" s="1"/>
      <c r="B1888" s="2"/>
    </row>
    <row r="1889" spans="1:2" x14ac:dyDescent="0.25">
      <c r="A1889" s="1"/>
      <c r="B1889" s="2"/>
    </row>
    <row r="1890" spans="1:2" x14ac:dyDescent="0.25">
      <c r="A1890" s="1"/>
      <c r="B1890" s="2"/>
    </row>
    <row r="1891" spans="1:2" x14ac:dyDescent="0.25">
      <c r="A1891" s="1"/>
      <c r="B1891" s="2"/>
    </row>
    <row r="1892" spans="1:2" x14ac:dyDescent="0.25">
      <c r="A1892" s="1"/>
      <c r="B1892" s="2"/>
    </row>
    <row r="1893" spans="1:2" x14ac:dyDescent="0.25">
      <c r="A1893" s="1"/>
      <c r="B1893" s="2"/>
    </row>
    <row r="1894" spans="1:2" x14ac:dyDescent="0.25">
      <c r="A1894" s="1"/>
      <c r="B1894" s="2"/>
    </row>
    <row r="1895" spans="1:2" x14ac:dyDescent="0.25">
      <c r="A1895" s="1"/>
      <c r="B1895" s="2"/>
    </row>
    <row r="1896" spans="1:2" x14ac:dyDescent="0.25">
      <c r="A1896" s="1"/>
      <c r="B1896" s="2"/>
    </row>
    <row r="1897" spans="1:2" x14ac:dyDescent="0.25">
      <c r="A1897" s="1"/>
      <c r="B1897" s="2"/>
    </row>
    <row r="1898" spans="1:2" x14ac:dyDescent="0.25">
      <c r="A1898" s="1"/>
      <c r="B1898" s="2"/>
    </row>
    <row r="1899" spans="1:2" x14ac:dyDescent="0.25">
      <c r="A1899" s="1"/>
      <c r="B1899" s="2"/>
    </row>
    <row r="1900" spans="1:2" x14ac:dyDescent="0.25">
      <c r="A1900" s="1"/>
      <c r="B1900" s="2"/>
    </row>
    <row r="1901" spans="1:2" x14ac:dyDescent="0.25">
      <c r="A1901" s="1"/>
      <c r="B1901" s="2"/>
    </row>
    <row r="1902" spans="1:2" x14ac:dyDescent="0.25">
      <c r="A1902" s="1"/>
      <c r="B1902" s="2"/>
    </row>
    <row r="1903" spans="1:2" x14ac:dyDescent="0.25">
      <c r="A1903" s="1"/>
      <c r="B1903" s="2"/>
    </row>
    <row r="1904" spans="1:2" x14ac:dyDescent="0.25">
      <c r="A1904" s="1"/>
      <c r="B1904" s="2"/>
    </row>
    <row r="1905" spans="1:2" x14ac:dyDescent="0.25">
      <c r="A1905" s="1"/>
      <c r="B1905" s="2"/>
    </row>
    <row r="1906" spans="1:2" x14ac:dyDescent="0.25">
      <c r="A1906" s="1"/>
      <c r="B1906" s="2"/>
    </row>
    <row r="1907" spans="1:2" x14ac:dyDescent="0.25">
      <c r="A1907" s="1"/>
      <c r="B1907" s="2"/>
    </row>
    <row r="1908" spans="1:2" x14ac:dyDescent="0.25">
      <c r="A1908" s="1"/>
      <c r="B1908" s="2"/>
    </row>
    <row r="1909" spans="1:2" x14ac:dyDescent="0.25">
      <c r="A1909" s="1"/>
      <c r="B1909" s="2"/>
    </row>
    <row r="1910" spans="1:2" x14ac:dyDescent="0.25">
      <c r="A1910" s="1"/>
      <c r="B1910" s="2"/>
    </row>
    <row r="1911" spans="1:2" x14ac:dyDescent="0.25">
      <c r="A1911" s="1"/>
      <c r="B1911" s="2"/>
    </row>
    <row r="1912" spans="1:2" x14ac:dyDescent="0.25">
      <c r="A1912" s="1"/>
      <c r="B1912" s="2"/>
    </row>
    <row r="1913" spans="1:2" x14ac:dyDescent="0.25">
      <c r="A1913" s="1"/>
      <c r="B1913" s="2"/>
    </row>
    <row r="1914" spans="1:2" x14ac:dyDescent="0.25">
      <c r="A1914" s="1"/>
      <c r="B1914" s="2"/>
    </row>
    <row r="1915" spans="1:2" x14ac:dyDescent="0.25">
      <c r="A1915" s="1"/>
      <c r="B1915" s="2"/>
    </row>
    <row r="1916" spans="1:2" x14ac:dyDescent="0.25">
      <c r="A1916" s="1"/>
      <c r="B1916" s="2"/>
    </row>
    <row r="1917" spans="1:2" x14ac:dyDescent="0.25">
      <c r="A1917" s="1"/>
      <c r="B1917" s="2"/>
    </row>
    <row r="1918" spans="1:2" x14ac:dyDescent="0.25">
      <c r="A1918" s="1"/>
      <c r="B1918" s="2"/>
    </row>
    <row r="1919" spans="1:2" x14ac:dyDescent="0.25">
      <c r="A1919" s="1"/>
      <c r="B1919" s="2"/>
    </row>
    <row r="1920" spans="1:2" x14ac:dyDescent="0.25">
      <c r="A1920" s="1"/>
      <c r="B1920" s="2"/>
    </row>
    <row r="1921" spans="1:2" x14ac:dyDescent="0.25">
      <c r="A1921" s="1"/>
      <c r="B1921" s="2"/>
    </row>
    <row r="1922" spans="1:2" x14ac:dyDescent="0.25">
      <c r="A1922" s="1"/>
      <c r="B1922" s="2"/>
    </row>
    <row r="1923" spans="1:2" x14ac:dyDescent="0.25">
      <c r="A1923" s="1"/>
      <c r="B1923" s="2"/>
    </row>
    <row r="1924" spans="1:2" x14ac:dyDescent="0.25">
      <c r="A1924" s="1"/>
      <c r="B1924" s="2"/>
    </row>
    <row r="1925" spans="1:2" x14ac:dyDescent="0.25">
      <c r="A1925" s="1"/>
      <c r="B1925" s="2"/>
    </row>
    <row r="1926" spans="1:2" x14ac:dyDescent="0.25">
      <c r="A1926" s="1"/>
      <c r="B1926" s="2"/>
    </row>
    <row r="1927" spans="1:2" x14ac:dyDescent="0.25">
      <c r="A1927" s="1"/>
      <c r="B1927" s="2"/>
    </row>
    <row r="1928" spans="1:2" x14ac:dyDescent="0.25">
      <c r="A1928" s="1"/>
      <c r="B1928" s="2"/>
    </row>
    <row r="1929" spans="1:2" x14ac:dyDescent="0.25">
      <c r="A1929" s="1"/>
      <c r="B1929" s="2"/>
    </row>
    <row r="1930" spans="1:2" x14ac:dyDescent="0.25">
      <c r="A1930" s="1"/>
      <c r="B1930" s="2"/>
    </row>
    <row r="1931" spans="1:2" x14ac:dyDescent="0.25">
      <c r="A1931" s="1"/>
      <c r="B1931" s="2"/>
    </row>
    <row r="1932" spans="1:2" x14ac:dyDescent="0.25">
      <c r="A1932" s="1"/>
      <c r="B1932" s="2"/>
    </row>
    <row r="1933" spans="1:2" x14ac:dyDescent="0.25">
      <c r="A1933" s="1"/>
      <c r="B1933" s="2"/>
    </row>
    <row r="1934" spans="1:2" x14ac:dyDescent="0.25">
      <c r="A1934" s="1"/>
      <c r="B1934" s="2"/>
    </row>
    <row r="1935" spans="1:2" x14ac:dyDescent="0.25">
      <c r="A1935" s="1"/>
      <c r="B1935" s="2"/>
    </row>
    <row r="1936" spans="1:2" x14ac:dyDescent="0.25">
      <c r="A1936" s="1"/>
      <c r="B1936" s="2"/>
    </row>
    <row r="1937" spans="1:2" x14ac:dyDescent="0.25">
      <c r="A1937" s="1"/>
      <c r="B1937" s="2"/>
    </row>
    <row r="1938" spans="1:2" x14ac:dyDescent="0.25">
      <c r="A1938" s="1"/>
      <c r="B1938" s="2"/>
    </row>
    <row r="1939" spans="1:2" x14ac:dyDescent="0.25">
      <c r="A1939" s="1"/>
      <c r="B1939" s="2"/>
    </row>
    <row r="1940" spans="1:2" x14ac:dyDescent="0.25">
      <c r="A1940" s="1"/>
      <c r="B1940" s="2"/>
    </row>
    <row r="1941" spans="1:2" x14ac:dyDescent="0.25">
      <c r="A1941" s="1"/>
      <c r="B1941" s="2"/>
    </row>
    <row r="1942" spans="1:2" x14ac:dyDescent="0.25">
      <c r="A1942" s="1"/>
      <c r="B1942" s="2"/>
    </row>
    <row r="1943" spans="1:2" x14ac:dyDescent="0.25">
      <c r="A1943" s="1"/>
      <c r="B1943" s="2"/>
    </row>
    <row r="1944" spans="1:2" x14ac:dyDescent="0.25">
      <c r="A1944" s="1"/>
      <c r="B1944" s="2"/>
    </row>
    <row r="1945" spans="1:2" x14ac:dyDescent="0.25">
      <c r="A1945" s="1"/>
      <c r="B1945" s="2"/>
    </row>
    <row r="1946" spans="1:2" x14ac:dyDescent="0.25">
      <c r="A1946" s="1"/>
      <c r="B1946" s="2"/>
    </row>
    <row r="1947" spans="1:2" x14ac:dyDescent="0.25">
      <c r="A1947" s="1"/>
      <c r="B1947" s="2"/>
    </row>
    <row r="1948" spans="1:2" x14ac:dyDescent="0.25">
      <c r="A1948" s="1"/>
      <c r="B1948" s="2"/>
    </row>
    <row r="1949" spans="1:2" x14ac:dyDescent="0.25">
      <c r="A1949" s="1"/>
      <c r="B1949" s="2"/>
    </row>
    <row r="1950" spans="1:2" x14ac:dyDescent="0.25">
      <c r="A1950" s="1"/>
      <c r="B1950" s="2"/>
    </row>
    <row r="1951" spans="1:2" x14ac:dyDescent="0.25">
      <c r="A1951" s="1"/>
      <c r="B1951" s="2"/>
    </row>
    <row r="1952" spans="1:2" x14ac:dyDescent="0.25">
      <c r="A1952" s="1"/>
      <c r="B1952" s="2"/>
    </row>
    <row r="1953" spans="1:2" x14ac:dyDescent="0.25">
      <c r="A1953" s="1"/>
      <c r="B1953" s="2"/>
    </row>
    <row r="1954" spans="1:2" x14ac:dyDescent="0.25">
      <c r="A1954" s="1"/>
      <c r="B1954" s="2"/>
    </row>
    <row r="1955" spans="1:2" x14ac:dyDescent="0.25">
      <c r="A1955" s="1"/>
      <c r="B1955" s="2"/>
    </row>
    <row r="1956" spans="1:2" x14ac:dyDescent="0.25">
      <c r="A1956" s="1"/>
      <c r="B1956" s="2"/>
    </row>
    <row r="1957" spans="1:2" x14ac:dyDescent="0.25">
      <c r="A1957" s="1"/>
      <c r="B1957" s="2"/>
    </row>
    <row r="1958" spans="1:2" x14ac:dyDescent="0.25">
      <c r="A1958" s="1"/>
      <c r="B1958" s="2"/>
    </row>
    <row r="1959" spans="1:2" x14ac:dyDescent="0.25">
      <c r="A1959" s="1"/>
      <c r="B1959" s="2"/>
    </row>
    <row r="1960" spans="1:2" x14ac:dyDescent="0.25">
      <c r="A1960" s="1"/>
      <c r="B1960" s="2"/>
    </row>
    <row r="1961" spans="1:2" x14ac:dyDescent="0.25">
      <c r="A1961" s="1"/>
      <c r="B1961" s="2"/>
    </row>
    <row r="1962" spans="1:2" x14ac:dyDescent="0.25">
      <c r="A1962" s="1"/>
      <c r="B1962" s="2"/>
    </row>
    <row r="1963" spans="1:2" x14ac:dyDescent="0.25">
      <c r="A1963" s="1"/>
      <c r="B1963" s="2"/>
    </row>
    <row r="1964" spans="1:2" x14ac:dyDescent="0.25">
      <c r="A1964" s="1"/>
      <c r="B1964" s="2"/>
    </row>
    <row r="1965" spans="1:2" x14ac:dyDescent="0.25">
      <c r="A1965" s="1"/>
      <c r="B1965" s="2"/>
    </row>
    <row r="1966" spans="1:2" x14ac:dyDescent="0.25">
      <c r="A1966" s="1"/>
      <c r="B1966" s="2"/>
    </row>
    <row r="1967" spans="1:2" x14ac:dyDescent="0.25">
      <c r="A1967" s="1"/>
      <c r="B1967" s="2"/>
    </row>
    <row r="1968" spans="1:2" x14ac:dyDescent="0.25">
      <c r="A1968" s="1"/>
      <c r="B1968" s="2"/>
    </row>
    <row r="1969" spans="1:2" x14ac:dyDescent="0.25">
      <c r="A1969" s="1"/>
      <c r="B1969" s="2"/>
    </row>
    <row r="1970" spans="1:2" x14ac:dyDescent="0.25">
      <c r="A1970" s="1"/>
      <c r="B1970" s="2"/>
    </row>
    <row r="1971" spans="1:2" x14ac:dyDescent="0.25">
      <c r="A1971" s="1"/>
      <c r="B1971" s="2"/>
    </row>
    <row r="1972" spans="1:2" x14ac:dyDescent="0.25">
      <c r="A1972" s="1"/>
      <c r="B1972" s="2"/>
    </row>
    <row r="1973" spans="1:2" x14ac:dyDescent="0.25">
      <c r="A1973" s="1"/>
      <c r="B1973" s="2"/>
    </row>
    <row r="1974" spans="1:2" x14ac:dyDescent="0.25">
      <c r="A1974" s="1"/>
      <c r="B1974" s="2"/>
    </row>
    <row r="1975" spans="1:2" x14ac:dyDescent="0.25">
      <c r="A1975" s="1"/>
      <c r="B1975" s="2"/>
    </row>
    <row r="1976" spans="1:2" x14ac:dyDescent="0.25">
      <c r="A1976" s="1"/>
      <c r="B1976" s="2"/>
    </row>
    <row r="1977" spans="1:2" x14ac:dyDescent="0.25">
      <c r="A1977" s="1"/>
      <c r="B1977" s="2"/>
    </row>
    <row r="1978" spans="1:2" x14ac:dyDescent="0.25">
      <c r="A1978" s="1"/>
      <c r="B1978" s="2"/>
    </row>
    <row r="1979" spans="1:2" x14ac:dyDescent="0.25">
      <c r="A1979" s="1"/>
      <c r="B1979" s="2"/>
    </row>
    <row r="1980" spans="1:2" x14ac:dyDescent="0.25">
      <c r="A1980" s="1"/>
      <c r="B1980" s="2"/>
    </row>
    <row r="1981" spans="1:2" x14ac:dyDescent="0.25">
      <c r="A1981" s="1"/>
      <c r="B1981" s="2"/>
    </row>
    <row r="1982" spans="1:2" x14ac:dyDescent="0.25">
      <c r="A1982" s="1"/>
      <c r="B1982" s="2"/>
    </row>
    <row r="1983" spans="1:2" x14ac:dyDescent="0.25">
      <c r="A1983" s="1"/>
      <c r="B1983" s="2"/>
    </row>
    <row r="1984" spans="1:2" x14ac:dyDescent="0.25">
      <c r="A1984" s="1"/>
      <c r="B1984" s="2"/>
    </row>
    <row r="1985" spans="1:2" x14ac:dyDescent="0.25">
      <c r="A1985" s="1"/>
      <c r="B1985" s="2"/>
    </row>
    <row r="1986" spans="1:2" x14ac:dyDescent="0.25">
      <c r="A1986" s="1"/>
      <c r="B1986" s="2"/>
    </row>
    <row r="1987" spans="1:2" x14ac:dyDescent="0.25">
      <c r="A1987" s="1"/>
      <c r="B1987" s="2"/>
    </row>
    <row r="1988" spans="1:2" x14ac:dyDescent="0.25">
      <c r="A1988" s="1"/>
      <c r="B1988" s="2"/>
    </row>
    <row r="1989" spans="1:2" x14ac:dyDescent="0.25">
      <c r="A1989" s="1"/>
      <c r="B1989" s="2"/>
    </row>
    <row r="1990" spans="1:2" x14ac:dyDescent="0.25">
      <c r="A1990" s="1"/>
      <c r="B1990" s="2"/>
    </row>
    <row r="1991" spans="1:2" x14ac:dyDescent="0.25">
      <c r="A1991" s="1"/>
      <c r="B1991" s="2"/>
    </row>
    <row r="1992" spans="1:2" x14ac:dyDescent="0.25">
      <c r="A1992" s="1"/>
      <c r="B1992" s="2"/>
    </row>
    <row r="1993" spans="1:2" x14ac:dyDescent="0.25">
      <c r="A1993" s="1"/>
      <c r="B1993" s="2"/>
    </row>
    <row r="1994" spans="1:2" x14ac:dyDescent="0.25">
      <c r="A1994" s="1"/>
      <c r="B1994" s="2"/>
    </row>
    <row r="1995" spans="1:2" x14ac:dyDescent="0.25">
      <c r="A1995" s="1"/>
      <c r="B1995" s="2"/>
    </row>
    <row r="1996" spans="1:2" x14ac:dyDescent="0.25">
      <c r="A1996" s="1"/>
      <c r="B1996" s="2"/>
    </row>
    <row r="1997" spans="1:2" x14ac:dyDescent="0.25">
      <c r="A1997" s="1"/>
      <c r="B1997" s="2"/>
    </row>
    <row r="1998" spans="1:2" x14ac:dyDescent="0.25">
      <c r="A1998" s="1"/>
      <c r="B1998" s="2"/>
    </row>
    <row r="1999" spans="1:2" x14ac:dyDescent="0.25">
      <c r="A1999" s="1"/>
      <c r="B1999" s="2"/>
    </row>
    <row r="2000" spans="1:2" x14ac:dyDescent="0.25">
      <c r="A2000" s="1"/>
      <c r="B2000" s="2"/>
    </row>
    <row r="2001" spans="1:2" x14ac:dyDescent="0.25">
      <c r="A2001" s="1"/>
      <c r="B2001" s="2"/>
    </row>
    <row r="2002" spans="1:2" x14ac:dyDescent="0.25">
      <c r="A2002" s="1"/>
      <c r="B2002" s="2"/>
    </row>
    <row r="2003" spans="1:2" x14ac:dyDescent="0.25">
      <c r="A2003" s="1"/>
      <c r="B2003" s="2"/>
    </row>
    <row r="2004" spans="1:2" x14ac:dyDescent="0.25">
      <c r="A2004" s="1"/>
      <c r="B2004" s="2"/>
    </row>
    <row r="2005" spans="1:2" x14ac:dyDescent="0.25">
      <c r="A2005" s="1"/>
      <c r="B2005" s="2"/>
    </row>
    <row r="2006" spans="1:2" x14ac:dyDescent="0.25">
      <c r="A2006" s="1"/>
      <c r="B2006" s="2"/>
    </row>
    <row r="2007" spans="1:2" x14ac:dyDescent="0.25">
      <c r="A2007" s="1"/>
      <c r="B2007" s="2"/>
    </row>
    <row r="2008" spans="1:2" x14ac:dyDescent="0.25">
      <c r="A2008" s="1"/>
      <c r="B2008" s="2"/>
    </row>
    <row r="2009" spans="1:2" x14ac:dyDescent="0.25">
      <c r="A2009" s="1"/>
      <c r="B2009" s="2"/>
    </row>
    <row r="2010" spans="1:2" x14ac:dyDescent="0.25">
      <c r="A2010" s="1"/>
      <c r="B2010" s="2"/>
    </row>
    <row r="2011" spans="1:2" x14ac:dyDescent="0.25">
      <c r="A2011" s="1"/>
      <c r="B2011" s="2"/>
    </row>
    <row r="2012" spans="1:2" x14ac:dyDescent="0.25">
      <c r="A2012" s="1"/>
      <c r="B2012" s="2"/>
    </row>
    <row r="2013" spans="1:2" x14ac:dyDescent="0.25">
      <c r="A2013" s="1"/>
      <c r="B2013" s="2"/>
    </row>
    <row r="2014" spans="1:2" x14ac:dyDescent="0.25">
      <c r="A2014" s="1"/>
      <c r="B2014" s="2"/>
    </row>
    <row r="2015" spans="1:2" x14ac:dyDescent="0.25">
      <c r="A2015" s="1"/>
      <c r="B2015" s="2"/>
    </row>
    <row r="2016" spans="1:2" x14ac:dyDescent="0.25">
      <c r="A2016" s="1"/>
      <c r="B2016" s="2"/>
    </row>
    <row r="2017" spans="1:2" x14ac:dyDescent="0.25">
      <c r="A2017" s="1"/>
      <c r="B2017" s="2"/>
    </row>
    <row r="2018" spans="1:2" x14ac:dyDescent="0.25">
      <c r="A2018" s="1"/>
      <c r="B2018" s="2"/>
    </row>
    <row r="2019" spans="1:2" x14ac:dyDescent="0.25">
      <c r="A2019" s="1"/>
      <c r="B2019" s="2"/>
    </row>
    <row r="2020" spans="1:2" x14ac:dyDescent="0.25">
      <c r="A2020" s="1"/>
      <c r="B2020" s="2"/>
    </row>
    <row r="2021" spans="1:2" x14ac:dyDescent="0.25">
      <c r="A2021" s="1"/>
      <c r="B2021" s="2"/>
    </row>
    <row r="2022" spans="1:2" x14ac:dyDescent="0.25">
      <c r="A2022" s="1"/>
      <c r="B2022" s="2"/>
    </row>
    <row r="2023" spans="1:2" x14ac:dyDescent="0.25">
      <c r="A2023" s="1"/>
      <c r="B2023" s="2"/>
    </row>
    <row r="2024" spans="1:2" x14ac:dyDescent="0.25">
      <c r="A2024" s="1"/>
      <c r="B2024" s="2"/>
    </row>
    <row r="2025" spans="1:2" x14ac:dyDescent="0.25">
      <c r="A2025" s="1"/>
      <c r="B2025" s="2"/>
    </row>
    <row r="2026" spans="1:2" x14ac:dyDescent="0.25">
      <c r="A2026" s="1"/>
      <c r="B2026" s="2"/>
    </row>
    <row r="2027" spans="1:2" x14ac:dyDescent="0.25">
      <c r="A2027" s="1"/>
      <c r="B2027" s="2"/>
    </row>
    <row r="2028" spans="1:2" x14ac:dyDescent="0.25">
      <c r="A2028" s="1"/>
      <c r="B2028" s="2"/>
    </row>
    <row r="2029" spans="1:2" x14ac:dyDescent="0.25">
      <c r="A2029" s="1"/>
      <c r="B2029" s="2"/>
    </row>
    <row r="2030" spans="1:2" x14ac:dyDescent="0.25">
      <c r="A2030" s="1"/>
      <c r="B2030" s="2"/>
    </row>
    <row r="2031" spans="1:2" x14ac:dyDescent="0.25">
      <c r="A2031" s="1"/>
      <c r="B2031" s="2"/>
    </row>
    <row r="2032" spans="1:2" x14ac:dyDescent="0.25">
      <c r="A2032" s="1"/>
      <c r="B2032" s="2"/>
    </row>
    <row r="2033" spans="1:2" x14ac:dyDescent="0.25">
      <c r="A2033" s="1"/>
      <c r="B2033" s="2"/>
    </row>
    <row r="2034" spans="1:2" x14ac:dyDescent="0.25">
      <c r="A2034" s="1"/>
      <c r="B2034" s="2"/>
    </row>
    <row r="2035" spans="1:2" x14ac:dyDescent="0.25">
      <c r="A2035" s="1"/>
      <c r="B2035" s="2"/>
    </row>
    <row r="2036" spans="1:2" x14ac:dyDescent="0.25">
      <c r="A2036" s="1"/>
      <c r="B2036" s="2"/>
    </row>
    <row r="2037" spans="1:2" x14ac:dyDescent="0.25">
      <c r="A2037" s="1"/>
      <c r="B2037" s="2"/>
    </row>
    <row r="2038" spans="1:2" x14ac:dyDescent="0.25">
      <c r="A2038" s="1"/>
      <c r="B2038" s="2"/>
    </row>
    <row r="2039" spans="1:2" x14ac:dyDescent="0.25">
      <c r="A2039" s="1"/>
      <c r="B2039" s="2"/>
    </row>
    <row r="2040" spans="1:2" x14ac:dyDescent="0.25">
      <c r="A2040" s="1"/>
      <c r="B2040" s="2"/>
    </row>
    <row r="2041" spans="1:2" x14ac:dyDescent="0.25">
      <c r="A2041" s="1"/>
      <c r="B2041" s="2"/>
    </row>
    <row r="2042" spans="1:2" x14ac:dyDescent="0.25">
      <c r="A2042" s="1"/>
      <c r="B2042" s="2"/>
    </row>
    <row r="2043" spans="1:2" x14ac:dyDescent="0.25">
      <c r="A2043" s="1"/>
      <c r="B2043" s="2"/>
    </row>
    <row r="2044" spans="1:2" x14ac:dyDescent="0.25">
      <c r="A2044" s="1"/>
      <c r="B2044" s="2"/>
    </row>
    <row r="2045" spans="1:2" x14ac:dyDescent="0.25">
      <c r="A2045" s="1"/>
      <c r="B2045" s="2"/>
    </row>
    <row r="2046" spans="1:2" x14ac:dyDescent="0.25">
      <c r="A2046" s="1"/>
      <c r="B2046" s="2"/>
    </row>
    <row r="2047" spans="1:2" x14ac:dyDescent="0.25">
      <c r="A2047" s="1"/>
      <c r="B2047" s="2"/>
    </row>
    <row r="2048" spans="1:2" x14ac:dyDescent="0.25">
      <c r="A2048" s="1"/>
      <c r="B2048" s="2"/>
    </row>
    <row r="2049" spans="1:2" x14ac:dyDescent="0.25">
      <c r="A2049" s="1"/>
      <c r="B2049" s="2"/>
    </row>
    <row r="2050" spans="1:2" x14ac:dyDescent="0.25">
      <c r="A2050" s="1"/>
      <c r="B2050" s="2"/>
    </row>
    <row r="2051" spans="1:2" x14ac:dyDescent="0.25">
      <c r="A2051" s="1"/>
      <c r="B2051" s="2"/>
    </row>
    <row r="2052" spans="1:2" x14ac:dyDescent="0.25">
      <c r="A2052" s="1"/>
      <c r="B2052" s="2"/>
    </row>
    <row r="2053" spans="1:2" x14ac:dyDescent="0.25">
      <c r="A2053" s="1"/>
      <c r="B2053" s="2"/>
    </row>
    <row r="2054" spans="1:2" x14ac:dyDescent="0.25">
      <c r="A2054" s="1"/>
      <c r="B2054" s="2"/>
    </row>
    <row r="2055" spans="1:2" x14ac:dyDescent="0.25">
      <c r="A2055" s="1"/>
      <c r="B2055" s="2"/>
    </row>
    <row r="2056" spans="1:2" x14ac:dyDescent="0.25">
      <c r="A2056" s="1"/>
      <c r="B2056" s="2"/>
    </row>
    <row r="2057" spans="1:2" x14ac:dyDescent="0.25">
      <c r="A2057" s="1"/>
      <c r="B2057" s="2"/>
    </row>
    <row r="2058" spans="1:2" x14ac:dyDescent="0.25">
      <c r="A2058" s="1"/>
      <c r="B2058" s="2"/>
    </row>
    <row r="2059" spans="1:2" x14ac:dyDescent="0.25">
      <c r="A2059" s="1"/>
      <c r="B2059" s="2"/>
    </row>
    <row r="2060" spans="1:2" x14ac:dyDescent="0.25">
      <c r="A2060" s="1"/>
      <c r="B2060" s="2"/>
    </row>
    <row r="2061" spans="1:2" x14ac:dyDescent="0.25">
      <c r="A2061" s="1"/>
      <c r="B2061" s="2"/>
    </row>
    <row r="2062" spans="1:2" x14ac:dyDescent="0.25">
      <c r="A2062" s="1"/>
      <c r="B2062" s="2"/>
    </row>
    <row r="2063" spans="1:2" x14ac:dyDescent="0.25">
      <c r="A2063" s="1"/>
      <c r="B2063" s="2"/>
    </row>
    <row r="2064" spans="1:2" x14ac:dyDescent="0.25">
      <c r="A2064" s="1"/>
      <c r="B2064" s="2"/>
    </row>
    <row r="2065" spans="1:2" x14ac:dyDescent="0.25">
      <c r="A2065" s="1"/>
      <c r="B2065" s="2"/>
    </row>
    <row r="2066" spans="1:2" x14ac:dyDescent="0.25">
      <c r="A2066" s="1"/>
      <c r="B2066" s="2"/>
    </row>
    <row r="2067" spans="1:2" x14ac:dyDescent="0.25">
      <c r="A2067" s="1"/>
      <c r="B2067" s="2"/>
    </row>
    <row r="2068" spans="1:2" x14ac:dyDescent="0.25">
      <c r="A2068" s="1"/>
      <c r="B2068" s="2"/>
    </row>
    <row r="2069" spans="1:2" x14ac:dyDescent="0.25">
      <c r="A2069" s="1"/>
      <c r="B2069" s="2"/>
    </row>
    <row r="2070" spans="1:2" x14ac:dyDescent="0.25">
      <c r="A2070" s="1"/>
      <c r="B2070" s="2"/>
    </row>
    <row r="2071" spans="1:2" x14ac:dyDescent="0.25">
      <c r="A2071" s="1"/>
      <c r="B2071" s="2"/>
    </row>
    <row r="2072" spans="1:2" x14ac:dyDescent="0.25">
      <c r="A2072" s="1"/>
      <c r="B2072" s="2"/>
    </row>
    <row r="2073" spans="1:2" x14ac:dyDescent="0.25">
      <c r="A2073" s="1"/>
      <c r="B2073" s="2"/>
    </row>
    <row r="2074" spans="1:2" x14ac:dyDescent="0.25">
      <c r="A2074" s="1"/>
      <c r="B2074" s="2"/>
    </row>
    <row r="2075" spans="1:2" x14ac:dyDescent="0.25">
      <c r="A2075" s="1"/>
      <c r="B2075" s="2"/>
    </row>
    <row r="2076" spans="1:2" x14ac:dyDescent="0.25">
      <c r="A2076" s="1"/>
      <c r="B2076" s="2"/>
    </row>
    <row r="2077" spans="1:2" x14ac:dyDescent="0.25">
      <c r="A2077" s="1"/>
      <c r="B2077" s="2"/>
    </row>
    <row r="2078" spans="1:2" x14ac:dyDescent="0.25">
      <c r="A2078" s="1"/>
      <c r="B2078" s="2"/>
    </row>
    <row r="2079" spans="1:2" x14ac:dyDescent="0.25">
      <c r="A2079" s="1"/>
      <c r="B2079" s="2"/>
    </row>
    <row r="2080" spans="1:2" x14ac:dyDescent="0.25">
      <c r="A2080" s="1"/>
      <c r="B2080" s="2"/>
    </row>
    <row r="2081" spans="1:2" x14ac:dyDescent="0.25">
      <c r="A2081" s="1"/>
      <c r="B2081" s="2"/>
    </row>
    <row r="2082" spans="1:2" x14ac:dyDescent="0.25">
      <c r="A2082" s="1"/>
      <c r="B2082" s="2"/>
    </row>
    <row r="2083" spans="1:2" x14ac:dyDescent="0.25">
      <c r="A2083" s="1"/>
      <c r="B2083" s="2"/>
    </row>
    <row r="2084" spans="1:2" x14ac:dyDescent="0.25">
      <c r="A2084" s="1"/>
      <c r="B2084" s="2"/>
    </row>
    <row r="2085" spans="1:2" x14ac:dyDescent="0.25">
      <c r="A2085" s="1"/>
      <c r="B2085" s="2"/>
    </row>
    <row r="2086" spans="1:2" x14ac:dyDescent="0.25">
      <c r="A2086" s="1"/>
      <c r="B2086" s="2"/>
    </row>
    <row r="2087" spans="1:2" x14ac:dyDescent="0.25">
      <c r="A2087" s="1"/>
      <c r="B2087" s="2"/>
    </row>
    <row r="2088" spans="1:2" x14ac:dyDescent="0.25">
      <c r="A2088" s="1"/>
      <c r="B2088" s="2"/>
    </row>
    <row r="2089" spans="1:2" x14ac:dyDescent="0.25">
      <c r="A2089" s="1"/>
      <c r="B2089" s="2"/>
    </row>
    <row r="2090" spans="1:2" x14ac:dyDescent="0.25">
      <c r="A2090" s="1"/>
      <c r="B2090" s="2"/>
    </row>
    <row r="2091" spans="1:2" x14ac:dyDescent="0.25">
      <c r="A2091" s="1"/>
      <c r="B2091" s="2"/>
    </row>
    <row r="2092" spans="1:2" x14ac:dyDescent="0.25">
      <c r="A2092" s="1"/>
      <c r="B2092" s="2"/>
    </row>
    <row r="2093" spans="1:2" x14ac:dyDescent="0.25">
      <c r="A2093" s="1"/>
      <c r="B2093" s="2"/>
    </row>
    <row r="2094" spans="1:2" x14ac:dyDescent="0.25">
      <c r="A2094" s="1"/>
      <c r="B2094" s="2"/>
    </row>
    <row r="2095" spans="1:2" x14ac:dyDescent="0.25">
      <c r="A2095" s="1"/>
      <c r="B2095" s="2"/>
    </row>
    <row r="2096" spans="1:2" x14ac:dyDescent="0.25">
      <c r="A2096" s="1"/>
      <c r="B2096" s="2"/>
    </row>
    <row r="2097" spans="1:2" x14ac:dyDescent="0.25">
      <c r="A2097" s="1"/>
      <c r="B2097" s="2"/>
    </row>
    <row r="2098" spans="1:2" x14ac:dyDescent="0.25">
      <c r="A2098" s="1"/>
      <c r="B2098" s="2"/>
    </row>
    <row r="2099" spans="1:2" x14ac:dyDescent="0.25">
      <c r="A2099" s="1"/>
      <c r="B2099" s="2"/>
    </row>
    <row r="2100" spans="1:2" x14ac:dyDescent="0.25">
      <c r="A2100" s="1"/>
      <c r="B2100" s="2"/>
    </row>
    <row r="2101" spans="1:2" x14ac:dyDescent="0.25">
      <c r="A2101" s="1"/>
      <c r="B2101" s="2"/>
    </row>
    <row r="2102" spans="1:2" x14ac:dyDescent="0.25">
      <c r="A2102" s="1"/>
      <c r="B2102" s="2"/>
    </row>
    <row r="2103" spans="1:2" x14ac:dyDescent="0.25">
      <c r="A2103" s="1"/>
      <c r="B2103" s="2"/>
    </row>
    <row r="2104" spans="1:2" x14ac:dyDescent="0.25">
      <c r="A2104" s="1"/>
      <c r="B2104" s="2"/>
    </row>
    <row r="2105" spans="1:2" x14ac:dyDescent="0.25">
      <c r="A2105" s="1"/>
      <c r="B2105" s="2"/>
    </row>
    <row r="2106" spans="1:2" x14ac:dyDescent="0.25">
      <c r="A2106" s="1"/>
      <c r="B2106" s="2"/>
    </row>
    <row r="2107" spans="1:2" x14ac:dyDescent="0.25">
      <c r="A2107" s="1"/>
      <c r="B2107" s="2"/>
    </row>
    <row r="2108" spans="1:2" x14ac:dyDescent="0.25">
      <c r="A2108" s="1"/>
      <c r="B2108" s="2"/>
    </row>
    <row r="2109" spans="1:2" x14ac:dyDescent="0.25">
      <c r="A2109" s="1"/>
      <c r="B2109" s="2"/>
    </row>
    <row r="2110" spans="1:2" x14ac:dyDescent="0.25">
      <c r="A2110" s="1"/>
      <c r="B2110" s="2"/>
    </row>
    <row r="2111" spans="1:2" x14ac:dyDescent="0.25">
      <c r="A2111" s="1"/>
      <c r="B2111" s="2"/>
    </row>
    <row r="2112" spans="1:2" x14ac:dyDescent="0.25">
      <c r="A2112" s="1"/>
      <c r="B2112" s="2"/>
    </row>
    <row r="2113" spans="1:2" x14ac:dyDescent="0.25">
      <c r="A2113" s="1"/>
      <c r="B2113" s="2"/>
    </row>
    <row r="2114" spans="1:2" x14ac:dyDescent="0.25">
      <c r="A2114" s="1"/>
      <c r="B2114" s="2"/>
    </row>
    <row r="2115" spans="1:2" x14ac:dyDescent="0.25">
      <c r="A2115" s="1"/>
      <c r="B2115" s="2"/>
    </row>
    <row r="2116" spans="1:2" x14ac:dyDescent="0.25">
      <c r="A2116" s="1"/>
      <c r="B2116" s="2"/>
    </row>
    <row r="2117" spans="1:2" x14ac:dyDescent="0.25">
      <c r="A2117" s="1"/>
      <c r="B2117" s="2"/>
    </row>
    <row r="2118" spans="1:2" x14ac:dyDescent="0.25">
      <c r="A2118" s="1"/>
      <c r="B2118" s="2"/>
    </row>
    <row r="2119" spans="1:2" x14ac:dyDescent="0.25">
      <c r="A2119" s="1"/>
      <c r="B2119" s="2"/>
    </row>
    <row r="2120" spans="1:2" x14ac:dyDescent="0.25">
      <c r="A2120" s="1"/>
      <c r="B2120" s="2"/>
    </row>
    <row r="2121" spans="1:2" x14ac:dyDescent="0.25">
      <c r="A2121" s="1"/>
      <c r="B2121" s="2"/>
    </row>
    <row r="2122" spans="1:2" x14ac:dyDescent="0.25">
      <c r="A2122" s="1"/>
      <c r="B2122" s="2"/>
    </row>
    <row r="2123" spans="1:2" x14ac:dyDescent="0.25">
      <c r="A2123" s="1"/>
      <c r="B2123" s="2"/>
    </row>
    <row r="2124" spans="1:2" x14ac:dyDescent="0.25">
      <c r="A2124" s="1"/>
      <c r="B2124" s="2"/>
    </row>
    <row r="2125" spans="1:2" x14ac:dyDescent="0.25">
      <c r="A2125" s="1"/>
      <c r="B2125" s="2"/>
    </row>
    <row r="2126" spans="1:2" x14ac:dyDescent="0.25">
      <c r="A2126" s="1"/>
      <c r="B2126" s="2"/>
    </row>
    <row r="2127" spans="1:2" x14ac:dyDescent="0.25">
      <c r="A2127" s="1"/>
      <c r="B2127" s="2"/>
    </row>
    <row r="2128" spans="1:2" x14ac:dyDescent="0.25">
      <c r="A2128" s="1"/>
      <c r="B2128" s="2"/>
    </row>
    <row r="2129" spans="1:2" x14ac:dyDescent="0.25">
      <c r="A2129" s="1"/>
      <c r="B2129" s="2"/>
    </row>
    <row r="2130" spans="1:2" x14ac:dyDescent="0.25">
      <c r="A2130" s="1"/>
      <c r="B2130" s="2"/>
    </row>
    <row r="2131" spans="1:2" x14ac:dyDescent="0.25">
      <c r="A2131" s="1"/>
      <c r="B2131" s="2"/>
    </row>
    <row r="2132" spans="1:2" x14ac:dyDescent="0.25">
      <c r="A2132" s="1"/>
      <c r="B2132" s="2"/>
    </row>
    <row r="2133" spans="1:2" x14ac:dyDescent="0.25">
      <c r="A2133" s="1"/>
      <c r="B2133" s="2"/>
    </row>
    <row r="2134" spans="1:2" x14ac:dyDescent="0.25">
      <c r="A2134" s="1"/>
      <c r="B2134" s="2"/>
    </row>
    <row r="2135" spans="1:2" x14ac:dyDescent="0.25">
      <c r="A2135" s="1"/>
      <c r="B2135" s="2"/>
    </row>
    <row r="2136" spans="1:2" x14ac:dyDescent="0.25">
      <c r="A2136" s="1"/>
      <c r="B2136" s="2"/>
    </row>
    <row r="2137" spans="1:2" x14ac:dyDescent="0.25">
      <c r="A2137" s="1"/>
      <c r="B2137" s="2"/>
    </row>
    <row r="2138" spans="1:2" x14ac:dyDescent="0.25">
      <c r="A2138" s="1"/>
      <c r="B2138" s="2"/>
    </row>
    <row r="2139" spans="1:2" x14ac:dyDescent="0.25">
      <c r="A2139" s="1"/>
      <c r="B2139" s="2"/>
    </row>
    <row r="2140" spans="1:2" x14ac:dyDescent="0.25">
      <c r="A2140" s="1"/>
      <c r="B2140" s="2"/>
    </row>
    <row r="2141" spans="1:2" x14ac:dyDescent="0.25">
      <c r="A2141" s="1"/>
      <c r="B2141" s="2"/>
    </row>
    <row r="2142" spans="1:2" x14ac:dyDescent="0.25">
      <c r="A2142" s="1"/>
      <c r="B2142" s="2"/>
    </row>
    <row r="2143" spans="1:2" x14ac:dyDescent="0.25">
      <c r="A2143" s="1"/>
      <c r="B2143" s="2"/>
    </row>
    <row r="2144" spans="1:2" x14ac:dyDescent="0.25">
      <c r="A2144" s="1"/>
      <c r="B2144" s="2"/>
    </row>
    <row r="2145" spans="1:2" x14ac:dyDescent="0.25">
      <c r="A2145" s="1"/>
      <c r="B2145" s="2"/>
    </row>
    <row r="2146" spans="1:2" x14ac:dyDescent="0.25">
      <c r="A2146" s="1"/>
      <c r="B2146" s="2"/>
    </row>
    <row r="2147" spans="1:2" x14ac:dyDescent="0.25">
      <c r="A2147" s="1"/>
      <c r="B2147" s="2"/>
    </row>
    <row r="2148" spans="1:2" x14ac:dyDescent="0.25">
      <c r="A2148" s="1"/>
      <c r="B2148" s="2"/>
    </row>
    <row r="2149" spans="1:2" x14ac:dyDescent="0.25">
      <c r="A2149" s="1"/>
      <c r="B2149" s="2"/>
    </row>
    <row r="2150" spans="1:2" x14ac:dyDescent="0.25">
      <c r="A2150" s="1"/>
      <c r="B2150" s="2"/>
    </row>
    <row r="2151" spans="1:2" x14ac:dyDescent="0.25">
      <c r="A2151" s="1"/>
      <c r="B2151" s="2"/>
    </row>
    <row r="2152" spans="1:2" x14ac:dyDescent="0.25">
      <c r="A2152" s="1"/>
      <c r="B2152" s="2"/>
    </row>
    <row r="2153" spans="1:2" x14ac:dyDescent="0.25">
      <c r="A2153" s="1"/>
      <c r="B2153" s="2"/>
    </row>
    <row r="2154" spans="1:2" x14ac:dyDescent="0.25">
      <c r="A2154" s="1"/>
      <c r="B2154" s="2"/>
    </row>
    <row r="2155" spans="1:2" x14ac:dyDescent="0.25">
      <c r="A2155" s="1"/>
      <c r="B2155" s="2"/>
    </row>
    <row r="2156" spans="1:2" x14ac:dyDescent="0.25">
      <c r="A2156" s="1"/>
      <c r="B2156" s="2"/>
    </row>
    <row r="2157" spans="1:2" x14ac:dyDescent="0.25">
      <c r="A2157" s="1"/>
      <c r="B2157" s="2"/>
    </row>
    <row r="2158" spans="1:2" x14ac:dyDescent="0.25">
      <c r="A2158" s="1"/>
      <c r="B2158" s="2"/>
    </row>
    <row r="2159" spans="1:2" x14ac:dyDescent="0.25">
      <c r="A2159" s="1"/>
      <c r="B2159" s="2"/>
    </row>
    <row r="2160" spans="1:2" x14ac:dyDescent="0.25">
      <c r="A2160" s="1"/>
      <c r="B2160" s="2"/>
    </row>
    <row r="2161" spans="1:2" x14ac:dyDescent="0.25">
      <c r="A2161" s="1"/>
      <c r="B2161" s="2"/>
    </row>
    <row r="2162" spans="1:2" x14ac:dyDescent="0.25">
      <c r="A2162" s="1"/>
      <c r="B2162" s="2"/>
    </row>
    <row r="2163" spans="1:2" x14ac:dyDescent="0.25">
      <c r="A2163" s="1"/>
      <c r="B2163" s="2"/>
    </row>
    <row r="2164" spans="1:2" x14ac:dyDescent="0.25">
      <c r="A2164" s="1"/>
      <c r="B2164" s="2"/>
    </row>
    <row r="2165" spans="1:2" x14ac:dyDescent="0.25">
      <c r="A2165" s="1"/>
      <c r="B2165" s="2"/>
    </row>
    <row r="2166" spans="1:2" x14ac:dyDescent="0.25">
      <c r="A2166" s="1"/>
      <c r="B2166" s="2"/>
    </row>
    <row r="2167" spans="1:2" x14ac:dyDescent="0.25">
      <c r="A2167" s="1"/>
      <c r="B2167" s="2"/>
    </row>
    <row r="2168" spans="1:2" x14ac:dyDescent="0.25">
      <c r="A2168" s="1"/>
      <c r="B2168" s="2"/>
    </row>
    <row r="2169" spans="1:2" x14ac:dyDescent="0.25">
      <c r="A2169" s="1"/>
      <c r="B2169" s="2"/>
    </row>
    <row r="2170" spans="1:2" x14ac:dyDescent="0.25">
      <c r="A2170" s="1"/>
      <c r="B2170" s="2"/>
    </row>
    <row r="2171" spans="1:2" x14ac:dyDescent="0.25">
      <c r="A2171" s="1"/>
      <c r="B2171" s="2"/>
    </row>
    <row r="2172" spans="1:2" x14ac:dyDescent="0.25">
      <c r="A2172" s="1"/>
      <c r="B2172" s="2"/>
    </row>
    <row r="2173" spans="1:2" x14ac:dyDescent="0.25">
      <c r="A2173" s="1"/>
      <c r="B2173" s="2"/>
    </row>
    <row r="2174" spans="1:2" x14ac:dyDescent="0.25">
      <c r="A2174" s="1"/>
      <c r="B2174" s="2"/>
    </row>
    <row r="2175" spans="1:2" x14ac:dyDescent="0.25">
      <c r="A2175" s="1"/>
      <c r="B2175" s="2"/>
    </row>
    <row r="2176" spans="1:2" x14ac:dyDescent="0.25">
      <c r="A2176" s="1"/>
      <c r="B2176" s="2"/>
    </row>
    <row r="2177" spans="1:2" x14ac:dyDescent="0.25">
      <c r="A2177" s="1"/>
      <c r="B2177" s="2"/>
    </row>
    <row r="2178" spans="1:2" x14ac:dyDescent="0.25">
      <c r="A2178" s="1"/>
      <c r="B2178" s="2"/>
    </row>
    <row r="2179" spans="1:2" x14ac:dyDescent="0.25">
      <c r="A2179" s="1"/>
      <c r="B2179" s="2"/>
    </row>
    <row r="2180" spans="1:2" x14ac:dyDescent="0.25">
      <c r="A2180" s="1"/>
      <c r="B2180" s="2"/>
    </row>
    <row r="2181" spans="1:2" x14ac:dyDescent="0.25">
      <c r="A2181" s="1"/>
      <c r="B2181" s="2"/>
    </row>
    <row r="2182" spans="1:2" x14ac:dyDescent="0.25">
      <c r="A2182" s="1"/>
      <c r="B2182" s="2"/>
    </row>
    <row r="2183" spans="1:2" x14ac:dyDescent="0.25">
      <c r="A2183" s="1"/>
      <c r="B2183" s="2"/>
    </row>
    <row r="2184" spans="1:2" x14ac:dyDescent="0.25">
      <c r="A2184" s="1"/>
      <c r="B2184" s="2"/>
    </row>
    <row r="2185" spans="1:2" x14ac:dyDescent="0.25">
      <c r="A2185" s="1"/>
      <c r="B2185" s="2"/>
    </row>
    <row r="2186" spans="1:2" x14ac:dyDescent="0.25">
      <c r="A2186" s="1"/>
      <c r="B2186" s="2"/>
    </row>
    <row r="2187" spans="1:2" x14ac:dyDescent="0.25">
      <c r="A2187" s="1"/>
      <c r="B2187" s="2"/>
    </row>
    <row r="2188" spans="1:2" x14ac:dyDescent="0.25">
      <c r="A2188" s="1"/>
      <c r="B2188" s="2"/>
    </row>
    <row r="2189" spans="1:2" x14ac:dyDescent="0.25">
      <c r="A2189" s="1"/>
      <c r="B2189" s="2"/>
    </row>
    <row r="2190" spans="1:2" x14ac:dyDescent="0.25">
      <c r="A2190" s="1"/>
      <c r="B2190" s="2"/>
    </row>
    <row r="2191" spans="1:2" x14ac:dyDescent="0.25">
      <c r="A2191" s="1"/>
      <c r="B2191" s="2"/>
    </row>
    <row r="2192" spans="1:2" x14ac:dyDescent="0.25">
      <c r="A2192" s="1"/>
      <c r="B2192" s="2"/>
    </row>
    <row r="2193" spans="1:2" x14ac:dyDescent="0.25">
      <c r="A2193" s="1"/>
      <c r="B2193" s="2"/>
    </row>
    <row r="2194" spans="1:2" x14ac:dyDescent="0.25">
      <c r="A2194" s="1"/>
      <c r="B2194" s="2"/>
    </row>
    <row r="2195" spans="1:2" x14ac:dyDescent="0.25">
      <c r="A2195" s="1"/>
      <c r="B2195" s="2"/>
    </row>
    <row r="2196" spans="1:2" x14ac:dyDescent="0.25">
      <c r="A2196" s="1"/>
      <c r="B2196" s="2"/>
    </row>
    <row r="2197" spans="1:2" x14ac:dyDescent="0.25">
      <c r="A2197" s="1"/>
      <c r="B2197" s="2"/>
    </row>
    <row r="2198" spans="1:2" x14ac:dyDescent="0.25">
      <c r="A2198" s="1"/>
      <c r="B2198" s="2"/>
    </row>
    <row r="2199" spans="1:2" x14ac:dyDescent="0.25">
      <c r="A2199" s="1"/>
      <c r="B2199" s="2"/>
    </row>
    <row r="2200" spans="1:2" x14ac:dyDescent="0.25">
      <c r="A2200" s="1"/>
      <c r="B2200" s="2"/>
    </row>
    <row r="2201" spans="1:2" x14ac:dyDescent="0.25">
      <c r="A2201" s="1"/>
      <c r="B2201" s="2"/>
    </row>
    <row r="2202" spans="1:2" x14ac:dyDescent="0.25">
      <c r="A2202" s="1"/>
      <c r="B2202" s="2"/>
    </row>
    <row r="2203" spans="1:2" x14ac:dyDescent="0.25">
      <c r="A2203" s="1"/>
      <c r="B2203" s="2"/>
    </row>
    <row r="2204" spans="1:2" x14ac:dyDescent="0.25">
      <c r="A2204" s="1"/>
      <c r="B2204" s="2"/>
    </row>
    <row r="2205" spans="1:2" x14ac:dyDescent="0.25">
      <c r="A2205" s="1"/>
      <c r="B2205" s="2"/>
    </row>
    <row r="2206" spans="1:2" x14ac:dyDescent="0.25">
      <c r="A2206" s="1"/>
      <c r="B2206" s="2"/>
    </row>
    <row r="2207" spans="1:2" x14ac:dyDescent="0.25">
      <c r="A2207" s="1"/>
      <c r="B2207" s="2"/>
    </row>
    <row r="2208" spans="1:2" x14ac:dyDescent="0.25">
      <c r="A2208" s="1"/>
      <c r="B2208" s="2"/>
    </row>
    <row r="2209" spans="1:2" x14ac:dyDescent="0.25">
      <c r="A2209" s="1"/>
      <c r="B2209" s="2"/>
    </row>
    <row r="2210" spans="1:2" x14ac:dyDescent="0.25">
      <c r="A2210" s="1"/>
      <c r="B2210" s="2"/>
    </row>
    <row r="2211" spans="1:2" x14ac:dyDescent="0.25">
      <c r="A2211" s="1"/>
      <c r="B2211" s="2"/>
    </row>
    <row r="2212" spans="1:2" x14ac:dyDescent="0.25">
      <c r="A2212" s="1"/>
      <c r="B2212" s="2"/>
    </row>
    <row r="2213" spans="1:2" x14ac:dyDescent="0.25">
      <c r="A2213" s="1"/>
      <c r="B2213" s="2"/>
    </row>
    <row r="2214" spans="1:2" x14ac:dyDescent="0.25">
      <c r="A2214" s="1"/>
      <c r="B2214" s="2"/>
    </row>
    <row r="2215" spans="1:2" x14ac:dyDescent="0.25">
      <c r="A2215" s="1"/>
      <c r="B2215" s="2"/>
    </row>
    <row r="2216" spans="1:2" x14ac:dyDescent="0.25">
      <c r="A2216" s="1"/>
      <c r="B2216" s="2"/>
    </row>
    <row r="2217" spans="1:2" x14ac:dyDescent="0.25">
      <c r="A2217" s="1"/>
      <c r="B2217" s="2"/>
    </row>
    <row r="2218" spans="1:2" x14ac:dyDescent="0.25">
      <c r="A2218" s="1"/>
      <c r="B2218" s="2"/>
    </row>
    <row r="2219" spans="1:2" x14ac:dyDescent="0.25">
      <c r="A2219" s="1"/>
      <c r="B2219" s="2"/>
    </row>
    <row r="2220" spans="1:2" x14ac:dyDescent="0.25">
      <c r="A2220" s="1"/>
      <c r="B2220" s="2"/>
    </row>
    <row r="2221" spans="1:2" x14ac:dyDescent="0.25">
      <c r="A2221" s="1"/>
      <c r="B2221" s="2"/>
    </row>
    <row r="2222" spans="1:2" x14ac:dyDescent="0.25">
      <c r="A2222" s="1"/>
      <c r="B2222" s="2"/>
    </row>
    <row r="2223" spans="1:2" x14ac:dyDescent="0.25">
      <c r="A2223" s="1"/>
      <c r="B2223" s="2"/>
    </row>
    <row r="2224" spans="1:2" x14ac:dyDescent="0.25">
      <c r="A2224" s="1"/>
      <c r="B2224" s="2"/>
    </row>
    <row r="2225" spans="1:2" x14ac:dyDescent="0.25">
      <c r="A2225" s="1"/>
      <c r="B2225" s="2"/>
    </row>
    <row r="2226" spans="1:2" x14ac:dyDescent="0.25">
      <c r="A2226" s="1"/>
      <c r="B2226" s="2"/>
    </row>
    <row r="2227" spans="1:2" x14ac:dyDescent="0.25">
      <c r="A2227" s="1"/>
      <c r="B2227" s="2"/>
    </row>
    <row r="2228" spans="1:2" x14ac:dyDescent="0.25">
      <c r="A2228" s="1"/>
      <c r="B2228" s="2"/>
    </row>
    <row r="2229" spans="1:2" x14ac:dyDescent="0.25">
      <c r="A2229" s="1"/>
      <c r="B2229" s="2"/>
    </row>
    <row r="2230" spans="1:2" x14ac:dyDescent="0.25">
      <c r="A2230" s="1"/>
      <c r="B2230" s="2"/>
    </row>
    <row r="2231" spans="1:2" x14ac:dyDescent="0.25">
      <c r="A2231" s="1"/>
      <c r="B2231" s="2"/>
    </row>
    <row r="2232" spans="1:2" x14ac:dyDescent="0.25">
      <c r="A2232" s="1"/>
      <c r="B2232" s="2"/>
    </row>
    <row r="2233" spans="1:2" x14ac:dyDescent="0.25">
      <c r="A2233" s="1"/>
      <c r="B2233" s="2"/>
    </row>
    <row r="2234" spans="1:2" x14ac:dyDescent="0.25">
      <c r="A2234" s="1"/>
      <c r="B2234" s="2"/>
    </row>
    <row r="2235" spans="1:2" x14ac:dyDescent="0.25">
      <c r="A2235" s="1"/>
      <c r="B2235" s="2"/>
    </row>
    <row r="2236" spans="1:2" x14ac:dyDescent="0.25">
      <c r="A2236" s="1"/>
      <c r="B2236" s="2"/>
    </row>
    <row r="2237" spans="1:2" x14ac:dyDescent="0.25">
      <c r="A2237" s="1"/>
      <c r="B2237" s="2"/>
    </row>
    <row r="2238" spans="1:2" x14ac:dyDescent="0.25">
      <c r="A2238" s="1"/>
      <c r="B2238" s="2"/>
    </row>
    <row r="2239" spans="1:2" x14ac:dyDescent="0.25">
      <c r="A2239" s="1"/>
      <c r="B2239" s="2"/>
    </row>
    <row r="2240" spans="1:2" x14ac:dyDescent="0.25">
      <c r="A2240" s="1"/>
      <c r="B2240" s="2"/>
    </row>
    <row r="2241" spans="1:2" x14ac:dyDescent="0.25">
      <c r="A2241" s="1"/>
      <c r="B2241" s="2"/>
    </row>
    <row r="2242" spans="1:2" x14ac:dyDescent="0.25">
      <c r="A2242" s="1"/>
      <c r="B2242" s="2"/>
    </row>
    <row r="2243" spans="1:2" x14ac:dyDescent="0.25">
      <c r="A2243" s="1"/>
      <c r="B2243" s="2"/>
    </row>
    <row r="2244" spans="1:2" x14ac:dyDescent="0.25">
      <c r="A2244" s="1"/>
      <c r="B2244" s="2"/>
    </row>
    <row r="2245" spans="1:2" x14ac:dyDescent="0.25">
      <c r="A2245" s="1"/>
      <c r="B2245" s="2"/>
    </row>
    <row r="2246" spans="1:2" x14ac:dyDescent="0.25">
      <c r="A2246" s="1"/>
      <c r="B2246" s="2"/>
    </row>
    <row r="2247" spans="1:2" x14ac:dyDescent="0.25">
      <c r="A2247" s="1"/>
      <c r="B2247" s="2"/>
    </row>
    <row r="2248" spans="1:2" x14ac:dyDescent="0.25">
      <c r="A2248" s="1"/>
      <c r="B2248" s="2"/>
    </row>
    <row r="2249" spans="1:2" x14ac:dyDescent="0.25">
      <c r="A2249" s="1"/>
      <c r="B2249" s="2"/>
    </row>
    <row r="2250" spans="1:2" x14ac:dyDescent="0.25">
      <c r="A2250" s="1"/>
      <c r="B2250" s="2"/>
    </row>
    <row r="2251" spans="1:2" x14ac:dyDescent="0.25">
      <c r="A2251" s="1"/>
      <c r="B2251" s="2"/>
    </row>
    <row r="2252" spans="1:2" x14ac:dyDescent="0.25">
      <c r="A2252" s="1"/>
      <c r="B2252" s="2"/>
    </row>
    <row r="2253" spans="1:2" x14ac:dyDescent="0.25">
      <c r="A2253" s="1"/>
      <c r="B2253" s="2"/>
    </row>
    <row r="2254" spans="1:2" x14ac:dyDescent="0.25">
      <c r="A2254" s="1"/>
      <c r="B2254" s="2"/>
    </row>
    <row r="2255" spans="1:2" x14ac:dyDescent="0.25">
      <c r="A2255" s="1"/>
      <c r="B2255" s="2"/>
    </row>
    <row r="2256" spans="1:2" x14ac:dyDescent="0.25">
      <c r="A2256" s="1"/>
      <c r="B2256" s="2"/>
    </row>
    <row r="2257" spans="1:2" x14ac:dyDescent="0.25">
      <c r="A2257" s="1"/>
      <c r="B2257" s="2"/>
    </row>
    <row r="2258" spans="1:2" x14ac:dyDescent="0.25">
      <c r="A2258" s="1"/>
      <c r="B2258" s="2"/>
    </row>
    <row r="2259" spans="1:2" x14ac:dyDescent="0.25">
      <c r="A2259" s="1"/>
      <c r="B2259" s="2"/>
    </row>
    <row r="2260" spans="1:2" x14ac:dyDescent="0.25">
      <c r="A2260" s="1"/>
      <c r="B2260" s="2"/>
    </row>
    <row r="2261" spans="1:2" x14ac:dyDescent="0.25">
      <c r="A2261" s="1"/>
      <c r="B2261" s="2"/>
    </row>
    <row r="2262" spans="1:2" x14ac:dyDescent="0.25">
      <c r="A2262" s="1"/>
      <c r="B2262" s="2"/>
    </row>
    <row r="2263" spans="1:2" x14ac:dyDescent="0.25">
      <c r="A2263" s="1"/>
      <c r="B2263" s="2"/>
    </row>
    <row r="2264" spans="1:2" x14ac:dyDescent="0.25">
      <c r="A2264" s="1"/>
      <c r="B2264" s="2"/>
    </row>
    <row r="2265" spans="1:2" x14ac:dyDescent="0.25">
      <c r="A2265" s="1"/>
      <c r="B2265" s="2"/>
    </row>
    <row r="2266" spans="1:2" x14ac:dyDescent="0.25">
      <c r="A2266" s="1"/>
      <c r="B2266" s="2"/>
    </row>
    <row r="2267" spans="1:2" x14ac:dyDescent="0.25">
      <c r="A2267" s="1"/>
      <c r="B2267" s="2"/>
    </row>
    <row r="2268" spans="1:2" x14ac:dyDescent="0.25">
      <c r="A2268" s="1"/>
      <c r="B2268" s="2"/>
    </row>
    <row r="2269" spans="1:2" x14ac:dyDescent="0.25">
      <c r="A2269" s="1"/>
      <c r="B2269" s="2"/>
    </row>
    <row r="2270" spans="1:2" x14ac:dyDescent="0.25">
      <c r="A2270" s="1"/>
      <c r="B2270" s="2"/>
    </row>
    <row r="2271" spans="1:2" x14ac:dyDescent="0.25">
      <c r="A2271" s="1"/>
      <c r="B2271" s="2"/>
    </row>
    <row r="2272" spans="1:2" x14ac:dyDescent="0.25">
      <c r="A2272" s="1"/>
      <c r="B2272" s="2"/>
    </row>
    <row r="2273" spans="1:2" x14ac:dyDescent="0.25">
      <c r="A2273" s="1"/>
      <c r="B2273" s="2"/>
    </row>
    <row r="2274" spans="1:2" x14ac:dyDescent="0.25">
      <c r="A2274" s="1"/>
      <c r="B2274" s="2"/>
    </row>
    <row r="2275" spans="1:2" x14ac:dyDescent="0.25">
      <c r="A2275" s="1"/>
      <c r="B2275" s="2"/>
    </row>
    <row r="2276" spans="1:2" x14ac:dyDescent="0.25">
      <c r="A2276" s="1"/>
      <c r="B2276" s="2"/>
    </row>
    <row r="2277" spans="1:2" x14ac:dyDescent="0.25">
      <c r="A2277" s="1"/>
      <c r="B2277" s="2"/>
    </row>
    <row r="2278" spans="1:2" x14ac:dyDescent="0.25">
      <c r="A2278" s="1"/>
      <c r="B2278" s="2"/>
    </row>
    <row r="2279" spans="1:2" x14ac:dyDescent="0.25">
      <c r="A2279" s="1"/>
      <c r="B2279" s="2"/>
    </row>
    <row r="2280" spans="1:2" x14ac:dyDescent="0.25">
      <c r="A2280" s="1"/>
      <c r="B2280" s="2"/>
    </row>
    <row r="2281" spans="1:2" x14ac:dyDescent="0.25">
      <c r="A2281" s="1"/>
      <c r="B2281" s="2"/>
    </row>
    <row r="2282" spans="1:2" x14ac:dyDescent="0.25">
      <c r="A2282" s="1"/>
      <c r="B2282" s="2"/>
    </row>
    <row r="2283" spans="1:2" x14ac:dyDescent="0.25">
      <c r="A2283" s="1"/>
      <c r="B2283" s="2"/>
    </row>
    <row r="2284" spans="1:2" x14ac:dyDescent="0.25">
      <c r="A2284" s="1"/>
      <c r="B2284" s="2"/>
    </row>
    <row r="2285" spans="1:2" x14ac:dyDescent="0.25">
      <c r="A2285" s="1"/>
      <c r="B2285" s="2"/>
    </row>
    <row r="2286" spans="1:2" x14ac:dyDescent="0.25">
      <c r="A2286" s="1"/>
      <c r="B2286" s="2"/>
    </row>
    <row r="2287" spans="1:2" x14ac:dyDescent="0.25">
      <c r="A2287" s="1"/>
      <c r="B2287" s="2"/>
    </row>
    <row r="2288" spans="1:2" x14ac:dyDescent="0.25">
      <c r="A2288" s="1"/>
      <c r="B2288" s="2"/>
    </row>
    <row r="2289" spans="1:2" x14ac:dyDescent="0.25">
      <c r="A2289" s="1"/>
      <c r="B2289" s="2"/>
    </row>
    <row r="2290" spans="1:2" x14ac:dyDescent="0.25">
      <c r="A2290" s="1"/>
      <c r="B2290" s="2"/>
    </row>
    <row r="2291" spans="1:2" x14ac:dyDescent="0.25">
      <c r="A2291" s="1"/>
      <c r="B2291" s="2"/>
    </row>
    <row r="2292" spans="1:2" x14ac:dyDescent="0.25">
      <c r="A2292" s="1"/>
      <c r="B2292" s="2"/>
    </row>
    <row r="2293" spans="1:2" x14ac:dyDescent="0.25">
      <c r="A2293" s="1"/>
      <c r="B2293" s="2"/>
    </row>
    <row r="2294" spans="1:2" x14ac:dyDescent="0.25">
      <c r="A2294" s="1"/>
      <c r="B2294" s="2"/>
    </row>
    <row r="2295" spans="1:2" x14ac:dyDescent="0.25">
      <c r="A2295" s="1"/>
      <c r="B2295" s="2"/>
    </row>
    <row r="2296" spans="1:2" x14ac:dyDescent="0.25">
      <c r="A2296" s="1"/>
      <c r="B2296" s="2"/>
    </row>
    <row r="2297" spans="1:2" x14ac:dyDescent="0.25">
      <c r="A2297" s="1"/>
      <c r="B2297" s="2"/>
    </row>
    <row r="2298" spans="1:2" x14ac:dyDescent="0.25">
      <c r="A2298" s="1"/>
      <c r="B2298" s="2"/>
    </row>
    <row r="2299" spans="1:2" x14ac:dyDescent="0.25">
      <c r="A2299" s="1"/>
      <c r="B2299" s="2"/>
    </row>
    <row r="2300" spans="1:2" x14ac:dyDescent="0.25">
      <c r="A2300" s="1"/>
      <c r="B2300" s="2"/>
    </row>
    <row r="2301" spans="1:2" x14ac:dyDescent="0.25">
      <c r="A2301" s="1"/>
      <c r="B2301" s="2"/>
    </row>
    <row r="2302" spans="1:2" x14ac:dyDescent="0.25">
      <c r="A2302" s="1"/>
      <c r="B2302" s="2"/>
    </row>
    <row r="2303" spans="1:2" x14ac:dyDescent="0.25">
      <c r="A2303" s="1"/>
      <c r="B2303" s="2"/>
    </row>
    <row r="2304" spans="1:2" x14ac:dyDescent="0.25">
      <c r="A2304" s="1"/>
      <c r="B2304" s="2"/>
    </row>
    <row r="2305" spans="1:2" x14ac:dyDescent="0.25">
      <c r="A2305" s="1"/>
      <c r="B2305" s="2"/>
    </row>
    <row r="2306" spans="1:2" x14ac:dyDescent="0.25">
      <c r="A2306" s="1"/>
      <c r="B2306" s="2"/>
    </row>
    <row r="2307" spans="1:2" x14ac:dyDescent="0.25">
      <c r="A2307" s="1"/>
      <c r="B2307" s="2"/>
    </row>
    <row r="2308" spans="1:2" x14ac:dyDescent="0.25">
      <c r="A2308" s="1"/>
      <c r="B2308" s="2"/>
    </row>
    <row r="2309" spans="1:2" x14ac:dyDescent="0.25">
      <c r="A2309" s="1"/>
      <c r="B2309" s="2"/>
    </row>
    <row r="2310" spans="1:2" x14ac:dyDescent="0.25">
      <c r="A2310" s="1"/>
      <c r="B2310" s="2"/>
    </row>
    <row r="2311" spans="1:2" x14ac:dyDescent="0.25">
      <c r="A2311" s="1"/>
      <c r="B2311" s="2"/>
    </row>
    <row r="2312" spans="1:2" x14ac:dyDescent="0.25">
      <c r="A2312" s="1"/>
      <c r="B2312" s="2"/>
    </row>
    <row r="2313" spans="1:2" x14ac:dyDescent="0.25">
      <c r="A2313" s="1"/>
      <c r="B2313" s="2"/>
    </row>
    <row r="2314" spans="1:2" x14ac:dyDescent="0.25">
      <c r="A2314" s="1"/>
      <c r="B2314" s="2"/>
    </row>
    <row r="2315" spans="1:2" x14ac:dyDescent="0.25">
      <c r="A2315" s="1"/>
      <c r="B2315" s="2"/>
    </row>
    <row r="2316" spans="1:2" x14ac:dyDescent="0.25">
      <c r="A2316" s="1"/>
      <c r="B2316" s="2"/>
    </row>
    <row r="2317" spans="1:2" x14ac:dyDescent="0.25">
      <c r="A2317" s="1"/>
      <c r="B2317" s="2"/>
    </row>
    <row r="2318" spans="1:2" x14ac:dyDescent="0.25">
      <c r="A2318" s="1"/>
      <c r="B2318" s="2"/>
    </row>
    <row r="2319" spans="1:2" x14ac:dyDescent="0.25">
      <c r="A2319" s="1"/>
      <c r="B2319" s="2"/>
    </row>
    <row r="2320" spans="1:2" x14ac:dyDescent="0.25">
      <c r="A2320" s="1"/>
      <c r="B2320" s="2"/>
    </row>
    <row r="2321" spans="1:2" x14ac:dyDescent="0.25">
      <c r="A2321" s="1"/>
      <c r="B2321" s="2"/>
    </row>
    <row r="2322" spans="1:2" x14ac:dyDescent="0.25">
      <c r="A2322" s="1"/>
      <c r="B2322" s="2"/>
    </row>
    <row r="2323" spans="1:2" x14ac:dyDescent="0.25">
      <c r="A2323" s="1"/>
      <c r="B2323" s="2"/>
    </row>
    <row r="2324" spans="1:2" x14ac:dyDescent="0.25">
      <c r="A2324" s="1"/>
      <c r="B2324" s="2"/>
    </row>
    <row r="2325" spans="1:2" x14ac:dyDescent="0.25">
      <c r="A2325" s="1"/>
      <c r="B2325" s="2"/>
    </row>
    <row r="2326" spans="1:2" x14ac:dyDescent="0.25">
      <c r="A2326" s="1"/>
      <c r="B2326" s="2"/>
    </row>
    <row r="2327" spans="1:2" x14ac:dyDescent="0.25">
      <c r="A2327" s="1"/>
      <c r="B2327" s="2"/>
    </row>
    <row r="2328" spans="1:2" x14ac:dyDescent="0.25">
      <c r="A2328" s="1"/>
      <c r="B2328" s="2"/>
    </row>
    <row r="2329" spans="1:2" x14ac:dyDescent="0.25">
      <c r="A2329" s="1"/>
      <c r="B2329" s="2"/>
    </row>
    <row r="2330" spans="1:2" x14ac:dyDescent="0.25">
      <c r="A2330" s="1"/>
      <c r="B2330" s="2"/>
    </row>
    <row r="2331" spans="1:2" x14ac:dyDescent="0.25">
      <c r="A2331" s="1"/>
      <c r="B2331" s="2"/>
    </row>
    <row r="2332" spans="1:2" x14ac:dyDescent="0.25">
      <c r="A2332" s="1"/>
      <c r="B2332" s="2"/>
    </row>
    <row r="2333" spans="1:2" x14ac:dyDescent="0.25">
      <c r="A2333" s="1"/>
      <c r="B2333" s="2"/>
    </row>
    <row r="2334" spans="1:2" x14ac:dyDescent="0.25">
      <c r="A2334" s="1"/>
      <c r="B2334" s="2"/>
    </row>
    <row r="2335" spans="1:2" x14ac:dyDescent="0.25">
      <c r="A2335" s="1"/>
      <c r="B2335" s="2"/>
    </row>
    <row r="2336" spans="1:2" x14ac:dyDescent="0.25">
      <c r="A2336" s="1"/>
      <c r="B2336" s="2"/>
    </row>
    <row r="2337" spans="1:2" x14ac:dyDescent="0.25">
      <c r="A2337" s="1"/>
      <c r="B2337" s="2"/>
    </row>
    <row r="2338" spans="1:2" x14ac:dyDescent="0.25">
      <c r="A2338" s="1"/>
      <c r="B2338" s="2"/>
    </row>
    <row r="2339" spans="1:2" x14ac:dyDescent="0.25">
      <c r="A2339" s="1"/>
      <c r="B2339" s="2"/>
    </row>
    <row r="2340" spans="1:2" x14ac:dyDescent="0.25">
      <c r="A2340" s="1"/>
      <c r="B2340" s="2"/>
    </row>
    <row r="2341" spans="1:2" x14ac:dyDescent="0.25">
      <c r="A2341" s="1"/>
      <c r="B2341" s="2"/>
    </row>
    <row r="2342" spans="1:2" x14ac:dyDescent="0.25">
      <c r="A2342" s="1"/>
      <c r="B2342" s="2"/>
    </row>
    <row r="2343" spans="1:2" x14ac:dyDescent="0.25">
      <c r="A2343" s="1"/>
      <c r="B2343" s="2"/>
    </row>
    <row r="2344" spans="1:2" x14ac:dyDescent="0.25">
      <c r="A2344" s="1"/>
      <c r="B2344" s="2"/>
    </row>
    <row r="2345" spans="1:2" x14ac:dyDescent="0.25">
      <c r="A2345" s="1"/>
      <c r="B2345" s="2"/>
    </row>
    <row r="2346" spans="1:2" x14ac:dyDescent="0.25">
      <c r="A2346" s="1"/>
      <c r="B2346" s="2"/>
    </row>
    <row r="2347" spans="1:2" x14ac:dyDescent="0.25">
      <c r="A2347" s="1"/>
      <c r="B2347" s="2"/>
    </row>
    <row r="2348" spans="1:2" x14ac:dyDescent="0.25">
      <c r="A2348" s="1"/>
      <c r="B2348" s="2"/>
    </row>
    <row r="2349" spans="1:2" x14ac:dyDescent="0.25">
      <c r="A2349" s="1"/>
      <c r="B2349" s="2"/>
    </row>
    <row r="2350" spans="1:2" x14ac:dyDescent="0.25">
      <c r="A2350" s="1"/>
      <c r="B2350" s="2"/>
    </row>
    <row r="2351" spans="1:2" x14ac:dyDescent="0.25">
      <c r="A2351" s="1"/>
      <c r="B2351" s="2"/>
    </row>
    <row r="2352" spans="1:2" x14ac:dyDescent="0.25">
      <c r="A2352" s="1"/>
      <c r="B2352" s="2"/>
    </row>
    <row r="2353" spans="1:2" x14ac:dyDescent="0.25">
      <c r="A2353" s="1"/>
      <c r="B2353" s="2"/>
    </row>
    <row r="2354" spans="1:2" x14ac:dyDescent="0.25">
      <c r="A2354" s="1"/>
      <c r="B2354" s="2"/>
    </row>
    <row r="2355" spans="1:2" x14ac:dyDescent="0.25">
      <c r="A2355" s="1"/>
      <c r="B2355" s="2"/>
    </row>
    <row r="2356" spans="1:2" x14ac:dyDescent="0.25">
      <c r="A2356" s="1"/>
      <c r="B2356" s="2"/>
    </row>
    <row r="2357" spans="1:2" x14ac:dyDescent="0.25">
      <c r="A2357" s="1"/>
      <c r="B2357" s="2"/>
    </row>
    <row r="2358" spans="1:2" x14ac:dyDescent="0.25">
      <c r="A2358" s="1"/>
      <c r="B2358" s="2"/>
    </row>
    <row r="2359" spans="1:2" x14ac:dyDescent="0.25">
      <c r="A2359" s="1"/>
      <c r="B2359" s="2"/>
    </row>
    <row r="2360" spans="1:2" x14ac:dyDescent="0.25">
      <c r="A2360" s="1"/>
      <c r="B2360" s="2"/>
    </row>
    <row r="2361" spans="1:2" x14ac:dyDescent="0.25">
      <c r="A2361" s="1"/>
      <c r="B2361" s="2"/>
    </row>
    <row r="2362" spans="1:2" x14ac:dyDescent="0.25">
      <c r="A2362" s="1"/>
      <c r="B2362" s="2"/>
    </row>
    <row r="2363" spans="1:2" x14ac:dyDescent="0.25">
      <c r="A2363" s="1"/>
      <c r="B2363" s="2"/>
    </row>
    <row r="2364" spans="1:2" x14ac:dyDescent="0.25">
      <c r="A2364" s="1"/>
      <c r="B2364" s="2"/>
    </row>
    <row r="2365" spans="1:2" x14ac:dyDescent="0.25">
      <c r="A2365" s="1"/>
      <c r="B2365" s="2"/>
    </row>
    <row r="2366" spans="1:2" x14ac:dyDescent="0.25">
      <c r="A2366" s="1"/>
      <c r="B2366" s="2"/>
    </row>
    <row r="2367" spans="1:2" x14ac:dyDescent="0.25">
      <c r="A2367" s="1"/>
      <c r="B2367" s="2"/>
    </row>
    <row r="2368" spans="1:2" x14ac:dyDescent="0.25">
      <c r="A2368" s="1"/>
      <c r="B2368" s="2"/>
    </row>
    <row r="2369" spans="1:2" x14ac:dyDescent="0.25">
      <c r="A2369" s="1"/>
      <c r="B2369" s="2"/>
    </row>
    <row r="2370" spans="1:2" x14ac:dyDescent="0.25">
      <c r="A2370" s="1"/>
      <c r="B2370" s="2"/>
    </row>
    <row r="2371" spans="1:2" x14ac:dyDescent="0.25">
      <c r="A2371" s="1"/>
      <c r="B2371" s="2"/>
    </row>
    <row r="2372" spans="1:2" x14ac:dyDescent="0.25">
      <c r="A2372" s="1"/>
      <c r="B2372" s="2"/>
    </row>
    <row r="2373" spans="1:2" x14ac:dyDescent="0.25">
      <c r="A2373" s="1"/>
      <c r="B2373" s="2"/>
    </row>
    <row r="2374" spans="1:2" x14ac:dyDescent="0.25">
      <c r="A2374" s="1"/>
      <c r="B2374" s="2"/>
    </row>
    <row r="2375" spans="1:2" x14ac:dyDescent="0.25">
      <c r="A2375" s="1"/>
      <c r="B2375" s="2"/>
    </row>
    <row r="2376" spans="1:2" x14ac:dyDescent="0.25">
      <c r="A2376" s="1"/>
      <c r="B2376" s="2"/>
    </row>
    <row r="2377" spans="1:2" x14ac:dyDescent="0.25">
      <c r="A2377" s="1"/>
      <c r="B2377" s="2"/>
    </row>
    <row r="2378" spans="1:2" x14ac:dyDescent="0.25">
      <c r="A2378" s="1"/>
      <c r="B2378" s="2"/>
    </row>
    <row r="2379" spans="1:2" x14ac:dyDescent="0.25">
      <c r="A2379" s="1"/>
      <c r="B2379" s="2"/>
    </row>
    <row r="2380" spans="1:2" x14ac:dyDescent="0.25">
      <c r="A2380" s="1"/>
      <c r="B2380" s="2"/>
    </row>
    <row r="2381" spans="1:2" x14ac:dyDescent="0.25">
      <c r="A2381" s="1"/>
      <c r="B2381" s="2"/>
    </row>
    <row r="2382" spans="1:2" x14ac:dyDescent="0.25">
      <c r="A2382" s="1"/>
      <c r="B2382" s="2"/>
    </row>
    <row r="2383" spans="1:2" x14ac:dyDescent="0.25">
      <c r="A2383" s="1"/>
      <c r="B2383" s="2"/>
    </row>
    <row r="2384" spans="1:2" x14ac:dyDescent="0.25">
      <c r="A2384" s="1"/>
      <c r="B2384" s="2"/>
    </row>
    <row r="2385" spans="1:2" x14ac:dyDescent="0.25">
      <c r="A2385" s="1"/>
      <c r="B2385" s="2"/>
    </row>
    <row r="2386" spans="1:2" x14ac:dyDescent="0.25">
      <c r="A2386" s="1"/>
      <c r="B2386" s="2"/>
    </row>
    <row r="2387" spans="1:2" x14ac:dyDescent="0.25">
      <c r="A2387" s="1"/>
      <c r="B2387" s="2"/>
    </row>
    <row r="2388" spans="1:2" x14ac:dyDescent="0.25">
      <c r="A2388" s="1"/>
      <c r="B2388" s="2"/>
    </row>
    <row r="2389" spans="1:2" x14ac:dyDescent="0.25">
      <c r="A2389" s="1"/>
      <c r="B2389" s="2"/>
    </row>
    <row r="2390" spans="1:2" x14ac:dyDescent="0.25">
      <c r="A2390" s="1"/>
      <c r="B2390" s="2"/>
    </row>
    <row r="2391" spans="1:2" x14ac:dyDescent="0.25">
      <c r="A2391" s="1"/>
      <c r="B2391" s="2"/>
    </row>
    <row r="2392" spans="1:2" x14ac:dyDescent="0.25">
      <c r="A2392" s="1"/>
      <c r="B2392" s="2"/>
    </row>
    <row r="2393" spans="1:2" x14ac:dyDescent="0.25">
      <c r="A2393" s="1"/>
      <c r="B2393" s="2"/>
    </row>
    <row r="2394" spans="1:2" x14ac:dyDescent="0.25">
      <c r="A2394" s="1"/>
      <c r="B2394" s="2"/>
    </row>
    <row r="2395" spans="1:2" x14ac:dyDescent="0.25">
      <c r="A2395" s="1"/>
      <c r="B2395" s="2"/>
    </row>
    <row r="2396" spans="1:2" x14ac:dyDescent="0.25">
      <c r="A2396" s="1"/>
      <c r="B2396" s="2"/>
    </row>
    <row r="2397" spans="1:2" x14ac:dyDescent="0.25">
      <c r="A2397" s="1"/>
      <c r="B2397" s="2"/>
    </row>
    <row r="2398" spans="1:2" x14ac:dyDescent="0.25">
      <c r="A2398" s="1"/>
      <c r="B2398" s="2"/>
    </row>
    <row r="2399" spans="1:2" x14ac:dyDescent="0.25">
      <c r="A2399" s="1"/>
      <c r="B2399" s="2"/>
    </row>
    <row r="2400" spans="1:2" x14ac:dyDescent="0.25">
      <c r="A2400" s="1"/>
      <c r="B2400" s="2"/>
    </row>
    <row r="2401" spans="1:2" x14ac:dyDescent="0.25">
      <c r="A2401" s="1"/>
      <c r="B2401" s="2"/>
    </row>
    <row r="2402" spans="1:2" x14ac:dyDescent="0.25">
      <c r="A2402" s="1"/>
      <c r="B2402" s="2"/>
    </row>
    <row r="2403" spans="1:2" x14ac:dyDescent="0.25">
      <c r="A2403" s="1"/>
      <c r="B2403" s="2"/>
    </row>
    <row r="2404" spans="1:2" x14ac:dyDescent="0.25">
      <c r="A2404" s="1"/>
      <c r="B2404" s="2"/>
    </row>
    <row r="2405" spans="1:2" x14ac:dyDescent="0.25">
      <c r="A2405" s="1"/>
      <c r="B2405" s="2"/>
    </row>
    <row r="2406" spans="1:2" x14ac:dyDescent="0.25">
      <c r="A2406" s="1"/>
      <c r="B2406" s="2"/>
    </row>
    <row r="2407" spans="1:2" x14ac:dyDescent="0.25">
      <c r="A2407" s="1"/>
      <c r="B2407" s="2"/>
    </row>
    <row r="2408" spans="1:2" x14ac:dyDescent="0.25">
      <c r="A2408" s="1"/>
      <c r="B2408" s="2"/>
    </row>
    <row r="2409" spans="1:2" x14ac:dyDescent="0.25">
      <c r="A2409" s="1"/>
      <c r="B2409" s="2"/>
    </row>
    <row r="2410" spans="1:2" x14ac:dyDescent="0.25">
      <c r="A2410" s="1"/>
      <c r="B2410" s="2"/>
    </row>
    <row r="2411" spans="1:2" x14ac:dyDescent="0.25">
      <c r="A2411" s="1"/>
      <c r="B2411" s="2"/>
    </row>
    <row r="2412" spans="1:2" x14ac:dyDescent="0.25">
      <c r="A2412" s="1"/>
      <c r="B2412" s="2"/>
    </row>
    <row r="2413" spans="1:2" x14ac:dyDescent="0.25">
      <c r="A2413" s="1"/>
      <c r="B2413" s="2"/>
    </row>
    <row r="2414" spans="1:2" x14ac:dyDescent="0.25">
      <c r="A2414" s="1"/>
      <c r="B2414" s="2"/>
    </row>
    <row r="2415" spans="1:2" x14ac:dyDescent="0.25">
      <c r="A2415" s="1"/>
      <c r="B2415" s="2"/>
    </row>
    <row r="2416" spans="1:2" x14ac:dyDescent="0.25">
      <c r="A2416" s="1"/>
      <c r="B2416" s="2"/>
    </row>
    <row r="2417" spans="1:2" x14ac:dyDescent="0.25">
      <c r="A2417" s="1"/>
      <c r="B2417" s="2"/>
    </row>
    <row r="2418" spans="1:2" x14ac:dyDescent="0.25">
      <c r="A2418" s="1"/>
      <c r="B2418" s="2"/>
    </row>
    <row r="2419" spans="1:2" x14ac:dyDescent="0.25">
      <c r="A2419" s="1"/>
      <c r="B2419" s="2"/>
    </row>
    <row r="2420" spans="1:2" x14ac:dyDescent="0.25">
      <c r="A2420" s="1"/>
      <c r="B2420" s="2"/>
    </row>
    <row r="2421" spans="1:2" x14ac:dyDescent="0.25">
      <c r="A2421" s="1"/>
      <c r="B2421" s="2"/>
    </row>
    <row r="2422" spans="1:2" x14ac:dyDescent="0.25">
      <c r="A2422" s="1"/>
      <c r="B2422" s="2"/>
    </row>
    <row r="2423" spans="1:2" x14ac:dyDescent="0.25">
      <c r="A2423" s="1"/>
      <c r="B2423" s="2"/>
    </row>
    <row r="2424" spans="1:2" x14ac:dyDescent="0.25">
      <c r="A2424" s="1"/>
      <c r="B2424" s="2"/>
    </row>
    <row r="2425" spans="1:2" x14ac:dyDescent="0.25">
      <c r="A2425" s="1"/>
      <c r="B2425" s="2"/>
    </row>
    <row r="2426" spans="1:2" x14ac:dyDescent="0.25">
      <c r="A2426" s="1"/>
      <c r="B2426" s="2"/>
    </row>
    <row r="2427" spans="1:2" x14ac:dyDescent="0.25">
      <c r="A2427" s="1"/>
      <c r="B2427" s="2"/>
    </row>
    <row r="2428" spans="1:2" x14ac:dyDescent="0.25">
      <c r="A2428" s="1"/>
      <c r="B2428" s="2"/>
    </row>
    <row r="2429" spans="1:2" x14ac:dyDescent="0.25">
      <c r="A2429" s="1"/>
      <c r="B2429" s="2"/>
    </row>
    <row r="2430" spans="1:2" x14ac:dyDescent="0.25">
      <c r="A2430" s="1"/>
      <c r="B2430" s="2"/>
    </row>
    <row r="2431" spans="1:2" x14ac:dyDescent="0.25">
      <c r="A2431" s="1"/>
      <c r="B2431" s="2"/>
    </row>
    <row r="2432" spans="1:2" x14ac:dyDescent="0.25">
      <c r="A2432" s="1"/>
      <c r="B2432" s="2"/>
    </row>
    <row r="2433" spans="1:2" x14ac:dyDescent="0.25">
      <c r="A2433" s="1"/>
      <c r="B2433" s="2"/>
    </row>
    <row r="2434" spans="1:2" x14ac:dyDescent="0.25">
      <c r="A2434" s="1"/>
      <c r="B2434" s="2"/>
    </row>
    <row r="2435" spans="1:2" x14ac:dyDescent="0.25">
      <c r="A2435" s="1"/>
      <c r="B2435" s="2"/>
    </row>
    <row r="2436" spans="1:2" x14ac:dyDescent="0.25">
      <c r="A2436" s="1"/>
      <c r="B2436" s="2"/>
    </row>
    <row r="2437" spans="1:2" x14ac:dyDescent="0.25">
      <c r="A2437" s="1"/>
      <c r="B2437" s="2"/>
    </row>
    <row r="2438" spans="1:2" x14ac:dyDescent="0.25">
      <c r="A2438" s="1"/>
      <c r="B2438" s="2"/>
    </row>
    <row r="2439" spans="1:2" x14ac:dyDescent="0.25">
      <c r="A2439" s="1"/>
      <c r="B2439" s="2"/>
    </row>
    <row r="2440" spans="1:2" x14ac:dyDescent="0.25">
      <c r="A2440" s="1"/>
      <c r="B2440" s="2"/>
    </row>
    <row r="2441" spans="1:2" x14ac:dyDescent="0.25">
      <c r="A2441" s="1"/>
      <c r="B2441" s="2"/>
    </row>
    <row r="2442" spans="1:2" x14ac:dyDescent="0.25">
      <c r="A2442" s="1"/>
      <c r="B2442" s="2"/>
    </row>
    <row r="2443" spans="1:2" x14ac:dyDescent="0.25">
      <c r="A2443" s="1"/>
      <c r="B2443" s="2"/>
    </row>
    <row r="2444" spans="1:2" x14ac:dyDescent="0.25">
      <c r="A2444" s="1"/>
      <c r="B2444" s="2"/>
    </row>
    <row r="2445" spans="1:2" x14ac:dyDescent="0.25">
      <c r="A2445" s="1"/>
      <c r="B2445" s="2"/>
    </row>
    <row r="2446" spans="1:2" x14ac:dyDescent="0.25">
      <c r="A2446" s="1"/>
      <c r="B2446" s="2"/>
    </row>
    <row r="2447" spans="1:2" x14ac:dyDescent="0.25">
      <c r="A2447" s="1"/>
      <c r="B2447" s="2"/>
    </row>
    <row r="2448" spans="1:2" x14ac:dyDescent="0.25">
      <c r="A2448" s="1"/>
      <c r="B2448" s="2"/>
    </row>
    <row r="2449" spans="1:2" x14ac:dyDescent="0.25">
      <c r="A2449" s="1"/>
      <c r="B2449" s="2"/>
    </row>
    <row r="2450" spans="1:2" x14ac:dyDescent="0.25">
      <c r="A2450" s="1"/>
      <c r="B2450" s="2"/>
    </row>
    <row r="2451" spans="1:2" x14ac:dyDescent="0.25">
      <c r="A2451" s="1"/>
      <c r="B2451" s="2"/>
    </row>
    <row r="2452" spans="1:2" x14ac:dyDescent="0.25">
      <c r="A2452" s="1"/>
      <c r="B2452" s="2"/>
    </row>
    <row r="2453" spans="1:2" x14ac:dyDescent="0.25">
      <c r="A2453" s="1"/>
      <c r="B2453" s="2"/>
    </row>
    <row r="2454" spans="1:2" x14ac:dyDescent="0.25">
      <c r="A2454" s="1"/>
      <c r="B2454" s="2"/>
    </row>
    <row r="2455" spans="1:2" x14ac:dyDescent="0.25">
      <c r="A2455" s="1"/>
      <c r="B2455" s="2"/>
    </row>
    <row r="2456" spans="1:2" x14ac:dyDescent="0.25">
      <c r="A2456" s="1"/>
      <c r="B2456" s="2"/>
    </row>
    <row r="2457" spans="1:2" x14ac:dyDescent="0.25">
      <c r="A2457" s="1"/>
      <c r="B2457" s="2"/>
    </row>
    <row r="2458" spans="1:2" x14ac:dyDescent="0.25">
      <c r="A2458" s="1"/>
      <c r="B2458" s="2"/>
    </row>
    <row r="2459" spans="1:2" x14ac:dyDescent="0.25">
      <c r="A2459" s="1"/>
      <c r="B2459" s="2"/>
    </row>
    <row r="2460" spans="1:2" x14ac:dyDescent="0.25">
      <c r="A2460" s="1"/>
      <c r="B2460" s="2"/>
    </row>
    <row r="2461" spans="1:2" x14ac:dyDescent="0.25">
      <c r="A2461" s="1"/>
      <c r="B2461" s="2"/>
    </row>
    <row r="2462" spans="1:2" x14ac:dyDescent="0.25">
      <c r="A2462" s="1"/>
      <c r="B2462" s="2"/>
    </row>
    <row r="2463" spans="1:2" x14ac:dyDescent="0.25">
      <c r="A2463" s="1"/>
      <c r="B2463" s="2"/>
    </row>
    <row r="2464" spans="1:2" x14ac:dyDescent="0.25">
      <c r="A2464" s="1"/>
      <c r="B2464" s="2"/>
    </row>
    <row r="2465" spans="1:2" x14ac:dyDescent="0.25">
      <c r="A2465" s="1"/>
      <c r="B2465" s="2"/>
    </row>
    <row r="2466" spans="1:2" x14ac:dyDescent="0.25">
      <c r="A2466" s="1"/>
      <c r="B2466" s="2"/>
    </row>
    <row r="2467" spans="1:2" x14ac:dyDescent="0.25">
      <c r="A2467" s="1"/>
      <c r="B2467" s="2"/>
    </row>
    <row r="2468" spans="1:2" x14ac:dyDescent="0.25">
      <c r="A2468" s="1"/>
      <c r="B2468" s="2"/>
    </row>
    <row r="2469" spans="1:2" x14ac:dyDescent="0.25">
      <c r="A2469" s="1"/>
      <c r="B2469" s="2"/>
    </row>
    <row r="2470" spans="1:2" x14ac:dyDescent="0.25">
      <c r="A2470" s="1"/>
      <c r="B2470" s="2"/>
    </row>
    <row r="2471" spans="1:2" x14ac:dyDescent="0.25">
      <c r="A2471" s="1"/>
      <c r="B2471" s="2"/>
    </row>
    <row r="2472" spans="1:2" x14ac:dyDescent="0.25">
      <c r="A2472" s="1"/>
      <c r="B2472" s="2"/>
    </row>
    <row r="2473" spans="1:2" x14ac:dyDescent="0.25">
      <c r="A2473" s="1"/>
      <c r="B2473" s="2"/>
    </row>
    <row r="2474" spans="1:2" x14ac:dyDescent="0.25">
      <c r="A2474" s="1"/>
      <c r="B2474" s="2"/>
    </row>
    <row r="2475" spans="1:2" x14ac:dyDescent="0.25">
      <c r="A2475" s="1"/>
      <c r="B2475" s="2"/>
    </row>
    <row r="2476" spans="1:2" x14ac:dyDescent="0.25">
      <c r="A2476" s="1"/>
      <c r="B2476" s="2"/>
    </row>
    <row r="2477" spans="1:2" x14ac:dyDescent="0.25">
      <c r="A2477" s="1"/>
      <c r="B2477" s="2"/>
    </row>
    <row r="2478" spans="1:2" x14ac:dyDescent="0.25">
      <c r="A2478" s="1"/>
      <c r="B2478" s="2"/>
    </row>
    <row r="2479" spans="1:2" x14ac:dyDescent="0.25">
      <c r="A2479" s="1"/>
      <c r="B2479" s="2"/>
    </row>
    <row r="2480" spans="1:2" x14ac:dyDescent="0.25">
      <c r="A2480" s="1"/>
      <c r="B2480" s="2"/>
    </row>
    <row r="2481" spans="1:2" x14ac:dyDescent="0.25">
      <c r="A2481" s="1"/>
      <c r="B2481" s="2"/>
    </row>
    <row r="2482" spans="1:2" x14ac:dyDescent="0.25">
      <c r="A2482" s="1"/>
      <c r="B2482" s="2"/>
    </row>
    <row r="2483" spans="1:2" x14ac:dyDescent="0.25">
      <c r="A2483" s="1"/>
      <c r="B2483" s="2"/>
    </row>
    <row r="2484" spans="1:2" x14ac:dyDescent="0.25">
      <c r="A2484" s="1"/>
      <c r="B2484" s="2"/>
    </row>
    <row r="2485" spans="1:2" x14ac:dyDescent="0.25">
      <c r="A2485" s="1"/>
      <c r="B2485" s="2"/>
    </row>
    <row r="2486" spans="1:2" x14ac:dyDescent="0.25">
      <c r="A2486" s="1"/>
      <c r="B2486" s="2"/>
    </row>
    <row r="2487" spans="1:2" x14ac:dyDescent="0.25">
      <c r="A2487" s="1"/>
      <c r="B2487" s="2"/>
    </row>
    <row r="2488" spans="1:2" x14ac:dyDescent="0.25">
      <c r="A2488" s="1"/>
      <c r="B2488" s="2"/>
    </row>
    <row r="2489" spans="1:2" x14ac:dyDescent="0.25">
      <c r="A2489" s="1"/>
      <c r="B2489" s="2"/>
    </row>
    <row r="2490" spans="1:2" x14ac:dyDescent="0.25">
      <c r="A2490" s="1"/>
      <c r="B2490" s="2"/>
    </row>
    <row r="2491" spans="1:2" x14ac:dyDescent="0.25">
      <c r="A2491" s="1"/>
      <c r="B2491" s="2"/>
    </row>
    <row r="2492" spans="1:2" x14ac:dyDescent="0.25">
      <c r="A2492" s="1"/>
      <c r="B2492" s="2"/>
    </row>
    <row r="2493" spans="1:2" x14ac:dyDescent="0.25">
      <c r="A2493" s="1"/>
      <c r="B2493" s="2"/>
    </row>
    <row r="2494" spans="1:2" x14ac:dyDescent="0.25">
      <c r="A2494" s="1"/>
      <c r="B2494" s="2"/>
    </row>
    <row r="2495" spans="1:2" x14ac:dyDescent="0.25">
      <c r="A2495" s="1"/>
      <c r="B2495" s="2"/>
    </row>
    <row r="2496" spans="1:2" x14ac:dyDescent="0.25">
      <c r="A2496" s="1"/>
      <c r="B2496" s="2"/>
    </row>
    <row r="2497" spans="1:2" x14ac:dyDescent="0.25">
      <c r="A2497" s="1"/>
      <c r="B2497" s="2"/>
    </row>
    <row r="2498" spans="1:2" x14ac:dyDescent="0.25">
      <c r="A2498" s="1"/>
      <c r="B2498" s="2"/>
    </row>
    <row r="2499" spans="1:2" x14ac:dyDescent="0.25">
      <c r="A2499" s="1"/>
      <c r="B2499" s="2"/>
    </row>
    <row r="2500" spans="1:2" x14ac:dyDescent="0.25">
      <c r="A2500" s="1"/>
      <c r="B2500" s="2"/>
    </row>
    <row r="2501" spans="1:2" x14ac:dyDescent="0.25">
      <c r="A2501" s="1"/>
      <c r="B2501" s="2"/>
    </row>
    <row r="2502" spans="1:2" x14ac:dyDescent="0.25">
      <c r="A2502" s="1"/>
      <c r="B2502" s="2"/>
    </row>
    <row r="2503" spans="1:2" x14ac:dyDescent="0.25">
      <c r="A2503" s="1"/>
      <c r="B2503" s="2"/>
    </row>
    <row r="2504" spans="1:2" x14ac:dyDescent="0.25">
      <c r="A2504" s="1"/>
      <c r="B2504" s="2"/>
    </row>
    <row r="2505" spans="1:2" x14ac:dyDescent="0.25">
      <c r="A2505" s="1"/>
      <c r="B2505" s="2"/>
    </row>
    <row r="2506" spans="1:2" x14ac:dyDescent="0.25">
      <c r="A2506" s="1"/>
      <c r="B2506" s="2"/>
    </row>
    <row r="2507" spans="1:2" x14ac:dyDescent="0.25">
      <c r="A2507" s="1"/>
      <c r="B2507" s="2"/>
    </row>
    <row r="2508" spans="1:2" x14ac:dyDescent="0.25">
      <c r="A2508" s="1"/>
      <c r="B2508" s="2"/>
    </row>
    <row r="2509" spans="1:2" x14ac:dyDescent="0.25">
      <c r="A2509" s="1"/>
      <c r="B2509" s="2"/>
    </row>
    <row r="2510" spans="1:2" x14ac:dyDescent="0.25">
      <c r="A2510" s="1"/>
      <c r="B2510" s="2"/>
    </row>
    <row r="2511" spans="1:2" x14ac:dyDescent="0.25">
      <c r="A2511" s="1"/>
      <c r="B2511" s="2"/>
    </row>
    <row r="2512" spans="1:2" x14ac:dyDescent="0.25">
      <c r="A2512" s="1"/>
      <c r="B2512" s="2"/>
    </row>
    <row r="2513" spans="1:2" x14ac:dyDescent="0.25">
      <c r="A2513" s="1"/>
      <c r="B2513" s="2"/>
    </row>
    <row r="2514" spans="1:2" x14ac:dyDescent="0.25">
      <c r="A2514" s="1"/>
      <c r="B2514" s="2"/>
    </row>
    <row r="2515" spans="1:2" x14ac:dyDescent="0.25">
      <c r="A2515" s="1"/>
      <c r="B2515" s="2"/>
    </row>
    <row r="2516" spans="1:2" x14ac:dyDescent="0.25">
      <c r="A2516" s="1"/>
      <c r="B2516" s="2"/>
    </row>
    <row r="2517" spans="1:2" x14ac:dyDescent="0.25">
      <c r="A2517" s="1"/>
      <c r="B2517" s="2"/>
    </row>
    <row r="2518" spans="1:2" x14ac:dyDescent="0.25">
      <c r="A2518" s="1"/>
      <c r="B2518" s="2"/>
    </row>
    <row r="2519" spans="1:2" x14ac:dyDescent="0.25">
      <c r="A2519" s="1"/>
      <c r="B2519" s="2"/>
    </row>
    <row r="2520" spans="1:2" x14ac:dyDescent="0.25">
      <c r="A2520" s="1"/>
      <c r="B2520" s="2"/>
    </row>
    <row r="2521" spans="1:2" x14ac:dyDescent="0.25">
      <c r="A2521" s="1"/>
      <c r="B2521" s="2"/>
    </row>
    <row r="2522" spans="1:2" x14ac:dyDescent="0.25">
      <c r="A2522" s="1"/>
      <c r="B2522" s="2"/>
    </row>
    <row r="2523" spans="1:2" x14ac:dyDescent="0.25">
      <c r="A2523" s="1"/>
      <c r="B2523" s="2"/>
    </row>
    <row r="2524" spans="1:2" x14ac:dyDescent="0.25">
      <c r="A2524" s="1"/>
      <c r="B2524" s="2"/>
    </row>
    <row r="2525" spans="1:2" x14ac:dyDescent="0.25">
      <c r="A2525" s="1"/>
      <c r="B2525" s="2"/>
    </row>
    <row r="2526" spans="1:2" x14ac:dyDescent="0.25">
      <c r="A2526" s="1"/>
      <c r="B2526" s="2"/>
    </row>
    <row r="2527" spans="1:2" x14ac:dyDescent="0.25">
      <c r="A2527" s="1"/>
      <c r="B2527" s="2"/>
    </row>
    <row r="2528" spans="1:2" x14ac:dyDescent="0.25">
      <c r="A2528" s="1"/>
      <c r="B2528" s="2"/>
    </row>
    <row r="2529" spans="1:2" x14ac:dyDescent="0.25">
      <c r="A2529" s="1"/>
      <c r="B2529" s="2"/>
    </row>
    <row r="2530" spans="1:2" x14ac:dyDescent="0.25">
      <c r="A2530" s="1"/>
      <c r="B2530" s="2"/>
    </row>
    <row r="2531" spans="1:2" x14ac:dyDescent="0.25">
      <c r="A2531" s="1"/>
      <c r="B2531" s="2"/>
    </row>
    <row r="2532" spans="1:2" x14ac:dyDescent="0.25">
      <c r="A2532" s="1"/>
      <c r="B2532" s="2"/>
    </row>
    <row r="2533" spans="1:2" x14ac:dyDescent="0.25">
      <c r="A2533" s="1"/>
      <c r="B2533" s="2"/>
    </row>
    <row r="2534" spans="1:2" x14ac:dyDescent="0.25">
      <c r="A2534" s="1"/>
      <c r="B2534" s="2"/>
    </row>
    <row r="2535" spans="1:2" x14ac:dyDescent="0.25">
      <c r="A2535" s="1"/>
      <c r="B2535" s="2"/>
    </row>
    <row r="2536" spans="1:2" x14ac:dyDescent="0.25">
      <c r="A2536" s="1"/>
      <c r="B2536" s="2"/>
    </row>
    <row r="2537" spans="1:2" x14ac:dyDescent="0.25">
      <c r="A2537" s="1"/>
      <c r="B2537" s="2"/>
    </row>
    <row r="2538" spans="1:2" x14ac:dyDescent="0.25">
      <c r="A2538" s="1"/>
      <c r="B2538" s="2"/>
    </row>
    <row r="2539" spans="1:2" x14ac:dyDescent="0.25">
      <c r="A2539" s="1"/>
      <c r="B2539" s="2"/>
    </row>
    <row r="2540" spans="1:2" x14ac:dyDescent="0.25">
      <c r="A2540" s="1"/>
      <c r="B2540" s="2"/>
    </row>
    <row r="2541" spans="1:2" x14ac:dyDescent="0.25">
      <c r="A2541" s="1"/>
      <c r="B2541" s="2"/>
    </row>
    <row r="2542" spans="1:2" x14ac:dyDescent="0.25">
      <c r="A2542" s="1"/>
      <c r="B2542" s="2"/>
    </row>
    <row r="2543" spans="1:2" x14ac:dyDescent="0.25">
      <c r="A2543" s="1"/>
      <c r="B2543" s="2"/>
    </row>
    <row r="2544" spans="1:2" x14ac:dyDescent="0.25">
      <c r="A2544" s="1"/>
      <c r="B2544" s="2"/>
    </row>
    <row r="2545" spans="1:2" x14ac:dyDescent="0.25">
      <c r="A2545" s="1"/>
      <c r="B2545" s="2"/>
    </row>
    <row r="2546" spans="1:2" x14ac:dyDescent="0.25">
      <c r="A2546" s="1"/>
      <c r="B2546" s="2"/>
    </row>
    <row r="2547" spans="1:2" x14ac:dyDescent="0.25">
      <c r="A2547" s="1"/>
      <c r="B2547" s="2"/>
    </row>
    <row r="2548" spans="1:2" x14ac:dyDescent="0.25">
      <c r="A2548" s="1"/>
      <c r="B2548" s="2"/>
    </row>
    <row r="2549" spans="1:2" x14ac:dyDescent="0.25">
      <c r="A2549" s="1"/>
      <c r="B2549" s="2"/>
    </row>
    <row r="2550" spans="1:2" x14ac:dyDescent="0.25">
      <c r="A2550" s="1"/>
      <c r="B2550" s="2"/>
    </row>
    <row r="2551" spans="1:2" x14ac:dyDescent="0.25">
      <c r="A2551" s="1"/>
      <c r="B2551" s="2"/>
    </row>
    <row r="2552" spans="1:2" x14ac:dyDescent="0.25">
      <c r="A2552" s="1"/>
      <c r="B2552" s="2"/>
    </row>
    <row r="2553" spans="1:2" x14ac:dyDescent="0.25">
      <c r="A2553" s="1"/>
      <c r="B2553" s="2"/>
    </row>
    <row r="2554" spans="1:2" x14ac:dyDescent="0.25">
      <c r="A2554" s="1"/>
      <c r="B2554" s="2"/>
    </row>
    <row r="2555" spans="1:2" x14ac:dyDescent="0.25">
      <c r="A2555" s="1"/>
      <c r="B2555" s="2"/>
    </row>
    <row r="2556" spans="1:2" x14ac:dyDescent="0.25">
      <c r="A2556" s="1"/>
      <c r="B2556" s="2"/>
    </row>
    <row r="2557" spans="1:2" x14ac:dyDescent="0.25">
      <c r="A2557" s="1"/>
      <c r="B2557" s="2"/>
    </row>
    <row r="2558" spans="1:2" x14ac:dyDescent="0.25">
      <c r="A2558" s="1"/>
      <c r="B2558" s="2"/>
    </row>
    <row r="2559" spans="1:2" x14ac:dyDescent="0.25">
      <c r="A2559" s="1"/>
      <c r="B2559" s="2"/>
    </row>
    <row r="2560" spans="1:2" x14ac:dyDescent="0.25">
      <c r="A2560" s="1"/>
      <c r="B2560" s="2"/>
    </row>
    <row r="2561" spans="1:2" x14ac:dyDescent="0.25">
      <c r="A2561" s="1"/>
      <c r="B2561" s="2"/>
    </row>
    <row r="2562" spans="1:2" x14ac:dyDescent="0.25">
      <c r="A2562" s="1"/>
      <c r="B2562" s="2"/>
    </row>
    <row r="2563" spans="1:2" x14ac:dyDescent="0.25">
      <c r="A2563" s="1"/>
      <c r="B2563" s="2"/>
    </row>
    <row r="2564" spans="1:2" x14ac:dyDescent="0.25">
      <c r="A2564" s="1"/>
      <c r="B2564" s="2"/>
    </row>
    <row r="2565" spans="1:2" x14ac:dyDescent="0.25">
      <c r="A2565" s="1"/>
      <c r="B2565" s="2"/>
    </row>
    <row r="2566" spans="1:2" x14ac:dyDescent="0.25">
      <c r="A2566" s="1"/>
      <c r="B2566" s="2"/>
    </row>
    <row r="2567" spans="1:2" x14ac:dyDescent="0.25">
      <c r="A2567" s="1"/>
      <c r="B2567" s="2"/>
    </row>
    <row r="2568" spans="1:2" x14ac:dyDescent="0.25">
      <c r="A2568" s="1"/>
      <c r="B2568" s="2"/>
    </row>
    <row r="2569" spans="1:2" x14ac:dyDescent="0.25">
      <c r="A2569" s="1"/>
      <c r="B2569" s="2"/>
    </row>
    <row r="2570" spans="1:2" x14ac:dyDescent="0.25">
      <c r="A2570" s="1"/>
      <c r="B2570" s="2"/>
    </row>
    <row r="2571" spans="1:2" x14ac:dyDescent="0.25">
      <c r="A2571" s="1"/>
      <c r="B2571" s="2"/>
    </row>
    <row r="2572" spans="1:2" x14ac:dyDescent="0.25">
      <c r="A2572" s="1"/>
      <c r="B2572" s="2"/>
    </row>
    <row r="2573" spans="1:2" x14ac:dyDescent="0.25">
      <c r="A2573" s="1"/>
      <c r="B2573" s="2"/>
    </row>
    <row r="2574" spans="1:2" x14ac:dyDescent="0.25">
      <c r="A2574" s="1"/>
      <c r="B2574" s="2"/>
    </row>
    <row r="2575" spans="1:2" x14ac:dyDescent="0.25">
      <c r="A2575" s="1"/>
      <c r="B2575" s="2"/>
    </row>
    <row r="2576" spans="1:2" x14ac:dyDescent="0.25">
      <c r="A2576" s="1"/>
      <c r="B2576" s="2"/>
    </row>
    <row r="2577" spans="1:2" x14ac:dyDescent="0.25">
      <c r="A2577" s="1"/>
      <c r="B2577" s="2"/>
    </row>
    <row r="2578" spans="1:2" x14ac:dyDescent="0.25">
      <c r="A2578" s="1"/>
      <c r="B2578" s="2"/>
    </row>
    <row r="2579" spans="1:2" x14ac:dyDescent="0.25">
      <c r="A2579" s="1"/>
      <c r="B2579" s="2"/>
    </row>
    <row r="2580" spans="1:2" x14ac:dyDescent="0.25">
      <c r="A2580" s="1"/>
      <c r="B2580" s="2"/>
    </row>
    <row r="2581" spans="1:2" x14ac:dyDescent="0.25">
      <c r="A2581" s="1"/>
      <c r="B2581" s="2"/>
    </row>
    <row r="2582" spans="1:2" x14ac:dyDescent="0.25">
      <c r="A2582" s="1"/>
      <c r="B2582" s="2"/>
    </row>
    <row r="2583" spans="1:2" x14ac:dyDescent="0.25">
      <c r="A2583" s="1"/>
      <c r="B2583" s="2"/>
    </row>
    <row r="2584" spans="1:2" x14ac:dyDescent="0.25">
      <c r="A2584" s="1"/>
      <c r="B2584" s="2"/>
    </row>
    <row r="2585" spans="1:2" x14ac:dyDescent="0.25">
      <c r="A2585" s="1"/>
      <c r="B2585" s="2"/>
    </row>
    <row r="2586" spans="1:2" x14ac:dyDescent="0.25">
      <c r="A2586" s="1"/>
      <c r="B2586" s="2"/>
    </row>
    <row r="2587" spans="1:2" x14ac:dyDescent="0.25">
      <c r="A2587" s="1"/>
      <c r="B2587" s="2"/>
    </row>
    <row r="2588" spans="1:2" x14ac:dyDescent="0.25">
      <c r="A2588" s="1"/>
      <c r="B2588" s="2"/>
    </row>
    <row r="2589" spans="1:2" x14ac:dyDescent="0.25">
      <c r="A2589" s="1"/>
      <c r="B2589" s="2"/>
    </row>
    <row r="2590" spans="1:2" x14ac:dyDescent="0.25">
      <c r="A2590" s="1"/>
      <c r="B2590" s="2"/>
    </row>
    <row r="2591" spans="1:2" x14ac:dyDescent="0.25">
      <c r="A2591" s="1"/>
      <c r="B2591" s="2"/>
    </row>
    <row r="2592" spans="1:2" x14ac:dyDescent="0.25">
      <c r="A2592" s="1"/>
      <c r="B2592" s="2"/>
    </row>
    <row r="2593" spans="1:2" x14ac:dyDescent="0.25">
      <c r="A2593" s="1"/>
      <c r="B2593" s="2"/>
    </row>
    <row r="2594" spans="1:2" x14ac:dyDescent="0.25">
      <c r="A2594" s="1"/>
      <c r="B2594" s="2"/>
    </row>
    <row r="2595" spans="1:2" x14ac:dyDescent="0.25">
      <c r="A2595" s="1"/>
      <c r="B2595" s="2"/>
    </row>
    <row r="2596" spans="1:2" x14ac:dyDescent="0.25">
      <c r="A2596" s="1"/>
      <c r="B2596" s="2"/>
    </row>
    <row r="2597" spans="1:2" x14ac:dyDescent="0.25">
      <c r="A2597" s="1"/>
      <c r="B2597" s="2"/>
    </row>
    <row r="2598" spans="1:2" x14ac:dyDescent="0.25">
      <c r="A2598" s="1"/>
      <c r="B2598" s="2"/>
    </row>
    <row r="2599" spans="1:2" x14ac:dyDescent="0.25">
      <c r="A2599" s="1"/>
      <c r="B2599" s="2"/>
    </row>
    <row r="2600" spans="1:2" x14ac:dyDescent="0.25">
      <c r="A2600" s="1"/>
      <c r="B2600" s="2"/>
    </row>
    <row r="2601" spans="1:2" x14ac:dyDescent="0.25">
      <c r="A2601" s="1"/>
      <c r="B2601" s="2"/>
    </row>
    <row r="2602" spans="1:2" x14ac:dyDescent="0.25">
      <c r="A2602" s="1"/>
      <c r="B2602" s="2"/>
    </row>
    <row r="2603" spans="1:2" x14ac:dyDescent="0.25">
      <c r="A2603" s="1"/>
      <c r="B2603" s="2"/>
    </row>
    <row r="2604" spans="1:2" x14ac:dyDescent="0.25">
      <c r="A2604" s="1"/>
      <c r="B2604" s="2"/>
    </row>
    <row r="2605" spans="1:2" x14ac:dyDescent="0.25">
      <c r="A2605" s="1"/>
      <c r="B2605" s="2"/>
    </row>
    <row r="2606" spans="1:2" x14ac:dyDescent="0.25">
      <c r="A2606" s="1"/>
      <c r="B2606" s="2"/>
    </row>
    <row r="2607" spans="1:2" x14ac:dyDescent="0.25">
      <c r="A2607" s="1"/>
      <c r="B2607" s="2"/>
    </row>
    <row r="2608" spans="1:2" x14ac:dyDescent="0.25">
      <c r="A2608" s="1"/>
      <c r="B2608" s="2"/>
    </row>
    <row r="2609" spans="1:2" x14ac:dyDescent="0.25">
      <c r="A2609" s="1"/>
      <c r="B2609" s="2"/>
    </row>
    <row r="2610" spans="1:2" x14ac:dyDescent="0.25">
      <c r="A2610" s="1"/>
      <c r="B2610" s="2"/>
    </row>
    <row r="2611" spans="1:2" x14ac:dyDescent="0.25">
      <c r="A2611" s="1"/>
      <c r="B2611" s="2"/>
    </row>
    <row r="2612" spans="1:2" x14ac:dyDescent="0.25">
      <c r="A2612" s="1"/>
      <c r="B2612" s="2"/>
    </row>
    <row r="2613" spans="1:2" x14ac:dyDescent="0.25">
      <c r="A2613" s="1"/>
      <c r="B2613" s="2"/>
    </row>
    <row r="2614" spans="1:2" x14ac:dyDescent="0.25">
      <c r="A2614" s="1"/>
      <c r="B2614" s="2"/>
    </row>
    <row r="2615" spans="1:2" x14ac:dyDescent="0.25">
      <c r="A2615" s="1"/>
      <c r="B2615" s="2"/>
    </row>
    <row r="2616" spans="1:2" x14ac:dyDescent="0.25">
      <c r="A2616" s="1"/>
      <c r="B2616" s="2"/>
    </row>
    <row r="2617" spans="1:2" x14ac:dyDescent="0.25">
      <c r="A2617" s="1"/>
      <c r="B2617" s="2"/>
    </row>
    <row r="2618" spans="1:2" x14ac:dyDescent="0.25">
      <c r="A2618" s="1"/>
      <c r="B2618" s="2"/>
    </row>
    <row r="2619" spans="1:2" x14ac:dyDescent="0.25">
      <c r="A2619" s="1"/>
      <c r="B2619" s="2"/>
    </row>
    <row r="2620" spans="1:2" x14ac:dyDescent="0.25">
      <c r="A2620" s="1"/>
      <c r="B2620" s="2"/>
    </row>
    <row r="2621" spans="1:2" x14ac:dyDescent="0.25">
      <c r="A2621" s="1"/>
      <c r="B2621" s="2"/>
    </row>
    <row r="2622" spans="1:2" x14ac:dyDescent="0.25">
      <c r="A2622" s="1"/>
      <c r="B2622" s="2"/>
    </row>
    <row r="2623" spans="1:2" x14ac:dyDescent="0.25">
      <c r="A2623" s="1"/>
      <c r="B2623" s="2"/>
    </row>
    <row r="2624" spans="1:2" x14ac:dyDescent="0.25">
      <c r="A2624" s="1"/>
      <c r="B2624" s="2"/>
    </row>
    <row r="2625" spans="1:2" x14ac:dyDescent="0.25">
      <c r="A2625" s="1"/>
      <c r="B2625" s="2"/>
    </row>
    <row r="2626" spans="1:2" x14ac:dyDescent="0.25">
      <c r="A2626" s="1"/>
      <c r="B2626" s="2"/>
    </row>
    <row r="2627" spans="1:2" x14ac:dyDescent="0.25">
      <c r="A2627" s="1"/>
      <c r="B2627" s="2"/>
    </row>
    <row r="2628" spans="1:2" x14ac:dyDescent="0.25">
      <c r="A2628" s="1"/>
      <c r="B2628" s="2"/>
    </row>
    <row r="2629" spans="1:2" x14ac:dyDescent="0.25">
      <c r="A2629" s="1"/>
      <c r="B2629" s="2"/>
    </row>
    <row r="2630" spans="1:2" x14ac:dyDescent="0.25">
      <c r="A2630" s="1"/>
      <c r="B2630" s="2"/>
    </row>
    <row r="2631" spans="1:2" x14ac:dyDescent="0.25">
      <c r="A2631" s="1"/>
      <c r="B2631" s="2"/>
    </row>
    <row r="2632" spans="1:2" x14ac:dyDescent="0.25">
      <c r="A2632" s="1"/>
      <c r="B2632" s="2"/>
    </row>
    <row r="2633" spans="1:2" x14ac:dyDescent="0.25">
      <c r="A2633" s="1"/>
      <c r="B2633" s="2"/>
    </row>
    <row r="2634" spans="1:2" x14ac:dyDescent="0.25">
      <c r="A2634" s="1"/>
      <c r="B2634" s="2"/>
    </row>
    <row r="2635" spans="1:2" x14ac:dyDescent="0.25">
      <c r="A2635" s="1"/>
      <c r="B2635" s="2"/>
    </row>
    <row r="2636" spans="1:2" x14ac:dyDescent="0.25">
      <c r="A2636" s="1"/>
      <c r="B2636" s="2"/>
    </row>
    <row r="2637" spans="1:2" x14ac:dyDescent="0.25">
      <c r="A2637" s="1"/>
      <c r="B2637" s="2"/>
    </row>
    <row r="2638" spans="1:2" x14ac:dyDescent="0.25">
      <c r="A2638" s="1"/>
      <c r="B2638" s="2"/>
    </row>
    <row r="2639" spans="1:2" x14ac:dyDescent="0.25">
      <c r="A2639" s="1"/>
      <c r="B2639" s="2"/>
    </row>
    <row r="2640" spans="1:2" x14ac:dyDescent="0.25">
      <c r="A2640" s="1"/>
      <c r="B2640" s="2"/>
    </row>
    <row r="2641" spans="1:2" x14ac:dyDescent="0.25">
      <c r="A2641" s="1"/>
      <c r="B2641" s="2"/>
    </row>
    <row r="2642" spans="1:2" x14ac:dyDescent="0.25">
      <c r="A2642" s="1"/>
      <c r="B2642" s="2"/>
    </row>
    <row r="2643" spans="1:2" x14ac:dyDescent="0.25">
      <c r="A2643" s="1"/>
      <c r="B2643" s="2"/>
    </row>
    <row r="2644" spans="1:2" x14ac:dyDescent="0.25">
      <c r="A2644" s="1"/>
      <c r="B2644" s="2"/>
    </row>
    <row r="2645" spans="1:2" x14ac:dyDescent="0.25">
      <c r="A2645" s="1"/>
      <c r="B2645" s="2"/>
    </row>
    <row r="2646" spans="1:2" x14ac:dyDescent="0.25">
      <c r="A2646" s="1"/>
      <c r="B2646" s="2"/>
    </row>
    <row r="2647" spans="1:2" x14ac:dyDescent="0.25">
      <c r="A2647" s="1"/>
      <c r="B2647" s="2"/>
    </row>
    <row r="2648" spans="1:2" x14ac:dyDescent="0.25">
      <c r="A2648" s="1"/>
      <c r="B2648" s="2"/>
    </row>
    <row r="2649" spans="1:2" x14ac:dyDescent="0.25">
      <c r="A2649" s="1"/>
      <c r="B2649" s="2"/>
    </row>
    <row r="2650" spans="1:2" x14ac:dyDescent="0.25">
      <c r="A2650" s="1"/>
      <c r="B2650" s="2"/>
    </row>
    <row r="2651" spans="1:2" x14ac:dyDescent="0.25">
      <c r="A2651" s="1"/>
      <c r="B2651" s="2"/>
    </row>
    <row r="2652" spans="1:2" x14ac:dyDescent="0.25">
      <c r="A2652" s="1"/>
      <c r="B2652" s="2"/>
    </row>
    <row r="2653" spans="1:2" x14ac:dyDescent="0.25">
      <c r="A2653" s="1"/>
      <c r="B2653" s="2"/>
    </row>
    <row r="2654" spans="1:2" x14ac:dyDescent="0.25">
      <c r="A2654" s="1"/>
      <c r="B2654" s="2"/>
    </row>
    <row r="2655" spans="1:2" x14ac:dyDescent="0.25">
      <c r="A2655" s="1"/>
      <c r="B2655" s="2"/>
    </row>
    <row r="2656" spans="1:2" x14ac:dyDescent="0.25">
      <c r="A2656" s="1"/>
      <c r="B2656" s="2"/>
    </row>
    <row r="2657" spans="1:2" x14ac:dyDescent="0.25">
      <c r="A2657" s="1"/>
      <c r="B2657" s="2"/>
    </row>
    <row r="2658" spans="1:2" x14ac:dyDescent="0.25">
      <c r="A2658" s="1"/>
      <c r="B2658" s="2"/>
    </row>
    <row r="2659" spans="1:2" x14ac:dyDescent="0.25">
      <c r="A2659" s="1"/>
      <c r="B2659" s="2"/>
    </row>
    <row r="2660" spans="1:2" x14ac:dyDescent="0.25">
      <c r="A2660" s="1"/>
      <c r="B2660" s="2"/>
    </row>
    <row r="2661" spans="1:2" x14ac:dyDescent="0.25">
      <c r="A2661" s="1"/>
      <c r="B2661" s="2"/>
    </row>
    <row r="2662" spans="1:2" x14ac:dyDescent="0.25">
      <c r="A2662" s="1"/>
      <c r="B2662" s="2"/>
    </row>
    <row r="2663" spans="1:2" x14ac:dyDescent="0.25">
      <c r="A2663" s="1"/>
      <c r="B2663" s="2"/>
    </row>
    <row r="2664" spans="1:2" x14ac:dyDescent="0.25">
      <c r="A2664" s="1"/>
      <c r="B2664" s="2"/>
    </row>
    <row r="2665" spans="1:2" x14ac:dyDescent="0.25">
      <c r="A2665" s="1"/>
      <c r="B2665" s="2"/>
    </row>
    <row r="2666" spans="1:2" x14ac:dyDescent="0.25">
      <c r="A2666" s="1"/>
      <c r="B2666" s="2"/>
    </row>
    <row r="2667" spans="1:2" x14ac:dyDescent="0.25">
      <c r="A2667" s="1"/>
      <c r="B2667" s="2"/>
    </row>
    <row r="2668" spans="1:2" x14ac:dyDescent="0.25">
      <c r="A2668" s="1"/>
      <c r="B2668" s="2"/>
    </row>
    <row r="2669" spans="1:2" x14ac:dyDescent="0.25">
      <c r="A2669" s="1"/>
      <c r="B2669" s="2"/>
    </row>
    <row r="2670" spans="1:2" x14ac:dyDescent="0.25">
      <c r="A2670" s="1"/>
      <c r="B2670" s="2"/>
    </row>
    <row r="2671" spans="1:2" x14ac:dyDescent="0.25">
      <c r="A2671" s="1"/>
      <c r="B2671" s="2"/>
    </row>
    <row r="2672" spans="1:2" x14ac:dyDescent="0.25">
      <c r="A2672" s="1"/>
      <c r="B2672" s="2"/>
    </row>
    <row r="2673" spans="1:2" x14ac:dyDescent="0.25">
      <c r="A2673" s="1"/>
      <c r="B2673" s="2"/>
    </row>
    <row r="2674" spans="1:2" x14ac:dyDescent="0.25">
      <c r="A2674" s="1"/>
      <c r="B2674" s="2"/>
    </row>
    <row r="2675" spans="1:2" x14ac:dyDescent="0.25">
      <c r="A2675" s="1"/>
      <c r="B2675" s="2"/>
    </row>
    <row r="2676" spans="1:2" x14ac:dyDescent="0.25">
      <c r="A2676" s="1"/>
      <c r="B2676" s="2"/>
    </row>
    <row r="2677" spans="1:2" x14ac:dyDescent="0.25">
      <c r="A2677" s="1"/>
      <c r="B2677" s="2"/>
    </row>
    <row r="2678" spans="1:2" x14ac:dyDescent="0.25">
      <c r="A2678" s="1"/>
      <c r="B2678" s="2"/>
    </row>
    <row r="2679" spans="1:2" x14ac:dyDescent="0.25">
      <c r="A2679" s="1"/>
      <c r="B2679" s="2"/>
    </row>
    <row r="2680" spans="1:2" x14ac:dyDescent="0.25">
      <c r="A2680" s="1"/>
      <c r="B2680" s="2"/>
    </row>
    <row r="2681" spans="1:2" x14ac:dyDescent="0.25">
      <c r="A2681" s="1"/>
      <c r="B2681" s="2"/>
    </row>
    <row r="2682" spans="1:2" x14ac:dyDescent="0.25">
      <c r="A2682" s="1"/>
      <c r="B2682" s="2"/>
    </row>
    <row r="2683" spans="1:2" x14ac:dyDescent="0.25">
      <c r="A2683" s="1"/>
      <c r="B2683" s="2"/>
    </row>
    <row r="2684" spans="1:2" x14ac:dyDescent="0.25">
      <c r="A2684" s="1"/>
      <c r="B2684" s="2"/>
    </row>
    <row r="2685" spans="1:2" x14ac:dyDescent="0.25">
      <c r="A2685" s="1"/>
      <c r="B2685" s="2"/>
    </row>
    <row r="2686" spans="1:2" x14ac:dyDescent="0.25">
      <c r="A2686" s="1"/>
      <c r="B2686" s="2"/>
    </row>
    <row r="2687" spans="1:2" x14ac:dyDescent="0.25">
      <c r="A2687" s="1"/>
      <c r="B2687" s="2"/>
    </row>
    <row r="2688" spans="1:2" x14ac:dyDescent="0.25">
      <c r="A2688" s="1"/>
      <c r="B2688" s="2"/>
    </row>
    <row r="2689" spans="1:2" x14ac:dyDescent="0.25">
      <c r="A2689" s="1"/>
      <c r="B2689" s="2"/>
    </row>
    <row r="2690" spans="1:2" x14ac:dyDescent="0.25">
      <c r="A2690" s="1"/>
      <c r="B2690" s="2"/>
    </row>
    <row r="2691" spans="1:2" x14ac:dyDescent="0.25">
      <c r="A2691" s="1"/>
      <c r="B2691" s="2"/>
    </row>
    <row r="2692" spans="1:2" x14ac:dyDescent="0.25">
      <c r="A2692" s="1"/>
      <c r="B2692" s="2"/>
    </row>
    <row r="2693" spans="1:2" x14ac:dyDescent="0.25">
      <c r="A2693" s="1"/>
      <c r="B2693" s="2"/>
    </row>
    <row r="2694" spans="1:2" x14ac:dyDescent="0.25">
      <c r="A2694" s="1"/>
      <c r="B2694" s="2"/>
    </row>
    <row r="2695" spans="1:2" x14ac:dyDescent="0.25">
      <c r="A2695" s="1"/>
      <c r="B2695" s="2"/>
    </row>
    <row r="2696" spans="1:2" x14ac:dyDescent="0.25">
      <c r="A2696" s="1"/>
      <c r="B2696" s="2"/>
    </row>
    <row r="2697" spans="1:2" x14ac:dyDescent="0.25">
      <c r="A2697" s="1"/>
      <c r="B2697" s="2"/>
    </row>
    <row r="2698" spans="1:2" x14ac:dyDescent="0.25">
      <c r="A2698" s="1"/>
      <c r="B2698" s="2"/>
    </row>
    <row r="2699" spans="1:2" x14ac:dyDescent="0.25">
      <c r="A2699" s="1"/>
      <c r="B2699" s="2"/>
    </row>
    <row r="2700" spans="1:2" x14ac:dyDescent="0.25">
      <c r="A2700" s="1"/>
      <c r="B2700" s="2"/>
    </row>
    <row r="2701" spans="1:2" x14ac:dyDescent="0.25">
      <c r="A2701" s="1"/>
      <c r="B2701" s="2"/>
    </row>
    <row r="2702" spans="1:2" x14ac:dyDescent="0.25">
      <c r="A2702" s="1"/>
      <c r="B2702" s="2"/>
    </row>
    <row r="2703" spans="1:2" x14ac:dyDescent="0.25">
      <c r="A2703" s="1"/>
      <c r="B2703" s="2"/>
    </row>
    <row r="2704" spans="1:2" x14ac:dyDescent="0.25">
      <c r="A2704" s="1"/>
      <c r="B2704" s="2"/>
    </row>
    <row r="2705" spans="1:2" x14ac:dyDescent="0.25">
      <c r="A2705" s="1"/>
      <c r="B2705" s="2"/>
    </row>
    <row r="2706" spans="1:2" x14ac:dyDescent="0.25">
      <c r="A2706" s="1"/>
      <c r="B2706" s="2"/>
    </row>
    <row r="2707" spans="1:2" x14ac:dyDescent="0.25">
      <c r="A2707" s="1"/>
      <c r="B2707" s="2"/>
    </row>
    <row r="2708" spans="1:2" x14ac:dyDescent="0.25">
      <c r="A2708" s="1"/>
      <c r="B2708" s="2"/>
    </row>
    <row r="2709" spans="1:2" x14ac:dyDescent="0.25">
      <c r="A2709" s="1"/>
      <c r="B2709" s="2"/>
    </row>
    <row r="2710" spans="1:2" x14ac:dyDescent="0.25">
      <c r="A2710" s="1"/>
      <c r="B2710" s="2"/>
    </row>
    <row r="2711" spans="1:2" x14ac:dyDescent="0.25">
      <c r="A2711" s="1"/>
      <c r="B2711" s="2"/>
    </row>
    <row r="2712" spans="1:2" x14ac:dyDescent="0.25">
      <c r="A2712" s="1"/>
      <c r="B2712" s="2"/>
    </row>
    <row r="2713" spans="1:2" x14ac:dyDescent="0.25">
      <c r="A2713" s="1"/>
      <c r="B2713" s="2"/>
    </row>
    <row r="2714" spans="1:2" x14ac:dyDescent="0.25">
      <c r="A2714" s="1"/>
      <c r="B2714" s="2"/>
    </row>
    <row r="2715" spans="1:2" x14ac:dyDescent="0.25">
      <c r="A2715" s="1"/>
      <c r="B2715" s="2"/>
    </row>
    <row r="2716" spans="1:2" x14ac:dyDescent="0.25">
      <c r="A2716" s="1"/>
      <c r="B2716" s="2"/>
    </row>
    <row r="2717" spans="1:2" x14ac:dyDescent="0.25">
      <c r="A2717" s="1"/>
      <c r="B2717" s="2"/>
    </row>
    <row r="2718" spans="1:2" x14ac:dyDescent="0.25">
      <c r="A2718" s="1"/>
      <c r="B2718" s="2"/>
    </row>
    <row r="2719" spans="1:2" x14ac:dyDescent="0.25">
      <c r="A2719" s="1"/>
      <c r="B2719" s="2"/>
    </row>
    <row r="2720" spans="1:2" x14ac:dyDescent="0.25">
      <c r="A2720" s="1"/>
      <c r="B2720" s="2"/>
    </row>
    <row r="2721" spans="1:2" x14ac:dyDescent="0.25">
      <c r="A2721" s="1"/>
      <c r="B2721" s="2"/>
    </row>
    <row r="2722" spans="1:2" x14ac:dyDescent="0.25">
      <c r="A2722" s="1"/>
      <c r="B2722" s="2"/>
    </row>
    <row r="2723" spans="1:2" x14ac:dyDescent="0.25">
      <c r="A2723" s="1"/>
      <c r="B2723" s="2"/>
    </row>
    <row r="2724" spans="1:2" x14ac:dyDescent="0.25">
      <c r="A2724" s="1"/>
      <c r="B2724" s="2"/>
    </row>
    <row r="2725" spans="1:2" x14ac:dyDescent="0.25">
      <c r="A2725" s="1"/>
      <c r="B2725" s="2"/>
    </row>
    <row r="2726" spans="1:2" x14ac:dyDescent="0.25">
      <c r="A2726" s="1"/>
      <c r="B2726" s="2"/>
    </row>
    <row r="2727" spans="1:2" x14ac:dyDescent="0.25">
      <c r="A2727" s="1"/>
      <c r="B2727" s="2"/>
    </row>
    <row r="2728" spans="1:2" x14ac:dyDescent="0.25">
      <c r="A2728" s="1"/>
      <c r="B2728" s="2"/>
    </row>
    <row r="2729" spans="1:2" x14ac:dyDescent="0.25">
      <c r="A2729" s="1"/>
      <c r="B2729" s="2"/>
    </row>
    <row r="2730" spans="1:2" x14ac:dyDescent="0.25">
      <c r="A2730" s="1"/>
      <c r="B2730" s="2"/>
    </row>
    <row r="2731" spans="1:2" x14ac:dyDescent="0.25">
      <c r="A2731" s="1"/>
      <c r="B2731" s="2"/>
    </row>
    <row r="2732" spans="1:2" x14ac:dyDescent="0.25">
      <c r="A2732" s="1"/>
      <c r="B2732" s="2"/>
    </row>
    <row r="2733" spans="1:2" x14ac:dyDescent="0.25">
      <c r="A2733" s="1"/>
      <c r="B2733" s="2"/>
    </row>
    <row r="2734" spans="1:2" x14ac:dyDescent="0.25">
      <c r="A2734" s="1"/>
      <c r="B2734" s="2"/>
    </row>
    <row r="2735" spans="1:2" x14ac:dyDescent="0.25">
      <c r="A2735" s="1"/>
      <c r="B2735" s="2"/>
    </row>
    <row r="2736" spans="1:2" x14ac:dyDescent="0.25">
      <c r="A2736" s="1"/>
      <c r="B2736" s="2"/>
    </row>
    <row r="2737" spans="1:2" x14ac:dyDescent="0.25">
      <c r="A2737" s="1"/>
      <c r="B2737" s="2"/>
    </row>
    <row r="2738" spans="1:2" x14ac:dyDescent="0.25">
      <c r="A2738" s="1"/>
      <c r="B2738" s="2"/>
    </row>
    <row r="2739" spans="1:2" x14ac:dyDescent="0.25">
      <c r="A2739" s="1"/>
      <c r="B2739" s="2"/>
    </row>
    <row r="2740" spans="1:2" x14ac:dyDescent="0.25">
      <c r="A2740" s="1"/>
      <c r="B2740" s="2"/>
    </row>
    <row r="2741" spans="1:2" x14ac:dyDescent="0.25">
      <c r="A2741" s="1"/>
      <c r="B2741" s="2"/>
    </row>
    <row r="2742" spans="1:2" x14ac:dyDescent="0.25">
      <c r="A2742" s="1"/>
      <c r="B2742" s="2"/>
    </row>
    <row r="2743" spans="1:2" x14ac:dyDescent="0.25">
      <c r="A2743" s="1"/>
      <c r="B2743" s="2"/>
    </row>
    <row r="2744" spans="1:2" x14ac:dyDescent="0.25">
      <c r="A2744" s="1"/>
      <c r="B2744" s="2"/>
    </row>
    <row r="2745" spans="1:2" x14ac:dyDescent="0.25">
      <c r="A2745" s="1"/>
      <c r="B2745" s="2"/>
    </row>
    <row r="2746" spans="1:2" x14ac:dyDescent="0.25">
      <c r="A2746" s="1"/>
      <c r="B2746" s="2"/>
    </row>
    <row r="2747" spans="1:2" x14ac:dyDescent="0.25">
      <c r="A2747" s="1"/>
      <c r="B2747" s="2"/>
    </row>
    <row r="2748" spans="1:2" x14ac:dyDescent="0.25">
      <c r="A2748" s="1"/>
      <c r="B2748" s="2"/>
    </row>
    <row r="2749" spans="1:2" x14ac:dyDescent="0.25">
      <c r="A2749" s="1"/>
      <c r="B2749" s="2"/>
    </row>
    <row r="2750" spans="1:2" x14ac:dyDescent="0.25">
      <c r="A2750" s="1"/>
      <c r="B2750" s="2"/>
    </row>
    <row r="2751" spans="1:2" x14ac:dyDescent="0.25">
      <c r="A2751" s="1"/>
      <c r="B2751" s="2"/>
    </row>
    <row r="2752" spans="1:2" x14ac:dyDescent="0.25">
      <c r="A2752" s="1"/>
      <c r="B2752" s="2"/>
    </row>
    <row r="2753" spans="1:2" x14ac:dyDescent="0.25">
      <c r="A2753" s="1"/>
      <c r="B2753" s="2"/>
    </row>
    <row r="2754" spans="1:2" x14ac:dyDescent="0.25">
      <c r="A2754" s="1"/>
      <c r="B2754" s="2"/>
    </row>
    <row r="2755" spans="1:2" x14ac:dyDescent="0.25">
      <c r="A2755" s="1"/>
      <c r="B2755" s="2"/>
    </row>
    <row r="2756" spans="1:2" x14ac:dyDescent="0.25">
      <c r="A2756" s="1"/>
      <c r="B2756" s="2"/>
    </row>
    <row r="2757" spans="1:2" x14ac:dyDescent="0.25">
      <c r="A2757" s="1"/>
      <c r="B2757" s="2"/>
    </row>
    <row r="2758" spans="1:2" x14ac:dyDescent="0.25">
      <c r="A2758" s="1"/>
      <c r="B2758" s="2"/>
    </row>
    <row r="2759" spans="1:2" x14ac:dyDescent="0.25">
      <c r="A2759" s="1"/>
      <c r="B2759" s="2"/>
    </row>
    <row r="2760" spans="1:2" x14ac:dyDescent="0.25">
      <c r="A2760" s="1"/>
      <c r="B2760" s="2"/>
    </row>
    <row r="2761" spans="1:2" x14ac:dyDescent="0.25">
      <c r="A2761" s="1"/>
      <c r="B2761" s="2"/>
    </row>
    <row r="2762" spans="1:2" x14ac:dyDescent="0.25">
      <c r="A2762" s="1"/>
      <c r="B2762" s="2"/>
    </row>
    <row r="2763" spans="1:2" x14ac:dyDescent="0.25">
      <c r="A2763" s="1"/>
      <c r="B2763" s="2"/>
    </row>
    <row r="2764" spans="1:2" x14ac:dyDescent="0.25">
      <c r="A2764" s="1"/>
      <c r="B2764" s="2"/>
    </row>
    <row r="2765" spans="1:2" x14ac:dyDescent="0.25">
      <c r="A2765" s="1"/>
      <c r="B2765" s="2"/>
    </row>
    <row r="2766" spans="1:2" x14ac:dyDescent="0.25">
      <c r="A2766" s="1"/>
      <c r="B2766" s="2"/>
    </row>
    <row r="2767" spans="1:2" x14ac:dyDescent="0.25">
      <c r="A2767" s="1"/>
      <c r="B2767" s="2"/>
    </row>
    <row r="2768" spans="1:2" x14ac:dyDescent="0.25">
      <c r="A2768" s="1"/>
      <c r="B2768" s="2"/>
    </row>
    <row r="2769" spans="1:2" x14ac:dyDescent="0.25">
      <c r="A2769" s="1"/>
      <c r="B2769" s="2"/>
    </row>
    <row r="2770" spans="1:2" x14ac:dyDescent="0.25">
      <c r="A2770" s="1"/>
      <c r="B2770" s="2"/>
    </row>
    <row r="2771" spans="1:2" x14ac:dyDescent="0.25">
      <c r="A2771" s="1"/>
      <c r="B2771" s="2"/>
    </row>
    <row r="2772" spans="1:2" x14ac:dyDescent="0.25">
      <c r="A2772" s="1"/>
      <c r="B2772" s="2"/>
    </row>
    <row r="2773" spans="1:2" x14ac:dyDescent="0.25">
      <c r="A2773" s="1"/>
      <c r="B2773" s="2"/>
    </row>
    <row r="2774" spans="1:2" x14ac:dyDescent="0.25">
      <c r="A2774" s="1"/>
      <c r="B2774" s="2"/>
    </row>
    <row r="2775" spans="1:2" x14ac:dyDescent="0.25">
      <c r="A2775" s="1"/>
      <c r="B2775" s="2"/>
    </row>
    <row r="2776" spans="1:2" x14ac:dyDescent="0.25">
      <c r="A2776" s="1"/>
      <c r="B2776" s="2"/>
    </row>
    <row r="2777" spans="1:2" x14ac:dyDescent="0.25">
      <c r="A2777" s="1"/>
      <c r="B2777" s="2"/>
    </row>
    <row r="2778" spans="1:2" x14ac:dyDescent="0.25">
      <c r="A2778" s="1"/>
      <c r="B2778" s="2"/>
    </row>
    <row r="2779" spans="1:2" x14ac:dyDescent="0.25">
      <c r="A2779" s="1"/>
      <c r="B2779" s="2"/>
    </row>
    <row r="2780" spans="1:2" x14ac:dyDescent="0.25">
      <c r="A2780" s="1"/>
      <c r="B2780" s="2"/>
    </row>
    <row r="2781" spans="1:2" x14ac:dyDescent="0.25">
      <c r="A2781" s="1"/>
      <c r="B2781" s="2"/>
    </row>
    <row r="2782" spans="1:2" x14ac:dyDescent="0.25">
      <c r="A2782" s="1"/>
      <c r="B2782" s="2"/>
    </row>
    <row r="2783" spans="1:2" x14ac:dyDescent="0.25">
      <c r="A2783" s="1"/>
      <c r="B2783" s="2"/>
    </row>
    <row r="2784" spans="1:2" x14ac:dyDescent="0.25">
      <c r="A2784" s="1"/>
      <c r="B2784" s="2"/>
    </row>
    <row r="2785" spans="1:2" x14ac:dyDescent="0.25">
      <c r="A2785" s="1"/>
      <c r="B2785" s="2"/>
    </row>
    <row r="2786" spans="1:2" x14ac:dyDescent="0.25">
      <c r="A2786" s="1"/>
      <c r="B2786" s="2"/>
    </row>
    <row r="2787" spans="1:2" x14ac:dyDescent="0.25">
      <c r="A2787" s="1"/>
      <c r="B2787" s="2"/>
    </row>
    <row r="2788" spans="1:2" x14ac:dyDescent="0.25">
      <c r="A2788" s="1"/>
      <c r="B2788" s="2"/>
    </row>
    <row r="2789" spans="1:2" x14ac:dyDescent="0.25">
      <c r="A2789" s="1"/>
      <c r="B2789" s="2"/>
    </row>
    <row r="2790" spans="1:2" x14ac:dyDescent="0.25">
      <c r="A2790" s="1"/>
      <c r="B2790" s="2"/>
    </row>
    <row r="2791" spans="1:2" x14ac:dyDescent="0.25">
      <c r="A2791" s="1"/>
      <c r="B2791" s="2"/>
    </row>
    <row r="2792" spans="1:2" x14ac:dyDescent="0.25">
      <c r="A2792" s="1"/>
      <c r="B2792" s="2"/>
    </row>
    <row r="2793" spans="1:2" x14ac:dyDescent="0.25">
      <c r="A2793" s="1"/>
      <c r="B2793" s="2"/>
    </row>
    <row r="2794" spans="1:2" x14ac:dyDescent="0.25">
      <c r="A2794" s="1"/>
      <c r="B2794" s="2"/>
    </row>
    <row r="2795" spans="1:2" x14ac:dyDescent="0.25">
      <c r="A2795" s="1"/>
      <c r="B2795" s="2"/>
    </row>
    <row r="2796" spans="1:2" x14ac:dyDescent="0.25">
      <c r="A2796" s="1"/>
      <c r="B2796" s="2"/>
    </row>
    <row r="2797" spans="1:2" x14ac:dyDescent="0.25">
      <c r="A2797" s="1"/>
      <c r="B2797" s="2"/>
    </row>
    <row r="2798" spans="1:2" x14ac:dyDescent="0.25">
      <c r="A2798" s="1"/>
      <c r="B2798" s="2"/>
    </row>
    <row r="2799" spans="1:2" x14ac:dyDescent="0.25">
      <c r="A2799" s="1"/>
      <c r="B2799" s="2"/>
    </row>
    <row r="2800" spans="1:2" x14ac:dyDescent="0.25">
      <c r="A2800" s="1"/>
      <c r="B2800" s="2"/>
    </row>
    <row r="2801" spans="1:2" x14ac:dyDescent="0.25">
      <c r="A2801" s="1"/>
      <c r="B2801" s="2"/>
    </row>
    <row r="2802" spans="1:2" x14ac:dyDescent="0.25">
      <c r="A2802" s="1"/>
      <c r="B2802" s="2"/>
    </row>
    <row r="2803" spans="1:2" x14ac:dyDescent="0.25">
      <c r="A2803" s="1"/>
      <c r="B2803" s="2"/>
    </row>
    <row r="2804" spans="1:2" x14ac:dyDescent="0.25">
      <c r="A2804" s="1"/>
      <c r="B2804" s="2"/>
    </row>
    <row r="2805" spans="1:2" x14ac:dyDescent="0.25">
      <c r="A2805" s="1"/>
      <c r="B2805" s="2"/>
    </row>
    <row r="2806" spans="1:2" x14ac:dyDescent="0.25">
      <c r="A2806" s="1"/>
      <c r="B2806" s="2"/>
    </row>
    <row r="2807" spans="1:2" x14ac:dyDescent="0.25">
      <c r="A2807" s="1"/>
      <c r="B2807" s="2"/>
    </row>
    <row r="2808" spans="1:2" x14ac:dyDescent="0.25">
      <c r="A2808" s="1"/>
      <c r="B2808" s="2"/>
    </row>
    <row r="2809" spans="1:2" x14ac:dyDescent="0.25">
      <c r="A2809" s="1"/>
      <c r="B2809" s="2"/>
    </row>
    <row r="2810" spans="1:2" x14ac:dyDescent="0.25">
      <c r="A2810" s="1"/>
      <c r="B2810" s="2"/>
    </row>
    <row r="2811" spans="1:2" x14ac:dyDescent="0.25">
      <c r="A2811" s="1"/>
      <c r="B2811" s="2"/>
    </row>
    <row r="2812" spans="1:2" x14ac:dyDescent="0.25">
      <c r="A2812" s="1"/>
      <c r="B2812" s="2"/>
    </row>
    <row r="2813" spans="1:2" x14ac:dyDescent="0.25">
      <c r="A2813" s="1"/>
      <c r="B2813" s="2"/>
    </row>
    <row r="2814" spans="1:2" x14ac:dyDescent="0.25">
      <c r="A2814" s="1"/>
      <c r="B2814" s="2"/>
    </row>
    <row r="2815" spans="1:2" x14ac:dyDescent="0.25">
      <c r="A2815" s="1"/>
      <c r="B2815" s="2"/>
    </row>
    <row r="2816" spans="1:2" x14ac:dyDescent="0.25">
      <c r="A2816" s="1"/>
      <c r="B2816" s="2"/>
    </row>
    <row r="2817" spans="1:2" x14ac:dyDescent="0.25">
      <c r="A2817" s="1"/>
      <c r="B2817" s="2"/>
    </row>
    <row r="2818" spans="1:2" x14ac:dyDescent="0.25">
      <c r="A2818" s="1"/>
      <c r="B2818" s="2"/>
    </row>
    <row r="2819" spans="1:2" x14ac:dyDescent="0.25">
      <c r="A2819" s="1"/>
      <c r="B2819" s="2"/>
    </row>
    <row r="2820" spans="1:2" x14ac:dyDescent="0.25">
      <c r="A2820" s="1"/>
      <c r="B2820" s="2"/>
    </row>
    <row r="2821" spans="1:2" x14ac:dyDescent="0.25">
      <c r="A2821" s="1"/>
      <c r="B2821" s="2"/>
    </row>
    <row r="2822" spans="1:2" x14ac:dyDescent="0.25">
      <c r="A2822" s="1"/>
      <c r="B2822" s="2"/>
    </row>
    <row r="2823" spans="1:2" x14ac:dyDescent="0.25">
      <c r="A2823" s="1"/>
      <c r="B2823" s="2"/>
    </row>
    <row r="2824" spans="1:2" x14ac:dyDescent="0.25">
      <c r="A2824" s="1"/>
      <c r="B2824" s="2"/>
    </row>
    <row r="2825" spans="1:2" x14ac:dyDescent="0.25">
      <c r="A2825" s="1"/>
      <c r="B2825" s="2"/>
    </row>
    <row r="2826" spans="1:2" x14ac:dyDescent="0.25">
      <c r="A2826" s="1"/>
      <c r="B2826" s="2"/>
    </row>
    <row r="2827" spans="1:2" x14ac:dyDescent="0.25">
      <c r="A2827" s="1"/>
      <c r="B2827" s="2"/>
    </row>
    <row r="2828" spans="1:2" x14ac:dyDescent="0.25">
      <c r="A2828" s="1"/>
      <c r="B2828" s="2"/>
    </row>
    <row r="2829" spans="1:2" x14ac:dyDescent="0.25">
      <c r="A2829" s="1"/>
      <c r="B2829" s="2"/>
    </row>
    <row r="2830" spans="1:2" x14ac:dyDescent="0.25">
      <c r="A2830" s="1"/>
      <c r="B2830" s="2"/>
    </row>
    <row r="2831" spans="1:2" x14ac:dyDescent="0.25">
      <c r="A2831" s="1"/>
      <c r="B2831" s="2"/>
    </row>
    <row r="2832" spans="1:2" x14ac:dyDescent="0.25">
      <c r="A2832" s="1"/>
      <c r="B2832" s="2"/>
    </row>
    <row r="2833" spans="1:2" x14ac:dyDescent="0.25">
      <c r="A2833" s="1"/>
      <c r="B2833" s="2"/>
    </row>
    <row r="2834" spans="1:2" x14ac:dyDescent="0.25">
      <c r="A2834" s="1"/>
      <c r="B2834" s="2"/>
    </row>
    <row r="2835" spans="1:2" x14ac:dyDescent="0.25">
      <c r="A2835" s="1"/>
      <c r="B2835" s="2"/>
    </row>
    <row r="2836" spans="1:2" x14ac:dyDescent="0.25">
      <c r="A2836" s="1"/>
      <c r="B2836" s="2"/>
    </row>
    <row r="2837" spans="1:2" x14ac:dyDescent="0.25">
      <c r="A2837" s="1"/>
      <c r="B2837" s="2"/>
    </row>
    <row r="2838" spans="1:2" x14ac:dyDescent="0.25">
      <c r="A2838" s="1"/>
      <c r="B2838" s="2"/>
    </row>
    <row r="2839" spans="1:2" x14ac:dyDescent="0.25">
      <c r="A2839" s="1"/>
      <c r="B2839" s="2"/>
    </row>
    <row r="2840" spans="1:2" x14ac:dyDescent="0.25">
      <c r="A2840" s="1"/>
      <c r="B2840" s="2"/>
    </row>
    <row r="2841" spans="1:2" x14ac:dyDescent="0.25">
      <c r="A2841" s="1"/>
      <c r="B2841" s="2"/>
    </row>
    <row r="2842" spans="1:2" x14ac:dyDescent="0.25">
      <c r="A2842" s="1"/>
      <c r="B2842" s="2"/>
    </row>
    <row r="2843" spans="1:2" x14ac:dyDescent="0.25">
      <c r="A2843" s="1"/>
      <c r="B2843" s="2"/>
    </row>
    <row r="2844" spans="1:2" x14ac:dyDescent="0.25">
      <c r="A2844" s="1"/>
      <c r="B2844" s="2"/>
    </row>
    <row r="2845" spans="1:2" x14ac:dyDescent="0.25">
      <c r="A2845" s="1"/>
      <c r="B2845" s="2"/>
    </row>
    <row r="2846" spans="1:2" x14ac:dyDescent="0.25">
      <c r="A2846" s="1"/>
      <c r="B2846" s="2"/>
    </row>
    <row r="2847" spans="1:2" x14ac:dyDescent="0.25">
      <c r="A2847" s="1"/>
      <c r="B2847" s="2"/>
    </row>
    <row r="2848" spans="1:2" x14ac:dyDescent="0.25">
      <c r="A2848" s="1"/>
      <c r="B2848" s="2"/>
    </row>
    <row r="2849" spans="1:2" x14ac:dyDescent="0.25">
      <c r="A2849" s="1"/>
      <c r="B2849" s="2"/>
    </row>
    <row r="2850" spans="1:2" x14ac:dyDescent="0.25">
      <c r="A2850" s="1"/>
      <c r="B2850" s="2"/>
    </row>
    <row r="2851" spans="1:2" x14ac:dyDescent="0.25">
      <c r="A2851" s="1"/>
      <c r="B2851" s="2"/>
    </row>
    <row r="2852" spans="1:2" x14ac:dyDescent="0.25">
      <c r="A2852" s="1"/>
      <c r="B2852" s="2"/>
    </row>
    <row r="2853" spans="1:2" x14ac:dyDescent="0.25">
      <c r="A2853" s="1"/>
      <c r="B2853" s="2"/>
    </row>
    <row r="2854" spans="1:2" x14ac:dyDescent="0.25">
      <c r="A2854" s="1"/>
      <c r="B2854" s="2"/>
    </row>
    <row r="2855" spans="1:2" x14ac:dyDescent="0.25">
      <c r="A2855" s="1"/>
      <c r="B2855" s="2"/>
    </row>
    <row r="2856" spans="1:2" x14ac:dyDescent="0.25">
      <c r="A2856" s="1"/>
      <c r="B2856" s="2"/>
    </row>
    <row r="2857" spans="1:2" x14ac:dyDescent="0.25">
      <c r="A2857" s="1"/>
      <c r="B2857" s="2"/>
    </row>
    <row r="2858" spans="1:2" x14ac:dyDescent="0.25">
      <c r="A2858" s="1"/>
      <c r="B2858" s="2"/>
    </row>
    <row r="2859" spans="1:2" x14ac:dyDescent="0.25">
      <c r="A2859" s="1"/>
      <c r="B2859" s="2"/>
    </row>
    <row r="2860" spans="1:2" x14ac:dyDescent="0.25">
      <c r="A2860" s="1"/>
      <c r="B2860" s="2"/>
    </row>
    <row r="2861" spans="1:2" x14ac:dyDescent="0.25">
      <c r="A2861" s="1"/>
      <c r="B2861" s="2"/>
    </row>
    <row r="2862" spans="1:2" x14ac:dyDescent="0.25">
      <c r="A2862" s="1"/>
      <c r="B2862" s="2"/>
    </row>
    <row r="2863" spans="1:2" x14ac:dyDescent="0.25">
      <c r="A2863" s="1"/>
      <c r="B2863" s="2"/>
    </row>
    <row r="2864" spans="1:2" x14ac:dyDescent="0.25">
      <c r="A2864" s="1"/>
      <c r="B2864" s="2"/>
    </row>
    <row r="2865" spans="1:2" x14ac:dyDescent="0.25">
      <c r="A2865" s="1"/>
      <c r="B2865" s="2"/>
    </row>
    <row r="2866" spans="1:2" x14ac:dyDescent="0.25">
      <c r="A2866" s="1"/>
      <c r="B2866" s="2"/>
    </row>
    <row r="2867" spans="1:2" x14ac:dyDescent="0.25">
      <c r="A2867" s="1"/>
      <c r="B2867" s="2"/>
    </row>
    <row r="2868" spans="1:2" x14ac:dyDescent="0.25">
      <c r="A2868" s="1"/>
      <c r="B2868" s="2"/>
    </row>
    <row r="2869" spans="1:2" x14ac:dyDescent="0.25">
      <c r="A2869" s="1"/>
      <c r="B2869" s="2"/>
    </row>
    <row r="2870" spans="1:2" x14ac:dyDescent="0.25">
      <c r="A2870" s="1"/>
      <c r="B2870" s="2"/>
    </row>
    <row r="2871" spans="1:2" x14ac:dyDescent="0.25">
      <c r="A2871" s="1"/>
      <c r="B2871" s="2"/>
    </row>
    <row r="2872" spans="1:2" x14ac:dyDescent="0.25">
      <c r="A2872" s="1"/>
      <c r="B2872" s="2"/>
    </row>
    <row r="2873" spans="1:2" x14ac:dyDescent="0.25">
      <c r="A2873" s="1"/>
      <c r="B2873" s="2"/>
    </row>
    <row r="2874" spans="1:2" x14ac:dyDescent="0.25">
      <c r="A2874" s="1"/>
      <c r="B2874" s="2"/>
    </row>
    <row r="2875" spans="1:2" x14ac:dyDescent="0.25">
      <c r="A2875" s="1"/>
      <c r="B2875" s="2"/>
    </row>
    <row r="2876" spans="1:2" x14ac:dyDescent="0.25">
      <c r="A2876" s="1"/>
      <c r="B2876" s="2"/>
    </row>
    <row r="2877" spans="1:2" x14ac:dyDescent="0.25">
      <c r="A2877" s="1"/>
      <c r="B2877" s="2"/>
    </row>
    <row r="2878" spans="1:2" x14ac:dyDescent="0.25">
      <c r="A2878" s="1"/>
      <c r="B2878" s="2"/>
    </row>
    <row r="2879" spans="1:2" x14ac:dyDescent="0.25">
      <c r="A2879" s="1"/>
      <c r="B2879" s="2"/>
    </row>
    <row r="2880" spans="1:2" x14ac:dyDescent="0.25">
      <c r="A2880" s="1"/>
      <c r="B2880" s="2"/>
    </row>
    <row r="2881" spans="1:2" x14ac:dyDescent="0.25">
      <c r="A2881" s="1"/>
      <c r="B2881" s="2"/>
    </row>
    <row r="2882" spans="1:2" x14ac:dyDescent="0.25">
      <c r="A2882" s="1"/>
      <c r="B2882" s="2"/>
    </row>
    <row r="2883" spans="1:2" x14ac:dyDescent="0.25">
      <c r="A2883" s="1"/>
      <c r="B2883" s="2"/>
    </row>
    <row r="2884" spans="1:2" x14ac:dyDescent="0.25">
      <c r="A2884" s="1"/>
      <c r="B2884" s="2"/>
    </row>
    <row r="2885" spans="1:2" x14ac:dyDescent="0.25">
      <c r="A2885" s="1"/>
      <c r="B2885" s="2"/>
    </row>
    <row r="2886" spans="1:2" x14ac:dyDescent="0.25">
      <c r="A2886" s="1"/>
      <c r="B2886" s="2"/>
    </row>
    <row r="2887" spans="1:2" x14ac:dyDescent="0.25">
      <c r="A2887" s="1"/>
      <c r="B2887" s="2"/>
    </row>
    <row r="2888" spans="1:2" x14ac:dyDescent="0.25">
      <c r="A2888" s="1"/>
      <c r="B2888" s="2"/>
    </row>
    <row r="2889" spans="1:2" x14ac:dyDescent="0.25">
      <c r="A2889" s="1"/>
      <c r="B2889" s="2"/>
    </row>
    <row r="2890" spans="1:2" x14ac:dyDescent="0.25">
      <c r="A2890" s="1"/>
      <c r="B2890" s="2"/>
    </row>
    <row r="2891" spans="1:2" x14ac:dyDescent="0.25">
      <c r="A2891" s="1"/>
      <c r="B2891" s="2"/>
    </row>
    <row r="2892" spans="1:2" x14ac:dyDescent="0.25">
      <c r="A2892" s="1"/>
      <c r="B2892" s="2"/>
    </row>
    <row r="2893" spans="1:2" x14ac:dyDescent="0.25">
      <c r="A2893" s="1"/>
      <c r="B2893" s="2"/>
    </row>
    <row r="2894" spans="1:2" x14ac:dyDescent="0.25">
      <c r="A2894" s="1"/>
      <c r="B2894" s="2"/>
    </row>
    <row r="2895" spans="1:2" x14ac:dyDescent="0.25">
      <c r="A2895" s="1"/>
      <c r="B2895" s="2"/>
    </row>
    <row r="2896" spans="1:2" x14ac:dyDescent="0.25">
      <c r="A2896" s="1"/>
      <c r="B2896" s="2"/>
    </row>
    <row r="2897" spans="1:2" x14ac:dyDescent="0.25">
      <c r="A2897" s="1"/>
      <c r="B2897" s="2"/>
    </row>
    <row r="2898" spans="1:2" x14ac:dyDescent="0.25">
      <c r="A2898" s="1"/>
      <c r="B2898" s="2"/>
    </row>
    <row r="2899" spans="1:2" x14ac:dyDescent="0.25">
      <c r="A2899" s="1"/>
      <c r="B2899" s="2"/>
    </row>
    <row r="2900" spans="1:2" x14ac:dyDescent="0.25">
      <c r="A2900" s="1"/>
      <c r="B2900" s="2"/>
    </row>
    <row r="2901" spans="1:2" x14ac:dyDescent="0.25">
      <c r="A2901" s="1"/>
      <c r="B2901" s="2"/>
    </row>
    <row r="2902" spans="1:2" x14ac:dyDescent="0.25">
      <c r="A2902" s="1"/>
      <c r="B2902" s="2"/>
    </row>
    <row r="2903" spans="1:2" x14ac:dyDescent="0.25">
      <c r="A2903" s="1"/>
      <c r="B2903" s="2"/>
    </row>
    <row r="2904" spans="1:2" x14ac:dyDescent="0.25">
      <c r="A2904" s="1"/>
      <c r="B2904" s="2"/>
    </row>
    <row r="2905" spans="1:2" x14ac:dyDescent="0.25">
      <c r="A2905" s="1"/>
      <c r="B2905" s="2"/>
    </row>
    <row r="2906" spans="1:2" x14ac:dyDescent="0.25">
      <c r="A2906" s="1"/>
      <c r="B2906" s="2"/>
    </row>
    <row r="2907" spans="1:2" x14ac:dyDescent="0.25">
      <c r="A2907" s="1"/>
      <c r="B2907" s="2"/>
    </row>
    <row r="2908" spans="1:2" x14ac:dyDescent="0.25">
      <c r="A2908" s="1"/>
      <c r="B2908" s="2"/>
    </row>
    <row r="2909" spans="1:2" x14ac:dyDescent="0.25">
      <c r="A2909" s="1"/>
      <c r="B2909" s="2"/>
    </row>
    <row r="2910" spans="1:2" x14ac:dyDescent="0.25">
      <c r="A2910" s="1"/>
      <c r="B2910" s="2"/>
    </row>
    <row r="2911" spans="1:2" x14ac:dyDescent="0.25">
      <c r="A2911" s="1"/>
      <c r="B2911" s="2"/>
    </row>
    <row r="2912" spans="1:2" x14ac:dyDescent="0.25">
      <c r="A2912" s="1"/>
      <c r="B2912" s="2"/>
    </row>
    <row r="2913" spans="1:2" x14ac:dyDescent="0.25">
      <c r="A2913" s="1"/>
      <c r="B2913" s="2"/>
    </row>
    <row r="2914" spans="1:2" x14ac:dyDescent="0.25">
      <c r="A2914" s="1"/>
      <c r="B2914" s="2"/>
    </row>
    <row r="2915" spans="1:2" x14ac:dyDescent="0.25">
      <c r="A2915" s="1"/>
      <c r="B2915" s="2"/>
    </row>
    <row r="2916" spans="1:2" x14ac:dyDescent="0.25">
      <c r="A2916" s="1"/>
      <c r="B2916" s="2"/>
    </row>
    <row r="2917" spans="1:2" x14ac:dyDescent="0.25">
      <c r="A2917" s="1"/>
      <c r="B2917" s="2"/>
    </row>
    <row r="2918" spans="1:2" x14ac:dyDescent="0.25">
      <c r="A2918" s="1"/>
      <c r="B2918" s="2"/>
    </row>
    <row r="2919" spans="1:2" x14ac:dyDescent="0.25">
      <c r="A2919" s="1"/>
      <c r="B2919" s="2"/>
    </row>
    <row r="2920" spans="1:2" x14ac:dyDescent="0.25">
      <c r="A2920" s="1"/>
      <c r="B2920" s="2"/>
    </row>
    <row r="2921" spans="1:2" x14ac:dyDescent="0.25">
      <c r="A2921" s="1"/>
      <c r="B2921" s="2"/>
    </row>
    <row r="2922" spans="1:2" x14ac:dyDescent="0.25">
      <c r="A2922" s="1"/>
      <c r="B2922" s="2"/>
    </row>
    <row r="2923" spans="1:2" x14ac:dyDescent="0.25">
      <c r="A2923" s="1"/>
      <c r="B2923" s="2"/>
    </row>
    <row r="2924" spans="1:2" x14ac:dyDescent="0.25">
      <c r="A2924" s="1"/>
      <c r="B2924" s="2"/>
    </row>
    <row r="2925" spans="1:2" x14ac:dyDescent="0.25">
      <c r="A2925" s="1"/>
      <c r="B2925" s="2"/>
    </row>
    <row r="2926" spans="1:2" x14ac:dyDescent="0.25">
      <c r="A2926" s="1"/>
      <c r="B2926" s="2"/>
    </row>
    <row r="2927" spans="1:2" x14ac:dyDescent="0.25">
      <c r="A2927" s="1"/>
      <c r="B2927" s="2"/>
    </row>
    <row r="2928" spans="1:2" x14ac:dyDescent="0.25">
      <c r="A2928" s="1"/>
      <c r="B2928" s="2"/>
    </row>
    <row r="2929" spans="1:2" x14ac:dyDescent="0.25">
      <c r="A2929" s="1"/>
      <c r="B2929" s="2"/>
    </row>
    <row r="2930" spans="1:2" x14ac:dyDescent="0.25">
      <c r="A2930" s="1"/>
      <c r="B2930" s="2"/>
    </row>
    <row r="2931" spans="1:2" x14ac:dyDescent="0.25">
      <c r="A2931" s="1"/>
      <c r="B2931" s="2"/>
    </row>
    <row r="2932" spans="1:2" x14ac:dyDescent="0.25">
      <c r="A2932" s="1"/>
      <c r="B2932" s="2"/>
    </row>
    <row r="2933" spans="1:2" x14ac:dyDescent="0.25">
      <c r="A2933" s="1"/>
      <c r="B2933" s="2"/>
    </row>
    <row r="2934" spans="1:2" x14ac:dyDescent="0.25">
      <c r="A2934" s="1"/>
      <c r="B2934" s="2"/>
    </row>
    <row r="2935" spans="1:2" x14ac:dyDescent="0.25">
      <c r="A2935" s="1"/>
      <c r="B2935" s="2"/>
    </row>
    <row r="2936" spans="1:2" x14ac:dyDescent="0.25">
      <c r="A2936" s="1"/>
      <c r="B2936" s="2"/>
    </row>
    <row r="2937" spans="1:2" x14ac:dyDescent="0.25">
      <c r="A2937" s="1"/>
      <c r="B2937" s="2"/>
    </row>
    <row r="2938" spans="1:2" x14ac:dyDescent="0.25">
      <c r="A2938" s="1"/>
      <c r="B2938" s="2"/>
    </row>
    <row r="2939" spans="1:2" x14ac:dyDescent="0.25">
      <c r="A2939" s="1"/>
      <c r="B2939" s="2"/>
    </row>
    <row r="2940" spans="1:2" x14ac:dyDescent="0.25">
      <c r="A2940" s="1"/>
      <c r="B2940" s="2"/>
    </row>
    <row r="2941" spans="1:2" x14ac:dyDescent="0.25">
      <c r="A2941" s="1"/>
      <c r="B2941" s="2"/>
    </row>
    <row r="2942" spans="1:2" x14ac:dyDescent="0.25">
      <c r="A2942" s="1"/>
      <c r="B2942" s="2"/>
    </row>
    <row r="2943" spans="1:2" x14ac:dyDescent="0.25">
      <c r="A2943" s="1"/>
      <c r="B2943" s="2"/>
    </row>
    <row r="2944" spans="1:2" x14ac:dyDescent="0.25">
      <c r="A2944" s="1"/>
      <c r="B2944" s="2"/>
    </row>
    <row r="2945" spans="1:2" x14ac:dyDescent="0.25">
      <c r="A2945" s="1"/>
      <c r="B2945" s="2"/>
    </row>
    <row r="2946" spans="1:2" x14ac:dyDescent="0.25">
      <c r="A2946" s="1"/>
      <c r="B2946" s="2"/>
    </row>
    <row r="2947" spans="1:2" x14ac:dyDescent="0.25">
      <c r="A2947" s="1"/>
      <c r="B2947" s="2"/>
    </row>
    <row r="2948" spans="1:2" x14ac:dyDescent="0.25">
      <c r="A2948" s="1"/>
      <c r="B2948" s="2"/>
    </row>
    <row r="2949" spans="1:2" x14ac:dyDescent="0.25">
      <c r="A2949" s="1"/>
      <c r="B2949" s="2"/>
    </row>
    <row r="2950" spans="1:2" x14ac:dyDescent="0.25">
      <c r="A2950" s="1"/>
      <c r="B2950" s="2"/>
    </row>
    <row r="2951" spans="1:2" x14ac:dyDescent="0.25">
      <c r="A2951" s="1"/>
      <c r="B2951" s="2"/>
    </row>
    <row r="2952" spans="1:2" x14ac:dyDescent="0.25">
      <c r="A2952" s="1"/>
      <c r="B2952" s="2"/>
    </row>
    <row r="2953" spans="1:2" x14ac:dyDescent="0.25">
      <c r="A2953" s="1"/>
      <c r="B2953" s="2"/>
    </row>
    <row r="2954" spans="1:2" x14ac:dyDescent="0.25">
      <c r="A2954" s="1"/>
      <c r="B2954" s="2"/>
    </row>
    <row r="2955" spans="1:2" x14ac:dyDescent="0.25">
      <c r="A2955" s="1"/>
      <c r="B2955" s="2"/>
    </row>
    <row r="2956" spans="1:2" x14ac:dyDescent="0.25">
      <c r="A2956" s="1"/>
      <c r="B2956" s="2"/>
    </row>
    <row r="2957" spans="1:2" x14ac:dyDescent="0.25">
      <c r="A2957" s="1"/>
      <c r="B2957" s="2"/>
    </row>
    <row r="2958" spans="1:2" x14ac:dyDescent="0.25">
      <c r="A2958" s="1"/>
      <c r="B2958" s="2"/>
    </row>
    <row r="2959" spans="1:2" x14ac:dyDescent="0.25">
      <c r="A2959" s="1"/>
      <c r="B2959" s="2"/>
    </row>
    <row r="2960" spans="1:2" x14ac:dyDescent="0.25">
      <c r="A2960" s="1"/>
      <c r="B2960" s="2"/>
    </row>
    <row r="2961" spans="1:2" x14ac:dyDescent="0.25">
      <c r="A2961" s="1"/>
      <c r="B2961" s="2"/>
    </row>
    <row r="2962" spans="1:2" x14ac:dyDescent="0.25">
      <c r="A2962" s="1"/>
      <c r="B2962" s="2"/>
    </row>
    <row r="2963" spans="1:2" x14ac:dyDescent="0.25">
      <c r="A2963" s="1"/>
      <c r="B2963" s="2"/>
    </row>
    <row r="2964" spans="1:2" x14ac:dyDescent="0.25">
      <c r="A2964" s="1"/>
      <c r="B2964" s="2"/>
    </row>
    <row r="2965" spans="1:2" x14ac:dyDescent="0.25">
      <c r="A2965" s="1"/>
      <c r="B2965" s="2"/>
    </row>
    <row r="2966" spans="1:2" x14ac:dyDescent="0.25">
      <c r="A2966" s="1"/>
      <c r="B2966" s="2"/>
    </row>
    <row r="2967" spans="1:2" x14ac:dyDescent="0.25">
      <c r="A2967" s="1"/>
      <c r="B2967" s="2"/>
    </row>
    <row r="2968" spans="1:2" x14ac:dyDescent="0.25">
      <c r="A2968" s="1"/>
      <c r="B2968" s="2"/>
    </row>
    <row r="2969" spans="1:2" x14ac:dyDescent="0.25">
      <c r="A2969" s="1"/>
      <c r="B2969" s="2"/>
    </row>
    <row r="2970" spans="1:2" x14ac:dyDescent="0.25">
      <c r="A2970" s="1"/>
      <c r="B2970" s="2"/>
    </row>
    <row r="2971" spans="1:2" x14ac:dyDescent="0.25">
      <c r="A2971" s="1"/>
      <c r="B2971" s="2"/>
    </row>
    <row r="2972" spans="1:2" x14ac:dyDescent="0.25">
      <c r="A2972" s="1"/>
      <c r="B2972" s="2"/>
    </row>
    <row r="2973" spans="1:2" x14ac:dyDescent="0.25">
      <c r="A2973" s="1"/>
      <c r="B2973" s="2"/>
    </row>
    <row r="2974" spans="1:2" x14ac:dyDescent="0.25">
      <c r="A2974" s="1"/>
      <c r="B2974" s="2"/>
    </row>
    <row r="2975" spans="1:2" x14ac:dyDescent="0.25">
      <c r="A2975" s="1"/>
      <c r="B2975" s="2"/>
    </row>
    <row r="2976" spans="1:2" x14ac:dyDescent="0.25">
      <c r="A2976" s="1"/>
      <c r="B2976" s="2"/>
    </row>
    <row r="2977" spans="1:2" x14ac:dyDescent="0.25">
      <c r="A2977" s="1"/>
      <c r="B2977" s="2"/>
    </row>
    <row r="2978" spans="1:2" x14ac:dyDescent="0.25">
      <c r="A2978" s="1"/>
      <c r="B2978" s="2"/>
    </row>
    <row r="2979" spans="1:2" x14ac:dyDescent="0.25">
      <c r="A2979" s="1"/>
      <c r="B2979" s="2"/>
    </row>
    <row r="2980" spans="1:2" x14ac:dyDescent="0.25">
      <c r="A2980" s="1"/>
      <c r="B2980" s="2"/>
    </row>
    <row r="2981" spans="1:2" x14ac:dyDescent="0.25">
      <c r="A2981" s="1"/>
      <c r="B2981" s="2"/>
    </row>
    <row r="2982" spans="1:2" x14ac:dyDescent="0.25">
      <c r="A2982" s="1"/>
      <c r="B2982" s="2"/>
    </row>
    <row r="2983" spans="1:2" x14ac:dyDescent="0.25">
      <c r="A2983" s="1"/>
      <c r="B2983" s="2"/>
    </row>
    <row r="2984" spans="1:2" x14ac:dyDescent="0.25">
      <c r="A2984" s="1"/>
      <c r="B2984" s="2"/>
    </row>
    <row r="2985" spans="1:2" x14ac:dyDescent="0.25">
      <c r="A2985" s="1"/>
      <c r="B2985" s="2"/>
    </row>
    <row r="2986" spans="1:2" x14ac:dyDescent="0.25">
      <c r="A2986" s="1"/>
      <c r="B2986" s="2"/>
    </row>
    <row r="2987" spans="1:2" x14ac:dyDescent="0.25">
      <c r="A2987" s="1"/>
      <c r="B2987" s="2"/>
    </row>
    <row r="2988" spans="1:2" x14ac:dyDescent="0.25">
      <c r="A2988" s="1"/>
      <c r="B2988" s="2"/>
    </row>
    <row r="2989" spans="1:2" x14ac:dyDescent="0.25">
      <c r="A2989" s="1"/>
      <c r="B2989" s="2"/>
    </row>
    <row r="2990" spans="1:2" x14ac:dyDescent="0.25">
      <c r="A2990" s="1"/>
      <c r="B2990" s="2"/>
    </row>
    <row r="2991" spans="1:2" x14ac:dyDescent="0.25">
      <c r="A2991" s="1"/>
      <c r="B2991" s="2"/>
    </row>
    <row r="2992" spans="1:2" x14ac:dyDescent="0.25">
      <c r="A2992" s="1"/>
      <c r="B2992" s="2"/>
    </row>
    <row r="2993" spans="1:2" x14ac:dyDescent="0.25">
      <c r="A2993" s="1"/>
      <c r="B2993" s="2"/>
    </row>
    <row r="2994" spans="1:2" x14ac:dyDescent="0.25">
      <c r="A2994" s="1"/>
      <c r="B2994" s="2"/>
    </row>
    <row r="2995" spans="1:2" x14ac:dyDescent="0.25">
      <c r="A2995" s="1"/>
      <c r="B2995" s="2"/>
    </row>
    <row r="2996" spans="1:2" x14ac:dyDescent="0.25">
      <c r="A2996" s="1"/>
      <c r="B2996" s="2"/>
    </row>
    <row r="2997" spans="1:2" x14ac:dyDescent="0.25">
      <c r="A2997" s="1"/>
      <c r="B2997" s="2"/>
    </row>
    <row r="2998" spans="1:2" x14ac:dyDescent="0.25">
      <c r="A2998" s="1"/>
      <c r="B2998" s="2"/>
    </row>
    <row r="2999" spans="1:2" x14ac:dyDescent="0.25">
      <c r="A2999" s="1"/>
      <c r="B2999" s="2"/>
    </row>
    <row r="3000" spans="1:2" x14ac:dyDescent="0.25">
      <c r="A3000" s="1"/>
      <c r="B3000" s="2"/>
    </row>
    <row r="3001" spans="1:2" x14ac:dyDescent="0.25">
      <c r="A3001" s="1"/>
      <c r="B3001" s="2"/>
    </row>
    <row r="3002" spans="1:2" x14ac:dyDescent="0.25">
      <c r="A3002" s="1"/>
      <c r="B3002" s="2"/>
    </row>
    <row r="3003" spans="1:2" x14ac:dyDescent="0.25">
      <c r="A3003" s="1"/>
      <c r="B3003" s="2"/>
    </row>
    <row r="3004" spans="1:2" x14ac:dyDescent="0.25">
      <c r="A3004" s="1"/>
      <c r="B3004" s="2"/>
    </row>
    <row r="3005" spans="1:2" x14ac:dyDescent="0.25">
      <c r="A3005" s="1"/>
      <c r="B3005" s="2"/>
    </row>
    <row r="3006" spans="1:2" x14ac:dyDescent="0.25">
      <c r="A3006" s="1"/>
      <c r="B3006" s="2"/>
    </row>
    <row r="3007" spans="1:2" x14ac:dyDescent="0.25">
      <c r="A3007" s="1"/>
      <c r="B3007" s="2"/>
    </row>
    <row r="3008" spans="1:2" x14ac:dyDescent="0.25">
      <c r="A3008" s="1"/>
      <c r="B3008" s="2"/>
    </row>
    <row r="3009" spans="1:2" x14ac:dyDescent="0.25">
      <c r="A3009" s="1"/>
      <c r="B3009" s="2"/>
    </row>
    <row r="3010" spans="1:2" x14ac:dyDescent="0.25">
      <c r="A3010" s="1"/>
      <c r="B3010" s="2"/>
    </row>
    <row r="3011" spans="1:2" x14ac:dyDescent="0.25">
      <c r="A3011" s="1"/>
      <c r="B3011" s="2"/>
    </row>
    <row r="3012" spans="1:2" x14ac:dyDescent="0.25">
      <c r="A3012" s="1"/>
      <c r="B3012" s="2"/>
    </row>
    <row r="3013" spans="1:2" x14ac:dyDescent="0.25">
      <c r="A3013" s="1"/>
      <c r="B3013" s="2"/>
    </row>
    <row r="3014" spans="1:2" x14ac:dyDescent="0.25">
      <c r="A3014" s="1"/>
      <c r="B3014" s="2"/>
    </row>
    <row r="3015" spans="1:2" x14ac:dyDescent="0.25">
      <c r="A3015" s="1"/>
      <c r="B3015" s="2"/>
    </row>
    <row r="3016" spans="1:2" x14ac:dyDescent="0.25">
      <c r="A3016" s="1"/>
      <c r="B3016" s="2"/>
    </row>
    <row r="3017" spans="1:2" x14ac:dyDescent="0.25">
      <c r="A3017" s="1"/>
      <c r="B3017" s="2"/>
    </row>
    <row r="3018" spans="1:2" x14ac:dyDescent="0.25">
      <c r="A3018" s="1"/>
      <c r="B3018" s="2"/>
    </row>
    <row r="3019" spans="1:2" x14ac:dyDescent="0.25">
      <c r="A3019" s="1"/>
      <c r="B3019" s="2"/>
    </row>
    <row r="3020" spans="1:2" x14ac:dyDescent="0.25">
      <c r="A3020" s="1"/>
      <c r="B3020" s="2"/>
    </row>
    <row r="3021" spans="1:2" x14ac:dyDescent="0.25">
      <c r="A3021" s="1"/>
      <c r="B3021" s="2"/>
    </row>
    <row r="3022" spans="1:2" x14ac:dyDescent="0.25">
      <c r="A3022" s="1"/>
      <c r="B3022" s="2"/>
    </row>
    <row r="3023" spans="1:2" x14ac:dyDescent="0.25">
      <c r="A3023" s="1"/>
      <c r="B3023" s="2"/>
    </row>
    <row r="3024" spans="1:2" x14ac:dyDescent="0.25">
      <c r="A3024" s="1"/>
      <c r="B3024" s="2"/>
    </row>
    <row r="3025" spans="1:2" x14ac:dyDescent="0.25">
      <c r="A3025" s="1"/>
      <c r="B3025" s="2"/>
    </row>
    <row r="3026" spans="1:2" x14ac:dyDescent="0.25">
      <c r="A3026" s="1"/>
      <c r="B3026" s="2"/>
    </row>
    <row r="3027" spans="1:2" x14ac:dyDescent="0.25">
      <c r="A3027" s="1"/>
      <c r="B3027" s="2"/>
    </row>
    <row r="3028" spans="1:2" x14ac:dyDescent="0.25">
      <c r="A3028" s="1"/>
      <c r="B3028" s="2"/>
    </row>
    <row r="3029" spans="1:2" x14ac:dyDescent="0.25">
      <c r="A3029" s="1"/>
      <c r="B3029" s="2"/>
    </row>
    <row r="3030" spans="1:2" x14ac:dyDescent="0.25">
      <c r="A3030" s="1"/>
      <c r="B3030" s="2"/>
    </row>
    <row r="3031" spans="1:2" x14ac:dyDescent="0.25">
      <c r="A3031" s="1"/>
      <c r="B3031" s="2"/>
    </row>
    <row r="3032" spans="1:2" x14ac:dyDescent="0.25">
      <c r="A3032" s="1"/>
      <c r="B3032" s="2"/>
    </row>
    <row r="3033" spans="1:2" x14ac:dyDescent="0.25">
      <c r="A3033" s="1"/>
      <c r="B3033" s="2"/>
    </row>
    <row r="3034" spans="1:2" x14ac:dyDescent="0.25">
      <c r="A3034" s="1"/>
      <c r="B3034" s="2"/>
    </row>
    <row r="3035" spans="1:2" x14ac:dyDescent="0.25">
      <c r="A3035" s="1"/>
      <c r="B3035" s="2"/>
    </row>
    <row r="3036" spans="1:2" x14ac:dyDescent="0.25">
      <c r="A3036" s="1"/>
      <c r="B3036" s="2"/>
    </row>
    <row r="3037" spans="1:2" x14ac:dyDescent="0.25">
      <c r="A3037" s="1"/>
      <c r="B3037" s="2"/>
    </row>
    <row r="3038" spans="1:2" x14ac:dyDescent="0.25">
      <c r="A3038" s="1"/>
      <c r="B3038" s="2"/>
    </row>
    <row r="3039" spans="1:2" x14ac:dyDescent="0.25">
      <c r="A3039" s="1"/>
      <c r="B3039" s="2"/>
    </row>
    <row r="3040" spans="1:2" x14ac:dyDescent="0.25">
      <c r="A3040" s="1"/>
      <c r="B3040" s="2"/>
    </row>
    <row r="3041" spans="1:2" x14ac:dyDescent="0.25">
      <c r="A3041" s="1"/>
      <c r="B3041" s="2"/>
    </row>
    <row r="3042" spans="1:2" x14ac:dyDescent="0.25">
      <c r="A3042" s="1"/>
      <c r="B3042" s="2"/>
    </row>
    <row r="3043" spans="1:2" x14ac:dyDescent="0.25">
      <c r="A3043" s="1"/>
      <c r="B3043" s="2"/>
    </row>
    <row r="3044" spans="1:2" x14ac:dyDescent="0.25">
      <c r="A3044" s="1"/>
      <c r="B3044" s="2"/>
    </row>
    <row r="3045" spans="1:2" x14ac:dyDescent="0.25">
      <c r="A3045" s="1"/>
      <c r="B3045" s="2"/>
    </row>
    <row r="3046" spans="1:2" x14ac:dyDescent="0.25">
      <c r="A3046" s="1"/>
      <c r="B3046" s="2"/>
    </row>
    <row r="3047" spans="1:2" x14ac:dyDescent="0.25">
      <c r="A3047" s="1"/>
      <c r="B3047" s="2"/>
    </row>
    <row r="3048" spans="1:2" x14ac:dyDescent="0.25">
      <c r="A3048" s="1"/>
      <c r="B3048" s="2"/>
    </row>
    <row r="3049" spans="1:2" x14ac:dyDescent="0.25">
      <c r="A3049" s="1"/>
      <c r="B3049" s="2"/>
    </row>
    <row r="3050" spans="1:2" x14ac:dyDescent="0.25">
      <c r="A3050" s="1"/>
      <c r="B3050" s="2"/>
    </row>
    <row r="3051" spans="1:2" x14ac:dyDescent="0.25">
      <c r="A3051" s="1"/>
      <c r="B3051" s="2"/>
    </row>
    <row r="3052" spans="1:2" x14ac:dyDescent="0.25">
      <c r="A3052" s="1"/>
      <c r="B3052" s="2"/>
    </row>
    <row r="3053" spans="1:2" x14ac:dyDescent="0.25">
      <c r="A3053" s="1"/>
      <c r="B3053" s="2"/>
    </row>
    <row r="3054" spans="1:2" x14ac:dyDescent="0.25">
      <c r="A3054" s="1"/>
      <c r="B3054" s="2"/>
    </row>
    <row r="3055" spans="1:2" x14ac:dyDescent="0.25">
      <c r="A3055" s="1"/>
      <c r="B3055" s="2"/>
    </row>
    <row r="3056" spans="1:2" x14ac:dyDescent="0.25">
      <c r="A3056" s="1"/>
      <c r="B3056" s="2"/>
    </row>
    <row r="3057" spans="1:2" x14ac:dyDescent="0.25">
      <c r="A3057" s="1"/>
      <c r="B3057" s="2"/>
    </row>
    <row r="3058" spans="1:2" x14ac:dyDescent="0.25">
      <c r="A3058" s="1"/>
      <c r="B3058" s="2"/>
    </row>
    <row r="3059" spans="1:2" x14ac:dyDescent="0.25">
      <c r="A3059" s="1"/>
      <c r="B3059" s="2"/>
    </row>
    <row r="3060" spans="1:2" x14ac:dyDescent="0.25">
      <c r="A3060" s="1"/>
      <c r="B3060" s="2"/>
    </row>
    <row r="3061" spans="1:2" x14ac:dyDescent="0.25">
      <c r="A3061" s="1"/>
      <c r="B3061" s="2"/>
    </row>
    <row r="3062" spans="1:2" x14ac:dyDescent="0.25">
      <c r="A3062" s="1"/>
      <c r="B3062" s="2"/>
    </row>
    <row r="3063" spans="1:2" x14ac:dyDescent="0.25">
      <c r="A3063" s="1"/>
      <c r="B3063" s="2"/>
    </row>
    <row r="3064" spans="1:2" x14ac:dyDescent="0.25">
      <c r="A3064" s="1"/>
      <c r="B3064" s="2"/>
    </row>
    <row r="3065" spans="1:2" x14ac:dyDescent="0.25">
      <c r="A3065" s="1"/>
      <c r="B3065" s="2"/>
    </row>
    <row r="3066" spans="1:2" x14ac:dyDescent="0.25">
      <c r="A3066" s="1"/>
      <c r="B3066" s="2"/>
    </row>
    <row r="3067" spans="1:2" x14ac:dyDescent="0.25">
      <c r="A3067" s="1"/>
      <c r="B3067" s="2"/>
    </row>
    <row r="3068" spans="1:2" x14ac:dyDescent="0.25">
      <c r="A3068" s="1"/>
      <c r="B3068" s="2"/>
    </row>
    <row r="3069" spans="1:2" x14ac:dyDescent="0.25">
      <c r="A3069" s="1"/>
      <c r="B3069" s="2"/>
    </row>
    <row r="3070" spans="1:2" x14ac:dyDescent="0.25">
      <c r="A3070" s="1"/>
      <c r="B3070" s="2"/>
    </row>
    <row r="3071" spans="1:2" x14ac:dyDescent="0.25">
      <c r="A3071" s="1"/>
      <c r="B3071" s="2"/>
    </row>
    <row r="3072" spans="1:2" x14ac:dyDescent="0.25">
      <c r="A3072" s="1"/>
      <c r="B3072" s="2"/>
    </row>
    <row r="3073" spans="1:2" x14ac:dyDescent="0.25">
      <c r="A3073" s="1"/>
      <c r="B3073" s="2"/>
    </row>
    <row r="3074" spans="1:2" x14ac:dyDescent="0.25">
      <c r="A3074" s="1"/>
      <c r="B3074" s="2"/>
    </row>
    <row r="3075" spans="1:2" x14ac:dyDescent="0.25">
      <c r="A3075" s="1"/>
      <c r="B3075" s="2"/>
    </row>
    <row r="3076" spans="1:2" x14ac:dyDescent="0.25">
      <c r="A3076" s="1"/>
      <c r="B3076" s="2"/>
    </row>
    <row r="3077" spans="1:2" x14ac:dyDescent="0.25">
      <c r="A3077" s="1"/>
      <c r="B3077" s="2"/>
    </row>
    <row r="3078" spans="1:2" x14ac:dyDescent="0.25">
      <c r="A3078" s="1"/>
      <c r="B3078" s="2"/>
    </row>
    <row r="3079" spans="1:2" x14ac:dyDescent="0.25">
      <c r="A3079" s="1"/>
      <c r="B3079" s="2"/>
    </row>
    <row r="3080" spans="1:2" x14ac:dyDescent="0.25">
      <c r="A3080" s="1"/>
      <c r="B3080" s="2"/>
    </row>
    <row r="3081" spans="1:2" x14ac:dyDescent="0.25">
      <c r="A3081" s="1"/>
      <c r="B3081" s="2"/>
    </row>
    <row r="3082" spans="1:2" x14ac:dyDescent="0.25">
      <c r="A3082" s="1"/>
      <c r="B3082" s="2"/>
    </row>
    <row r="3083" spans="1:2" x14ac:dyDescent="0.25">
      <c r="A3083" s="1"/>
      <c r="B3083" s="2"/>
    </row>
    <row r="3084" spans="1:2" x14ac:dyDescent="0.25">
      <c r="A3084" s="1"/>
      <c r="B3084" s="2"/>
    </row>
    <row r="3085" spans="1:2" x14ac:dyDescent="0.25">
      <c r="A3085" s="1"/>
      <c r="B3085" s="2"/>
    </row>
    <row r="3086" spans="1:2" x14ac:dyDescent="0.25">
      <c r="A3086" s="1"/>
      <c r="B3086" s="2"/>
    </row>
    <row r="3087" spans="1:2" x14ac:dyDescent="0.25">
      <c r="A3087" s="1"/>
      <c r="B3087" s="2"/>
    </row>
    <row r="3088" spans="1:2" x14ac:dyDescent="0.25">
      <c r="A3088" s="1"/>
      <c r="B3088" s="2"/>
    </row>
    <row r="3089" spans="1:2" x14ac:dyDescent="0.25">
      <c r="A3089" s="1"/>
      <c r="B3089" s="2"/>
    </row>
    <row r="3090" spans="1:2" x14ac:dyDescent="0.25">
      <c r="A3090" s="1"/>
      <c r="B3090" s="2"/>
    </row>
    <row r="3091" spans="1:2" x14ac:dyDescent="0.25">
      <c r="A3091" s="1"/>
      <c r="B3091" s="2"/>
    </row>
    <row r="3092" spans="1:2" x14ac:dyDescent="0.25">
      <c r="A3092" s="1"/>
      <c r="B3092" s="2"/>
    </row>
    <row r="3093" spans="1:2" x14ac:dyDescent="0.25">
      <c r="A3093" s="1"/>
      <c r="B3093" s="2"/>
    </row>
    <row r="3094" spans="1:2" x14ac:dyDescent="0.25">
      <c r="A3094" s="1"/>
      <c r="B3094" s="2"/>
    </row>
    <row r="3095" spans="1:2" x14ac:dyDescent="0.25">
      <c r="A3095" s="1"/>
      <c r="B3095" s="2"/>
    </row>
    <row r="3096" spans="1:2" x14ac:dyDescent="0.25">
      <c r="A3096" s="1"/>
      <c r="B3096" s="2"/>
    </row>
    <row r="3097" spans="1:2" x14ac:dyDescent="0.25">
      <c r="A3097" s="1"/>
      <c r="B3097" s="2"/>
    </row>
    <row r="3098" spans="1:2" x14ac:dyDescent="0.25">
      <c r="A3098" s="1"/>
      <c r="B3098" s="2"/>
    </row>
    <row r="3099" spans="1:2" x14ac:dyDescent="0.25">
      <c r="A3099" s="1"/>
      <c r="B3099" s="2"/>
    </row>
    <row r="3100" spans="1:2" x14ac:dyDescent="0.25">
      <c r="A3100" s="1"/>
      <c r="B3100" s="2"/>
    </row>
    <row r="3101" spans="1:2" x14ac:dyDescent="0.25">
      <c r="A3101" s="1"/>
      <c r="B3101" s="2"/>
    </row>
    <row r="3102" spans="1:2" x14ac:dyDescent="0.25">
      <c r="A3102" s="1"/>
      <c r="B3102" s="2"/>
    </row>
    <row r="3103" spans="1:2" x14ac:dyDescent="0.25">
      <c r="A3103" s="1"/>
      <c r="B3103" s="2"/>
    </row>
    <row r="3104" spans="1:2" x14ac:dyDescent="0.25">
      <c r="A3104" s="1"/>
      <c r="B3104" s="2"/>
    </row>
    <row r="3105" spans="1:2" x14ac:dyDescent="0.25">
      <c r="A3105" s="1"/>
      <c r="B3105" s="2"/>
    </row>
    <row r="3106" spans="1:2" x14ac:dyDescent="0.25">
      <c r="A3106" s="1"/>
      <c r="B3106" s="2"/>
    </row>
    <row r="3107" spans="1:2" x14ac:dyDescent="0.25">
      <c r="A3107" s="1"/>
      <c r="B3107" s="2"/>
    </row>
    <row r="3108" spans="1:2" x14ac:dyDescent="0.25">
      <c r="A3108" s="1"/>
      <c r="B3108" s="2"/>
    </row>
    <row r="3109" spans="1:2" x14ac:dyDescent="0.25">
      <c r="A3109" s="1"/>
      <c r="B3109" s="2"/>
    </row>
    <row r="3110" spans="1:2" x14ac:dyDescent="0.25">
      <c r="A3110" s="1"/>
      <c r="B3110" s="2"/>
    </row>
    <row r="3111" spans="1:2" x14ac:dyDescent="0.25">
      <c r="A3111" s="1"/>
      <c r="B3111" s="2"/>
    </row>
    <row r="3112" spans="1:2" x14ac:dyDescent="0.25">
      <c r="A3112" s="1"/>
      <c r="B3112" s="2"/>
    </row>
    <row r="3113" spans="1:2" x14ac:dyDescent="0.25">
      <c r="A3113" s="1"/>
      <c r="B3113" s="2"/>
    </row>
    <row r="3114" spans="1:2" x14ac:dyDescent="0.25">
      <c r="A3114" s="1"/>
      <c r="B3114" s="2"/>
    </row>
    <row r="3115" spans="1:2" x14ac:dyDescent="0.25">
      <c r="A3115" s="1"/>
      <c r="B3115" s="2"/>
    </row>
    <row r="3116" spans="1:2" x14ac:dyDescent="0.25">
      <c r="A3116" s="1"/>
      <c r="B3116" s="2"/>
    </row>
    <row r="3117" spans="1:2" x14ac:dyDescent="0.25">
      <c r="A3117" s="1"/>
      <c r="B3117" s="2"/>
    </row>
    <row r="3118" spans="1:2" x14ac:dyDescent="0.25">
      <c r="A3118" s="1"/>
      <c r="B3118" s="2"/>
    </row>
    <row r="3119" spans="1:2" x14ac:dyDescent="0.25">
      <c r="A3119" s="1"/>
      <c r="B3119" s="2"/>
    </row>
    <row r="3120" spans="1:2" x14ac:dyDescent="0.25">
      <c r="A3120" s="1"/>
      <c r="B3120" s="2"/>
    </row>
    <row r="3121" spans="1:2" x14ac:dyDescent="0.25">
      <c r="A3121" s="1"/>
      <c r="B3121" s="2"/>
    </row>
    <row r="3122" spans="1:2" x14ac:dyDescent="0.25">
      <c r="A3122" s="1"/>
      <c r="B3122" s="2"/>
    </row>
    <row r="3123" spans="1:2" x14ac:dyDescent="0.25">
      <c r="A3123" s="1"/>
      <c r="B3123" s="2"/>
    </row>
    <row r="3124" spans="1:2" x14ac:dyDescent="0.25">
      <c r="A3124" s="1"/>
      <c r="B3124" s="2"/>
    </row>
    <row r="3125" spans="1:2" x14ac:dyDescent="0.25">
      <c r="A3125" s="1"/>
      <c r="B3125" s="2"/>
    </row>
    <row r="3126" spans="1:2" x14ac:dyDescent="0.25">
      <c r="A3126" s="1"/>
      <c r="B3126" s="2"/>
    </row>
    <row r="3127" spans="1:2" x14ac:dyDescent="0.25">
      <c r="A3127" s="1"/>
      <c r="B3127" s="2"/>
    </row>
    <row r="3128" spans="1:2" x14ac:dyDescent="0.25">
      <c r="A3128" s="1"/>
      <c r="B3128" s="2"/>
    </row>
    <row r="3129" spans="1:2" x14ac:dyDescent="0.25">
      <c r="A3129" s="1"/>
      <c r="B3129" s="2"/>
    </row>
    <row r="3130" spans="1:2" x14ac:dyDescent="0.25">
      <c r="A3130" s="1"/>
      <c r="B3130" s="2"/>
    </row>
    <row r="3131" spans="1:2" x14ac:dyDescent="0.25">
      <c r="A3131" s="1"/>
      <c r="B3131" s="2"/>
    </row>
    <row r="3132" spans="1:2" x14ac:dyDescent="0.25">
      <c r="A3132" s="1"/>
      <c r="B3132" s="2"/>
    </row>
    <row r="3133" spans="1:2" x14ac:dyDescent="0.25">
      <c r="A3133" s="1"/>
      <c r="B3133" s="2"/>
    </row>
    <row r="3134" spans="1:2" x14ac:dyDescent="0.25">
      <c r="A3134" s="1"/>
      <c r="B3134" s="2"/>
    </row>
    <row r="3135" spans="1:2" x14ac:dyDescent="0.25">
      <c r="A3135" s="1"/>
      <c r="B3135" s="2"/>
    </row>
    <row r="3136" spans="1:2" x14ac:dyDescent="0.25">
      <c r="A3136" s="1"/>
      <c r="B3136" s="2"/>
    </row>
    <row r="3137" spans="1:2" x14ac:dyDescent="0.25">
      <c r="A3137" s="1"/>
      <c r="B3137" s="2"/>
    </row>
    <row r="3138" spans="1:2" x14ac:dyDescent="0.25">
      <c r="A3138" s="1"/>
      <c r="B3138" s="2"/>
    </row>
    <row r="3139" spans="1:2" x14ac:dyDescent="0.25">
      <c r="A3139" s="1"/>
      <c r="B3139" s="2"/>
    </row>
    <row r="3140" spans="1:2" x14ac:dyDescent="0.25">
      <c r="A3140" s="1"/>
      <c r="B3140" s="2"/>
    </row>
    <row r="3141" spans="1:2" x14ac:dyDescent="0.25">
      <c r="A3141" s="1"/>
      <c r="B3141" s="2"/>
    </row>
    <row r="3142" spans="1:2" x14ac:dyDescent="0.25">
      <c r="A3142" s="1"/>
      <c r="B3142" s="2"/>
    </row>
    <row r="3143" spans="1:2" x14ac:dyDescent="0.25">
      <c r="A3143" s="1"/>
      <c r="B3143" s="2"/>
    </row>
    <row r="3144" spans="1:2" x14ac:dyDescent="0.25">
      <c r="A3144" s="1"/>
      <c r="B3144" s="2"/>
    </row>
    <row r="3145" spans="1:2" x14ac:dyDescent="0.25">
      <c r="A3145" s="1"/>
      <c r="B3145" s="2"/>
    </row>
    <row r="3146" spans="1:2" x14ac:dyDescent="0.25">
      <c r="A3146" s="1"/>
      <c r="B3146" s="2"/>
    </row>
    <row r="3147" spans="1:2" x14ac:dyDescent="0.25">
      <c r="A3147" s="1"/>
      <c r="B3147" s="2"/>
    </row>
    <row r="3148" spans="1:2" x14ac:dyDescent="0.25">
      <c r="A3148" s="1"/>
      <c r="B3148" s="2"/>
    </row>
    <row r="3149" spans="1:2" x14ac:dyDescent="0.25">
      <c r="A3149" s="1"/>
      <c r="B3149" s="2"/>
    </row>
    <row r="3150" spans="1:2" x14ac:dyDescent="0.25">
      <c r="A3150" s="1"/>
      <c r="B3150" s="2"/>
    </row>
    <row r="3151" spans="1:2" x14ac:dyDescent="0.25">
      <c r="A3151" s="1"/>
      <c r="B3151" s="2"/>
    </row>
    <row r="3152" spans="1:2" x14ac:dyDescent="0.25">
      <c r="A3152" s="1"/>
      <c r="B3152" s="2"/>
    </row>
    <row r="3153" spans="1:2" x14ac:dyDescent="0.25">
      <c r="A3153" s="1"/>
      <c r="B3153" s="2"/>
    </row>
    <row r="3154" spans="1:2" x14ac:dyDescent="0.25">
      <c r="A3154" s="1"/>
      <c r="B3154" s="2"/>
    </row>
    <row r="3155" spans="1:2" x14ac:dyDescent="0.25">
      <c r="A3155" s="1"/>
      <c r="B3155" s="2"/>
    </row>
    <row r="3156" spans="1:2" x14ac:dyDescent="0.25">
      <c r="A3156" s="1"/>
      <c r="B3156" s="2"/>
    </row>
    <row r="3157" spans="1:2" x14ac:dyDescent="0.25">
      <c r="A3157" s="1"/>
      <c r="B3157" s="2"/>
    </row>
    <row r="3158" spans="1:2" x14ac:dyDescent="0.25">
      <c r="A3158" s="1"/>
      <c r="B3158" s="2"/>
    </row>
    <row r="3159" spans="1:2" x14ac:dyDescent="0.25">
      <c r="A3159" s="1"/>
      <c r="B3159" s="2"/>
    </row>
    <row r="3160" spans="1:2" x14ac:dyDescent="0.25">
      <c r="A3160" s="1"/>
      <c r="B3160" s="2"/>
    </row>
    <row r="3161" spans="1:2" x14ac:dyDescent="0.25">
      <c r="A3161" s="1"/>
      <c r="B3161" s="2"/>
    </row>
    <row r="3162" spans="1:2" x14ac:dyDescent="0.25">
      <c r="A3162" s="1"/>
      <c r="B3162" s="2"/>
    </row>
    <row r="3163" spans="1:2" x14ac:dyDescent="0.25">
      <c r="A3163" s="1"/>
      <c r="B3163" s="2"/>
    </row>
    <row r="3164" spans="1:2" x14ac:dyDescent="0.25">
      <c r="A3164" s="1"/>
      <c r="B3164" s="2"/>
    </row>
    <row r="3165" spans="1:2" x14ac:dyDescent="0.25">
      <c r="A3165" s="1"/>
      <c r="B3165" s="2"/>
    </row>
    <row r="3166" spans="1:2" x14ac:dyDescent="0.25">
      <c r="A3166" s="1"/>
      <c r="B3166" s="2"/>
    </row>
    <row r="3167" spans="1:2" x14ac:dyDescent="0.25">
      <c r="A3167" s="1"/>
      <c r="B3167" s="2"/>
    </row>
    <row r="3168" spans="1:2" x14ac:dyDescent="0.25">
      <c r="A3168" s="1"/>
      <c r="B3168" s="2"/>
    </row>
    <row r="3169" spans="1:2" x14ac:dyDescent="0.25">
      <c r="A3169" s="1"/>
      <c r="B3169" s="2"/>
    </row>
    <row r="3170" spans="1:2" x14ac:dyDescent="0.25">
      <c r="A3170" s="1"/>
      <c r="B3170" s="2"/>
    </row>
    <row r="3171" spans="1:2" x14ac:dyDescent="0.25">
      <c r="A3171" s="1"/>
      <c r="B3171" s="2"/>
    </row>
    <row r="3172" spans="1:2" x14ac:dyDescent="0.25">
      <c r="A3172" s="1"/>
      <c r="B3172" s="2"/>
    </row>
    <row r="3173" spans="1:2" x14ac:dyDescent="0.25">
      <c r="A3173" s="1"/>
      <c r="B3173" s="2"/>
    </row>
    <row r="3174" spans="1:2" x14ac:dyDescent="0.25">
      <c r="A3174" s="1"/>
      <c r="B3174" s="2"/>
    </row>
    <row r="3175" spans="1:2" x14ac:dyDescent="0.25">
      <c r="A3175" s="1"/>
      <c r="B3175" s="2"/>
    </row>
    <row r="3176" spans="1:2" x14ac:dyDescent="0.25">
      <c r="A3176" s="1"/>
      <c r="B3176" s="2"/>
    </row>
    <row r="3177" spans="1:2" x14ac:dyDescent="0.25">
      <c r="A3177" s="1"/>
      <c r="B3177" s="2"/>
    </row>
    <row r="3178" spans="1:2" x14ac:dyDescent="0.25">
      <c r="A3178" s="1"/>
      <c r="B3178" s="2"/>
    </row>
    <row r="3179" spans="1:2" x14ac:dyDescent="0.25">
      <c r="A3179" s="1"/>
      <c r="B3179" s="2"/>
    </row>
    <row r="3180" spans="1:2" x14ac:dyDescent="0.25">
      <c r="A3180" s="1"/>
      <c r="B3180" s="2"/>
    </row>
    <row r="3181" spans="1:2" x14ac:dyDescent="0.25">
      <c r="A3181" s="1"/>
      <c r="B3181" s="2"/>
    </row>
    <row r="3182" spans="1:2" x14ac:dyDescent="0.25">
      <c r="A3182" s="1"/>
      <c r="B3182" s="2"/>
    </row>
    <row r="3183" spans="1:2" x14ac:dyDescent="0.25">
      <c r="A3183" s="1"/>
      <c r="B3183" s="2"/>
    </row>
    <row r="3184" spans="1:2" x14ac:dyDescent="0.25">
      <c r="A3184" s="1"/>
      <c r="B3184" s="2"/>
    </row>
    <row r="3185" spans="1:2" x14ac:dyDescent="0.25">
      <c r="A3185" s="1"/>
      <c r="B3185" s="2"/>
    </row>
    <row r="3186" spans="1:2" x14ac:dyDescent="0.25">
      <c r="A3186" s="1"/>
      <c r="B3186" s="2"/>
    </row>
    <row r="3187" spans="1:2" x14ac:dyDescent="0.25">
      <c r="A3187" s="1"/>
      <c r="B3187" s="2"/>
    </row>
    <row r="3188" spans="1:2" x14ac:dyDescent="0.25">
      <c r="A3188" s="1"/>
      <c r="B3188" s="2"/>
    </row>
    <row r="3189" spans="1:2" x14ac:dyDescent="0.25">
      <c r="A3189" s="1"/>
      <c r="B3189" s="2"/>
    </row>
    <row r="3190" spans="1:2" x14ac:dyDescent="0.25">
      <c r="A3190" s="1"/>
      <c r="B3190" s="2"/>
    </row>
    <row r="3191" spans="1:2" x14ac:dyDescent="0.25">
      <c r="A3191" s="1"/>
      <c r="B3191" s="2"/>
    </row>
    <row r="3192" spans="1:2" x14ac:dyDescent="0.25">
      <c r="A3192" s="1"/>
      <c r="B3192" s="2"/>
    </row>
    <row r="3193" spans="1:2" x14ac:dyDescent="0.25">
      <c r="A3193" s="1"/>
      <c r="B3193" s="2"/>
    </row>
    <row r="3194" spans="1:2" x14ac:dyDescent="0.25">
      <c r="A3194" s="1"/>
      <c r="B3194" s="2"/>
    </row>
    <row r="3195" spans="1:2" x14ac:dyDescent="0.25">
      <c r="A3195" s="1"/>
      <c r="B3195" s="2"/>
    </row>
    <row r="3196" spans="1:2" x14ac:dyDescent="0.25">
      <c r="A3196" s="1"/>
      <c r="B3196" s="2"/>
    </row>
    <row r="3197" spans="1:2" x14ac:dyDescent="0.25">
      <c r="A3197" s="1"/>
      <c r="B3197" s="2"/>
    </row>
    <row r="3198" spans="1:2" x14ac:dyDescent="0.25">
      <c r="A3198" s="1"/>
      <c r="B3198" s="2"/>
    </row>
    <row r="3199" spans="1:2" x14ac:dyDescent="0.25">
      <c r="A3199" s="1"/>
      <c r="B3199" s="2"/>
    </row>
    <row r="3200" spans="1:2" x14ac:dyDescent="0.25">
      <c r="A3200" s="1"/>
      <c r="B3200" s="2"/>
    </row>
    <row r="3201" spans="1:2" x14ac:dyDescent="0.25">
      <c r="A3201" s="1"/>
      <c r="B3201" s="2"/>
    </row>
    <row r="3202" spans="1:2" x14ac:dyDescent="0.25">
      <c r="A3202" s="1"/>
      <c r="B3202" s="2"/>
    </row>
    <row r="3203" spans="1:2" x14ac:dyDescent="0.25">
      <c r="A3203" s="1"/>
      <c r="B3203" s="2"/>
    </row>
    <row r="3204" spans="1:2" x14ac:dyDescent="0.25">
      <c r="A3204" s="1"/>
      <c r="B3204" s="2"/>
    </row>
    <row r="3205" spans="1:2" x14ac:dyDescent="0.25">
      <c r="A3205" s="1"/>
      <c r="B3205" s="2"/>
    </row>
    <row r="3206" spans="1:2" x14ac:dyDescent="0.25">
      <c r="A3206" s="1"/>
      <c r="B3206" s="2"/>
    </row>
    <row r="3207" spans="1:2" x14ac:dyDescent="0.25">
      <c r="A3207" s="1"/>
      <c r="B3207" s="2"/>
    </row>
    <row r="3208" spans="1:2" x14ac:dyDescent="0.25">
      <c r="A3208" s="1"/>
      <c r="B3208" s="2"/>
    </row>
    <row r="3209" spans="1:2" x14ac:dyDescent="0.25">
      <c r="A3209" s="1"/>
      <c r="B3209" s="2"/>
    </row>
    <row r="3210" spans="1:2" x14ac:dyDescent="0.25">
      <c r="A3210" s="1"/>
      <c r="B3210" s="2"/>
    </row>
    <row r="3211" spans="1:2" x14ac:dyDescent="0.25">
      <c r="A3211" s="1"/>
      <c r="B3211" s="2"/>
    </row>
    <row r="3212" spans="1:2" x14ac:dyDescent="0.25">
      <c r="A3212" s="1"/>
      <c r="B3212" s="2"/>
    </row>
    <row r="3213" spans="1:2" x14ac:dyDescent="0.25">
      <c r="A3213" s="1"/>
      <c r="B3213" s="2"/>
    </row>
    <row r="3214" spans="1:2" x14ac:dyDescent="0.25">
      <c r="A3214" s="1"/>
      <c r="B3214" s="2"/>
    </row>
    <row r="3215" spans="1:2" x14ac:dyDescent="0.25">
      <c r="A3215" s="1"/>
      <c r="B3215" s="2"/>
    </row>
    <row r="3216" spans="1:2" x14ac:dyDescent="0.25">
      <c r="A3216" s="1"/>
      <c r="B3216" s="2"/>
    </row>
    <row r="3217" spans="1:2" x14ac:dyDescent="0.25">
      <c r="A3217" s="1"/>
      <c r="B3217" s="2"/>
    </row>
    <row r="3218" spans="1:2" x14ac:dyDescent="0.25">
      <c r="A3218" s="1"/>
      <c r="B3218" s="2"/>
    </row>
    <row r="3219" spans="1:2" x14ac:dyDescent="0.25">
      <c r="A3219" s="1"/>
      <c r="B3219" s="2"/>
    </row>
    <row r="3220" spans="1:2" x14ac:dyDescent="0.25">
      <c r="A3220" s="1"/>
      <c r="B3220" s="2"/>
    </row>
    <row r="3221" spans="1:2" x14ac:dyDescent="0.25">
      <c r="A3221" s="1"/>
      <c r="B3221" s="2"/>
    </row>
    <row r="3222" spans="1:2" x14ac:dyDescent="0.25">
      <c r="A3222" s="1"/>
      <c r="B3222" s="2"/>
    </row>
    <row r="3223" spans="1:2" x14ac:dyDescent="0.25">
      <c r="A3223" s="1"/>
      <c r="B3223" s="2"/>
    </row>
    <row r="3224" spans="1:2" x14ac:dyDescent="0.25">
      <c r="A3224" s="1"/>
      <c r="B3224" s="2"/>
    </row>
    <row r="3225" spans="1:2" x14ac:dyDescent="0.25">
      <c r="A3225" s="1"/>
      <c r="B3225" s="2"/>
    </row>
    <row r="3226" spans="1:2" x14ac:dyDescent="0.25">
      <c r="A3226" s="1"/>
      <c r="B3226" s="2"/>
    </row>
    <row r="3227" spans="1:2" x14ac:dyDescent="0.25">
      <c r="A3227" s="1"/>
      <c r="B3227" s="2"/>
    </row>
    <row r="3228" spans="1:2" x14ac:dyDescent="0.25">
      <c r="A3228" s="1"/>
      <c r="B3228" s="2"/>
    </row>
    <row r="3229" spans="1:2" x14ac:dyDescent="0.25">
      <c r="A3229" s="1"/>
      <c r="B3229" s="2"/>
    </row>
    <row r="3230" spans="1:2" x14ac:dyDescent="0.25">
      <c r="A3230" s="1"/>
      <c r="B3230" s="2"/>
    </row>
    <row r="3231" spans="1:2" x14ac:dyDescent="0.25">
      <c r="A3231" s="1"/>
      <c r="B3231" s="2"/>
    </row>
    <row r="3232" spans="1:2" x14ac:dyDescent="0.25">
      <c r="A3232" s="1"/>
      <c r="B3232" s="2"/>
    </row>
    <row r="3233" spans="1:2" x14ac:dyDescent="0.25">
      <c r="A3233" s="1"/>
      <c r="B3233" s="2"/>
    </row>
    <row r="3234" spans="1:2" x14ac:dyDescent="0.25">
      <c r="A3234" s="1"/>
      <c r="B3234" s="2"/>
    </row>
    <row r="3235" spans="1:2" x14ac:dyDescent="0.25">
      <c r="A3235" s="1"/>
      <c r="B3235" s="2"/>
    </row>
    <row r="3236" spans="1:2" x14ac:dyDescent="0.25">
      <c r="A3236" s="1"/>
      <c r="B3236" s="2"/>
    </row>
    <row r="3237" spans="1:2" x14ac:dyDescent="0.25">
      <c r="A3237" s="1"/>
      <c r="B3237" s="2"/>
    </row>
    <row r="3238" spans="1:2" x14ac:dyDescent="0.25">
      <c r="A3238" s="1"/>
      <c r="B3238" s="2"/>
    </row>
    <row r="3239" spans="1:2" x14ac:dyDescent="0.25">
      <c r="A3239" s="1"/>
      <c r="B3239" s="2"/>
    </row>
    <row r="3240" spans="1:2" x14ac:dyDescent="0.25">
      <c r="A3240" s="1"/>
      <c r="B3240" s="2"/>
    </row>
    <row r="3241" spans="1:2" x14ac:dyDescent="0.25">
      <c r="A3241" s="1"/>
      <c r="B3241" s="2"/>
    </row>
    <row r="3242" spans="1:2" x14ac:dyDescent="0.25">
      <c r="A3242" s="1"/>
      <c r="B3242" s="2"/>
    </row>
    <row r="3243" spans="1:2" x14ac:dyDescent="0.25">
      <c r="A3243" s="1"/>
      <c r="B3243" s="2"/>
    </row>
    <row r="3244" spans="1:2" x14ac:dyDescent="0.25">
      <c r="A3244" s="1"/>
      <c r="B3244" s="2"/>
    </row>
    <row r="3245" spans="1:2" x14ac:dyDescent="0.25">
      <c r="A3245" s="1"/>
      <c r="B3245" s="2"/>
    </row>
    <row r="3246" spans="1:2" x14ac:dyDescent="0.25">
      <c r="A3246" s="1"/>
      <c r="B3246" s="2"/>
    </row>
    <row r="3247" spans="1:2" x14ac:dyDescent="0.25">
      <c r="A3247" s="1"/>
      <c r="B3247" s="2"/>
    </row>
    <row r="3248" spans="1:2" x14ac:dyDescent="0.25">
      <c r="A3248" s="1"/>
      <c r="B3248" s="2"/>
    </row>
    <row r="3249" spans="1:2" x14ac:dyDescent="0.25">
      <c r="A3249" s="1"/>
      <c r="B3249" s="2"/>
    </row>
    <row r="3250" spans="1:2" x14ac:dyDescent="0.25">
      <c r="A3250" s="1"/>
      <c r="B3250" s="2"/>
    </row>
    <row r="3251" spans="1:2" x14ac:dyDescent="0.25">
      <c r="A3251" s="1"/>
      <c r="B3251" s="2"/>
    </row>
    <row r="3252" spans="1:2" x14ac:dyDescent="0.25">
      <c r="A3252" s="1"/>
      <c r="B3252" s="2"/>
    </row>
    <row r="3253" spans="1:2" x14ac:dyDescent="0.25">
      <c r="A3253" s="1"/>
      <c r="B3253" s="2"/>
    </row>
    <row r="3254" spans="1:2" x14ac:dyDescent="0.25">
      <c r="A3254" s="1"/>
      <c r="B3254" s="2"/>
    </row>
    <row r="3255" spans="1:2" x14ac:dyDescent="0.25">
      <c r="A3255" s="1"/>
      <c r="B3255" s="2"/>
    </row>
    <row r="3256" spans="1:2" x14ac:dyDescent="0.25">
      <c r="A3256" s="1"/>
      <c r="B3256" s="2"/>
    </row>
    <row r="3257" spans="1:2" x14ac:dyDescent="0.25">
      <c r="A3257" s="1"/>
      <c r="B3257" s="2"/>
    </row>
    <row r="3258" spans="1:2" x14ac:dyDescent="0.25">
      <c r="A3258" s="1"/>
      <c r="B3258" s="2"/>
    </row>
    <row r="3259" spans="1:2" x14ac:dyDescent="0.25">
      <c r="A3259" s="1"/>
      <c r="B3259" s="2"/>
    </row>
    <row r="3260" spans="1:2" x14ac:dyDescent="0.25">
      <c r="A3260" s="1"/>
      <c r="B3260" s="2"/>
    </row>
    <row r="3261" spans="1:2" x14ac:dyDescent="0.25">
      <c r="A3261" s="1"/>
      <c r="B3261" s="2"/>
    </row>
    <row r="3262" spans="1:2" x14ac:dyDescent="0.25">
      <c r="A3262" s="1"/>
      <c r="B3262" s="2"/>
    </row>
    <row r="3263" spans="1:2" x14ac:dyDescent="0.25">
      <c r="A3263" s="1"/>
      <c r="B3263" s="2"/>
    </row>
    <row r="3264" spans="1:2" x14ac:dyDescent="0.25">
      <c r="A3264" s="1"/>
      <c r="B3264" s="2"/>
    </row>
    <row r="3265" spans="1:2" x14ac:dyDescent="0.25">
      <c r="A3265" s="1"/>
      <c r="B3265" s="2"/>
    </row>
    <row r="3266" spans="1:2" x14ac:dyDescent="0.25">
      <c r="A3266" s="1"/>
      <c r="B3266" s="2"/>
    </row>
    <row r="3267" spans="1:2" x14ac:dyDescent="0.25">
      <c r="A3267" s="1"/>
      <c r="B3267" s="2"/>
    </row>
    <row r="3268" spans="1:2" x14ac:dyDescent="0.25">
      <c r="A3268" s="1"/>
      <c r="B3268" s="2"/>
    </row>
    <row r="3269" spans="1:2" x14ac:dyDescent="0.25">
      <c r="A3269" s="1"/>
      <c r="B3269" s="2"/>
    </row>
    <row r="3270" spans="1:2" x14ac:dyDescent="0.25">
      <c r="A3270" s="1"/>
      <c r="B3270" s="2"/>
    </row>
    <row r="3271" spans="1:2" x14ac:dyDescent="0.25">
      <c r="A3271" s="1"/>
      <c r="B3271" s="2"/>
    </row>
    <row r="3272" spans="1:2" x14ac:dyDescent="0.25">
      <c r="A3272" s="1"/>
      <c r="B3272" s="2"/>
    </row>
    <row r="3273" spans="1:2" x14ac:dyDescent="0.25">
      <c r="A3273" s="1"/>
      <c r="B3273" s="2"/>
    </row>
    <row r="3274" spans="1:2" x14ac:dyDescent="0.25">
      <c r="A3274" s="1"/>
      <c r="B3274" s="2"/>
    </row>
    <row r="3275" spans="1:2" x14ac:dyDescent="0.25">
      <c r="A3275" s="1"/>
      <c r="B3275" s="2"/>
    </row>
    <row r="3276" spans="1:2" x14ac:dyDescent="0.25">
      <c r="A3276" s="1"/>
      <c r="B3276" s="2"/>
    </row>
    <row r="3277" spans="1:2" x14ac:dyDescent="0.25">
      <c r="A3277" s="1"/>
      <c r="B3277" s="2"/>
    </row>
    <row r="3278" spans="1:2" x14ac:dyDescent="0.25">
      <c r="A3278" s="1"/>
      <c r="B3278" s="2"/>
    </row>
    <row r="3279" spans="1:2" x14ac:dyDescent="0.25">
      <c r="A3279" s="1"/>
      <c r="B3279" s="2"/>
    </row>
    <row r="3280" spans="1:2" x14ac:dyDescent="0.25">
      <c r="A3280" s="1"/>
      <c r="B3280" s="2"/>
    </row>
    <row r="3281" spans="1:2" x14ac:dyDescent="0.25">
      <c r="A3281" s="1"/>
      <c r="B3281" s="2"/>
    </row>
    <row r="3282" spans="1:2" x14ac:dyDescent="0.25">
      <c r="A3282" s="1"/>
      <c r="B3282" s="2"/>
    </row>
    <row r="3283" spans="1:2" x14ac:dyDescent="0.25">
      <c r="A3283" s="1"/>
      <c r="B3283" s="2"/>
    </row>
    <row r="3284" spans="1:2" x14ac:dyDescent="0.25">
      <c r="A3284" s="1"/>
      <c r="B3284" s="2"/>
    </row>
    <row r="3285" spans="1:2" x14ac:dyDescent="0.25">
      <c r="A3285" s="1"/>
      <c r="B3285" s="2"/>
    </row>
    <row r="3286" spans="1:2" x14ac:dyDescent="0.25">
      <c r="A3286" s="1"/>
      <c r="B3286" s="2"/>
    </row>
    <row r="3287" spans="1:2" x14ac:dyDescent="0.25">
      <c r="A3287" s="1"/>
      <c r="B3287" s="2"/>
    </row>
    <row r="3288" spans="1:2" x14ac:dyDescent="0.25">
      <c r="A3288" s="1"/>
      <c r="B3288" s="2"/>
    </row>
    <row r="3289" spans="1:2" x14ac:dyDescent="0.25">
      <c r="A3289" s="1"/>
      <c r="B3289" s="2"/>
    </row>
    <row r="3290" spans="1:2" x14ac:dyDescent="0.25">
      <c r="A3290" s="1"/>
      <c r="B3290" s="2"/>
    </row>
    <row r="3291" spans="1:2" x14ac:dyDescent="0.25">
      <c r="A3291" s="1"/>
      <c r="B3291" s="2"/>
    </row>
    <row r="3292" spans="1:2" x14ac:dyDescent="0.25">
      <c r="A3292" s="1"/>
      <c r="B3292" s="2"/>
    </row>
    <row r="3293" spans="1:2" x14ac:dyDescent="0.25">
      <c r="A3293" s="1"/>
      <c r="B3293" s="2"/>
    </row>
    <row r="3294" spans="1:2" x14ac:dyDescent="0.25">
      <c r="A3294" s="1"/>
      <c r="B3294" s="2"/>
    </row>
    <row r="3295" spans="1:2" x14ac:dyDescent="0.25">
      <c r="A3295" s="1"/>
      <c r="B3295" s="2"/>
    </row>
    <row r="3296" spans="1:2" x14ac:dyDescent="0.25">
      <c r="A3296" s="1"/>
      <c r="B3296" s="2"/>
    </row>
    <row r="3297" spans="1:2" x14ac:dyDescent="0.25">
      <c r="A3297" s="1"/>
      <c r="B3297" s="2"/>
    </row>
    <row r="3298" spans="1:2" x14ac:dyDescent="0.25">
      <c r="A3298" s="1"/>
      <c r="B3298" s="2"/>
    </row>
    <row r="3299" spans="1:2" x14ac:dyDescent="0.25">
      <c r="A3299" s="1"/>
      <c r="B3299" s="2"/>
    </row>
    <row r="3300" spans="1:2" x14ac:dyDescent="0.25">
      <c r="A3300" s="1"/>
      <c r="B3300" s="2"/>
    </row>
    <row r="3301" spans="1:2" x14ac:dyDescent="0.25">
      <c r="A3301" s="1"/>
      <c r="B3301" s="2"/>
    </row>
    <row r="3302" spans="1:2" x14ac:dyDescent="0.25">
      <c r="A3302" s="1"/>
      <c r="B3302" s="2"/>
    </row>
    <row r="3303" spans="1:2" x14ac:dyDescent="0.25">
      <c r="A3303" s="1"/>
      <c r="B3303" s="2"/>
    </row>
    <row r="3304" spans="1:2" x14ac:dyDescent="0.25">
      <c r="A3304" s="1"/>
      <c r="B3304" s="2"/>
    </row>
    <row r="3305" spans="1:2" x14ac:dyDescent="0.25">
      <c r="A3305" s="1"/>
      <c r="B3305" s="2"/>
    </row>
    <row r="3306" spans="1:2" x14ac:dyDescent="0.25">
      <c r="A3306" s="1"/>
      <c r="B3306" s="2"/>
    </row>
    <row r="3307" spans="1:2" x14ac:dyDescent="0.25">
      <c r="A3307" s="1"/>
      <c r="B3307" s="2"/>
    </row>
    <row r="3308" spans="1:2" x14ac:dyDescent="0.25">
      <c r="A3308" s="1"/>
      <c r="B3308" s="2"/>
    </row>
    <row r="3309" spans="1:2" x14ac:dyDescent="0.25">
      <c r="A3309" s="1"/>
      <c r="B3309" s="2"/>
    </row>
    <row r="3310" spans="1:2" x14ac:dyDescent="0.25">
      <c r="A3310" s="1"/>
      <c r="B3310" s="2"/>
    </row>
    <row r="3311" spans="1:2" x14ac:dyDescent="0.25">
      <c r="A3311" s="1"/>
      <c r="B3311" s="2"/>
    </row>
    <row r="3312" spans="1:2" x14ac:dyDescent="0.25">
      <c r="A3312" s="1"/>
      <c r="B3312" s="2"/>
    </row>
    <row r="3313" spans="1:2" x14ac:dyDescent="0.25">
      <c r="A3313" s="1"/>
      <c r="B3313" s="2"/>
    </row>
    <row r="3314" spans="1:2" x14ac:dyDescent="0.25">
      <c r="A3314" s="1"/>
      <c r="B3314" s="2"/>
    </row>
    <row r="3315" spans="1:2" x14ac:dyDescent="0.25">
      <c r="A3315" s="1"/>
      <c r="B3315" s="2"/>
    </row>
    <row r="3316" spans="1:2" x14ac:dyDescent="0.25">
      <c r="A3316" s="1"/>
      <c r="B3316" s="2"/>
    </row>
    <row r="3317" spans="1:2" x14ac:dyDescent="0.25">
      <c r="A3317" s="1"/>
      <c r="B3317" s="2"/>
    </row>
    <row r="3318" spans="1:2" x14ac:dyDescent="0.25">
      <c r="A3318" s="1"/>
      <c r="B3318" s="2"/>
    </row>
    <row r="3319" spans="1:2" x14ac:dyDescent="0.25">
      <c r="A3319" s="1"/>
      <c r="B3319" s="2"/>
    </row>
    <row r="3320" spans="1:2" x14ac:dyDescent="0.25">
      <c r="A3320" s="1"/>
      <c r="B3320" s="2"/>
    </row>
    <row r="3321" spans="1:2" x14ac:dyDescent="0.25">
      <c r="A3321" s="1"/>
      <c r="B3321" s="2"/>
    </row>
    <row r="3322" spans="1:2" x14ac:dyDescent="0.25">
      <c r="A3322" s="1"/>
      <c r="B3322" s="2"/>
    </row>
    <row r="3323" spans="1:2" x14ac:dyDescent="0.25">
      <c r="A3323" s="1"/>
      <c r="B3323" s="2"/>
    </row>
    <row r="3324" spans="1:2" x14ac:dyDescent="0.25">
      <c r="A3324" s="1"/>
      <c r="B3324" s="2"/>
    </row>
    <row r="3325" spans="1:2" x14ac:dyDescent="0.25">
      <c r="A3325" s="1"/>
      <c r="B3325" s="2"/>
    </row>
    <row r="3326" spans="1:2" x14ac:dyDescent="0.25">
      <c r="A3326" s="1"/>
      <c r="B3326" s="2"/>
    </row>
    <row r="3327" spans="1:2" x14ac:dyDescent="0.25">
      <c r="A3327" s="1"/>
      <c r="B3327" s="2"/>
    </row>
    <row r="3328" spans="1:2" x14ac:dyDescent="0.25">
      <c r="A3328" s="1"/>
      <c r="B3328" s="2"/>
    </row>
    <row r="3329" spans="1:2" x14ac:dyDescent="0.25">
      <c r="A3329" s="1"/>
      <c r="B3329" s="2"/>
    </row>
    <row r="3330" spans="1:2" x14ac:dyDescent="0.25">
      <c r="A3330" s="1"/>
      <c r="B3330" s="2"/>
    </row>
    <row r="3331" spans="1:2" x14ac:dyDescent="0.25">
      <c r="A3331" s="1"/>
      <c r="B3331" s="2"/>
    </row>
    <row r="3332" spans="1:2" x14ac:dyDescent="0.25">
      <c r="A3332" s="1"/>
      <c r="B3332" s="2"/>
    </row>
    <row r="3333" spans="1:2" x14ac:dyDescent="0.25">
      <c r="A3333" s="1"/>
      <c r="B3333" s="2"/>
    </row>
    <row r="3334" spans="1:2" x14ac:dyDescent="0.25">
      <c r="A3334" s="1"/>
      <c r="B3334" s="2"/>
    </row>
    <row r="3335" spans="1:2" x14ac:dyDescent="0.25">
      <c r="A3335" s="1"/>
      <c r="B3335" s="2"/>
    </row>
    <row r="3336" spans="1:2" x14ac:dyDescent="0.25">
      <c r="A3336" s="1"/>
      <c r="B3336" s="2"/>
    </row>
    <row r="3337" spans="1:2" x14ac:dyDescent="0.25">
      <c r="A3337" s="1"/>
      <c r="B3337" s="2"/>
    </row>
    <row r="3338" spans="1:2" x14ac:dyDescent="0.25">
      <c r="A3338" s="1"/>
      <c r="B3338" s="2"/>
    </row>
    <row r="3339" spans="1:2" x14ac:dyDescent="0.25">
      <c r="A3339" s="1"/>
      <c r="B3339" s="2"/>
    </row>
    <row r="3340" spans="1:2" x14ac:dyDescent="0.25">
      <c r="A3340" s="1"/>
      <c r="B3340" s="2"/>
    </row>
    <row r="3341" spans="1:2" x14ac:dyDescent="0.25">
      <c r="A3341" s="1"/>
      <c r="B3341" s="2"/>
    </row>
    <row r="3342" spans="1:2" x14ac:dyDescent="0.25">
      <c r="A3342" s="1"/>
      <c r="B3342" s="2"/>
    </row>
    <row r="3343" spans="1:2" x14ac:dyDescent="0.25">
      <c r="A3343" s="1"/>
      <c r="B3343" s="2"/>
    </row>
    <row r="3344" spans="1:2" x14ac:dyDescent="0.25">
      <c r="A3344" s="1"/>
      <c r="B3344" s="2"/>
    </row>
    <row r="3345" spans="1:2" x14ac:dyDescent="0.25">
      <c r="A3345" s="1"/>
      <c r="B3345" s="2"/>
    </row>
    <row r="3346" spans="1:2" x14ac:dyDescent="0.25">
      <c r="A3346" s="1"/>
      <c r="B3346" s="2"/>
    </row>
    <row r="3347" spans="1:2" x14ac:dyDescent="0.25">
      <c r="A3347" s="1"/>
      <c r="B3347" s="2"/>
    </row>
    <row r="3348" spans="1:2" x14ac:dyDescent="0.25">
      <c r="A3348" s="1"/>
      <c r="B3348" s="2"/>
    </row>
    <row r="3349" spans="1:2" x14ac:dyDescent="0.25">
      <c r="A3349" s="1"/>
      <c r="B3349" s="2"/>
    </row>
    <row r="3350" spans="1:2" x14ac:dyDescent="0.25">
      <c r="A3350" s="1"/>
      <c r="B3350" s="2"/>
    </row>
    <row r="3351" spans="1:2" x14ac:dyDescent="0.25">
      <c r="A3351" s="1"/>
      <c r="B3351" s="2"/>
    </row>
    <row r="3352" spans="1:2" x14ac:dyDescent="0.25">
      <c r="A3352" s="1"/>
      <c r="B3352" s="2"/>
    </row>
    <row r="3353" spans="1:2" x14ac:dyDescent="0.25">
      <c r="A3353" s="1"/>
      <c r="B3353" s="2"/>
    </row>
    <row r="3354" spans="1:2" x14ac:dyDescent="0.25">
      <c r="A3354" s="1"/>
      <c r="B3354" s="2"/>
    </row>
    <row r="3355" spans="1:2" x14ac:dyDescent="0.25">
      <c r="A3355" s="1"/>
      <c r="B3355" s="2"/>
    </row>
    <row r="3356" spans="1:2" x14ac:dyDescent="0.25">
      <c r="A3356" s="1"/>
      <c r="B3356" s="2"/>
    </row>
    <row r="3357" spans="1:2" x14ac:dyDescent="0.25">
      <c r="A3357" s="1"/>
      <c r="B3357" s="2"/>
    </row>
    <row r="3358" spans="1:2" x14ac:dyDescent="0.25">
      <c r="A3358" s="1"/>
      <c r="B3358" s="2"/>
    </row>
    <row r="3359" spans="1:2" x14ac:dyDescent="0.25">
      <c r="A3359" s="1"/>
      <c r="B3359" s="2"/>
    </row>
    <row r="3360" spans="1:2" x14ac:dyDescent="0.25">
      <c r="A3360" s="1"/>
      <c r="B3360" s="2"/>
    </row>
    <row r="3361" spans="1:2" x14ac:dyDescent="0.25">
      <c r="A3361" s="1"/>
      <c r="B3361" s="2"/>
    </row>
    <row r="3362" spans="1:2" x14ac:dyDescent="0.25">
      <c r="A3362" s="1"/>
      <c r="B3362" s="2"/>
    </row>
    <row r="3363" spans="1:2" x14ac:dyDescent="0.25">
      <c r="A3363" s="1"/>
      <c r="B3363" s="2"/>
    </row>
    <row r="3364" spans="1:2" x14ac:dyDescent="0.25">
      <c r="A3364" s="1"/>
      <c r="B3364" s="2"/>
    </row>
    <row r="3365" spans="1:2" x14ac:dyDescent="0.25">
      <c r="A3365" s="1"/>
      <c r="B3365" s="2"/>
    </row>
    <row r="3366" spans="1:2" x14ac:dyDescent="0.25">
      <c r="A3366" s="1"/>
      <c r="B3366" s="2"/>
    </row>
    <row r="3367" spans="1:2" x14ac:dyDescent="0.25">
      <c r="A3367" s="1"/>
      <c r="B3367" s="2"/>
    </row>
    <row r="3368" spans="1:2" x14ac:dyDescent="0.25">
      <c r="A3368" s="1"/>
      <c r="B3368" s="2"/>
    </row>
    <row r="3369" spans="1:2" x14ac:dyDescent="0.25">
      <c r="A3369" s="1"/>
      <c r="B3369" s="2"/>
    </row>
    <row r="3370" spans="1:2" x14ac:dyDescent="0.25">
      <c r="A3370" s="1"/>
      <c r="B3370" s="2"/>
    </row>
    <row r="3371" spans="1:2" x14ac:dyDescent="0.25">
      <c r="A3371" s="1"/>
      <c r="B3371" s="2"/>
    </row>
    <row r="3372" spans="1:2" x14ac:dyDescent="0.25">
      <c r="A3372" s="1"/>
      <c r="B3372" s="2"/>
    </row>
    <row r="3373" spans="1:2" x14ac:dyDescent="0.25">
      <c r="A3373" s="1"/>
      <c r="B3373" s="2"/>
    </row>
    <row r="3374" spans="1:2" x14ac:dyDescent="0.25">
      <c r="A3374" s="1"/>
      <c r="B3374" s="2"/>
    </row>
    <row r="3375" spans="1:2" x14ac:dyDescent="0.25">
      <c r="A3375" s="1"/>
      <c r="B3375" s="2"/>
    </row>
    <row r="3376" spans="1:2" x14ac:dyDescent="0.25">
      <c r="A3376" s="1"/>
      <c r="B3376" s="2"/>
    </row>
    <row r="3377" spans="1:2" x14ac:dyDescent="0.25">
      <c r="A3377" s="1"/>
      <c r="B3377" s="2"/>
    </row>
    <row r="3378" spans="1:2" x14ac:dyDescent="0.25">
      <c r="A3378" s="1"/>
      <c r="B3378" s="2"/>
    </row>
    <row r="3379" spans="1:2" x14ac:dyDescent="0.25">
      <c r="A3379" s="1"/>
      <c r="B3379" s="2"/>
    </row>
    <row r="3380" spans="1:2" x14ac:dyDescent="0.25">
      <c r="A3380" s="1"/>
      <c r="B3380" s="2"/>
    </row>
    <row r="3381" spans="1:2" x14ac:dyDescent="0.25">
      <c r="A3381" s="1"/>
      <c r="B3381" s="2"/>
    </row>
    <row r="3382" spans="1:2" x14ac:dyDescent="0.25">
      <c r="A3382" s="1"/>
      <c r="B3382" s="2"/>
    </row>
    <row r="3383" spans="1:2" x14ac:dyDescent="0.25">
      <c r="A3383" s="1"/>
      <c r="B3383" s="2"/>
    </row>
    <row r="3384" spans="1:2" x14ac:dyDescent="0.25">
      <c r="A3384" s="1"/>
      <c r="B3384" s="2"/>
    </row>
    <row r="3385" spans="1:2" x14ac:dyDescent="0.25">
      <c r="A3385" s="1"/>
      <c r="B3385" s="2"/>
    </row>
    <row r="3386" spans="1:2" x14ac:dyDescent="0.25">
      <c r="A3386" s="1"/>
      <c r="B3386" s="2"/>
    </row>
    <row r="3387" spans="1:2" x14ac:dyDescent="0.25">
      <c r="A3387" s="1"/>
      <c r="B3387" s="2"/>
    </row>
    <row r="3388" spans="1:2" x14ac:dyDescent="0.25">
      <c r="A3388" s="1"/>
      <c r="B3388" s="2"/>
    </row>
    <row r="3389" spans="1:2" x14ac:dyDescent="0.25">
      <c r="A3389" s="1"/>
      <c r="B3389" s="2"/>
    </row>
    <row r="3390" spans="1:2" x14ac:dyDescent="0.25">
      <c r="A3390" s="1"/>
      <c r="B3390" s="2"/>
    </row>
    <row r="3391" spans="1:2" x14ac:dyDescent="0.25">
      <c r="A3391" s="1"/>
      <c r="B3391" s="2"/>
    </row>
    <row r="3392" spans="1:2" x14ac:dyDescent="0.25">
      <c r="A3392" s="1"/>
      <c r="B3392" s="2"/>
    </row>
    <row r="3393" spans="1:2" x14ac:dyDescent="0.25">
      <c r="A3393" s="1"/>
      <c r="B3393" s="2"/>
    </row>
    <row r="3394" spans="1:2" x14ac:dyDescent="0.25">
      <c r="A3394" s="1"/>
      <c r="B3394" s="2"/>
    </row>
    <row r="3395" spans="1:2" x14ac:dyDescent="0.25">
      <c r="A3395" s="1"/>
      <c r="B3395" s="2"/>
    </row>
    <row r="3396" spans="1:2" x14ac:dyDescent="0.25">
      <c r="A3396" s="1"/>
      <c r="B3396" s="2"/>
    </row>
    <row r="3397" spans="1:2" x14ac:dyDescent="0.25">
      <c r="A3397" s="1"/>
      <c r="B3397" s="2"/>
    </row>
    <row r="3398" spans="1:2" x14ac:dyDescent="0.25">
      <c r="A3398" s="1"/>
      <c r="B3398" s="2"/>
    </row>
    <row r="3399" spans="1:2" x14ac:dyDescent="0.25">
      <c r="A3399" s="1"/>
      <c r="B3399" s="2"/>
    </row>
    <row r="3400" spans="1:2" x14ac:dyDescent="0.25">
      <c r="A3400" s="1"/>
      <c r="B3400" s="2"/>
    </row>
    <row r="3401" spans="1:2" x14ac:dyDescent="0.25">
      <c r="A3401" s="1"/>
      <c r="B3401" s="2"/>
    </row>
    <row r="3402" spans="1:2" x14ac:dyDescent="0.25">
      <c r="A3402" s="1"/>
      <c r="B3402" s="2"/>
    </row>
    <row r="3403" spans="1:2" x14ac:dyDescent="0.25">
      <c r="A3403" s="1"/>
      <c r="B3403" s="2"/>
    </row>
    <row r="3404" spans="1:2" x14ac:dyDescent="0.25">
      <c r="A3404" s="1"/>
      <c r="B3404" s="2"/>
    </row>
    <row r="3405" spans="1:2" x14ac:dyDescent="0.25">
      <c r="A3405" s="1"/>
      <c r="B3405" s="2"/>
    </row>
    <row r="3406" spans="1:2" x14ac:dyDescent="0.25">
      <c r="A3406" s="1"/>
      <c r="B3406" s="2"/>
    </row>
    <row r="3407" spans="1:2" x14ac:dyDescent="0.25">
      <c r="A3407" s="1"/>
      <c r="B3407" s="2"/>
    </row>
    <row r="3408" spans="1:2" x14ac:dyDescent="0.25">
      <c r="A3408" s="1"/>
      <c r="B3408" s="2"/>
    </row>
    <row r="3409" spans="1:2" x14ac:dyDescent="0.25">
      <c r="A3409" s="1"/>
      <c r="B3409" s="2"/>
    </row>
    <row r="3410" spans="1:2" x14ac:dyDescent="0.25">
      <c r="A3410" s="1"/>
      <c r="B3410" s="2"/>
    </row>
    <row r="3411" spans="1:2" x14ac:dyDescent="0.25">
      <c r="A3411" s="1"/>
      <c r="B3411" s="2"/>
    </row>
    <row r="3412" spans="1:2" x14ac:dyDescent="0.25">
      <c r="A3412" s="1"/>
      <c r="B3412" s="2"/>
    </row>
    <row r="3413" spans="1:2" x14ac:dyDescent="0.25">
      <c r="A3413" s="1"/>
      <c r="B3413" s="2"/>
    </row>
    <row r="3414" spans="1:2" x14ac:dyDescent="0.25">
      <c r="A3414" s="1"/>
      <c r="B3414" s="2"/>
    </row>
    <row r="3415" spans="1:2" x14ac:dyDescent="0.25">
      <c r="A3415" s="1"/>
      <c r="B3415" s="2"/>
    </row>
    <row r="3416" spans="1:2" x14ac:dyDescent="0.25">
      <c r="A3416" s="1"/>
      <c r="B3416" s="2"/>
    </row>
    <row r="3417" spans="1:2" x14ac:dyDescent="0.25">
      <c r="A3417" s="1"/>
      <c r="B3417" s="2"/>
    </row>
    <row r="3418" spans="1:2" x14ac:dyDescent="0.25">
      <c r="A3418" s="1"/>
      <c r="B3418" s="2"/>
    </row>
    <row r="3419" spans="1:2" x14ac:dyDescent="0.25">
      <c r="A3419" s="1"/>
      <c r="B3419" s="2"/>
    </row>
    <row r="3420" spans="1:2" x14ac:dyDescent="0.25">
      <c r="A3420" s="1"/>
      <c r="B3420" s="2"/>
    </row>
    <row r="3421" spans="1:2" x14ac:dyDescent="0.25">
      <c r="A3421" s="1"/>
      <c r="B3421" s="2"/>
    </row>
    <row r="3422" spans="1:2" x14ac:dyDescent="0.25">
      <c r="A3422" s="1"/>
      <c r="B3422" s="2"/>
    </row>
    <row r="3423" spans="1:2" x14ac:dyDescent="0.25">
      <c r="A3423" s="1"/>
      <c r="B3423" s="2"/>
    </row>
    <row r="3424" spans="1:2" x14ac:dyDescent="0.25">
      <c r="A3424" s="1"/>
      <c r="B3424" s="2"/>
    </row>
    <row r="3425" spans="1:2" x14ac:dyDescent="0.25">
      <c r="A3425" s="1"/>
      <c r="B3425" s="2"/>
    </row>
    <row r="3426" spans="1:2" x14ac:dyDescent="0.25">
      <c r="A3426" s="1"/>
      <c r="B3426" s="2"/>
    </row>
    <row r="3427" spans="1:2" x14ac:dyDescent="0.25">
      <c r="A3427" s="1"/>
      <c r="B3427" s="2"/>
    </row>
    <row r="3428" spans="1:2" x14ac:dyDescent="0.25">
      <c r="A3428" s="1"/>
      <c r="B3428" s="2"/>
    </row>
    <row r="3429" spans="1:2" x14ac:dyDescent="0.25">
      <c r="A3429" s="1"/>
      <c r="B3429" s="2"/>
    </row>
    <row r="3430" spans="1:2" x14ac:dyDescent="0.25">
      <c r="A3430" s="1"/>
      <c r="B3430" s="2"/>
    </row>
    <row r="3431" spans="1:2" x14ac:dyDescent="0.25">
      <c r="A3431" s="1"/>
      <c r="B3431" s="2"/>
    </row>
    <row r="3432" spans="1:2" x14ac:dyDescent="0.25">
      <c r="A3432" s="1"/>
      <c r="B3432" s="2"/>
    </row>
    <row r="3433" spans="1:2" x14ac:dyDescent="0.25">
      <c r="A3433" s="1"/>
      <c r="B3433" s="2"/>
    </row>
    <row r="3434" spans="1:2" x14ac:dyDescent="0.25">
      <c r="A3434" s="1"/>
      <c r="B3434" s="2"/>
    </row>
    <row r="3435" spans="1:2" x14ac:dyDescent="0.25">
      <c r="A3435" s="1"/>
      <c r="B3435" s="2"/>
    </row>
    <row r="3436" spans="1:2" x14ac:dyDescent="0.25">
      <c r="A3436" s="1"/>
      <c r="B3436" s="2"/>
    </row>
    <row r="3437" spans="1:2" x14ac:dyDescent="0.25">
      <c r="A3437" s="1"/>
      <c r="B3437" s="2"/>
    </row>
    <row r="3438" spans="1:2" x14ac:dyDescent="0.25">
      <c r="A3438" s="1"/>
      <c r="B3438" s="2"/>
    </row>
    <row r="3439" spans="1:2" x14ac:dyDescent="0.25">
      <c r="A3439" s="1"/>
      <c r="B3439" s="2"/>
    </row>
    <row r="3440" spans="1:2" x14ac:dyDescent="0.25">
      <c r="A3440" s="1"/>
      <c r="B3440" s="2"/>
    </row>
    <row r="3441" spans="1:2" x14ac:dyDescent="0.25">
      <c r="A3441" s="1"/>
      <c r="B3441" s="2"/>
    </row>
    <row r="3442" spans="1:2" x14ac:dyDescent="0.25">
      <c r="A3442" s="1"/>
      <c r="B3442" s="2"/>
    </row>
    <row r="3443" spans="1:2" x14ac:dyDescent="0.25">
      <c r="A3443" s="1"/>
      <c r="B3443" s="2"/>
    </row>
    <row r="3444" spans="1:2" x14ac:dyDescent="0.25">
      <c r="A3444" s="1"/>
      <c r="B3444" s="2"/>
    </row>
    <row r="3445" spans="1:2" x14ac:dyDescent="0.25">
      <c r="A3445" s="1"/>
      <c r="B3445" s="2"/>
    </row>
    <row r="3446" spans="1:2" x14ac:dyDescent="0.25">
      <c r="A3446" s="1"/>
      <c r="B3446" s="2"/>
    </row>
    <row r="3447" spans="1:2" x14ac:dyDescent="0.25">
      <c r="A3447" s="1"/>
      <c r="B3447" s="2"/>
    </row>
    <row r="3448" spans="1:2" x14ac:dyDescent="0.25">
      <c r="A3448" s="1"/>
      <c r="B3448" s="2"/>
    </row>
    <row r="3449" spans="1:2" x14ac:dyDescent="0.25">
      <c r="A3449" s="1"/>
      <c r="B3449" s="2"/>
    </row>
    <row r="3450" spans="1:2" x14ac:dyDescent="0.25">
      <c r="A3450" s="1"/>
      <c r="B3450" s="2"/>
    </row>
    <row r="3451" spans="1:2" x14ac:dyDescent="0.25">
      <c r="A3451" s="1"/>
      <c r="B3451" s="2"/>
    </row>
    <row r="3452" spans="1:2" x14ac:dyDescent="0.25">
      <c r="A3452" s="1"/>
      <c r="B3452" s="2"/>
    </row>
    <row r="3453" spans="1:2" x14ac:dyDescent="0.25">
      <c r="A3453" s="1"/>
      <c r="B3453" s="2"/>
    </row>
    <row r="3454" spans="1:2" x14ac:dyDescent="0.25">
      <c r="A3454" s="1"/>
      <c r="B3454" s="2"/>
    </row>
    <row r="3455" spans="1:2" x14ac:dyDescent="0.25">
      <c r="A3455" s="1"/>
      <c r="B3455" s="2"/>
    </row>
    <row r="3456" spans="1:2" x14ac:dyDescent="0.25">
      <c r="A3456" s="1"/>
      <c r="B3456" s="2"/>
    </row>
    <row r="3457" spans="1:2" x14ac:dyDescent="0.25">
      <c r="A3457" s="1"/>
      <c r="B3457" s="2"/>
    </row>
    <row r="3458" spans="1:2" x14ac:dyDescent="0.25">
      <c r="A3458" s="1"/>
      <c r="B3458" s="2"/>
    </row>
    <row r="3459" spans="1:2" x14ac:dyDescent="0.25">
      <c r="A3459" s="1"/>
      <c r="B3459" s="2"/>
    </row>
    <row r="3460" spans="1:2" x14ac:dyDescent="0.25">
      <c r="A3460" s="1"/>
      <c r="B3460" s="2"/>
    </row>
    <row r="3461" spans="1:2" x14ac:dyDescent="0.25">
      <c r="A3461" s="1"/>
      <c r="B3461" s="2"/>
    </row>
    <row r="3462" spans="1:2" x14ac:dyDescent="0.25">
      <c r="A3462" s="1"/>
      <c r="B3462" s="2"/>
    </row>
    <row r="3463" spans="1:2" x14ac:dyDescent="0.25">
      <c r="A3463" s="1"/>
      <c r="B3463" s="2"/>
    </row>
    <row r="3464" spans="1:2" x14ac:dyDescent="0.25">
      <c r="A3464" s="1"/>
      <c r="B3464" s="2"/>
    </row>
    <row r="3465" spans="1:2" x14ac:dyDescent="0.25">
      <c r="A3465" s="1"/>
      <c r="B3465" s="2"/>
    </row>
    <row r="3466" spans="1:2" x14ac:dyDescent="0.25">
      <c r="A3466" s="1"/>
      <c r="B3466" s="2"/>
    </row>
    <row r="3467" spans="1:2" x14ac:dyDescent="0.25">
      <c r="A3467" s="1"/>
      <c r="B3467" s="2"/>
    </row>
    <row r="3468" spans="1:2" x14ac:dyDescent="0.25">
      <c r="A3468" s="1"/>
      <c r="B3468" s="2"/>
    </row>
    <row r="3469" spans="1:2" x14ac:dyDescent="0.25">
      <c r="A3469" s="1"/>
      <c r="B3469" s="2"/>
    </row>
    <row r="3470" spans="1:2" x14ac:dyDescent="0.25">
      <c r="A3470" s="1"/>
      <c r="B3470" s="2"/>
    </row>
    <row r="3471" spans="1:2" x14ac:dyDescent="0.25">
      <c r="A3471" s="1"/>
      <c r="B3471" s="2"/>
    </row>
    <row r="3472" spans="1:2" x14ac:dyDescent="0.25">
      <c r="A3472" s="1"/>
      <c r="B3472" s="2"/>
    </row>
    <row r="3473" spans="1:2" x14ac:dyDescent="0.25">
      <c r="A3473" s="1"/>
      <c r="B3473" s="2"/>
    </row>
    <row r="3474" spans="1:2" x14ac:dyDescent="0.25">
      <c r="A3474" s="1"/>
      <c r="B3474" s="2"/>
    </row>
    <row r="3475" spans="1:2" x14ac:dyDescent="0.25">
      <c r="A3475" s="1"/>
      <c r="B3475" s="2"/>
    </row>
    <row r="3476" spans="1:2" x14ac:dyDescent="0.25">
      <c r="A3476" s="1"/>
      <c r="B3476" s="2"/>
    </row>
    <row r="3477" spans="1:2" x14ac:dyDescent="0.25">
      <c r="A3477" s="1"/>
      <c r="B3477" s="2"/>
    </row>
    <row r="3478" spans="1:2" x14ac:dyDescent="0.25">
      <c r="A3478" s="1"/>
      <c r="B3478" s="2"/>
    </row>
    <row r="3479" spans="1:2" x14ac:dyDescent="0.25">
      <c r="A3479" s="1"/>
      <c r="B3479" s="2"/>
    </row>
    <row r="3480" spans="1:2" x14ac:dyDescent="0.25">
      <c r="A3480" s="1"/>
      <c r="B3480" s="2"/>
    </row>
    <row r="3481" spans="1:2" x14ac:dyDescent="0.25">
      <c r="A3481" s="1"/>
      <c r="B3481" s="2"/>
    </row>
    <row r="3482" spans="1:2" x14ac:dyDescent="0.25">
      <c r="A3482" s="1"/>
      <c r="B3482" s="2"/>
    </row>
    <row r="3483" spans="1:2" x14ac:dyDescent="0.25">
      <c r="A3483" s="1"/>
      <c r="B3483" s="2"/>
    </row>
    <row r="3484" spans="1:2" x14ac:dyDescent="0.25">
      <c r="A3484" s="1"/>
      <c r="B3484" s="2"/>
    </row>
    <row r="3485" spans="1:2" x14ac:dyDescent="0.25">
      <c r="A3485" s="1"/>
      <c r="B3485" s="2"/>
    </row>
    <row r="3486" spans="1:2" x14ac:dyDescent="0.25">
      <c r="A3486" s="1"/>
      <c r="B3486" s="2"/>
    </row>
    <row r="3487" spans="1:2" x14ac:dyDescent="0.25">
      <c r="A3487" s="1"/>
      <c r="B3487" s="2"/>
    </row>
    <row r="3488" spans="1:2" x14ac:dyDescent="0.25">
      <c r="A3488" s="1"/>
      <c r="B3488" s="2"/>
    </row>
    <row r="3489" spans="1:2" x14ac:dyDescent="0.25">
      <c r="A3489" s="1"/>
      <c r="B3489" s="2"/>
    </row>
    <row r="3490" spans="1:2" x14ac:dyDescent="0.25">
      <c r="A3490" s="1"/>
      <c r="B3490" s="2"/>
    </row>
    <row r="3491" spans="1:2" x14ac:dyDescent="0.25">
      <c r="A3491" s="1"/>
      <c r="B3491" s="2"/>
    </row>
    <row r="3492" spans="1:2" x14ac:dyDescent="0.25">
      <c r="A3492" s="1"/>
      <c r="B3492" s="2"/>
    </row>
    <row r="3493" spans="1:2" x14ac:dyDescent="0.25">
      <c r="A3493" s="1"/>
      <c r="B3493" s="2"/>
    </row>
    <row r="3494" spans="1:2" x14ac:dyDescent="0.25">
      <c r="A3494" s="1"/>
      <c r="B3494" s="2"/>
    </row>
    <row r="3495" spans="1:2" x14ac:dyDescent="0.25">
      <c r="A3495" s="1"/>
      <c r="B3495" s="2"/>
    </row>
    <row r="3496" spans="1:2" x14ac:dyDescent="0.25">
      <c r="A3496" s="1"/>
      <c r="B3496" s="2"/>
    </row>
    <row r="3497" spans="1:2" x14ac:dyDescent="0.25">
      <c r="A3497" s="1"/>
      <c r="B3497" s="2"/>
    </row>
    <row r="3498" spans="1:2" x14ac:dyDescent="0.25">
      <c r="A3498" s="1"/>
      <c r="B3498" s="2"/>
    </row>
    <row r="3499" spans="1:2" x14ac:dyDescent="0.25">
      <c r="A3499" s="1"/>
      <c r="B3499" s="2"/>
    </row>
    <row r="3500" spans="1:2" x14ac:dyDescent="0.25">
      <c r="A3500" s="1"/>
      <c r="B3500" s="2"/>
    </row>
    <row r="3501" spans="1:2" x14ac:dyDescent="0.25">
      <c r="A3501" s="1"/>
      <c r="B3501" s="2"/>
    </row>
    <row r="3502" spans="1:2" x14ac:dyDescent="0.25">
      <c r="A3502" s="1"/>
      <c r="B3502" s="2"/>
    </row>
    <row r="3503" spans="1:2" x14ac:dyDescent="0.25">
      <c r="A3503" s="1"/>
      <c r="B3503" s="2"/>
    </row>
    <row r="3504" spans="1:2" x14ac:dyDescent="0.25">
      <c r="A3504" s="1"/>
      <c r="B3504" s="2"/>
    </row>
    <row r="3505" spans="1:2" x14ac:dyDescent="0.25">
      <c r="A3505" s="1"/>
      <c r="B3505" s="2"/>
    </row>
    <row r="3506" spans="1:2" x14ac:dyDescent="0.25">
      <c r="A3506" s="1"/>
      <c r="B3506" s="2"/>
    </row>
    <row r="3507" spans="1:2" x14ac:dyDescent="0.25">
      <c r="A3507" s="1"/>
      <c r="B3507" s="2"/>
    </row>
    <row r="3508" spans="1:2" x14ac:dyDescent="0.25">
      <c r="A3508" s="1"/>
      <c r="B3508" s="2"/>
    </row>
    <row r="3509" spans="1:2" x14ac:dyDescent="0.25">
      <c r="A3509" s="1"/>
      <c r="B3509" s="2"/>
    </row>
    <row r="3510" spans="1:2" x14ac:dyDescent="0.25">
      <c r="A3510" s="1"/>
      <c r="B3510" s="2"/>
    </row>
    <row r="3511" spans="1:2" x14ac:dyDescent="0.25">
      <c r="A3511" s="1"/>
      <c r="B3511" s="2"/>
    </row>
    <row r="3512" spans="1:2" x14ac:dyDescent="0.25">
      <c r="A3512" s="1"/>
      <c r="B3512" s="2"/>
    </row>
    <row r="3513" spans="1:2" x14ac:dyDescent="0.25">
      <c r="A3513" s="1"/>
      <c r="B3513" s="2"/>
    </row>
    <row r="3514" spans="1:2" x14ac:dyDescent="0.25">
      <c r="A3514" s="1"/>
      <c r="B3514" s="2"/>
    </row>
    <row r="3515" spans="1:2" x14ac:dyDescent="0.25">
      <c r="A3515" s="1"/>
      <c r="B3515" s="2"/>
    </row>
    <row r="3516" spans="1:2" x14ac:dyDescent="0.25">
      <c r="A3516" s="1"/>
      <c r="B3516" s="2"/>
    </row>
    <row r="3517" spans="1:2" x14ac:dyDescent="0.25">
      <c r="A3517" s="1"/>
      <c r="B3517" s="2"/>
    </row>
    <row r="3518" spans="1:2" x14ac:dyDescent="0.25">
      <c r="A3518" s="1"/>
      <c r="B3518" s="2"/>
    </row>
    <row r="3519" spans="1:2" x14ac:dyDescent="0.25">
      <c r="A3519" s="1"/>
      <c r="B3519" s="2"/>
    </row>
    <row r="3520" spans="1:2" x14ac:dyDescent="0.25">
      <c r="A3520" s="1"/>
      <c r="B3520" s="2"/>
    </row>
    <row r="3521" spans="1:2" x14ac:dyDescent="0.25">
      <c r="A3521" s="1"/>
      <c r="B3521" s="2"/>
    </row>
    <row r="3522" spans="1:2" x14ac:dyDescent="0.25">
      <c r="A3522" s="1"/>
      <c r="B3522" s="2"/>
    </row>
    <row r="3523" spans="1:2" x14ac:dyDescent="0.25">
      <c r="A3523" s="1"/>
      <c r="B3523" s="2"/>
    </row>
    <row r="3524" spans="1:2" x14ac:dyDescent="0.25">
      <c r="A3524" s="1"/>
      <c r="B3524" s="2"/>
    </row>
    <row r="3525" spans="1:2" x14ac:dyDescent="0.25">
      <c r="A3525" s="1"/>
      <c r="B3525" s="2"/>
    </row>
    <row r="3526" spans="1:2" x14ac:dyDescent="0.25">
      <c r="A3526" s="1"/>
      <c r="B3526" s="2"/>
    </row>
    <row r="3527" spans="1:2" x14ac:dyDescent="0.25">
      <c r="A3527" s="1"/>
      <c r="B3527" s="2"/>
    </row>
    <row r="3528" spans="1:2" x14ac:dyDescent="0.25">
      <c r="A3528" s="1"/>
      <c r="B3528" s="2"/>
    </row>
    <row r="3529" spans="1:2" x14ac:dyDescent="0.25">
      <c r="A3529" s="1"/>
      <c r="B3529" s="2"/>
    </row>
    <row r="3530" spans="1:2" x14ac:dyDescent="0.25">
      <c r="A3530" s="1"/>
      <c r="B3530" s="2"/>
    </row>
    <row r="3531" spans="1:2" x14ac:dyDescent="0.25">
      <c r="A3531" s="1"/>
      <c r="B3531" s="2"/>
    </row>
    <row r="3532" spans="1:2" x14ac:dyDescent="0.25">
      <c r="A3532" s="1"/>
      <c r="B3532" s="2"/>
    </row>
    <row r="3533" spans="1:2" x14ac:dyDescent="0.25">
      <c r="A3533" s="1"/>
      <c r="B3533" s="2"/>
    </row>
    <row r="3534" spans="1:2" x14ac:dyDescent="0.25">
      <c r="A3534" s="1"/>
      <c r="B3534" s="2"/>
    </row>
    <row r="3535" spans="1:2" x14ac:dyDescent="0.25">
      <c r="A3535" s="1"/>
      <c r="B3535" s="2"/>
    </row>
    <row r="3536" spans="1:2" x14ac:dyDescent="0.25">
      <c r="A3536" s="1"/>
      <c r="B3536" s="2"/>
    </row>
    <row r="3537" spans="1:2" x14ac:dyDescent="0.25">
      <c r="A3537" s="1"/>
      <c r="B3537" s="2"/>
    </row>
    <row r="3538" spans="1:2" x14ac:dyDescent="0.25">
      <c r="A3538" s="1"/>
      <c r="B3538" s="2"/>
    </row>
    <row r="3539" spans="1:2" x14ac:dyDescent="0.25">
      <c r="A3539" s="1"/>
      <c r="B3539" s="2"/>
    </row>
    <row r="3540" spans="1:2" x14ac:dyDescent="0.25">
      <c r="A3540" s="1"/>
      <c r="B3540" s="2"/>
    </row>
    <row r="3541" spans="1:2" x14ac:dyDescent="0.25">
      <c r="A3541" s="1"/>
      <c r="B3541" s="2"/>
    </row>
    <row r="3542" spans="1:2" x14ac:dyDescent="0.25">
      <c r="A3542" s="1"/>
      <c r="B3542" s="2"/>
    </row>
    <row r="3543" spans="1:2" x14ac:dyDescent="0.25">
      <c r="A3543" s="1"/>
      <c r="B3543" s="2"/>
    </row>
    <row r="3544" spans="1:2" x14ac:dyDescent="0.25">
      <c r="A3544" s="1"/>
      <c r="B3544" s="2"/>
    </row>
    <row r="3545" spans="1:2" x14ac:dyDescent="0.25">
      <c r="A3545" s="1"/>
      <c r="B3545" s="2"/>
    </row>
    <row r="3546" spans="1:2" x14ac:dyDescent="0.25">
      <c r="A3546" s="1"/>
      <c r="B3546" s="2"/>
    </row>
    <row r="3547" spans="1:2" x14ac:dyDescent="0.25">
      <c r="A3547" s="1"/>
      <c r="B3547" s="2"/>
    </row>
    <row r="3548" spans="1:2" x14ac:dyDescent="0.25">
      <c r="A3548" s="1"/>
      <c r="B3548" s="2"/>
    </row>
    <row r="3549" spans="1:2" x14ac:dyDescent="0.25">
      <c r="A3549" s="1"/>
      <c r="B3549" s="2"/>
    </row>
    <row r="3550" spans="1:2" x14ac:dyDescent="0.25">
      <c r="A3550" s="1"/>
      <c r="B3550" s="2"/>
    </row>
    <row r="3551" spans="1:2" x14ac:dyDescent="0.25">
      <c r="A3551" s="1"/>
      <c r="B3551" s="2"/>
    </row>
    <row r="3552" spans="1:2" x14ac:dyDescent="0.25">
      <c r="A3552" s="1"/>
      <c r="B3552" s="2"/>
    </row>
    <row r="3553" spans="1:2" x14ac:dyDescent="0.25">
      <c r="A3553" s="1"/>
      <c r="B3553" s="2"/>
    </row>
    <row r="3554" spans="1:2" x14ac:dyDescent="0.25">
      <c r="A3554" s="1"/>
      <c r="B3554" s="2"/>
    </row>
    <row r="3555" spans="1:2" x14ac:dyDescent="0.25">
      <c r="A3555" s="1"/>
      <c r="B3555" s="2"/>
    </row>
    <row r="3556" spans="1:2" x14ac:dyDescent="0.25">
      <c r="A3556" s="1"/>
      <c r="B3556" s="2"/>
    </row>
    <row r="3557" spans="1:2" x14ac:dyDescent="0.25">
      <c r="A3557" s="1"/>
      <c r="B3557" s="2"/>
    </row>
    <row r="3558" spans="1:2" x14ac:dyDescent="0.25">
      <c r="A3558" s="1"/>
      <c r="B3558" s="2"/>
    </row>
    <row r="3559" spans="1:2" x14ac:dyDescent="0.25">
      <c r="A3559" s="1"/>
      <c r="B3559" s="2"/>
    </row>
    <row r="3560" spans="1:2" x14ac:dyDescent="0.25">
      <c r="A3560" s="1"/>
      <c r="B3560" s="2"/>
    </row>
    <row r="3561" spans="1:2" x14ac:dyDescent="0.25">
      <c r="A3561" s="1"/>
      <c r="B3561" s="2"/>
    </row>
    <row r="3562" spans="1:2" x14ac:dyDescent="0.25">
      <c r="A3562" s="1"/>
      <c r="B3562" s="2"/>
    </row>
    <row r="3563" spans="1:2" x14ac:dyDescent="0.25">
      <c r="A3563" s="1"/>
      <c r="B3563" s="2"/>
    </row>
    <row r="3564" spans="1:2" x14ac:dyDescent="0.25">
      <c r="A3564" s="1"/>
      <c r="B3564" s="2"/>
    </row>
    <row r="3565" spans="1:2" x14ac:dyDescent="0.25">
      <c r="A3565" s="1"/>
      <c r="B3565" s="2"/>
    </row>
    <row r="3566" spans="1:2" x14ac:dyDescent="0.25">
      <c r="A3566" s="1"/>
      <c r="B3566" s="2"/>
    </row>
    <row r="3567" spans="1:2" x14ac:dyDescent="0.25">
      <c r="A3567" s="1"/>
      <c r="B3567" s="2"/>
    </row>
    <row r="3568" spans="1:2" x14ac:dyDescent="0.25">
      <c r="A3568" s="1"/>
      <c r="B3568" s="2"/>
    </row>
    <row r="3569" spans="1:2" x14ac:dyDescent="0.25">
      <c r="A3569" s="1"/>
      <c r="B3569" s="2"/>
    </row>
    <row r="3570" spans="1:2" x14ac:dyDescent="0.25">
      <c r="A3570" s="1"/>
      <c r="B3570" s="2"/>
    </row>
    <row r="3571" spans="1:2" x14ac:dyDescent="0.25">
      <c r="A3571" s="1"/>
      <c r="B3571" s="2"/>
    </row>
    <row r="3572" spans="1:2" x14ac:dyDescent="0.25">
      <c r="A3572" s="1"/>
      <c r="B3572" s="2"/>
    </row>
    <row r="3573" spans="1:2" x14ac:dyDescent="0.25">
      <c r="A3573" s="1"/>
      <c r="B3573" s="2"/>
    </row>
    <row r="3574" spans="1:2" x14ac:dyDescent="0.25">
      <c r="A3574" s="1"/>
      <c r="B3574" s="2"/>
    </row>
    <row r="3575" spans="1:2" x14ac:dyDescent="0.25">
      <c r="A3575" s="1"/>
      <c r="B3575" s="2"/>
    </row>
    <row r="3576" spans="1:2" x14ac:dyDescent="0.25">
      <c r="A3576" s="1"/>
      <c r="B3576" s="2"/>
    </row>
    <row r="3577" spans="1:2" x14ac:dyDescent="0.25">
      <c r="A3577" s="1"/>
      <c r="B3577" s="2"/>
    </row>
    <row r="3578" spans="1:2" x14ac:dyDescent="0.25">
      <c r="A3578" s="1"/>
      <c r="B3578" s="2"/>
    </row>
    <row r="3579" spans="1:2" x14ac:dyDescent="0.25">
      <c r="A3579" s="1"/>
      <c r="B3579" s="2"/>
    </row>
    <row r="3580" spans="1:2" x14ac:dyDescent="0.25">
      <c r="A3580" s="1"/>
      <c r="B3580" s="2"/>
    </row>
    <row r="3581" spans="1:2" x14ac:dyDescent="0.25">
      <c r="A3581" s="1"/>
      <c r="B3581" s="2"/>
    </row>
    <row r="3582" spans="1:2" x14ac:dyDescent="0.25">
      <c r="A3582" s="1"/>
      <c r="B3582" s="2"/>
    </row>
    <row r="3583" spans="1:2" x14ac:dyDescent="0.25">
      <c r="A3583" s="1"/>
      <c r="B3583" s="2"/>
    </row>
    <row r="3584" spans="1:2" x14ac:dyDescent="0.25">
      <c r="A3584" s="1"/>
      <c r="B3584" s="2"/>
    </row>
    <row r="3585" spans="1:2" x14ac:dyDescent="0.25">
      <c r="A3585" s="1"/>
      <c r="B3585" s="2"/>
    </row>
    <row r="3586" spans="1:2" x14ac:dyDescent="0.25">
      <c r="A3586" s="1"/>
      <c r="B3586" s="2"/>
    </row>
    <row r="3587" spans="1:2" x14ac:dyDescent="0.25">
      <c r="A3587" s="1"/>
      <c r="B3587" s="2"/>
    </row>
    <row r="3588" spans="1:2" x14ac:dyDescent="0.25">
      <c r="A3588" s="1"/>
      <c r="B3588" s="2"/>
    </row>
    <row r="3589" spans="1:2" x14ac:dyDescent="0.25">
      <c r="A3589" s="1"/>
      <c r="B3589" s="2"/>
    </row>
    <row r="3590" spans="1:2" x14ac:dyDescent="0.25">
      <c r="A3590" s="1"/>
      <c r="B3590" s="2"/>
    </row>
    <row r="3591" spans="1:2" x14ac:dyDescent="0.25">
      <c r="A3591" s="1"/>
      <c r="B3591" s="2"/>
    </row>
    <row r="3592" spans="1:2" x14ac:dyDescent="0.25">
      <c r="A3592" s="1"/>
      <c r="B3592" s="2"/>
    </row>
    <row r="3593" spans="1:2" x14ac:dyDescent="0.25">
      <c r="A3593" s="1"/>
      <c r="B3593" s="2"/>
    </row>
    <row r="3594" spans="1:2" x14ac:dyDescent="0.25">
      <c r="A3594" s="1"/>
      <c r="B3594" s="2"/>
    </row>
    <row r="3595" spans="1:2" x14ac:dyDescent="0.25">
      <c r="A3595" s="1"/>
      <c r="B3595" s="2"/>
    </row>
    <row r="3596" spans="1:2" x14ac:dyDescent="0.25">
      <c r="A3596" s="1"/>
      <c r="B3596" s="2"/>
    </row>
    <row r="3597" spans="1:2" x14ac:dyDescent="0.25">
      <c r="A3597" s="1"/>
      <c r="B3597" s="2"/>
    </row>
    <row r="3598" spans="1:2" x14ac:dyDescent="0.25">
      <c r="A3598" s="1"/>
      <c r="B3598" s="2"/>
    </row>
    <row r="3599" spans="1:2" x14ac:dyDescent="0.25">
      <c r="A3599" s="1"/>
      <c r="B3599" s="2"/>
    </row>
    <row r="3600" spans="1:2" x14ac:dyDescent="0.25">
      <c r="A3600" s="1"/>
      <c r="B3600" s="2"/>
    </row>
    <row r="3601" spans="1:2" x14ac:dyDescent="0.25">
      <c r="A3601" s="1"/>
      <c r="B3601" s="2"/>
    </row>
    <row r="3602" spans="1:2" x14ac:dyDescent="0.25">
      <c r="A3602" s="1"/>
      <c r="B3602" s="2"/>
    </row>
    <row r="3603" spans="1:2" x14ac:dyDescent="0.25">
      <c r="A3603" s="1"/>
      <c r="B3603" s="2"/>
    </row>
    <row r="3604" spans="1:2" x14ac:dyDescent="0.25">
      <c r="A3604" s="1"/>
      <c r="B3604" s="2"/>
    </row>
    <row r="3605" spans="1:2" x14ac:dyDescent="0.25">
      <c r="A3605" s="1"/>
      <c r="B3605" s="2"/>
    </row>
    <row r="3606" spans="1:2" x14ac:dyDescent="0.25">
      <c r="A3606" s="1"/>
      <c r="B3606" s="2"/>
    </row>
    <row r="3607" spans="1:2" x14ac:dyDescent="0.25">
      <c r="A3607" s="1"/>
      <c r="B3607" s="2"/>
    </row>
    <row r="3608" spans="1:2" x14ac:dyDescent="0.25">
      <c r="A3608" s="1"/>
      <c r="B3608" s="2"/>
    </row>
    <row r="3609" spans="1:2" x14ac:dyDescent="0.25">
      <c r="A3609" s="1"/>
      <c r="B3609" s="2"/>
    </row>
    <row r="3610" spans="1:2" x14ac:dyDescent="0.25">
      <c r="A3610" s="1"/>
      <c r="B3610" s="2"/>
    </row>
    <row r="3611" spans="1:2" x14ac:dyDescent="0.25">
      <c r="A3611" s="1"/>
      <c r="B3611" s="2"/>
    </row>
    <row r="3612" spans="1:2" x14ac:dyDescent="0.25">
      <c r="A3612" s="1"/>
      <c r="B3612" s="2"/>
    </row>
    <row r="3613" spans="1:2" x14ac:dyDescent="0.25">
      <c r="A3613" s="1"/>
      <c r="B3613" s="2"/>
    </row>
    <row r="3614" spans="1:2" x14ac:dyDescent="0.25">
      <c r="A3614" s="1"/>
      <c r="B3614" s="2"/>
    </row>
    <row r="3615" spans="1:2" x14ac:dyDescent="0.25">
      <c r="A3615" s="1"/>
      <c r="B3615" s="2"/>
    </row>
    <row r="3616" spans="1:2" x14ac:dyDescent="0.25">
      <c r="A3616" s="1"/>
      <c r="B3616" s="2"/>
    </row>
    <row r="3617" spans="1:2" x14ac:dyDescent="0.25">
      <c r="A3617" s="1"/>
      <c r="B3617" s="2"/>
    </row>
    <row r="3618" spans="1:2" x14ac:dyDescent="0.25">
      <c r="A3618" s="1"/>
      <c r="B3618" s="2"/>
    </row>
    <row r="3619" spans="1:2" x14ac:dyDescent="0.25">
      <c r="A3619" s="1"/>
      <c r="B3619" s="2"/>
    </row>
    <row r="3620" spans="1:2" x14ac:dyDescent="0.25">
      <c r="A3620" s="1"/>
      <c r="B3620" s="2"/>
    </row>
    <row r="3621" spans="1:2" x14ac:dyDescent="0.25">
      <c r="A3621" s="1"/>
      <c r="B3621" s="2"/>
    </row>
    <row r="3622" spans="1:2" x14ac:dyDescent="0.25">
      <c r="A3622" s="1"/>
      <c r="B3622" s="2"/>
    </row>
    <row r="3623" spans="1:2" x14ac:dyDescent="0.25">
      <c r="A3623" s="1"/>
      <c r="B3623" s="2"/>
    </row>
    <row r="3624" spans="1:2" x14ac:dyDescent="0.25">
      <c r="A3624" s="1"/>
      <c r="B3624" s="2"/>
    </row>
    <row r="3625" spans="1:2" x14ac:dyDescent="0.25">
      <c r="A3625" s="1"/>
      <c r="B3625" s="2"/>
    </row>
    <row r="3626" spans="1:2" x14ac:dyDescent="0.25">
      <c r="A3626" s="1"/>
      <c r="B3626" s="2"/>
    </row>
    <row r="3627" spans="1:2" x14ac:dyDescent="0.25">
      <c r="A3627" s="1"/>
      <c r="B3627" s="2"/>
    </row>
    <row r="3628" spans="1:2" x14ac:dyDescent="0.25">
      <c r="A3628" s="1"/>
      <c r="B3628" s="2"/>
    </row>
    <row r="3629" spans="1:2" x14ac:dyDescent="0.25">
      <c r="A3629" s="1"/>
      <c r="B3629" s="2"/>
    </row>
    <row r="3630" spans="1:2" x14ac:dyDescent="0.25">
      <c r="A3630" s="1"/>
      <c r="B3630" s="2"/>
    </row>
    <row r="3631" spans="1:2" x14ac:dyDescent="0.25">
      <c r="A3631" s="1"/>
      <c r="B3631" s="2"/>
    </row>
    <row r="3632" spans="1:2" x14ac:dyDescent="0.25">
      <c r="A3632" s="1"/>
      <c r="B3632" s="2"/>
    </row>
    <row r="3633" spans="1:2" x14ac:dyDescent="0.25">
      <c r="A3633" s="1"/>
      <c r="B3633" s="2"/>
    </row>
    <row r="3634" spans="1:2" x14ac:dyDescent="0.25">
      <c r="A3634" s="1"/>
      <c r="B3634" s="2"/>
    </row>
    <row r="3635" spans="1:2" x14ac:dyDescent="0.25">
      <c r="A3635" s="1"/>
      <c r="B3635" s="2"/>
    </row>
    <row r="3636" spans="1:2" x14ac:dyDescent="0.25">
      <c r="A3636" s="1"/>
      <c r="B3636" s="2"/>
    </row>
    <row r="3637" spans="1:2" x14ac:dyDescent="0.25">
      <c r="A3637" s="1"/>
      <c r="B3637" s="2"/>
    </row>
    <row r="3638" spans="1:2" x14ac:dyDescent="0.25">
      <c r="A3638" s="1"/>
      <c r="B3638" s="2"/>
    </row>
    <row r="3639" spans="1:2" x14ac:dyDescent="0.25">
      <c r="A3639" s="1"/>
      <c r="B3639" s="2"/>
    </row>
    <row r="3640" spans="1:2" x14ac:dyDescent="0.25">
      <c r="A3640" s="1"/>
      <c r="B3640" s="2"/>
    </row>
    <row r="3641" spans="1:2" x14ac:dyDescent="0.25">
      <c r="A3641" s="1"/>
      <c r="B3641" s="2"/>
    </row>
    <row r="3642" spans="1:2" x14ac:dyDescent="0.25">
      <c r="A3642" s="1"/>
      <c r="B3642" s="2"/>
    </row>
    <row r="3643" spans="1:2" x14ac:dyDescent="0.25">
      <c r="A3643" s="1"/>
      <c r="B3643" s="2"/>
    </row>
    <row r="3644" spans="1:2" x14ac:dyDescent="0.25">
      <c r="A3644" s="1"/>
      <c r="B3644" s="2"/>
    </row>
    <row r="3645" spans="1:2" x14ac:dyDescent="0.25">
      <c r="A3645" s="1"/>
      <c r="B3645" s="2"/>
    </row>
    <row r="3646" spans="1:2" x14ac:dyDescent="0.25">
      <c r="A3646" s="1"/>
      <c r="B3646" s="2"/>
    </row>
    <row r="3647" spans="1:2" x14ac:dyDescent="0.25">
      <c r="A3647" s="1"/>
      <c r="B3647" s="2"/>
    </row>
    <row r="3648" spans="1:2" x14ac:dyDescent="0.25">
      <c r="A3648" s="1"/>
      <c r="B3648" s="2"/>
    </row>
    <row r="3649" spans="1:2" x14ac:dyDescent="0.25">
      <c r="A3649" s="1"/>
      <c r="B3649" s="2"/>
    </row>
    <row r="3650" spans="1:2" x14ac:dyDescent="0.25">
      <c r="A3650" s="1"/>
      <c r="B3650" s="2"/>
    </row>
    <row r="3651" spans="1:2" x14ac:dyDescent="0.25">
      <c r="A3651" s="1"/>
      <c r="B3651" s="2"/>
    </row>
    <row r="3652" spans="1:2" x14ac:dyDescent="0.25">
      <c r="A3652" s="1"/>
      <c r="B3652" s="2"/>
    </row>
    <row r="3653" spans="1:2" x14ac:dyDescent="0.25">
      <c r="A3653" s="1"/>
      <c r="B3653" s="2"/>
    </row>
    <row r="3654" spans="1:2" x14ac:dyDescent="0.25">
      <c r="A3654" s="1"/>
      <c r="B3654" s="2"/>
    </row>
    <row r="3655" spans="1:2" x14ac:dyDescent="0.25">
      <c r="A3655" s="1"/>
      <c r="B3655" s="2"/>
    </row>
    <row r="3656" spans="1:2" x14ac:dyDescent="0.25">
      <c r="A3656" s="1"/>
      <c r="B3656" s="2"/>
    </row>
    <row r="3657" spans="1:2" x14ac:dyDescent="0.25">
      <c r="A3657" s="1"/>
      <c r="B3657" s="2"/>
    </row>
    <row r="3658" spans="1:2" x14ac:dyDescent="0.25">
      <c r="A3658" s="1"/>
      <c r="B3658" s="2"/>
    </row>
    <row r="3659" spans="1:2" x14ac:dyDescent="0.25">
      <c r="A3659" s="1"/>
      <c r="B3659" s="2"/>
    </row>
    <row r="3660" spans="1:2" x14ac:dyDescent="0.25">
      <c r="A3660" s="1"/>
      <c r="B3660" s="2"/>
    </row>
    <row r="3661" spans="1:2" x14ac:dyDescent="0.25">
      <c r="A3661" s="1"/>
      <c r="B3661" s="2"/>
    </row>
    <row r="3662" spans="1:2" x14ac:dyDescent="0.25">
      <c r="A3662" s="1"/>
      <c r="B3662" s="2"/>
    </row>
    <row r="3663" spans="1:2" x14ac:dyDescent="0.25">
      <c r="A3663" s="1"/>
      <c r="B3663" s="2"/>
    </row>
    <row r="3664" spans="1:2" x14ac:dyDescent="0.25">
      <c r="A3664" s="1"/>
      <c r="B3664" s="2"/>
    </row>
    <row r="3665" spans="1:2" x14ac:dyDescent="0.25">
      <c r="A3665" s="1"/>
      <c r="B3665" s="2"/>
    </row>
    <row r="3666" spans="1:2" x14ac:dyDescent="0.25">
      <c r="A3666" s="1"/>
      <c r="B3666" s="2"/>
    </row>
    <row r="3667" spans="1:2" x14ac:dyDescent="0.25">
      <c r="A3667" s="1"/>
      <c r="B3667" s="2"/>
    </row>
    <row r="3668" spans="1:2" x14ac:dyDescent="0.25">
      <c r="A3668" s="1"/>
      <c r="B3668" s="2"/>
    </row>
    <row r="3669" spans="1:2" x14ac:dyDescent="0.25">
      <c r="A3669" s="1"/>
      <c r="B3669" s="2"/>
    </row>
    <row r="3670" spans="1:2" x14ac:dyDescent="0.25">
      <c r="A3670" s="1"/>
      <c r="B3670" s="2"/>
    </row>
    <row r="3671" spans="1:2" x14ac:dyDescent="0.25">
      <c r="A3671" s="1"/>
      <c r="B3671" s="2"/>
    </row>
    <row r="3672" spans="1:2" x14ac:dyDescent="0.25">
      <c r="A3672" s="1"/>
      <c r="B3672" s="2"/>
    </row>
    <row r="3673" spans="1:2" x14ac:dyDescent="0.25">
      <c r="A3673" s="1"/>
      <c r="B3673" s="2"/>
    </row>
    <row r="3674" spans="1:2" x14ac:dyDescent="0.25">
      <c r="A3674" s="1"/>
      <c r="B3674" s="2"/>
    </row>
    <row r="3675" spans="1:2" x14ac:dyDescent="0.25">
      <c r="A3675" s="1"/>
      <c r="B3675" s="2"/>
    </row>
    <row r="3676" spans="1:2" x14ac:dyDescent="0.25">
      <c r="A3676" s="1"/>
      <c r="B3676" s="2"/>
    </row>
    <row r="3677" spans="1:2" x14ac:dyDescent="0.25">
      <c r="A3677" s="1"/>
      <c r="B3677" s="2"/>
    </row>
    <row r="3678" spans="1:2" x14ac:dyDescent="0.25">
      <c r="A3678" s="1"/>
      <c r="B3678" s="2"/>
    </row>
    <row r="3679" spans="1:2" x14ac:dyDescent="0.25">
      <c r="A3679" s="1"/>
      <c r="B3679" s="2"/>
    </row>
    <row r="3680" spans="1:2" x14ac:dyDescent="0.25">
      <c r="A3680" s="1"/>
      <c r="B3680" s="2"/>
    </row>
    <row r="3681" spans="1:2" x14ac:dyDescent="0.25">
      <c r="A3681" s="1"/>
      <c r="B3681" s="2"/>
    </row>
    <row r="3682" spans="1:2" x14ac:dyDescent="0.25">
      <c r="A3682" s="1"/>
      <c r="B3682" s="2"/>
    </row>
    <row r="3683" spans="1:2" x14ac:dyDescent="0.25">
      <c r="A3683" s="1"/>
      <c r="B3683" s="2"/>
    </row>
    <row r="3684" spans="1:2" x14ac:dyDescent="0.25">
      <c r="A3684" s="1"/>
      <c r="B3684" s="2"/>
    </row>
    <row r="3685" spans="1:2" x14ac:dyDescent="0.25">
      <c r="A3685" s="1"/>
      <c r="B3685" s="2"/>
    </row>
    <row r="3686" spans="1:2" x14ac:dyDescent="0.25">
      <c r="A3686" s="1"/>
      <c r="B3686" s="2"/>
    </row>
    <row r="3687" spans="1:2" x14ac:dyDescent="0.25">
      <c r="A3687" s="1"/>
      <c r="B3687" s="2"/>
    </row>
    <row r="3688" spans="1:2" x14ac:dyDescent="0.25">
      <c r="A3688" s="1"/>
      <c r="B3688" s="2"/>
    </row>
    <row r="3689" spans="1:2" x14ac:dyDescent="0.25">
      <c r="A3689" s="1"/>
      <c r="B3689" s="2"/>
    </row>
    <row r="3690" spans="1:2" x14ac:dyDescent="0.25">
      <c r="A3690" s="1"/>
      <c r="B3690" s="2"/>
    </row>
    <row r="3691" spans="1:2" x14ac:dyDescent="0.25">
      <c r="A3691" s="1"/>
      <c r="B3691" s="2"/>
    </row>
    <row r="3692" spans="1:2" x14ac:dyDescent="0.25">
      <c r="A3692" s="1"/>
      <c r="B3692" s="2"/>
    </row>
    <row r="3693" spans="1:2" x14ac:dyDescent="0.25">
      <c r="A3693" s="1"/>
      <c r="B3693" s="2"/>
    </row>
    <row r="3694" spans="1:2" x14ac:dyDescent="0.25">
      <c r="A3694" s="1"/>
      <c r="B3694" s="2"/>
    </row>
    <row r="3695" spans="1:2" x14ac:dyDescent="0.25">
      <c r="A3695" s="1"/>
      <c r="B3695" s="2"/>
    </row>
    <row r="3696" spans="1:2" x14ac:dyDescent="0.25">
      <c r="A3696" s="1"/>
      <c r="B3696" s="2"/>
    </row>
    <row r="3697" spans="1:2" x14ac:dyDescent="0.25">
      <c r="A3697" s="1"/>
      <c r="B3697" s="2"/>
    </row>
    <row r="3698" spans="1:2" x14ac:dyDescent="0.25">
      <c r="A3698" s="1"/>
      <c r="B3698" s="2"/>
    </row>
    <row r="3699" spans="1:2" x14ac:dyDescent="0.25">
      <c r="A3699" s="1"/>
      <c r="B3699" s="2"/>
    </row>
    <row r="3700" spans="1:2" x14ac:dyDescent="0.25">
      <c r="A3700" s="1"/>
      <c r="B3700" s="2"/>
    </row>
    <row r="3701" spans="1:2" x14ac:dyDescent="0.25">
      <c r="A3701" s="1"/>
      <c r="B3701" s="2"/>
    </row>
    <row r="3702" spans="1:2" x14ac:dyDescent="0.25">
      <c r="A3702" s="1"/>
      <c r="B3702" s="2"/>
    </row>
    <row r="3703" spans="1:2" x14ac:dyDescent="0.25">
      <c r="A3703" s="1"/>
      <c r="B3703" s="2"/>
    </row>
    <row r="3704" spans="1:2" x14ac:dyDescent="0.25">
      <c r="A3704" s="1"/>
      <c r="B3704" s="2"/>
    </row>
    <row r="3705" spans="1:2" x14ac:dyDescent="0.25">
      <c r="A3705" s="1"/>
      <c r="B3705" s="2"/>
    </row>
    <row r="3706" spans="1:2" x14ac:dyDescent="0.25">
      <c r="A3706" s="1"/>
      <c r="B3706" s="2"/>
    </row>
    <row r="3707" spans="1:2" x14ac:dyDescent="0.25">
      <c r="A3707" s="1"/>
      <c r="B3707" s="2"/>
    </row>
    <row r="3708" spans="1:2" x14ac:dyDescent="0.25">
      <c r="A3708" s="1"/>
      <c r="B3708" s="2"/>
    </row>
    <row r="3709" spans="1:2" x14ac:dyDescent="0.25">
      <c r="A3709" s="1"/>
      <c r="B3709" s="2"/>
    </row>
    <row r="3710" spans="1:2" x14ac:dyDescent="0.25">
      <c r="A3710" s="1"/>
      <c r="B3710" s="2"/>
    </row>
    <row r="3711" spans="1:2" x14ac:dyDescent="0.25">
      <c r="A3711" s="1"/>
      <c r="B3711" s="2"/>
    </row>
    <row r="3712" spans="1:2" x14ac:dyDescent="0.25">
      <c r="A3712" s="1"/>
      <c r="B3712" s="2"/>
    </row>
    <row r="3713" spans="1:2" x14ac:dyDescent="0.25">
      <c r="A3713" s="1"/>
      <c r="B3713" s="2"/>
    </row>
    <row r="3714" spans="1:2" x14ac:dyDescent="0.25">
      <c r="A3714" s="1"/>
      <c r="B3714" s="2"/>
    </row>
    <row r="3715" spans="1:2" x14ac:dyDescent="0.25">
      <c r="A3715" s="1"/>
      <c r="B3715" s="2"/>
    </row>
    <row r="3716" spans="1:2" x14ac:dyDescent="0.25">
      <c r="A3716" s="1"/>
      <c r="B3716" s="2"/>
    </row>
    <row r="3717" spans="1:2" x14ac:dyDescent="0.25">
      <c r="A3717" s="1"/>
      <c r="B3717" s="2"/>
    </row>
    <row r="3718" spans="1:2" x14ac:dyDescent="0.25">
      <c r="A3718" s="1"/>
      <c r="B3718" s="2"/>
    </row>
    <row r="3719" spans="1:2" x14ac:dyDescent="0.25">
      <c r="A3719" s="1"/>
      <c r="B3719" s="2"/>
    </row>
    <row r="3720" spans="1:2" x14ac:dyDescent="0.25">
      <c r="A3720" s="1"/>
      <c r="B3720" s="2"/>
    </row>
    <row r="3721" spans="1:2" x14ac:dyDescent="0.25">
      <c r="A3721" s="1"/>
      <c r="B3721" s="2"/>
    </row>
    <row r="3722" spans="1:2" x14ac:dyDescent="0.25">
      <c r="A3722" s="1"/>
      <c r="B3722" s="2"/>
    </row>
    <row r="3723" spans="1:2" x14ac:dyDescent="0.25">
      <c r="A3723" s="1"/>
      <c r="B3723" s="2"/>
    </row>
    <row r="3724" spans="1:2" x14ac:dyDescent="0.25">
      <c r="A3724" s="1"/>
      <c r="B3724" s="2"/>
    </row>
    <row r="3725" spans="1:2" x14ac:dyDescent="0.25">
      <c r="A3725" s="1"/>
      <c r="B3725" s="2"/>
    </row>
    <row r="3726" spans="1:2" x14ac:dyDescent="0.25">
      <c r="A3726" s="1"/>
      <c r="B3726" s="2"/>
    </row>
    <row r="3727" spans="1:2" x14ac:dyDescent="0.25">
      <c r="A3727" s="1"/>
      <c r="B3727" s="2"/>
    </row>
    <row r="3728" spans="1:2" x14ac:dyDescent="0.25">
      <c r="A3728" s="1"/>
      <c r="B3728" s="2"/>
    </row>
    <row r="3729" spans="1:2" x14ac:dyDescent="0.25">
      <c r="A3729" s="1"/>
      <c r="B3729" s="2"/>
    </row>
    <row r="3730" spans="1:2" x14ac:dyDescent="0.25">
      <c r="A3730" s="1"/>
      <c r="B3730" s="2"/>
    </row>
    <row r="3731" spans="1:2" x14ac:dyDescent="0.25">
      <c r="A3731" s="1"/>
      <c r="B3731" s="2"/>
    </row>
    <row r="3732" spans="1:2" x14ac:dyDescent="0.25">
      <c r="A3732" s="1"/>
      <c r="B3732" s="2"/>
    </row>
    <row r="3733" spans="1:2" x14ac:dyDescent="0.25">
      <c r="A3733" s="1"/>
      <c r="B3733" s="2"/>
    </row>
    <row r="3734" spans="1:2" x14ac:dyDescent="0.25">
      <c r="A3734" s="1"/>
      <c r="B3734" s="2"/>
    </row>
    <row r="3735" spans="1:2" x14ac:dyDescent="0.25">
      <c r="A3735" s="1"/>
      <c r="B3735" s="2"/>
    </row>
    <row r="3736" spans="1:2" x14ac:dyDescent="0.25">
      <c r="A3736" s="1"/>
      <c r="B3736" s="2"/>
    </row>
    <row r="3737" spans="1:2" x14ac:dyDescent="0.25">
      <c r="A3737" s="1"/>
      <c r="B3737" s="2"/>
    </row>
    <row r="3738" spans="1:2" x14ac:dyDescent="0.25">
      <c r="A3738" s="1"/>
      <c r="B3738" s="2"/>
    </row>
    <row r="3739" spans="1:2" x14ac:dyDescent="0.25">
      <c r="A3739" s="1"/>
      <c r="B3739" s="2"/>
    </row>
    <row r="3740" spans="1:2" x14ac:dyDescent="0.25">
      <c r="A3740" s="1"/>
      <c r="B3740" s="2"/>
    </row>
    <row r="3741" spans="1:2" x14ac:dyDescent="0.25">
      <c r="A3741" s="1"/>
      <c r="B3741" s="2"/>
    </row>
    <row r="3742" spans="1:2" x14ac:dyDescent="0.25">
      <c r="A3742" s="1"/>
      <c r="B3742" s="2"/>
    </row>
    <row r="3743" spans="1:2" x14ac:dyDescent="0.25">
      <c r="A3743" s="1"/>
      <c r="B3743" s="2"/>
    </row>
    <row r="3744" spans="1:2" x14ac:dyDescent="0.25">
      <c r="A3744" s="1"/>
      <c r="B3744" s="2"/>
    </row>
    <row r="3745" spans="1:2" x14ac:dyDescent="0.25">
      <c r="A3745" s="1"/>
      <c r="B3745" s="2"/>
    </row>
    <row r="3746" spans="1:2" x14ac:dyDescent="0.25">
      <c r="A3746" s="1"/>
      <c r="B3746" s="2"/>
    </row>
    <row r="3747" spans="1:2" x14ac:dyDescent="0.25">
      <c r="A3747" s="1"/>
      <c r="B3747" s="2"/>
    </row>
    <row r="3748" spans="1:2" x14ac:dyDescent="0.25">
      <c r="A3748" s="1"/>
      <c r="B3748" s="2"/>
    </row>
    <row r="3749" spans="1:2" x14ac:dyDescent="0.25">
      <c r="A3749" s="1"/>
      <c r="B3749" s="2"/>
    </row>
    <row r="3750" spans="1:2" x14ac:dyDescent="0.25">
      <c r="A3750" s="1"/>
      <c r="B3750" s="2"/>
    </row>
    <row r="3751" spans="1:2" x14ac:dyDescent="0.25">
      <c r="A3751" s="1"/>
      <c r="B3751" s="2"/>
    </row>
    <row r="3752" spans="1:2" x14ac:dyDescent="0.25">
      <c r="A3752" s="1"/>
      <c r="B3752" s="2"/>
    </row>
    <row r="3753" spans="1:2" x14ac:dyDescent="0.25">
      <c r="A3753" s="1"/>
      <c r="B3753" s="2"/>
    </row>
    <row r="3754" spans="1:2" x14ac:dyDescent="0.25">
      <c r="A3754" s="1"/>
      <c r="B3754" s="2"/>
    </row>
    <row r="3755" spans="1:2" x14ac:dyDescent="0.25">
      <c r="A3755" s="1"/>
      <c r="B3755" s="2"/>
    </row>
    <row r="3756" spans="1:2" x14ac:dyDescent="0.25">
      <c r="A3756" s="1"/>
      <c r="B3756" s="2"/>
    </row>
    <row r="3757" spans="1:2" x14ac:dyDescent="0.25">
      <c r="A3757" s="1"/>
      <c r="B3757" s="2"/>
    </row>
    <row r="3758" spans="1:2" x14ac:dyDescent="0.25">
      <c r="A3758" s="1"/>
      <c r="B3758" s="2"/>
    </row>
    <row r="3759" spans="1:2" x14ac:dyDescent="0.25">
      <c r="A3759" s="1"/>
      <c r="B3759" s="2"/>
    </row>
    <row r="3760" spans="1:2" x14ac:dyDescent="0.25">
      <c r="A3760" s="1"/>
      <c r="B3760" s="2"/>
    </row>
    <row r="3761" spans="1:2" x14ac:dyDescent="0.25">
      <c r="A3761" s="1"/>
      <c r="B3761" s="2"/>
    </row>
    <row r="3762" spans="1:2" x14ac:dyDescent="0.25">
      <c r="A3762" s="1"/>
      <c r="B3762" s="2"/>
    </row>
    <row r="3763" spans="1:2" x14ac:dyDescent="0.25">
      <c r="A3763" s="1"/>
      <c r="B3763" s="2"/>
    </row>
    <row r="3764" spans="1:2" x14ac:dyDescent="0.25">
      <c r="A3764" s="1"/>
      <c r="B3764" s="2"/>
    </row>
    <row r="3765" spans="1:2" x14ac:dyDescent="0.25">
      <c r="A3765" s="1"/>
      <c r="B3765" s="2"/>
    </row>
    <row r="3766" spans="1:2" x14ac:dyDescent="0.25">
      <c r="A3766" s="1"/>
      <c r="B3766" s="2"/>
    </row>
    <row r="3767" spans="1:2" x14ac:dyDescent="0.25">
      <c r="A3767" s="1"/>
      <c r="B3767" s="2"/>
    </row>
    <row r="3768" spans="1:2" x14ac:dyDescent="0.25">
      <c r="A3768" s="1"/>
      <c r="B3768" s="2"/>
    </row>
    <row r="3769" spans="1:2" x14ac:dyDescent="0.25">
      <c r="A3769" s="1"/>
      <c r="B3769" s="2"/>
    </row>
    <row r="3770" spans="1:2" x14ac:dyDescent="0.25">
      <c r="A3770" s="1"/>
      <c r="B3770" s="2"/>
    </row>
    <row r="3771" spans="1:2" x14ac:dyDescent="0.25">
      <c r="A3771" s="1"/>
      <c r="B3771" s="2"/>
    </row>
    <row r="3772" spans="1:2" x14ac:dyDescent="0.25">
      <c r="A3772" s="1"/>
      <c r="B3772" s="2"/>
    </row>
    <row r="3773" spans="1:2" x14ac:dyDescent="0.25">
      <c r="A3773" s="1"/>
      <c r="B3773" s="2"/>
    </row>
    <row r="3774" spans="1:2" x14ac:dyDescent="0.25">
      <c r="A3774" s="1"/>
      <c r="B3774" s="2"/>
    </row>
    <row r="3775" spans="1:2" x14ac:dyDescent="0.25">
      <c r="A3775" s="1"/>
      <c r="B3775" s="2"/>
    </row>
    <row r="3776" spans="1:2" x14ac:dyDescent="0.25">
      <c r="A3776" s="1"/>
      <c r="B3776" s="2"/>
    </row>
    <row r="3777" spans="1:2" x14ac:dyDescent="0.25">
      <c r="A3777" s="1"/>
      <c r="B3777" s="2"/>
    </row>
    <row r="3778" spans="1:2" x14ac:dyDescent="0.25">
      <c r="A3778" s="1"/>
      <c r="B3778" s="2"/>
    </row>
    <row r="3779" spans="1:2" x14ac:dyDescent="0.25">
      <c r="A3779" s="1"/>
      <c r="B3779" s="2"/>
    </row>
    <row r="3780" spans="1:2" x14ac:dyDescent="0.25">
      <c r="A3780" s="1"/>
      <c r="B3780" s="2"/>
    </row>
    <row r="3781" spans="1:2" x14ac:dyDescent="0.25">
      <c r="A3781" s="1"/>
      <c r="B3781" s="2"/>
    </row>
    <row r="3782" spans="1:2" x14ac:dyDescent="0.25">
      <c r="A3782" s="1"/>
      <c r="B3782" s="2"/>
    </row>
    <row r="3783" spans="1:2" x14ac:dyDescent="0.25">
      <c r="A3783" s="1"/>
      <c r="B3783" s="2"/>
    </row>
    <row r="3784" spans="1:2" x14ac:dyDescent="0.25">
      <c r="A3784" s="1"/>
      <c r="B3784" s="2"/>
    </row>
    <row r="3785" spans="1:2" x14ac:dyDescent="0.25">
      <c r="A3785" s="1"/>
      <c r="B3785" s="2"/>
    </row>
    <row r="3786" spans="1:2" x14ac:dyDescent="0.25">
      <c r="A3786" s="1"/>
      <c r="B3786" s="2"/>
    </row>
    <row r="3787" spans="1:2" x14ac:dyDescent="0.25">
      <c r="A3787" s="1"/>
      <c r="B3787" s="2"/>
    </row>
    <row r="3788" spans="1:2" x14ac:dyDescent="0.25">
      <c r="A3788" s="1"/>
      <c r="B3788" s="2"/>
    </row>
    <row r="3789" spans="1:2" x14ac:dyDescent="0.25">
      <c r="A3789" s="1"/>
      <c r="B3789" s="2"/>
    </row>
    <row r="3790" spans="1:2" x14ac:dyDescent="0.25">
      <c r="A3790" s="1"/>
      <c r="B3790" s="2"/>
    </row>
    <row r="3791" spans="1:2" x14ac:dyDescent="0.25">
      <c r="A3791" s="1"/>
      <c r="B3791" s="2"/>
    </row>
    <row r="3792" spans="1:2" x14ac:dyDescent="0.25">
      <c r="A3792" s="1"/>
      <c r="B3792" s="2"/>
    </row>
    <row r="3793" spans="1:2" x14ac:dyDescent="0.25">
      <c r="A3793" s="1"/>
      <c r="B3793" s="2"/>
    </row>
    <row r="3794" spans="1:2" x14ac:dyDescent="0.25">
      <c r="A3794" s="1"/>
      <c r="B3794" s="2"/>
    </row>
    <row r="3795" spans="1:2" x14ac:dyDescent="0.25">
      <c r="A3795" s="1"/>
      <c r="B3795" s="2"/>
    </row>
    <row r="3796" spans="1:2" x14ac:dyDescent="0.25">
      <c r="A3796" s="1"/>
      <c r="B3796" s="2"/>
    </row>
    <row r="3797" spans="1:2" x14ac:dyDescent="0.25">
      <c r="A3797" s="1"/>
      <c r="B3797" s="2"/>
    </row>
    <row r="3798" spans="1:2" x14ac:dyDescent="0.25">
      <c r="A3798" s="1"/>
      <c r="B3798" s="2"/>
    </row>
    <row r="3799" spans="1:2" x14ac:dyDescent="0.25">
      <c r="A3799" s="1"/>
      <c r="B3799" s="2"/>
    </row>
    <row r="3800" spans="1:2" x14ac:dyDescent="0.25">
      <c r="A3800" s="1"/>
      <c r="B3800" s="2"/>
    </row>
    <row r="3801" spans="1:2" x14ac:dyDescent="0.25">
      <c r="A3801" s="1"/>
      <c r="B3801" s="2"/>
    </row>
    <row r="3802" spans="1:2" x14ac:dyDescent="0.25">
      <c r="A3802" s="1"/>
      <c r="B3802" s="2"/>
    </row>
    <row r="3803" spans="1:2" x14ac:dyDescent="0.25">
      <c r="A3803" s="1"/>
      <c r="B3803" s="2"/>
    </row>
    <row r="3804" spans="1:2" x14ac:dyDescent="0.25">
      <c r="A3804" s="1"/>
      <c r="B3804" s="2"/>
    </row>
    <row r="3805" spans="1:2" x14ac:dyDescent="0.25">
      <c r="A3805" s="1"/>
      <c r="B3805" s="2"/>
    </row>
    <row r="3806" spans="1:2" x14ac:dyDescent="0.25">
      <c r="A3806" s="1"/>
      <c r="B3806" s="2"/>
    </row>
    <row r="3807" spans="1:2" x14ac:dyDescent="0.25">
      <c r="A3807" s="1"/>
      <c r="B3807" s="2"/>
    </row>
    <row r="3808" spans="1:2" x14ac:dyDescent="0.25">
      <c r="A3808" s="1"/>
      <c r="B3808" s="2"/>
    </row>
    <row r="3809" spans="1:2" x14ac:dyDescent="0.25">
      <c r="A3809" s="1"/>
      <c r="B3809" s="2"/>
    </row>
    <row r="3810" spans="1:2" x14ac:dyDescent="0.25">
      <c r="A3810" s="1"/>
      <c r="B3810" s="2"/>
    </row>
    <row r="3811" spans="1:2" x14ac:dyDescent="0.25">
      <c r="A3811" s="1"/>
      <c r="B3811" s="2"/>
    </row>
    <row r="3812" spans="1:2" x14ac:dyDescent="0.25">
      <c r="A3812" s="1"/>
      <c r="B3812" s="2"/>
    </row>
    <row r="3813" spans="1:2" x14ac:dyDescent="0.25">
      <c r="A3813" s="1"/>
      <c r="B3813" s="2"/>
    </row>
    <row r="3814" spans="1:2" x14ac:dyDescent="0.25">
      <c r="A3814" s="1"/>
      <c r="B3814" s="2"/>
    </row>
    <row r="3815" spans="1:2" x14ac:dyDescent="0.25">
      <c r="A3815" s="1"/>
      <c r="B3815" s="2"/>
    </row>
    <row r="3816" spans="1:2" x14ac:dyDescent="0.25">
      <c r="A3816" s="1"/>
      <c r="B3816" s="2"/>
    </row>
    <row r="3817" spans="1:2" x14ac:dyDescent="0.25">
      <c r="A3817" s="1"/>
      <c r="B3817" s="2"/>
    </row>
    <row r="3818" spans="1:2" x14ac:dyDescent="0.25">
      <c r="A3818" s="1"/>
      <c r="B3818" s="2"/>
    </row>
    <row r="3819" spans="1:2" x14ac:dyDescent="0.25">
      <c r="A3819" s="1"/>
      <c r="B3819" s="2"/>
    </row>
    <row r="3820" spans="1:2" x14ac:dyDescent="0.25">
      <c r="A3820" s="1"/>
      <c r="B3820" s="2"/>
    </row>
    <row r="3821" spans="1:2" x14ac:dyDescent="0.25">
      <c r="A3821" s="1"/>
      <c r="B3821" s="2"/>
    </row>
    <row r="3822" spans="1:2" x14ac:dyDescent="0.25">
      <c r="A3822" s="1"/>
      <c r="B3822" s="2"/>
    </row>
    <row r="3823" spans="1:2" x14ac:dyDescent="0.25">
      <c r="A3823" s="1"/>
      <c r="B3823" s="2"/>
    </row>
    <row r="3824" spans="1:2" x14ac:dyDescent="0.25">
      <c r="A3824" s="1"/>
      <c r="B3824" s="2"/>
    </row>
    <row r="3825" spans="1:2" x14ac:dyDescent="0.25">
      <c r="A3825" s="1"/>
      <c r="B3825" s="2"/>
    </row>
    <row r="3826" spans="1:2" x14ac:dyDescent="0.25">
      <c r="A3826" s="1"/>
      <c r="B3826" s="2"/>
    </row>
    <row r="3827" spans="1:2" x14ac:dyDescent="0.25">
      <c r="A3827" s="1"/>
      <c r="B3827" s="2"/>
    </row>
    <row r="3828" spans="1:2" x14ac:dyDescent="0.25">
      <c r="A3828" s="1"/>
      <c r="B3828" s="2"/>
    </row>
    <row r="3829" spans="1:2" x14ac:dyDescent="0.25">
      <c r="A3829" s="1"/>
      <c r="B3829" s="2"/>
    </row>
    <row r="3830" spans="1:2" x14ac:dyDescent="0.25">
      <c r="A3830" s="1"/>
      <c r="B3830" s="2"/>
    </row>
    <row r="3831" spans="1:2" x14ac:dyDescent="0.25">
      <c r="A3831" s="1"/>
      <c r="B3831" s="2"/>
    </row>
    <row r="3832" spans="1:2" x14ac:dyDescent="0.25">
      <c r="A3832" s="1"/>
      <c r="B3832" s="2"/>
    </row>
    <row r="3833" spans="1:2" x14ac:dyDescent="0.25">
      <c r="A3833" s="1"/>
      <c r="B3833" s="2"/>
    </row>
    <row r="3834" spans="1:2" x14ac:dyDescent="0.25">
      <c r="A3834" s="1"/>
      <c r="B3834" s="2"/>
    </row>
    <row r="3835" spans="1:2" x14ac:dyDescent="0.25">
      <c r="A3835" s="1"/>
      <c r="B3835" s="2"/>
    </row>
    <row r="3836" spans="1:2" x14ac:dyDescent="0.25">
      <c r="A3836" s="1"/>
      <c r="B3836" s="2"/>
    </row>
    <row r="3837" spans="1:2" x14ac:dyDescent="0.25">
      <c r="A3837" s="1"/>
      <c r="B3837" s="2"/>
    </row>
    <row r="3838" spans="1:2" x14ac:dyDescent="0.25">
      <c r="A3838" s="1"/>
      <c r="B3838" s="2"/>
    </row>
    <row r="3839" spans="1:2" x14ac:dyDescent="0.25">
      <c r="A3839" s="1"/>
      <c r="B3839" s="2"/>
    </row>
    <row r="3840" spans="1:2" x14ac:dyDescent="0.25">
      <c r="A3840" s="1"/>
      <c r="B3840" s="2"/>
    </row>
    <row r="3841" spans="1:2" x14ac:dyDescent="0.25">
      <c r="A3841" s="1"/>
      <c r="B3841" s="2"/>
    </row>
    <row r="3842" spans="1:2" x14ac:dyDescent="0.25">
      <c r="A3842" s="1"/>
      <c r="B3842" s="2"/>
    </row>
    <row r="3843" spans="1:2" x14ac:dyDescent="0.25">
      <c r="A3843" s="1"/>
      <c r="B3843" s="2"/>
    </row>
    <row r="3844" spans="1:2" x14ac:dyDescent="0.25">
      <c r="A3844" s="1"/>
      <c r="B3844" s="2"/>
    </row>
    <row r="3845" spans="1:2" x14ac:dyDescent="0.25">
      <c r="A3845" s="1"/>
      <c r="B3845" s="2"/>
    </row>
    <row r="3846" spans="1:2" x14ac:dyDescent="0.25">
      <c r="A3846" s="1"/>
      <c r="B3846" s="2"/>
    </row>
    <row r="3847" spans="1:2" x14ac:dyDescent="0.25">
      <c r="A3847" s="1"/>
      <c r="B3847" s="2"/>
    </row>
    <row r="3848" spans="1:2" x14ac:dyDescent="0.25">
      <c r="A3848" s="1"/>
      <c r="B3848" s="2"/>
    </row>
    <row r="3849" spans="1:2" x14ac:dyDescent="0.25">
      <c r="A3849" s="1"/>
      <c r="B3849" s="2"/>
    </row>
    <row r="3850" spans="1:2" x14ac:dyDescent="0.25">
      <c r="A3850" s="1"/>
      <c r="B3850" s="2"/>
    </row>
    <row r="3851" spans="1:2" x14ac:dyDescent="0.25">
      <c r="A3851" s="1"/>
      <c r="B3851" s="2"/>
    </row>
    <row r="3852" spans="1:2" x14ac:dyDescent="0.25">
      <c r="A3852" s="1"/>
      <c r="B3852" s="2"/>
    </row>
    <row r="3853" spans="1:2" x14ac:dyDescent="0.25">
      <c r="A3853" s="1"/>
      <c r="B3853" s="2"/>
    </row>
    <row r="3854" spans="1:2" x14ac:dyDescent="0.25">
      <c r="A3854" s="1"/>
      <c r="B3854" s="2"/>
    </row>
    <row r="3855" spans="1:2" x14ac:dyDescent="0.25">
      <c r="A3855" s="1"/>
      <c r="B3855" s="2"/>
    </row>
    <row r="3856" spans="1:2" x14ac:dyDescent="0.25">
      <c r="A3856" s="1"/>
      <c r="B3856" s="2"/>
    </row>
    <row r="3857" spans="1:2" x14ac:dyDescent="0.25">
      <c r="A3857" s="1"/>
      <c r="B3857" s="2"/>
    </row>
    <row r="3858" spans="1:2" x14ac:dyDescent="0.25">
      <c r="A3858" s="1"/>
      <c r="B3858" s="2"/>
    </row>
    <row r="3859" spans="1:2" x14ac:dyDescent="0.25">
      <c r="A3859" s="1"/>
      <c r="B3859" s="2"/>
    </row>
    <row r="3860" spans="1:2" x14ac:dyDescent="0.25">
      <c r="A3860" s="1"/>
      <c r="B3860" s="2"/>
    </row>
    <row r="3861" spans="1:2" x14ac:dyDescent="0.25">
      <c r="A3861" s="1"/>
      <c r="B3861" s="2"/>
    </row>
    <row r="3862" spans="1:2" x14ac:dyDescent="0.25">
      <c r="A3862" s="1"/>
      <c r="B3862" s="2"/>
    </row>
    <row r="3863" spans="1:2" x14ac:dyDescent="0.25">
      <c r="A3863" s="1"/>
      <c r="B3863" s="2"/>
    </row>
    <row r="3864" spans="1:2" x14ac:dyDescent="0.25">
      <c r="A3864" s="1"/>
      <c r="B3864" s="2"/>
    </row>
    <row r="3865" spans="1:2" x14ac:dyDescent="0.25">
      <c r="A3865" s="1"/>
      <c r="B3865" s="2"/>
    </row>
    <row r="3866" spans="1:2" x14ac:dyDescent="0.25">
      <c r="A3866" s="1"/>
      <c r="B3866" s="2"/>
    </row>
    <row r="3867" spans="1:2" x14ac:dyDescent="0.25">
      <c r="A3867" s="1"/>
      <c r="B3867" s="2"/>
    </row>
    <row r="3868" spans="1:2" x14ac:dyDescent="0.25">
      <c r="A3868" s="1"/>
      <c r="B3868" s="2"/>
    </row>
    <row r="3869" spans="1:2" x14ac:dyDescent="0.25">
      <c r="A3869" s="1"/>
      <c r="B3869" s="2"/>
    </row>
    <row r="3870" spans="1:2" x14ac:dyDescent="0.25">
      <c r="A3870" s="1"/>
      <c r="B3870" s="2"/>
    </row>
    <row r="3871" spans="1:2" x14ac:dyDescent="0.25">
      <c r="A3871" s="1"/>
      <c r="B3871" s="2"/>
    </row>
    <row r="3872" spans="1:2" x14ac:dyDescent="0.25">
      <c r="A3872" s="1"/>
      <c r="B3872" s="2"/>
    </row>
    <row r="3873" spans="1:2" x14ac:dyDescent="0.25">
      <c r="A3873" s="1"/>
      <c r="B3873" s="2"/>
    </row>
    <row r="3874" spans="1:2" x14ac:dyDescent="0.25">
      <c r="A3874" s="1"/>
      <c r="B3874" s="2"/>
    </row>
    <row r="3875" spans="1:2" x14ac:dyDescent="0.25">
      <c r="A3875" s="1"/>
      <c r="B3875" s="2"/>
    </row>
    <row r="3876" spans="1:2" x14ac:dyDescent="0.25">
      <c r="A3876" s="1"/>
      <c r="B3876" s="2"/>
    </row>
    <row r="3877" spans="1:2" x14ac:dyDescent="0.25">
      <c r="A3877" s="1"/>
      <c r="B3877" s="2"/>
    </row>
    <row r="3878" spans="1:2" x14ac:dyDescent="0.25">
      <c r="A3878" s="1"/>
      <c r="B3878" s="2"/>
    </row>
    <row r="3879" spans="1:2" x14ac:dyDescent="0.25">
      <c r="A3879" s="1"/>
      <c r="B3879" s="2"/>
    </row>
    <row r="3880" spans="1:2" x14ac:dyDescent="0.25">
      <c r="A3880" s="1"/>
      <c r="B3880" s="2"/>
    </row>
    <row r="3881" spans="1:2" x14ac:dyDescent="0.25">
      <c r="A3881" s="1"/>
      <c r="B3881" s="2"/>
    </row>
    <row r="3882" spans="1:2" x14ac:dyDescent="0.25">
      <c r="A3882" s="1"/>
      <c r="B3882" s="2"/>
    </row>
    <row r="3883" spans="1:2" x14ac:dyDescent="0.25">
      <c r="A3883" s="1"/>
      <c r="B3883" s="2"/>
    </row>
    <row r="3884" spans="1:2" x14ac:dyDescent="0.25">
      <c r="A3884" s="1"/>
      <c r="B3884" s="2"/>
    </row>
    <row r="3885" spans="1:2" x14ac:dyDescent="0.25">
      <c r="A3885" s="1"/>
      <c r="B3885" s="2"/>
    </row>
    <row r="3886" spans="1:2" x14ac:dyDescent="0.25">
      <c r="A3886" s="1"/>
      <c r="B3886" s="2"/>
    </row>
    <row r="3887" spans="1:2" x14ac:dyDescent="0.25">
      <c r="A3887" s="1"/>
      <c r="B3887" s="2"/>
    </row>
    <row r="3888" spans="1:2" x14ac:dyDescent="0.25">
      <c r="A3888" s="1"/>
      <c r="B3888" s="2"/>
    </row>
    <row r="3889" spans="1:2" x14ac:dyDescent="0.25">
      <c r="A3889" s="1"/>
      <c r="B3889" s="2"/>
    </row>
    <row r="3890" spans="1:2" x14ac:dyDescent="0.25">
      <c r="A3890" s="1"/>
      <c r="B3890" s="2"/>
    </row>
    <row r="3891" spans="1:2" x14ac:dyDescent="0.25">
      <c r="A3891" s="1"/>
      <c r="B3891" s="2"/>
    </row>
    <row r="3892" spans="1:2" x14ac:dyDescent="0.25">
      <c r="A3892" s="1"/>
      <c r="B3892" s="2"/>
    </row>
    <row r="3893" spans="1:2" x14ac:dyDescent="0.25">
      <c r="A3893" s="1"/>
      <c r="B3893" s="2"/>
    </row>
    <row r="3894" spans="1:2" x14ac:dyDescent="0.25">
      <c r="A3894" s="1"/>
      <c r="B3894" s="2"/>
    </row>
    <row r="3895" spans="1:2" x14ac:dyDescent="0.25">
      <c r="A3895" s="1"/>
      <c r="B3895" s="2"/>
    </row>
    <row r="3896" spans="1:2" x14ac:dyDescent="0.25">
      <c r="A3896" s="1"/>
      <c r="B3896" s="2"/>
    </row>
    <row r="3897" spans="1:2" x14ac:dyDescent="0.25">
      <c r="A3897" s="1"/>
      <c r="B3897" s="2"/>
    </row>
    <row r="3898" spans="1:2" x14ac:dyDescent="0.25">
      <c r="A3898" s="1"/>
      <c r="B3898" s="2"/>
    </row>
    <row r="3899" spans="1:2" x14ac:dyDescent="0.25">
      <c r="A3899" s="1"/>
      <c r="B3899" s="2"/>
    </row>
    <row r="3900" spans="1:2" x14ac:dyDescent="0.25">
      <c r="A3900" s="1"/>
      <c r="B3900" s="2"/>
    </row>
    <row r="3901" spans="1:2" x14ac:dyDescent="0.25">
      <c r="A3901" s="1"/>
      <c r="B3901" s="2"/>
    </row>
    <row r="3902" spans="1:2" x14ac:dyDescent="0.25">
      <c r="A3902" s="1"/>
      <c r="B3902" s="2"/>
    </row>
    <row r="3903" spans="1:2" x14ac:dyDescent="0.25">
      <c r="A3903" s="1"/>
      <c r="B3903" s="2"/>
    </row>
    <row r="3904" spans="1:2" x14ac:dyDescent="0.25">
      <c r="A3904" s="1"/>
      <c r="B3904" s="2"/>
    </row>
    <row r="3905" spans="1:2" x14ac:dyDescent="0.25">
      <c r="A3905" s="1"/>
      <c r="B3905" s="2"/>
    </row>
    <row r="3906" spans="1:2" x14ac:dyDescent="0.25">
      <c r="A3906" s="1"/>
      <c r="B3906" s="2"/>
    </row>
    <row r="3907" spans="1:2" x14ac:dyDescent="0.25">
      <c r="A3907" s="1"/>
      <c r="B3907" s="2"/>
    </row>
    <row r="3908" spans="1:2" x14ac:dyDescent="0.25">
      <c r="A3908" s="1"/>
      <c r="B3908" s="2"/>
    </row>
    <row r="3909" spans="1:2" x14ac:dyDescent="0.25">
      <c r="A3909" s="1"/>
      <c r="B3909" s="2"/>
    </row>
    <row r="3910" spans="1:2" x14ac:dyDescent="0.25">
      <c r="A3910" s="1"/>
      <c r="B3910" s="2"/>
    </row>
    <row r="3911" spans="1:2" x14ac:dyDescent="0.25">
      <c r="A3911" s="1"/>
      <c r="B3911" s="2"/>
    </row>
    <row r="3912" spans="1:2" x14ac:dyDescent="0.25">
      <c r="A3912" s="1"/>
      <c r="B3912" s="2"/>
    </row>
    <row r="3913" spans="1:2" x14ac:dyDescent="0.25">
      <c r="A3913" s="1"/>
      <c r="B3913" s="2"/>
    </row>
    <row r="3914" spans="1:2" x14ac:dyDescent="0.25">
      <c r="A3914" s="1"/>
      <c r="B3914" s="2"/>
    </row>
    <row r="3915" spans="1:2" x14ac:dyDescent="0.25">
      <c r="A3915" s="1"/>
      <c r="B3915" s="2"/>
    </row>
    <row r="3916" spans="1:2" x14ac:dyDescent="0.25">
      <c r="A3916" s="1"/>
      <c r="B3916" s="2"/>
    </row>
    <row r="3917" spans="1:2" x14ac:dyDescent="0.25">
      <c r="A3917" s="1"/>
      <c r="B3917" s="2"/>
    </row>
    <row r="3918" spans="1:2" x14ac:dyDescent="0.25">
      <c r="A3918" s="1"/>
      <c r="B3918" s="2"/>
    </row>
    <row r="3919" spans="1:2" x14ac:dyDescent="0.25">
      <c r="A3919" s="1"/>
      <c r="B3919" s="2"/>
    </row>
    <row r="3920" spans="1:2" x14ac:dyDescent="0.25">
      <c r="A3920" s="1"/>
      <c r="B3920" s="2"/>
    </row>
    <row r="3921" spans="1:2" x14ac:dyDescent="0.25">
      <c r="A3921" s="1"/>
      <c r="B3921" s="2"/>
    </row>
    <row r="3922" spans="1:2" x14ac:dyDescent="0.25">
      <c r="A3922" s="1"/>
      <c r="B3922" s="2"/>
    </row>
    <row r="3923" spans="1:2" x14ac:dyDescent="0.25">
      <c r="A3923" s="1"/>
      <c r="B3923" s="2"/>
    </row>
    <row r="3924" spans="1:2" x14ac:dyDescent="0.25">
      <c r="A3924" s="1"/>
      <c r="B3924" s="2"/>
    </row>
    <row r="3925" spans="1:2" x14ac:dyDescent="0.25">
      <c r="A3925" s="1"/>
      <c r="B3925" s="2"/>
    </row>
    <row r="3926" spans="1:2" x14ac:dyDescent="0.25">
      <c r="A3926" s="1"/>
      <c r="B3926" s="2"/>
    </row>
    <row r="3927" spans="1:2" x14ac:dyDescent="0.25">
      <c r="A3927" s="1"/>
      <c r="B3927" s="2"/>
    </row>
    <row r="3928" spans="1:2" x14ac:dyDescent="0.25">
      <c r="A3928" s="1"/>
      <c r="B3928" s="2"/>
    </row>
    <row r="3929" spans="1:2" x14ac:dyDescent="0.25">
      <c r="A3929" s="1"/>
      <c r="B3929" s="2"/>
    </row>
    <row r="3930" spans="1:2" x14ac:dyDescent="0.25">
      <c r="A3930" s="1"/>
      <c r="B3930" s="2"/>
    </row>
    <row r="3931" spans="1:2" x14ac:dyDescent="0.25">
      <c r="A3931" s="1"/>
      <c r="B3931" s="2"/>
    </row>
    <row r="3932" spans="1:2" x14ac:dyDescent="0.25">
      <c r="A3932" s="1"/>
      <c r="B3932" s="2"/>
    </row>
    <row r="3933" spans="1:2" x14ac:dyDescent="0.25">
      <c r="A3933" s="1"/>
      <c r="B3933" s="2"/>
    </row>
    <row r="3934" spans="1:2" x14ac:dyDescent="0.25">
      <c r="A3934" s="1"/>
      <c r="B3934" s="2"/>
    </row>
    <row r="3935" spans="1:2" x14ac:dyDescent="0.25">
      <c r="A3935" s="1"/>
      <c r="B3935" s="2"/>
    </row>
    <row r="3936" spans="1:2" x14ac:dyDescent="0.25">
      <c r="A3936" s="1"/>
      <c r="B3936" s="2"/>
    </row>
    <row r="3937" spans="1:2" x14ac:dyDescent="0.25">
      <c r="A3937" s="1"/>
      <c r="B3937" s="2"/>
    </row>
    <row r="3938" spans="1:2" x14ac:dyDescent="0.25">
      <c r="A3938" s="1"/>
      <c r="B3938" s="2"/>
    </row>
    <row r="3939" spans="1:2" x14ac:dyDescent="0.25">
      <c r="A3939" s="1"/>
      <c r="B3939" s="2"/>
    </row>
    <row r="3940" spans="1:2" x14ac:dyDescent="0.25">
      <c r="A3940" s="1"/>
      <c r="B3940" s="2"/>
    </row>
    <row r="3941" spans="1:2" x14ac:dyDescent="0.25">
      <c r="A3941" s="1"/>
      <c r="B3941" s="2"/>
    </row>
    <row r="3942" spans="1:2" x14ac:dyDescent="0.25">
      <c r="A3942" s="1"/>
      <c r="B3942" s="2"/>
    </row>
    <row r="3943" spans="1:2" x14ac:dyDescent="0.25">
      <c r="A3943" s="1"/>
      <c r="B3943" s="2"/>
    </row>
    <row r="3944" spans="1:2" x14ac:dyDescent="0.25">
      <c r="A3944" s="1"/>
      <c r="B3944" s="2"/>
    </row>
    <row r="3945" spans="1:2" x14ac:dyDescent="0.25">
      <c r="A3945" s="1"/>
      <c r="B3945" s="2"/>
    </row>
    <row r="3946" spans="1:2" x14ac:dyDescent="0.25">
      <c r="A3946" s="1"/>
      <c r="B3946" s="2"/>
    </row>
    <row r="3947" spans="1:2" x14ac:dyDescent="0.25">
      <c r="A3947" s="1"/>
      <c r="B3947" s="2"/>
    </row>
    <row r="3948" spans="1:2" x14ac:dyDescent="0.25">
      <c r="A3948" s="1"/>
      <c r="B3948" s="2"/>
    </row>
    <row r="3949" spans="1:2" x14ac:dyDescent="0.25">
      <c r="A3949" s="1"/>
      <c r="B3949" s="2"/>
    </row>
    <row r="3950" spans="1:2" x14ac:dyDescent="0.25">
      <c r="A3950" s="1"/>
      <c r="B3950" s="2"/>
    </row>
    <row r="3951" spans="1:2" x14ac:dyDescent="0.25">
      <c r="A3951" s="1"/>
      <c r="B3951" s="2"/>
    </row>
    <row r="3952" spans="1:2" x14ac:dyDescent="0.25">
      <c r="A3952" s="1"/>
      <c r="B3952" s="2"/>
    </row>
    <row r="3953" spans="1:2" x14ac:dyDescent="0.25">
      <c r="A3953" s="1"/>
      <c r="B3953" s="2"/>
    </row>
    <row r="3954" spans="1:2" x14ac:dyDescent="0.25">
      <c r="A3954" s="1"/>
      <c r="B3954" s="2"/>
    </row>
    <row r="3955" spans="1:2" x14ac:dyDescent="0.25">
      <c r="A3955" s="1"/>
      <c r="B3955" s="2"/>
    </row>
    <row r="3956" spans="1:2" x14ac:dyDescent="0.25">
      <c r="A3956" s="1"/>
      <c r="B3956" s="2"/>
    </row>
    <row r="3957" spans="1:2" x14ac:dyDescent="0.25">
      <c r="A3957" s="1"/>
      <c r="B3957" s="2"/>
    </row>
    <row r="3958" spans="1:2" x14ac:dyDescent="0.25">
      <c r="A3958" s="1"/>
      <c r="B3958" s="2"/>
    </row>
    <row r="3959" spans="1:2" x14ac:dyDescent="0.25">
      <c r="A3959" s="1"/>
      <c r="B3959" s="2"/>
    </row>
    <row r="3960" spans="1:2" x14ac:dyDescent="0.25">
      <c r="A3960" s="1"/>
      <c r="B3960" s="2"/>
    </row>
    <row r="3961" spans="1:2" x14ac:dyDescent="0.25">
      <c r="A3961" s="1"/>
      <c r="B3961" s="2"/>
    </row>
    <row r="3962" spans="1:2" x14ac:dyDescent="0.25">
      <c r="A3962" s="1"/>
      <c r="B3962" s="2"/>
    </row>
    <row r="3963" spans="1:2" x14ac:dyDescent="0.25">
      <c r="A3963" s="1"/>
      <c r="B3963" s="2"/>
    </row>
    <row r="3964" spans="1:2" x14ac:dyDescent="0.25">
      <c r="A3964" s="1"/>
      <c r="B3964" s="2"/>
    </row>
    <row r="3965" spans="1:2" x14ac:dyDescent="0.25">
      <c r="A3965" s="1"/>
      <c r="B3965" s="2"/>
    </row>
    <row r="3966" spans="1:2" x14ac:dyDescent="0.25">
      <c r="A3966" s="1"/>
      <c r="B3966" s="2"/>
    </row>
    <row r="3967" spans="1:2" x14ac:dyDescent="0.25">
      <c r="A3967" s="1"/>
      <c r="B3967" s="2"/>
    </row>
    <row r="3968" spans="1:2" x14ac:dyDescent="0.25">
      <c r="A3968" s="1"/>
      <c r="B3968" s="2"/>
    </row>
    <row r="3969" spans="1:2" x14ac:dyDescent="0.25">
      <c r="A3969" s="1"/>
      <c r="B3969" s="2"/>
    </row>
    <row r="3970" spans="1:2" x14ac:dyDescent="0.25">
      <c r="A3970" s="1"/>
      <c r="B3970" s="2"/>
    </row>
    <row r="3971" spans="1:2" x14ac:dyDescent="0.25">
      <c r="A3971" s="1"/>
      <c r="B3971" s="2"/>
    </row>
    <row r="3972" spans="1:2" x14ac:dyDescent="0.25">
      <c r="A3972" s="1"/>
      <c r="B3972" s="2"/>
    </row>
    <row r="3973" spans="1:2" x14ac:dyDescent="0.25">
      <c r="A3973" s="1"/>
      <c r="B3973" s="2"/>
    </row>
    <row r="3974" spans="1:2" x14ac:dyDescent="0.25">
      <c r="A3974" s="1"/>
      <c r="B3974" s="2"/>
    </row>
    <row r="3975" spans="1:2" x14ac:dyDescent="0.25">
      <c r="A3975" s="1"/>
      <c r="B3975" s="2"/>
    </row>
    <row r="3976" spans="1:2" x14ac:dyDescent="0.25">
      <c r="A3976" s="1"/>
      <c r="B3976" s="2"/>
    </row>
    <row r="3977" spans="1:2" x14ac:dyDescent="0.25">
      <c r="A3977" s="1"/>
      <c r="B3977" s="2"/>
    </row>
    <row r="3978" spans="1:2" x14ac:dyDescent="0.25">
      <c r="A3978" s="1"/>
      <c r="B3978" s="2"/>
    </row>
    <row r="3979" spans="1:2" x14ac:dyDescent="0.25">
      <c r="A3979" s="1"/>
      <c r="B3979" s="2"/>
    </row>
    <row r="3980" spans="1:2" x14ac:dyDescent="0.25">
      <c r="A3980" s="1"/>
      <c r="B3980" s="2"/>
    </row>
    <row r="3981" spans="1:2" x14ac:dyDescent="0.25">
      <c r="A3981" s="1"/>
      <c r="B3981" s="2"/>
    </row>
    <row r="3982" spans="1:2" x14ac:dyDescent="0.25">
      <c r="A3982" s="1"/>
      <c r="B3982" s="2"/>
    </row>
    <row r="3983" spans="1:2" x14ac:dyDescent="0.25">
      <c r="A3983" s="1"/>
      <c r="B3983" s="2"/>
    </row>
    <row r="3984" spans="1:2" x14ac:dyDescent="0.25">
      <c r="A3984" s="1"/>
      <c r="B3984" s="2"/>
    </row>
    <row r="3985" spans="1:2" x14ac:dyDescent="0.25">
      <c r="A3985" s="1"/>
      <c r="B3985" s="2"/>
    </row>
    <row r="3986" spans="1:2" x14ac:dyDescent="0.25">
      <c r="A3986" s="1"/>
      <c r="B3986" s="2"/>
    </row>
    <row r="3987" spans="1:2" x14ac:dyDescent="0.25">
      <c r="A3987" s="1"/>
      <c r="B3987" s="2"/>
    </row>
    <row r="3988" spans="1:2" x14ac:dyDescent="0.25">
      <c r="A3988" s="1"/>
      <c r="B3988" s="2"/>
    </row>
    <row r="3989" spans="1:2" x14ac:dyDescent="0.25">
      <c r="A3989" s="1"/>
      <c r="B3989" s="2"/>
    </row>
    <row r="3990" spans="1:2" x14ac:dyDescent="0.25">
      <c r="A3990" s="1"/>
      <c r="B3990" s="2"/>
    </row>
    <row r="3991" spans="1:2" x14ac:dyDescent="0.25">
      <c r="A3991" s="1"/>
      <c r="B3991" s="2"/>
    </row>
    <row r="3992" spans="1:2" x14ac:dyDescent="0.25">
      <c r="A3992" s="1"/>
      <c r="B3992" s="2"/>
    </row>
    <row r="3993" spans="1:2" x14ac:dyDescent="0.25">
      <c r="A3993" s="1"/>
      <c r="B3993" s="2"/>
    </row>
    <row r="3994" spans="1:2" x14ac:dyDescent="0.25">
      <c r="A3994" s="1"/>
      <c r="B3994" s="2"/>
    </row>
    <row r="3995" spans="1:2" x14ac:dyDescent="0.25">
      <c r="A3995" s="1"/>
      <c r="B3995" s="2"/>
    </row>
    <row r="3996" spans="1:2" x14ac:dyDescent="0.25">
      <c r="A3996" s="1"/>
      <c r="B3996" s="2"/>
    </row>
    <row r="3997" spans="1:2" x14ac:dyDescent="0.25">
      <c r="A3997" s="1"/>
      <c r="B3997" s="2"/>
    </row>
    <row r="3998" spans="1:2" x14ac:dyDescent="0.25">
      <c r="A3998" s="1"/>
      <c r="B3998" s="2"/>
    </row>
    <row r="3999" spans="1:2" x14ac:dyDescent="0.25">
      <c r="A3999" s="1"/>
      <c r="B3999" s="2"/>
    </row>
    <row r="4000" spans="1:2" x14ac:dyDescent="0.25">
      <c r="A4000" s="1"/>
      <c r="B4000" s="2"/>
    </row>
    <row r="4001" spans="1:2" x14ac:dyDescent="0.25">
      <c r="A4001" s="1"/>
      <c r="B4001" s="2"/>
    </row>
    <row r="4002" spans="1:2" x14ac:dyDescent="0.25">
      <c r="A4002" s="1"/>
      <c r="B4002" s="2"/>
    </row>
    <row r="4003" spans="1:2" x14ac:dyDescent="0.25">
      <c r="A4003" s="1"/>
      <c r="B4003" s="2"/>
    </row>
    <row r="4004" spans="1:2" x14ac:dyDescent="0.25">
      <c r="A4004" s="1"/>
      <c r="B4004" s="2"/>
    </row>
    <row r="4005" spans="1:2" x14ac:dyDescent="0.25">
      <c r="A4005" s="1"/>
      <c r="B4005" s="2"/>
    </row>
    <row r="4006" spans="1:2" x14ac:dyDescent="0.25">
      <c r="A4006" s="1"/>
      <c r="B4006" s="2"/>
    </row>
    <row r="4007" spans="1:2" x14ac:dyDescent="0.25">
      <c r="A4007" s="1"/>
      <c r="B4007" s="2"/>
    </row>
    <row r="4008" spans="1:2" x14ac:dyDescent="0.25">
      <c r="A4008" s="1"/>
      <c r="B4008" s="2"/>
    </row>
    <row r="4009" spans="1:2" x14ac:dyDescent="0.25">
      <c r="A4009" s="1"/>
      <c r="B4009" s="2"/>
    </row>
    <row r="4010" spans="1:2" x14ac:dyDescent="0.25">
      <c r="A4010" s="1"/>
      <c r="B4010" s="2"/>
    </row>
    <row r="4011" spans="1:2" x14ac:dyDescent="0.25">
      <c r="A4011" s="1"/>
      <c r="B4011" s="2"/>
    </row>
    <row r="4012" spans="1:2" x14ac:dyDescent="0.25">
      <c r="A4012" s="1"/>
      <c r="B4012" s="2"/>
    </row>
    <row r="4013" spans="1:2" x14ac:dyDescent="0.25">
      <c r="A4013" s="1"/>
      <c r="B4013" s="2"/>
    </row>
    <row r="4014" spans="1:2" x14ac:dyDescent="0.25">
      <c r="A4014" s="1"/>
      <c r="B4014" s="2"/>
    </row>
    <row r="4015" spans="1:2" x14ac:dyDescent="0.25">
      <c r="A4015" s="1"/>
      <c r="B4015" s="2"/>
    </row>
    <row r="4016" spans="1:2" x14ac:dyDescent="0.25">
      <c r="A4016" s="1"/>
      <c r="B4016" s="2"/>
    </row>
    <row r="4017" spans="1:2" x14ac:dyDescent="0.25">
      <c r="A4017" s="1"/>
      <c r="B4017" s="2"/>
    </row>
    <row r="4018" spans="1:2" x14ac:dyDescent="0.25">
      <c r="A4018" s="1"/>
      <c r="B4018" s="2"/>
    </row>
    <row r="4019" spans="1:2" x14ac:dyDescent="0.25">
      <c r="A4019" s="1"/>
      <c r="B4019" s="2"/>
    </row>
    <row r="4020" spans="1:2" x14ac:dyDescent="0.25">
      <c r="A4020" s="1"/>
      <c r="B4020" s="2"/>
    </row>
    <row r="4021" spans="1:2" x14ac:dyDescent="0.25">
      <c r="A4021" s="1"/>
      <c r="B4021" s="2"/>
    </row>
    <row r="4022" spans="1:2" x14ac:dyDescent="0.25">
      <c r="A4022" s="1"/>
      <c r="B4022" s="2"/>
    </row>
    <row r="4023" spans="1:2" x14ac:dyDescent="0.25">
      <c r="A4023" s="1"/>
      <c r="B4023" s="2"/>
    </row>
    <row r="4024" spans="1:2" x14ac:dyDescent="0.25">
      <c r="A4024" s="1"/>
      <c r="B4024" s="2"/>
    </row>
    <row r="4025" spans="1:2" x14ac:dyDescent="0.25">
      <c r="A4025" s="1"/>
      <c r="B4025" s="2"/>
    </row>
    <row r="4026" spans="1:2" x14ac:dyDescent="0.25">
      <c r="A4026" s="1"/>
      <c r="B4026" s="2"/>
    </row>
    <row r="4027" spans="1:2" x14ac:dyDescent="0.25">
      <c r="A4027" s="1"/>
      <c r="B4027" s="2"/>
    </row>
    <row r="4028" spans="1:2" x14ac:dyDescent="0.25">
      <c r="A4028" s="1"/>
      <c r="B4028" s="2"/>
    </row>
    <row r="4029" spans="1:2" x14ac:dyDescent="0.25">
      <c r="A4029" s="1"/>
      <c r="B4029" s="2"/>
    </row>
    <row r="4030" spans="1:2" x14ac:dyDescent="0.25">
      <c r="A4030" s="1"/>
      <c r="B4030" s="2"/>
    </row>
    <row r="4031" spans="1:2" x14ac:dyDescent="0.25">
      <c r="A4031" s="1"/>
      <c r="B4031" s="2"/>
    </row>
    <row r="4032" spans="1:2" x14ac:dyDescent="0.25">
      <c r="A4032" s="1"/>
      <c r="B4032" s="2"/>
    </row>
    <row r="4033" spans="1:2" x14ac:dyDescent="0.25">
      <c r="A4033" s="1"/>
      <c r="B4033" s="2"/>
    </row>
    <row r="4034" spans="1:2" x14ac:dyDescent="0.25">
      <c r="A4034" s="1"/>
      <c r="B4034" s="2"/>
    </row>
    <row r="4035" spans="1:2" x14ac:dyDescent="0.25">
      <c r="A4035" s="1"/>
      <c r="B4035" s="2"/>
    </row>
    <row r="4036" spans="1:2" x14ac:dyDescent="0.25">
      <c r="A4036" s="1"/>
      <c r="B4036" s="2"/>
    </row>
    <row r="4037" spans="1:2" x14ac:dyDescent="0.25">
      <c r="A4037" s="1"/>
      <c r="B4037" s="2"/>
    </row>
    <row r="4038" spans="1:2" x14ac:dyDescent="0.25">
      <c r="A4038" s="1"/>
      <c r="B4038" s="2"/>
    </row>
    <row r="4039" spans="1:2" x14ac:dyDescent="0.25">
      <c r="A4039" s="1"/>
      <c r="B4039" s="2"/>
    </row>
    <row r="4040" spans="1:2" x14ac:dyDescent="0.25">
      <c r="A4040" s="1"/>
      <c r="B4040" s="2"/>
    </row>
    <row r="4041" spans="1:2" x14ac:dyDescent="0.25">
      <c r="A4041" s="1"/>
      <c r="B4041" s="2"/>
    </row>
    <row r="4042" spans="1:2" x14ac:dyDescent="0.25">
      <c r="A4042" s="1"/>
      <c r="B4042" s="2"/>
    </row>
    <row r="4043" spans="1:2" x14ac:dyDescent="0.25">
      <c r="A4043" s="1"/>
      <c r="B4043" s="2"/>
    </row>
    <row r="4044" spans="1:2" x14ac:dyDescent="0.25">
      <c r="A4044" s="1"/>
      <c r="B4044" s="2"/>
    </row>
    <row r="4045" spans="1:2" x14ac:dyDescent="0.25">
      <c r="A4045" s="1"/>
      <c r="B4045" s="2"/>
    </row>
    <row r="4046" spans="1:2" x14ac:dyDescent="0.25">
      <c r="A4046" s="1"/>
      <c r="B4046" s="2"/>
    </row>
    <row r="4047" spans="1:2" x14ac:dyDescent="0.25">
      <c r="A4047" s="1"/>
      <c r="B4047" s="2"/>
    </row>
    <row r="4048" spans="1:2" x14ac:dyDescent="0.25">
      <c r="A4048" s="1"/>
      <c r="B4048" s="2"/>
    </row>
    <row r="4049" spans="1:2" x14ac:dyDescent="0.25">
      <c r="A4049" s="1"/>
      <c r="B4049" s="2"/>
    </row>
    <row r="4050" spans="1:2" x14ac:dyDescent="0.25">
      <c r="A4050" s="1"/>
      <c r="B4050" s="2"/>
    </row>
    <row r="4051" spans="1:2" x14ac:dyDescent="0.25">
      <c r="A4051" s="1"/>
      <c r="B4051" s="2"/>
    </row>
    <row r="4052" spans="1:2" x14ac:dyDescent="0.25">
      <c r="A4052" s="1"/>
      <c r="B4052" s="2"/>
    </row>
    <row r="4053" spans="1:2" x14ac:dyDescent="0.25">
      <c r="A4053" s="1"/>
      <c r="B4053" s="2"/>
    </row>
    <row r="4054" spans="1:2" x14ac:dyDescent="0.25">
      <c r="A4054" s="1"/>
      <c r="B4054" s="2"/>
    </row>
    <row r="4055" spans="1:2" x14ac:dyDescent="0.25">
      <c r="A4055" s="1"/>
      <c r="B4055" s="2"/>
    </row>
    <row r="4056" spans="1:2" x14ac:dyDescent="0.25">
      <c r="A4056" s="1"/>
      <c r="B4056" s="2"/>
    </row>
    <row r="4057" spans="1:2" x14ac:dyDescent="0.25">
      <c r="A4057" s="1"/>
      <c r="B4057" s="2"/>
    </row>
    <row r="4058" spans="1:2" x14ac:dyDescent="0.25">
      <c r="A4058" s="1"/>
      <c r="B4058" s="2"/>
    </row>
    <row r="4059" spans="1:2" x14ac:dyDescent="0.25">
      <c r="A4059" s="1"/>
      <c r="B4059" s="2"/>
    </row>
    <row r="4060" spans="1:2" x14ac:dyDescent="0.25">
      <c r="A4060" s="1"/>
      <c r="B4060" s="2"/>
    </row>
    <row r="4061" spans="1:2" x14ac:dyDescent="0.25">
      <c r="A4061" s="1"/>
      <c r="B4061" s="2"/>
    </row>
    <row r="4062" spans="1:2" x14ac:dyDescent="0.25">
      <c r="A4062" s="1"/>
      <c r="B4062" s="2"/>
    </row>
    <row r="4063" spans="1:2" x14ac:dyDescent="0.25">
      <c r="A4063" s="1"/>
      <c r="B4063" s="2"/>
    </row>
    <row r="4064" spans="1:2" x14ac:dyDescent="0.25">
      <c r="A4064" s="1"/>
      <c r="B4064" s="2"/>
    </row>
    <row r="4065" spans="1:2" x14ac:dyDescent="0.25">
      <c r="A4065" s="1"/>
      <c r="B4065" s="2"/>
    </row>
    <row r="4066" spans="1:2" x14ac:dyDescent="0.25">
      <c r="A4066" s="1"/>
      <c r="B4066" s="2"/>
    </row>
    <row r="4067" spans="1:2" x14ac:dyDescent="0.25">
      <c r="A4067" s="1"/>
      <c r="B4067" s="2"/>
    </row>
    <row r="4068" spans="1:2" x14ac:dyDescent="0.25">
      <c r="A4068" s="1"/>
      <c r="B4068" s="2"/>
    </row>
    <row r="4069" spans="1:2" x14ac:dyDescent="0.25">
      <c r="A4069" s="1"/>
      <c r="B4069" s="2"/>
    </row>
    <row r="4070" spans="1:2" x14ac:dyDescent="0.25">
      <c r="A4070" s="1"/>
      <c r="B4070" s="2"/>
    </row>
    <row r="4071" spans="1:2" x14ac:dyDescent="0.25">
      <c r="A4071" s="1"/>
      <c r="B4071" s="2"/>
    </row>
    <row r="4072" spans="1:2" x14ac:dyDescent="0.25">
      <c r="A4072" s="1"/>
      <c r="B4072" s="2"/>
    </row>
    <row r="4073" spans="1:2" x14ac:dyDescent="0.25">
      <c r="A4073" s="1"/>
      <c r="B4073" s="2"/>
    </row>
    <row r="4074" spans="1:2" x14ac:dyDescent="0.25">
      <c r="A4074" s="1"/>
      <c r="B4074" s="2"/>
    </row>
    <row r="4075" spans="1:2" x14ac:dyDescent="0.25">
      <c r="A4075" s="1"/>
      <c r="B4075" s="2"/>
    </row>
    <row r="4076" spans="1:2" x14ac:dyDescent="0.25">
      <c r="A4076" s="1"/>
      <c r="B4076" s="2"/>
    </row>
    <row r="4077" spans="1:2" x14ac:dyDescent="0.25">
      <c r="A4077" s="1"/>
      <c r="B4077" s="2"/>
    </row>
    <row r="4078" spans="1:2" x14ac:dyDescent="0.25">
      <c r="A4078" s="1"/>
      <c r="B4078" s="2"/>
    </row>
    <row r="4079" spans="1:2" x14ac:dyDescent="0.25">
      <c r="A4079" s="1"/>
      <c r="B4079" s="2"/>
    </row>
    <row r="4080" spans="1:2" x14ac:dyDescent="0.25">
      <c r="A4080" s="1"/>
      <c r="B4080" s="2"/>
    </row>
    <row r="4081" spans="1:2" x14ac:dyDescent="0.25">
      <c r="A4081" s="1"/>
      <c r="B4081" s="2"/>
    </row>
    <row r="4082" spans="1:2" x14ac:dyDescent="0.25">
      <c r="A4082" s="1"/>
      <c r="B4082" s="2"/>
    </row>
    <row r="4083" spans="1:2" x14ac:dyDescent="0.25">
      <c r="A4083" s="1"/>
      <c r="B4083" s="2"/>
    </row>
    <row r="4084" spans="1:2" x14ac:dyDescent="0.25">
      <c r="A4084" s="1"/>
      <c r="B4084" s="2"/>
    </row>
    <row r="4085" spans="1:2" x14ac:dyDescent="0.25">
      <c r="A4085" s="1"/>
      <c r="B4085" s="2"/>
    </row>
    <row r="4086" spans="1:2" x14ac:dyDescent="0.25">
      <c r="A4086" s="1"/>
      <c r="B4086" s="2"/>
    </row>
    <row r="4087" spans="1:2" x14ac:dyDescent="0.25">
      <c r="A4087" s="1"/>
      <c r="B4087" s="2"/>
    </row>
    <row r="4088" spans="1:2" x14ac:dyDescent="0.25">
      <c r="A4088" s="1"/>
      <c r="B4088" s="2"/>
    </row>
    <row r="4089" spans="1:2" x14ac:dyDescent="0.25">
      <c r="A4089" s="1"/>
      <c r="B4089" s="2"/>
    </row>
    <row r="4090" spans="1:2" x14ac:dyDescent="0.25">
      <c r="A4090" s="1"/>
      <c r="B4090" s="2"/>
    </row>
    <row r="4091" spans="1:2" x14ac:dyDescent="0.25">
      <c r="A4091" s="1"/>
      <c r="B4091" s="2"/>
    </row>
    <row r="4092" spans="1:2" x14ac:dyDescent="0.25">
      <c r="A4092" s="1"/>
      <c r="B4092" s="2"/>
    </row>
    <row r="4093" spans="1:2" x14ac:dyDescent="0.25">
      <c r="A4093" s="1"/>
      <c r="B4093" s="2"/>
    </row>
    <row r="4094" spans="1:2" x14ac:dyDescent="0.25">
      <c r="A4094" s="1"/>
      <c r="B4094" s="2"/>
    </row>
    <row r="4095" spans="1:2" x14ac:dyDescent="0.25">
      <c r="A4095" s="1"/>
      <c r="B4095" s="2"/>
    </row>
    <row r="4096" spans="1:2" x14ac:dyDescent="0.25">
      <c r="A4096" s="1"/>
      <c r="B4096" s="2"/>
    </row>
    <row r="4097" spans="1:2" x14ac:dyDescent="0.25">
      <c r="A4097" s="1"/>
      <c r="B4097" s="2"/>
    </row>
    <row r="4098" spans="1:2" x14ac:dyDescent="0.25">
      <c r="A4098" s="1"/>
      <c r="B4098" s="2"/>
    </row>
    <row r="4099" spans="1:2" x14ac:dyDescent="0.25">
      <c r="A4099" s="1"/>
      <c r="B4099" s="2"/>
    </row>
    <row r="4100" spans="1:2" x14ac:dyDescent="0.25">
      <c r="A4100" s="1"/>
      <c r="B4100" s="2"/>
    </row>
    <row r="4101" spans="1:2" x14ac:dyDescent="0.25">
      <c r="A4101" s="1"/>
      <c r="B4101" s="2"/>
    </row>
    <row r="4102" spans="1:2" x14ac:dyDescent="0.25">
      <c r="A4102" s="1"/>
      <c r="B4102" s="2"/>
    </row>
    <row r="4103" spans="1:2" x14ac:dyDescent="0.25">
      <c r="A4103" s="1"/>
      <c r="B4103" s="2"/>
    </row>
    <row r="4104" spans="1:2" x14ac:dyDescent="0.25">
      <c r="A4104" s="1"/>
      <c r="B4104" s="2"/>
    </row>
    <row r="4105" spans="1:2" x14ac:dyDescent="0.25">
      <c r="A4105" s="1"/>
      <c r="B4105" s="2"/>
    </row>
    <row r="4106" spans="1:2" x14ac:dyDescent="0.25">
      <c r="A4106" s="1"/>
      <c r="B4106" s="2"/>
    </row>
    <row r="4107" spans="1:2" x14ac:dyDescent="0.25">
      <c r="A4107" s="1"/>
      <c r="B4107" s="2"/>
    </row>
    <row r="4108" spans="1:2" x14ac:dyDescent="0.25">
      <c r="A4108" s="1"/>
      <c r="B4108" s="2"/>
    </row>
    <row r="4109" spans="1:2" x14ac:dyDescent="0.25">
      <c r="A4109" s="1"/>
      <c r="B4109" s="2"/>
    </row>
    <row r="4110" spans="1:2" x14ac:dyDescent="0.25">
      <c r="A4110" s="1"/>
      <c r="B4110" s="2"/>
    </row>
    <row r="4111" spans="1:2" x14ac:dyDescent="0.25">
      <c r="A4111" s="1"/>
      <c r="B4111" s="2"/>
    </row>
    <row r="4112" spans="1:2" x14ac:dyDescent="0.25">
      <c r="A4112" s="1"/>
      <c r="B4112" s="2"/>
    </row>
    <row r="4113" spans="1:2" x14ac:dyDescent="0.25">
      <c r="A4113" s="1"/>
      <c r="B4113" s="2"/>
    </row>
    <row r="4114" spans="1:2" x14ac:dyDescent="0.25">
      <c r="A4114" s="1"/>
      <c r="B4114" s="2"/>
    </row>
    <row r="4115" spans="1:2" x14ac:dyDescent="0.25">
      <c r="A4115" s="1"/>
      <c r="B4115" s="2"/>
    </row>
    <row r="4116" spans="1:2" x14ac:dyDescent="0.25">
      <c r="A4116" s="1"/>
      <c r="B4116" s="2"/>
    </row>
    <row r="4117" spans="1:2" x14ac:dyDescent="0.25">
      <c r="A4117" s="1"/>
      <c r="B4117" s="2"/>
    </row>
    <row r="4118" spans="1:2" x14ac:dyDescent="0.25">
      <c r="A4118" s="1"/>
      <c r="B4118" s="2"/>
    </row>
    <row r="4119" spans="1:2" x14ac:dyDescent="0.25">
      <c r="A4119" s="1"/>
      <c r="B4119" s="2"/>
    </row>
    <row r="4120" spans="1:2" x14ac:dyDescent="0.25">
      <c r="A4120" s="1"/>
      <c r="B4120" s="2"/>
    </row>
    <row r="4121" spans="1:2" x14ac:dyDescent="0.25">
      <c r="A4121" s="1"/>
      <c r="B4121" s="2"/>
    </row>
    <row r="4122" spans="1:2" x14ac:dyDescent="0.25">
      <c r="A4122" s="1"/>
      <c r="B4122" s="2"/>
    </row>
    <row r="4123" spans="1:2" x14ac:dyDescent="0.25">
      <c r="A4123" s="1"/>
      <c r="B4123" s="2"/>
    </row>
    <row r="4124" spans="1:2" x14ac:dyDescent="0.25">
      <c r="A4124" s="1"/>
      <c r="B4124" s="2"/>
    </row>
    <row r="4125" spans="1:2" x14ac:dyDescent="0.25">
      <c r="A4125" s="1"/>
      <c r="B4125" s="2"/>
    </row>
    <row r="4126" spans="1:2" x14ac:dyDescent="0.25">
      <c r="A4126" s="1"/>
      <c r="B4126" s="2"/>
    </row>
    <row r="4127" spans="1:2" x14ac:dyDescent="0.25">
      <c r="A4127" s="1"/>
      <c r="B4127" s="2"/>
    </row>
    <row r="4128" spans="1:2" x14ac:dyDescent="0.25">
      <c r="A4128" s="1"/>
      <c r="B4128" s="2"/>
    </row>
    <row r="4129" spans="1:2" x14ac:dyDescent="0.25">
      <c r="A4129" s="1"/>
      <c r="B4129" s="2"/>
    </row>
    <row r="4130" spans="1:2" x14ac:dyDescent="0.25">
      <c r="A4130" s="1"/>
      <c r="B4130" s="2"/>
    </row>
    <row r="4131" spans="1:2" x14ac:dyDescent="0.25">
      <c r="A4131" s="1"/>
      <c r="B4131" s="2"/>
    </row>
    <row r="4132" spans="1:2" x14ac:dyDescent="0.25">
      <c r="A4132" s="1"/>
      <c r="B4132" s="2"/>
    </row>
    <row r="4133" spans="1:2" x14ac:dyDescent="0.25">
      <c r="A4133" s="1"/>
      <c r="B4133" s="2"/>
    </row>
    <row r="4134" spans="1:2" x14ac:dyDescent="0.25">
      <c r="A4134" s="1"/>
      <c r="B4134" s="2"/>
    </row>
    <row r="4135" spans="1:2" x14ac:dyDescent="0.25">
      <c r="A4135" s="1"/>
      <c r="B4135" s="2"/>
    </row>
    <row r="4136" spans="1:2" x14ac:dyDescent="0.25">
      <c r="A4136" s="1"/>
      <c r="B4136" s="2"/>
    </row>
    <row r="4137" spans="1:2" x14ac:dyDescent="0.25">
      <c r="A4137" s="1"/>
      <c r="B4137" s="2"/>
    </row>
    <row r="4138" spans="1:2" x14ac:dyDescent="0.25">
      <c r="A4138" s="1"/>
      <c r="B4138" s="2"/>
    </row>
    <row r="4139" spans="1:2" x14ac:dyDescent="0.25">
      <c r="A4139" s="1"/>
      <c r="B4139" s="2"/>
    </row>
    <row r="4140" spans="1:2" x14ac:dyDescent="0.25">
      <c r="A4140" s="1"/>
      <c r="B4140" s="2"/>
    </row>
    <row r="4141" spans="1:2" x14ac:dyDescent="0.25">
      <c r="A4141" s="1"/>
      <c r="B4141" s="2"/>
    </row>
    <row r="4142" spans="1:2" x14ac:dyDescent="0.25">
      <c r="A4142" s="1"/>
      <c r="B4142" s="2"/>
    </row>
    <row r="4143" spans="1:2" x14ac:dyDescent="0.25">
      <c r="A4143" s="1"/>
      <c r="B4143" s="2"/>
    </row>
    <row r="4144" spans="1:2" x14ac:dyDescent="0.25">
      <c r="A4144" s="1"/>
      <c r="B4144" s="2"/>
    </row>
    <row r="4145" spans="1:2" x14ac:dyDescent="0.25">
      <c r="A4145" s="1"/>
      <c r="B4145" s="2"/>
    </row>
    <row r="4146" spans="1:2" x14ac:dyDescent="0.25">
      <c r="A4146" s="1"/>
      <c r="B4146" s="2"/>
    </row>
    <row r="4147" spans="1:2" x14ac:dyDescent="0.25">
      <c r="A4147" s="1"/>
      <c r="B4147" s="2"/>
    </row>
    <row r="4148" spans="1:2" x14ac:dyDescent="0.25">
      <c r="A4148" s="1"/>
      <c r="B4148" s="2"/>
    </row>
    <row r="4149" spans="1:2" x14ac:dyDescent="0.25">
      <c r="A4149" s="1"/>
      <c r="B4149" s="2"/>
    </row>
    <row r="4150" spans="1:2" x14ac:dyDescent="0.25">
      <c r="A4150" s="1"/>
      <c r="B4150" s="2"/>
    </row>
    <row r="4151" spans="1:2" x14ac:dyDescent="0.25">
      <c r="A4151" s="1"/>
      <c r="B4151" s="2"/>
    </row>
    <row r="4152" spans="1:2" x14ac:dyDescent="0.25">
      <c r="A4152" s="1"/>
      <c r="B4152" s="2"/>
    </row>
    <row r="4153" spans="1:2" x14ac:dyDescent="0.25">
      <c r="A4153" s="1"/>
      <c r="B4153" s="2"/>
    </row>
    <row r="4154" spans="1:2" x14ac:dyDescent="0.25">
      <c r="A4154" s="1"/>
      <c r="B4154" s="2"/>
    </row>
    <row r="4155" spans="1:2" x14ac:dyDescent="0.25">
      <c r="A4155" s="1"/>
      <c r="B4155" s="2"/>
    </row>
    <row r="4156" spans="1:2" x14ac:dyDescent="0.25">
      <c r="A4156" s="1"/>
      <c r="B4156" s="2"/>
    </row>
    <row r="4157" spans="1:2" x14ac:dyDescent="0.25">
      <c r="A4157" s="1"/>
      <c r="B4157" s="2"/>
    </row>
    <row r="4158" spans="1:2" x14ac:dyDescent="0.25">
      <c r="A4158" s="1"/>
      <c r="B4158" s="2"/>
    </row>
    <row r="4159" spans="1:2" x14ac:dyDescent="0.25">
      <c r="A4159" s="1"/>
      <c r="B4159" s="2"/>
    </row>
    <row r="4160" spans="1:2" x14ac:dyDescent="0.25">
      <c r="A4160" s="1"/>
      <c r="B4160" s="2"/>
    </row>
    <row r="4161" spans="1:2" x14ac:dyDescent="0.25">
      <c r="A4161" s="1"/>
      <c r="B4161" s="2"/>
    </row>
    <row r="4162" spans="1:2" x14ac:dyDescent="0.25">
      <c r="A4162" s="1"/>
      <c r="B4162" s="2"/>
    </row>
    <row r="4163" spans="1:2" x14ac:dyDescent="0.25">
      <c r="A4163" s="1"/>
      <c r="B4163" s="2"/>
    </row>
    <row r="4164" spans="1:2" x14ac:dyDescent="0.25">
      <c r="A4164" s="1"/>
      <c r="B4164" s="2"/>
    </row>
    <row r="4165" spans="1:2" x14ac:dyDescent="0.25">
      <c r="A4165" s="1"/>
      <c r="B4165" s="2"/>
    </row>
    <row r="4166" spans="1:2" x14ac:dyDescent="0.25">
      <c r="A4166" s="1"/>
      <c r="B4166" s="2"/>
    </row>
    <row r="4167" spans="1:2" x14ac:dyDescent="0.25">
      <c r="A4167" s="1"/>
      <c r="B4167" s="2"/>
    </row>
    <row r="4168" spans="1:2" x14ac:dyDescent="0.25">
      <c r="A4168" s="1"/>
      <c r="B4168" s="2"/>
    </row>
    <row r="4169" spans="1:2" x14ac:dyDescent="0.25">
      <c r="A4169" s="1"/>
      <c r="B4169" s="2"/>
    </row>
    <row r="4170" spans="1:2" x14ac:dyDescent="0.25">
      <c r="A4170" s="1"/>
      <c r="B4170" s="2"/>
    </row>
    <row r="4171" spans="1:2" x14ac:dyDescent="0.25">
      <c r="A4171" s="1"/>
      <c r="B4171" s="2"/>
    </row>
    <row r="4172" spans="1:2" x14ac:dyDescent="0.25">
      <c r="A4172" s="1"/>
      <c r="B4172" s="2"/>
    </row>
    <row r="4173" spans="1:2" x14ac:dyDescent="0.25">
      <c r="A4173" s="1"/>
      <c r="B4173" s="2"/>
    </row>
    <row r="4174" spans="1:2" x14ac:dyDescent="0.25">
      <c r="A4174" s="1"/>
      <c r="B4174" s="2"/>
    </row>
    <row r="4175" spans="1:2" x14ac:dyDescent="0.25">
      <c r="A4175" s="1"/>
      <c r="B4175" s="2"/>
    </row>
    <row r="4176" spans="1:2" x14ac:dyDescent="0.25">
      <c r="A4176" s="1"/>
      <c r="B4176" s="2"/>
    </row>
    <row r="4177" spans="1:2" x14ac:dyDescent="0.25">
      <c r="A4177" s="1"/>
      <c r="B4177" s="2"/>
    </row>
    <row r="4178" spans="1:2" x14ac:dyDescent="0.25">
      <c r="A4178" s="1"/>
      <c r="B4178" s="2"/>
    </row>
    <row r="4179" spans="1:2" x14ac:dyDescent="0.25">
      <c r="A4179" s="1"/>
      <c r="B4179" s="2"/>
    </row>
    <row r="4180" spans="1:2" x14ac:dyDescent="0.25">
      <c r="A4180" s="1"/>
      <c r="B4180" s="2"/>
    </row>
    <row r="4181" spans="1:2" x14ac:dyDescent="0.25">
      <c r="A4181" s="1"/>
      <c r="B4181" s="2"/>
    </row>
    <row r="4182" spans="1:2" x14ac:dyDescent="0.25">
      <c r="A4182" s="1"/>
      <c r="B4182" s="2"/>
    </row>
    <row r="4183" spans="1:2" x14ac:dyDescent="0.25">
      <c r="A4183" s="1"/>
      <c r="B4183" s="2"/>
    </row>
    <row r="4184" spans="1:2" x14ac:dyDescent="0.25">
      <c r="A4184" s="1"/>
      <c r="B4184" s="2"/>
    </row>
    <row r="4185" spans="1:2" x14ac:dyDescent="0.25">
      <c r="A4185" s="1"/>
      <c r="B4185" s="2"/>
    </row>
    <row r="4186" spans="1:2" x14ac:dyDescent="0.25">
      <c r="A4186" s="1"/>
      <c r="B4186" s="2"/>
    </row>
    <row r="4187" spans="1:2" x14ac:dyDescent="0.25">
      <c r="A4187" s="1"/>
      <c r="B4187" s="2"/>
    </row>
    <row r="4188" spans="1:2" x14ac:dyDescent="0.25">
      <c r="A4188" s="1"/>
      <c r="B4188" s="2"/>
    </row>
    <row r="4189" spans="1:2" x14ac:dyDescent="0.25">
      <c r="A4189" s="1"/>
      <c r="B4189" s="2"/>
    </row>
    <row r="4190" spans="1:2" x14ac:dyDescent="0.25">
      <c r="A4190" s="1"/>
      <c r="B4190" s="2"/>
    </row>
    <row r="4191" spans="1:2" x14ac:dyDescent="0.25">
      <c r="A4191" s="1"/>
      <c r="B4191" s="2"/>
    </row>
    <row r="4192" spans="1:2" x14ac:dyDescent="0.25">
      <c r="A4192" s="1"/>
      <c r="B4192" s="2"/>
    </row>
    <row r="4193" spans="1:2" x14ac:dyDescent="0.25">
      <c r="A4193" s="1"/>
      <c r="B4193" s="2"/>
    </row>
    <row r="4194" spans="1:2" x14ac:dyDescent="0.25">
      <c r="A4194" s="1"/>
      <c r="B4194" s="2"/>
    </row>
    <row r="4195" spans="1:2" x14ac:dyDescent="0.25">
      <c r="A4195" s="1"/>
      <c r="B4195" s="2"/>
    </row>
    <row r="4196" spans="1:2" x14ac:dyDescent="0.25">
      <c r="A4196" s="1"/>
      <c r="B4196" s="2"/>
    </row>
    <row r="4197" spans="1:2" x14ac:dyDescent="0.25">
      <c r="A4197" s="1"/>
      <c r="B4197" s="2"/>
    </row>
    <row r="4198" spans="1:2" x14ac:dyDescent="0.25">
      <c r="A4198" s="1"/>
      <c r="B4198" s="2"/>
    </row>
    <row r="4199" spans="1:2" x14ac:dyDescent="0.25">
      <c r="A4199" s="1"/>
      <c r="B4199" s="2"/>
    </row>
    <row r="4200" spans="1:2" x14ac:dyDescent="0.25">
      <c r="A4200" s="1"/>
      <c r="B4200" s="2"/>
    </row>
    <row r="4201" spans="1:2" x14ac:dyDescent="0.25">
      <c r="A4201" s="1"/>
      <c r="B4201" s="2"/>
    </row>
    <row r="4202" spans="1:2" x14ac:dyDescent="0.25">
      <c r="A4202" s="1"/>
      <c r="B4202" s="2"/>
    </row>
    <row r="4203" spans="1:2" x14ac:dyDescent="0.25">
      <c r="A4203" s="1"/>
      <c r="B4203" s="2"/>
    </row>
    <row r="4204" spans="1:2" x14ac:dyDescent="0.25">
      <c r="A4204" s="1"/>
      <c r="B4204" s="2"/>
    </row>
    <row r="4205" spans="1:2" x14ac:dyDescent="0.25">
      <c r="A4205" s="1"/>
      <c r="B4205" s="2"/>
    </row>
    <row r="4206" spans="1:2" x14ac:dyDescent="0.25">
      <c r="A4206" s="1"/>
      <c r="B4206" s="2"/>
    </row>
    <row r="4207" spans="1:2" x14ac:dyDescent="0.25">
      <c r="A4207" s="1"/>
      <c r="B4207" s="2"/>
    </row>
    <row r="4208" spans="1:2" x14ac:dyDescent="0.25">
      <c r="A4208" s="1"/>
      <c r="B4208" s="2"/>
    </row>
    <row r="4209" spans="1:2" x14ac:dyDescent="0.25">
      <c r="A4209" s="1"/>
      <c r="B4209" s="2"/>
    </row>
    <row r="4210" spans="1:2" x14ac:dyDescent="0.25">
      <c r="A4210" s="1"/>
      <c r="B4210" s="2"/>
    </row>
    <row r="4211" spans="1:2" x14ac:dyDescent="0.25">
      <c r="A4211" s="1"/>
      <c r="B4211" s="2"/>
    </row>
    <row r="4212" spans="1:2" x14ac:dyDescent="0.25">
      <c r="A4212" s="1"/>
      <c r="B4212" s="2"/>
    </row>
    <row r="4213" spans="1:2" x14ac:dyDescent="0.25">
      <c r="A4213" s="1"/>
      <c r="B4213" s="2"/>
    </row>
    <row r="4214" spans="1:2" x14ac:dyDescent="0.25">
      <c r="A4214" s="1"/>
      <c r="B4214" s="2"/>
    </row>
    <row r="4215" spans="1:2" x14ac:dyDescent="0.25">
      <c r="A4215" s="1"/>
      <c r="B4215" s="2"/>
    </row>
    <row r="4216" spans="1:2" x14ac:dyDescent="0.25">
      <c r="A4216" s="1"/>
      <c r="B4216" s="2"/>
    </row>
    <row r="4217" spans="1:2" x14ac:dyDescent="0.25">
      <c r="A4217" s="1"/>
      <c r="B4217" s="2"/>
    </row>
    <row r="4218" spans="1:2" x14ac:dyDescent="0.25">
      <c r="A4218" s="1"/>
      <c r="B4218" s="2"/>
    </row>
    <row r="4219" spans="1:2" x14ac:dyDescent="0.25">
      <c r="A4219" s="1"/>
      <c r="B4219" s="2"/>
    </row>
    <row r="4220" spans="1:2" x14ac:dyDescent="0.25">
      <c r="A4220" s="1"/>
      <c r="B4220" s="2"/>
    </row>
    <row r="4221" spans="1:2" x14ac:dyDescent="0.25">
      <c r="A4221" s="1"/>
      <c r="B4221" s="2"/>
    </row>
    <row r="4222" spans="1:2" x14ac:dyDescent="0.25">
      <c r="A4222" s="1"/>
      <c r="B4222" s="2"/>
    </row>
    <row r="4223" spans="1:2" x14ac:dyDescent="0.25">
      <c r="A4223" s="1"/>
      <c r="B4223" s="2"/>
    </row>
    <row r="4224" spans="1:2" x14ac:dyDescent="0.25">
      <c r="A4224" s="1"/>
      <c r="B4224" s="2"/>
    </row>
    <row r="4225" spans="1:2" x14ac:dyDescent="0.25">
      <c r="A4225" s="1"/>
      <c r="B4225" s="2"/>
    </row>
    <row r="4226" spans="1:2" x14ac:dyDescent="0.25">
      <c r="A4226" s="1"/>
      <c r="B4226" s="2"/>
    </row>
    <row r="4227" spans="1:2" x14ac:dyDescent="0.25">
      <c r="A4227" s="1"/>
      <c r="B4227" s="2"/>
    </row>
    <row r="4228" spans="1:2" x14ac:dyDescent="0.25">
      <c r="A4228" s="1"/>
      <c r="B4228" s="2"/>
    </row>
    <row r="4229" spans="1:2" x14ac:dyDescent="0.25">
      <c r="A4229" s="1"/>
      <c r="B4229" s="2"/>
    </row>
    <row r="4230" spans="1:2" x14ac:dyDescent="0.25">
      <c r="A4230" s="1"/>
      <c r="B4230" s="2"/>
    </row>
    <row r="4231" spans="1:2" x14ac:dyDescent="0.25">
      <c r="A4231" s="1"/>
      <c r="B4231" s="2"/>
    </row>
    <row r="4232" spans="1:2" x14ac:dyDescent="0.25">
      <c r="A4232" s="1"/>
      <c r="B4232" s="2"/>
    </row>
    <row r="4233" spans="1:2" x14ac:dyDescent="0.25">
      <c r="A4233" s="1"/>
      <c r="B4233" s="2"/>
    </row>
    <row r="4234" spans="1:2" x14ac:dyDescent="0.25">
      <c r="A4234" s="1"/>
      <c r="B4234" s="2"/>
    </row>
    <row r="4235" spans="1:2" x14ac:dyDescent="0.25">
      <c r="A4235" s="1"/>
      <c r="B4235" s="2"/>
    </row>
    <row r="4236" spans="1:2" x14ac:dyDescent="0.25">
      <c r="A4236" s="1"/>
      <c r="B4236" s="2"/>
    </row>
    <row r="4237" spans="1:2" x14ac:dyDescent="0.25">
      <c r="A4237" s="1"/>
      <c r="B4237" s="2"/>
    </row>
    <row r="4238" spans="1:2" x14ac:dyDescent="0.25">
      <c r="A4238" s="1"/>
      <c r="B4238" s="2"/>
    </row>
    <row r="4239" spans="1:2" x14ac:dyDescent="0.25">
      <c r="A4239" s="1"/>
      <c r="B4239" s="2"/>
    </row>
    <row r="4240" spans="1:2" x14ac:dyDescent="0.25">
      <c r="A4240" s="1"/>
      <c r="B4240" s="2"/>
    </row>
    <row r="4241" spans="1:2" x14ac:dyDescent="0.25">
      <c r="A4241" s="1"/>
      <c r="B4241" s="2"/>
    </row>
    <row r="4242" spans="1:2" x14ac:dyDescent="0.25">
      <c r="A4242" s="1"/>
      <c r="B4242" s="2"/>
    </row>
    <row r="4243" spans="1:2" x14ac:dyDescent="0.25">
      <c r="A4243" s="1"/>
      <c r="B4243" s="2"/>
    </row>
    <row r="4244" spans="1:2" x14ac:dyDescent="0.25">
      <c r="A4244" s="1"/>
      <c r="B4244" s="2"/>
    </row>
    <row r="4245" spans="1:2" x14ac:dyDescent="0.25">
      <c r="A4245" s="1"/>
      <c r="B4245" s="2"/>
    </row>
    <row r="4246" spans="1:2" x14ac:dyDescent="0.25">
      <c r="A4246" s="1"/>
      <c r="B4246" s="2"/>
    </row>
    <row r="4247" spans="1:2" x14ac:dyDescent="0.25">
      <c r="A4247" s="1"/>
      <c r="B4247" s="2"/>
    </row>
    <row r="4248" spans="1:2" x14ac:dyDescent="0.25">
      <c r="A4248" s="1"/>
      <c r="B4248" s="2"/>
    </row>
    <row r="4249" spans="1:2" x14ac:dyDescent="0.25">
      <c r="A4249" s="1"/>
      <c r="B4249" s="2"/>
    </row>
    <row r="4250" spans="1:2" x14ac:dyDescent="0.25">
      <c r="A4250" s="1"/>
      <c r="B4250" s="2"/>
    </row>
    <row r="4251" spans="1:2" x14ac:dyDescent="0.25">
      <c r="A4251" s="1"/>
      <c r="B4251" s="2"/>
    </row>
    <row r="4252" spans="1:2" x14ac:dyDescent="0.25">
      <c r="A4252" s="1"/>
      <c r="B4252" s="2"/>
    </row>
    <row r="4253" spans="1:2" x14ac:dyDescent="0.25">
      <c r="A4253" s="1"/>
      <c r="B4253" s="2"/>
    </row>
    <row r="4254" spans="1:2" x14ac:dyDescent="0.25">
      <c r="A4254" s="1"/>
      <c r="B4254" s="2"/>
    </row>
    <row r="4255" spans="1:2" x14ac:dyDescent="0.25">
      <c r="A4255" s="1"/>
      <c r="B4255" s="2"/>
    </row>
    <row r="4256" spans="1:2" x14ac:dyDescent="0.25">
      <c r="A4256" s="1"/>
      <c r="B4256" s="2"/>
    </row>
    <row r="4257" spans="1:2" x14ac:dyDescent="0.25">
      <c r="A4257" s="1"/>
      <c r="B4257" s="2"/>
    </row>
    <row r="4258" spans="1:2" x14ac:dyDescent="0.25">
      <c r="A4258" s="1"/>
      <c r="B4258" s="2"/>
    </row>
    <row r="4259" spans="1:2" x14ac:dyDescent="0.25">
      <c r="A4259" s="1"/>
      <c r="B4259" s="2"/>
    </row>
    <row r="4260" spans="1:2" x14ac:dyDescent="0.25">
      <c r="A4260" s="1"/>
      <c r="B4260" s="2"/>
    </row>
    <row r="4261" spans="1:2" x14ac:dyDescent="0.25">
      <c r="A4261" s="1"/>
      <c r="B4261" s="2"/>
    </row>
    <row r="4262" spans="1:2" x14ac:dyDescent="0.25">
      <c r="A4262" s="1"/>
      <c r="B4262" s="2"/>
    </row>
    <row r="4263" spans="1:2" x14ac:dyDescent="0.25">
      <c r="A4263" s="1"/>
      <c r="B4263" s="2"/>
    </row>
    <row r="4264" spans="1:2" x14ac:dyDescent="0.25">
      <c r="A4264" s="1"/>
      <c r="B4264" s="2"/>
    </row>
    <row r="4265" spans="1:2" x14ac:dyDescent="0.25">
      <c r="A4265" s="1"/>
      <c r="B4265" s="2"/>
    </row>
    <row r="4266" spans="1:2" x14ac:dyDescent="0.25">
      <c r="A4266" s="1"/>
      <c r="B4266" s="2"/>
    </row>
    <row r="4267" spans="1:2" x14ac:dyDescent="0.25">
      <c r="A4267" s="1"/>
      <c r="B4267" s="2"/>
    </row>
    <row r="4268" spans="1:2" x14ac:dyDescent="0.25">
      <c r="A4268" s="1"/>
      <c r="B4268" s="2"/>
    </row>
    <row r="4269" spans="1:2" x14ac:dyDescent="0.25">
      <c r="A4269" s="1"/>
      <c r="B4269" s="2"/>
    </row>
    <row r="4270" spans="1:2" x14ac:dyDescent="0.25">
      <c r="A4270" s="1"/>
      <c r="B4270" s="2"/>
    </row>
    <row r="4271" spans="1:2" x14ac:dyDescent="0.25">
      <c r="A4271" s="1"/>
      <c r="B4271" s="2"/>
    </row>
    <row r="4272" spans="1:2" x14ac:dyDescent="0.25">
      <c r="A4272" s="1"/>
      <c r="B4272" s="2"/>
    </row>
    <row r="4273" spans="1:2" x14ac:dyDescent="0.25">
      <c r="A4273" s="1"/>
      <c r="B4273" s="2"/>
    </row>
    <row r="4274" spans="1:2" x14ac:dyDescent="0.25">
      <c r="A4274" s="1"/>
      <c r="B4274" s="2"/>
    </row>
    <row r="4275" spans="1:2" x14ac:dyDescent="0.25">
      <c r="A4275" s="1"/>
      <c r="B4275" s="2"/>
    </row>
    <row r="4276" spans="1:2" x14ac:dyDescent="0.25">
      <c r="A4276" s="1"/>
      <c r="B4276" s="2"/>
    </row>
    <row r="4277" spans="1:2" x14ac:dyDescent="0.25">
      <c r="A4277" s="1"/>
      <c r="B4277" s="2"/>
    </row>
    <row r="4278" spans="1:2" x14ac:dyDescent="0.25">
      <c r="A4278" s="1"/>
      <c r="B4278" s="2"/>
    </row>
    <row r="4279" spans="1:2" x14ac:dyDescent="0.25">
      <c r="A4279" s="1"/>
      <c r="B4279" s="2"/>
    </row>
    <row r="4280" spans="1:2" x14ac:dyDescent="0.25">
      <c r="A4280" s="1"/>
      <c r="B4280" s="2"/>
    </row>
    <row r="4281" spans="1:2" x14ac:dyDescent="0.25">
      <c r="A4281" s="1"/>
      <c r="B4281" s="2"/>
    </row>
    <row r="4282" spans="1:2" x14ac:dyDescent="0.25">
      <c r="A4282" s="1"/>
      <c r="B4282" s="2"/>
    </row>
    <row r="4283" spans="1:2" x14ac:dyDescent="0.25">
      <c r="A4283" s="1"/>
      <c r="B4283" s="2"/>
    </row>
    <row r="4284" spans="1:2" x14ac:dyDescent="0.25">
      <c r="A4284" s="1"/>
      <c r="B4284" s="2"/>
    </row>
    <row r="4285" spans="1:2" x14ac:dyDescent="0.25">
      <c r="A4285" s="1"/>
      <c r="B4285" s="2"/>
    </row>
    <row r="4286" spans="1:2" x14ac:dyDescent="0.25">
      <c r="A4286" s="1"/>
      <c r="B4286" s="2"/>
    </row>
    <row r="4287" spans="1:2" x14ac:dyDescent="0.25">
      <c r="A4287" s="1"/>
      <c r="B4287" s="2"/>
    </row>
    <row r="4288" spans="1:2" x14ac:dyDescent="0.25">
      <c r="A4288" s="1"/>
      <c r="B4288" s="2"/>
    </row>
    <row r="4289" spans="1:2" x14ac:dyDescent="0.25">
      <c r="A4289" s="1"/>
      <c r="B4289" s="2"/>
    </row>
    <row r="4290" spans="1:2" x14ac:dyDescent="0.25">
      <c r="A4290" s="1"/>
      <c r="B4290" s="2"/>
    </row>
    <row r="4291" spans="1:2" x14ac:dyDescent="0.25">
      <c r="A4291" s="1"/>
      <c r="B4291" s="2"/>
    </row>
    <row r="4292" spans="1:2" x14ac:dyDescent="0.25">
      <c r="A4292" s="1"/>
      <c r="B4292" s="2"/>
    </row>
    <row r="4293" spans="1:2" x14ac:dyDescent="0.25">
      <c r="A4293" s="1"/>
      <c r="B4293" s="2"/>
    </row>
    <row r="4294" spans="1:2" x14ac:dyDescent="0.25">
      <c r="A4294" s="1"/>
      <c r="B4294" s="2"/>
    </row>
    <row r="4295" spans="1:2" x14ac:dyDescent="0.25">
      <c r="A4295" s="1"/>
      <c r="B4295" s="2"/>
    </row>
    <row r="4296" spans="1:2" x14ac:dyDescent="0.25">
      <c r="A4296" s="1"/>
      <c r="B4296" s="2"/>
    </row>
    <row r="4297" spans="1:2" x14ac:dyDescent="0.25">
      <c r="A4297" s="1"/>
      <c r="B4297" s="2"/>
    </row>
    <row r="4298" spans="1:2" x14ac:dyDescent="0.25">
      <c r="A4298" s="1"/>
      <c r="B4298" s="2"/>
    </row>
    <row r="4299" spans="1:2" x14ac:dyDescent="0.25">
      <c r="A4299" s="1"/>
      <c r="B4299" s="2"/>
    </row>
    <row r="4300" spans="1:2" x14ac:dyDescent="0.25">
      <c r="A4300" s="1"/>
      <c r="B4300" s="2"/>
    </row>
    <row r="4301" spans="1:2" x14ac:dyDescent="0.25">
      <c r="A4301" s="1"/>
      <c r="B4301" s="2"/>
    </row>
    <row r="4302" spans="1:2" x14ac:dyDescent="0.25">
      <c r="A4302" s="1"/>
      <c r="B4302" s="2"/>
    </row>
    <row r="4303" spans="1:2" x14ac:dyDescent="0.25">
      <c r="A4303" s="1"/>
      <c r="B4303" s="2"/>
    </row>
    <row r="4304" spans="1:2" x14ac:dyDescent="0.25">
      <c r="A4304" s="1"/>
      <c r="B4304" s="2"/>
    </row>
    <row r="4305" spans="1:2" x14ac:dyDescent="0.25">
      <c r="A4305" s="1"/>
      <c r="B4305" s="2"/>
    </row>
    <row r="4306" spans="1:2" x14ac:dyDescent="0.25">
      <c r="A4306" s="1"/>
      <c r="B4306" s="2"/>
    </row>
    <row r="4307" spans="1:2" x14ac:dyDescent="0.25">
      <c r="A4307" s="1"/>
      <c r="B4307" s="2"/>
    </row>
    <row r="4308" spans="1:2" x14ac:dyDescent="0.25">
      <c r="A4308" s="1"/>
      <c r="B4308" s="2"/>
    </row>
    <row r="4309" spans="1:2" x14ac:dyDescent="0.25">
      <c r="A4309" s="1"/>
      <c r="B4309" s="2"/>
    </row>
    <row r="4310" spans="1:2" x14ac:dyDescent="0.25">
      <c r="A4310" s="1"/>
      <c r="B4310" s="2"/>
    </row>
    <row r="4311" spans="1:2" x14ac:dyDescent="0.25">
      <c r="A4311" s="1"/>
      <c r="B4311" s="2"/>
    </row>
    <row r="4312" spans="1:2" x14ac:dyDescent="0.25">
      <c r="A4312" s="1"/>
      <c r="B4312" s="2"/>
    </row>
    <row r="4313" spans="1:2" x14ac:dyDescent="0.25">
      <c r="A4313" s="1"/>
      <c r="B4313" s="2"/>
    </row>
    <row r="4314" spans="1:2" x14ac:dyDescent="0.25">
      <c r="A4314" s="1"/>
      <c r="B4314" s="2"/>
    </row>
    <row r="4315" spans="1:2" x14ac:dyDescent="0.25">
      <c r="A4315" s="1"/>
      <c r="B4315" s="2"/>
    </row>
    <row r="4316" spans="1:2" x14ac:dyDescent="0.25">
      <c r="A4316" s="1"/>
      <c r="B4316" s="2"/>
    </row>
    <row r="4317" spans="1:2" x14ac:dyDescent="0.25">
      <c r="A4317" s="1"/>
      <c r="B4317" s="2"/>
    </row>
    <row r="4318" spans="1:2" x14ac:dyDescent="0.25">
      <c r="A4318" s="1"/>
      <c r="B4318" s="2"/>
    </row>
    <row r="4319" spans="1:2" x14ac:dyDescent="0.25">
      <c r="A4319" s="1"/>
      <c r="B4319" s="2"/>
    </row>
    <row r="4320" spans="1:2" x14ac:dyDescent="0.25">
      <c r="A4320" s="1"/>
      <c r="B4320" s="2"/>
    </row>
    <row r="4321" spans="1:2" x14ac:dyDescent="0.25">
      <c r="A4321" s="1"/>
      <c r="B4321" s="2"/>
    </row>
    <row r="4322" spans="1:2" x14ac:dyDescent="0.25">
      <c r="A4322" s="1"/>
      <c r="B4322" s="2"/>
    </row>
    <row r="4323" spans="1:2" x14ac:dyDescent="0.25">
      <c r="A4323" s="1"/>
      <c r="B4323" s="2"/>
    </row>
    <row r="4324" spans="1:2" x14ac:dyDescent="0.25">
      <c r="A4324" s="1"/>
      <c r="B4324" s="2"/>
    </row>
    <row r="4325" spans="1:2" x14ac:dyDescent="0.25">
      <c r="A4325" s="1"/>
      <c r="B4325" s="2"/>
    </row>
    <row r="4326" spans="1:2" x14ac:dyDescent="0.25">
      <c r="A4326" s="1"/>
      <c r="B4326" s="2"/>
    </row>
    <row r="4327" spans="1:2" x14ac:dyDescent="0.25">
      <c r="A4327" s="1"/>
      <c r="B4327" s="2"/>
    </row>
    <row r="4328" spans="1:2" x14ac:dyDescent="0.25">
      <c r="A4328" s="1"/>
      <c r="B4328" s="2"/>
    </row>
    <row r="4329" spans="1:2" x14ac:dyDescent="0.25">
      <c r="A4329" s="1"/>
      <c r="B4329" s="2"/>
    </row>
    <row r="4330" spans="1:2" x14ac:dyDescent="0.25">
      <c r="A4330" s="1"/>
      <c r="B4330" s="2"/>
    </row>
    <row r="4331" spans="1:2" x14ac:dyDescent="0.25">
      <c r="A4331" s="1"/>
      <c r="B4331" s="2"/>
    </row>
    <row r="4332" spans="1:2" x14ac:dyDescent="0.25">
      <c r="A4332" s="1"/>
      <c r="B4332" s="2"/>
    </row>
    <row r="4333" spans="1:2" x14ac:dyDescent="0.25">
      <c r="A4333" s="1"/>
      <c r="B4333" s="2"/>
    </row>
    <row r="4334" spans="1:2" x14ac:dyDescent="0.25">
      <c r="A4334" s="1"/>
      <c r="B4334" s="2"/>
    </row>
    <row r="4335" spans="1:2" x14ac:dyDescent="0.25">
      <c r="A4335" s="1"/>
      <c r="B4335" s="2"/>
    </row>
    <row r="4336" spans="1:2" x14ac:dyDescent="0.25">
      <c r="A4336" s="1"/>
      <c r="B4336" s="2"/>
    </row>
    <row r="4337" spans="1:2" x14ac:dyDescent="0.25">
      <c r="A4337" s="1"/>
      <c r="B4337" s="2"/>
    </row>
    <row r="4338" spans="1:2" x14ac:dyDescent="0.25">
      <c r="A4338" s="1"/>
      <c r="B4338" s="2"/>
    </row>
    <row r="4339" spans="1:2" x14ac:dyDescent="0.25">
      <c r="A4339" s="1"/>
      <c r="B4339" s="2"/>
    </row>
    <row r="4340" spans="1:2" x14ac:dyDescent="0.25">
      <c r="A4340" s="1"/>
      <c r="B4340" s="2"/>
    </row>
    <row r="4341" spans="1:2" x14ac:dyDescent="0.25">
      <c r="A4341" s="1"/>
      <c r="B4341" s="2"/>
    </row>
    <row r="4342" spans="1:2" x14ac:dyDescent="0.25">
      <c r="A4342" s="1"/>
      <c r="B4342" s="2"/>
    </row>
    <row r="4343" spans="1:2" x14ac:dyDescent="0.25">
      <c r="A4343" s="1"/>
      <c r="B4343" s="2"/>
    </row>
    <row r="4344" spans="1:2" x14ac:dyDescent="0.25">
      <c r="A4344" s="1"/>
      <c r="B4344" s="2"/>
    </row>
    <row r="4345" spans="1:2" x14ac:dyDescent="0.25">
      <c r="A4345" s="1"/>
      <c r="B4345" s="2"/>
    </row>
    <row r="4346" spans="1:2" x14ac:dyDescent="0.25">
      <c r="A4346" s="1"/>
      <c r="B4346" s="2"/>
    </row>
    <row r="4347" spans="1:2" x14ac:dyDescent="0.25">
      <c r="A4347" s="1"/>
      <c r="B4347" s="2"/>
    </row>
    <row r="4348" spans="1:2" x14ac:dyDescent="0.25">
      <c r="A4348" s="1"/>
      <c r="B4348" s="2"/>
    </row>
    <row r="4349" spans="1:2" x14ac:dyDescent="0.25">
      <c r="A4349" s="1"/>
      <c r="B4349" s="2"/>
    </row>
    <row r="4350" spans="1:2" x14ac:dyDescent="0.25">
      <c r="A4350" s="1"/>
      <c r="B4350" s="2"/>
    </row>
    <row r="4351" spans="1:2" x14ac:dyDescent="0.25">
      <c r="A4351" s="1"/>
      <c r="B4351" s="2"/>
    </row>
    <row r="4352" spans="1:2" x14ac:dyDescent="0.25">
      <c r="A4352" s="1"/>
      <c r="B4352" s="2"/>
    </row>
    <row r="4353" spans="1:2" x14ac:dyDescent="0.25">
      <c r="A4353" s="1"/>
      <c r="B4353" s="2"/>
    </row>
    <row r="4354" spans="1:2" x14ac:dyDescent="0.25">
      <c r="A4354" s="1"/>
      <c r="B4354" s="2"/>
    </row>
    <row r="4355" spans="1:2" x14ac:dyDescent="0.25">
      <c r="A4355" s="1"/>
      <c r="B4355" s="2"/>
    </row>
    <row r="4356" spans="1:2" x14ac:dyDescent="0.25">
      <c r="A4356" s="1"/>
      <c r="B4356" s="2"/>
    </row>
    <row r="4357" spans="1:2" x14ac:dyDescent="0.25">
      <c r="A4357" s="1"/>
      <c r="B4357" s="2"/>
    </row>
    <row r="4358" spans="1:2" x14ac:dyDescent="0.25">
      <c r="A4358" s="1"/>
      <c r="B4358" s="2"/>
    </row>
    <row r="4359" spans="1:2" x14ac:dyDescent="0.25">
      <c r="A4359" s="1"/>
      <c r="B4359" s="2"/>
    </row>
    <row r="4360" spans="1:2" x14ac:dyDescent="0.25">
      <c r="A4360" s="1"/>
      <c r="B4360" s="2"/>
    </row>
    <row r="4361" spans="1:2" x14ac:dyDescent="0.25">
      <c r="A4361" s="1"/>
      <c r="B4361" s="2"/>
    </row>
    <row r="4362" spans="1:2" x14ac:dyDescent="0.25">
      <c r="A4362" s="1"/>
      <c r="B4362" s="2"/>
    </row>
    <row r="4363" spans="1:2" x14ac:dyDescent="0.25">
      <c r="A4363" s="1"/>
      <c r="B4363" s="2"/>
    </row>
    <row r="4364" spans="1:2" x14ac:dyDescent="0.25">
      <c r="A4364" s="1"/>
      <c r="B4364" s="2"/>
    </row>
    <row r="4365" spans="1:2" x14ac:dyDescent="0.25">
      <c r="A4365" s="1"/>
      <c r="B4365" s="2"/>
    </row>
    <row r="4366" spans="1:2" x14ac:dyDescent="0.25">
      <c r="A4366" s="1"/>
      <c r="B4366" s="2"/>
    </row>
    <row r="4367" spans="1:2" x14ac:dyDescent="0.25">
      <c r="A4367" s="1"/>
      <c r="B4367" s="2"/>
    </row>
    <row r="4368" spans="1:2" x14ac:dyDescent="0.25">
      <c r="A4368" s="1"/>
      <c r="B4368" s="2"/>
    </row>
    <row r="4369" spans="1:2" x14ac:dyDescent="0.25">
      <c r="A4369" s="1"/>
      <c r="B4369" s="2"/>
    </row>
    <row r="4370" spans="1:2" x14ac:dyDescent="0.25">
      <c r="A4370" s="1"/>
      <c r="B4370" s="2"/>
    </row>
    <row r="4371" spans="1:2" x14ac:dyDescent="0.25">
      <c r="A4371" s="1"/>
      <c r="B4371" s="2"/>
    </row>
    <row r="4372" spans="1:2" x14ac:dyDescent="0.25">
      <c r="A4372" s="1"/>
      <c r="B4372" s="2"/>
    </row>
    <row r="4373" spans="1:2" x14ac:dyDescent="0.25">
      <c r="A4373" s="1"/>
      <c r="B4373" s="2"/>
    </row>
    <row r="4374" spans="1:2" x14ac:dyDescent="0.25">
      <c r="A4374" s="1"/>
      <c r="B4374" s="2"/>
    </row>
    <row r="4375" spans="1:2" x14ac:dyDescent="0.25">
      <c r="A4375" s="1"/>
      <c r="B4375" s="2"/>
    </row>
    <row r="4376" spans="1:2" x14ac:dyDescent="0.25">
      <c r="A4376" s="1"/>
      <c r="B4376" s="2"/>
    </row>
    <row r="4377" spans="1:2" x14ac:dyDescent="0.25">
      <c r="A4377" s="1"/>
      <c r="B4377" s="2"/>
    </row>
    <row r="4378" spans="1:2" x14ac:dyDescent="0.25">
      <c r="A4378" s="1"/>
      <c r="B4378" s="2"/>
    </row>
    <row r="4379" spans="1:2" x14ac:dyDescent="0.25">
      <c r="A4379" s="1"/>
      <c r="B4379" s="2"/>
    </row>
    <row r="4380" spans="1:2" x14ac:dyDescent="0.25">
      <c r="A4380" s="1"/>
      <c r="B4380" s="2"/>
    </row>
    <row r="4381" spans="1:2" x14ac:dyDescent="0.25">
      <c r="A4381" s="1"/>
      <c r="B4381" s="2"/>
    </row>
    <row r="4382" spans="1:2" x14ac:dyDescent="0.25">
      <c r="A4382" s="1"/>
      <c r="B4382" s="2"/>
    </row>
    <row r="4383" spans="1:2" x14ac:dyDescent="0.25">
      <c r="A4383" s="1"/>
      <c r="B4383" s="2"/>
    </row>
    <row r="4384" spans="1:2" x14ac:dyDescent="0.25">
      <c r="A4384" s="1"/>
      <c r="B4384" s="2"/>
    </row>
    <row r="4385" spans="1:2" x14ac:dyDescent="0.25">
      <c r="A4385" s="1"/>
      <c r="B4385" s="2"/>
    </row>
    <row r="4386" spans="1:2" x14ac:dyDescent="0.25">
      <c r="A4386" s="1"/>
      <c r="B4386" s="2"/>
    </row>
    <row r="4387" spans="1:2" x14ac:dyDescent="0.25">
      <c r="A4387" s="1"/>
      <c r="B4387" s="2"/>
    </row>
    <row r="4388" spans="1:2" x14ac:dyDescent="0.25">
      <c r="A4388" s="1"/>
      <c r="B4388" s="2"/>
    </row>
    <row r="4389" spans="1:2" x14ac:dyDescent="0.25">
      <c r="A4389" s="1"/>
      <c r="B4389" s="2"/>
    </row>
    <row r="4390" spans="1:2" x14ac:dyDescent="0.25">
      <c r="A4390" s="1"/>
      <c r="B4390" s="2"/>
    </row>
    <row r="4391" spans="1:2" x14ac:dyDescent="0.25">
      <c r="A4391" s="1"/>
      <c r="B4391" s="2"/>
    </row>
    <row r="4392" spans="1:2" x14ac:dyDescent="0.25">
      <c r="A4392" s="1"/>
      <c r="B4392" s="2"/>
    </row>
    <row r="4393" spans="1:2" x14ac:dyDescent="0.25">
      <c r="A4393" s="1"/>
      <c r="B4393" s="2"/>
    </row>
    <row r="4394" spans="1:2" x14ac:dyDescent="0.25">
      <c r="A4394" s="1"/>
      <c r="B4394" s="2"/>
    </row>
    <row r="4395" spans="1:2" x14ac:dyDescent="0.25">
      <c r="A4395" s="1"/>
      <c r="B4395" s="2"/>
    </row>
    <row r="4396" spans="1:2" x14ac:dyDescent="0.25">
      <c r="A4396" s="1"/>
      <c r="B4396" s="2"/>
    </row>
    <row r="4397" spans="1:2" x14ac:dyDescent="0.25">
      <c r="A4397" s="1"/>
      <c r="B4397" s="2"/>
    </row>
    <row r="4398" spans="1:2" x14ac:dyDescent="0.25">
      <c r="A4398" s="1"/>
      <c r="B4398" s="2"/>
    </row>
    <row r="4399" spans="1:2" x14ac:dyDescent="0.25">
      <c r="A4399" s="1"/>
      <c r="B4399" s="2"/>
    </row>
    <row r="4400" spans="1:2" x14ac:dyDescent="0.25">
      <c r="A4400" s="1"/>
      <c r="B4400" s="2"/>
    </row>
    <row r="4401" spans="1:2" x14ac:dyDescent="0.25">
      <c r="A4401" s="1"/>
      <c r="B4401" s="2"/>
    </row>
    <row r="4402" spans="1:2" x14ac:dyDescent="0.25">
      <c r="A4402" s="1"/>
      <c r="B4402" s="2"/>
    </row>
    <row r="4403" spans="1:2" x14ac:dyDescent="0.25">
      <c r="A4403" s="1"/>
      <c r="B4403" s="2"/>
    </row>
    <row r="4404" spans="1:2" x14ac:dyDescent="0.25">
      <c r="A4404" s="1"/>
      <c r="B4404" s="2"/>
    </row>
    <row r="4405" spans="1:2" x14ac:dyDescent="0.25">
      <c r="A4405" s="1"/>
      <c r="B4405" s="2"/>
    </row>
    <row r="4406" spans="1:2" x14ac:dyDescent="0.25">
      <c r="A4406" s="1"/>
      <c r="B4406" s="2"/>
    </row>
    <row r="4407" spans="1:2" x14ac:dyDescent="0.25">
      <c r="A4407" s="1"/>
      <c r="B4407" s="2"/>
    </row>
    <row r="4408" spans="1:2" x14ac:dyDescent="0.25">
      <c r="A4408" s="1"/>
      <c r="B4408" s="2"/>
    </row>
    <row r="4409" spans="1:2" x14ac:dyDescent="0.25">
      <c r="A4409" s="1"/>
      <c r="B4409" s="2"/>
    </row>
    <row r="4410" spans="1:2" x14ac:dyDescent="0.25">
      <c r="A4410" s="1"/>
      <c r="B4410" s="2"/>
    </row>
    <row r="4411" spans="1:2" x14ac:dyDescent="0.25">
      <c r="A4411" s="1"/>
      <c r="B4411" s="2"/>
    </row>
    <row r="4412" spans="1:2" x14ac:dyDescent="0.25">
      <c r="A4412" s="1"/>
      <c r="B4412" s="2"/>
    </row>
    <row r="4413" spans="1:2" x14ac:dyDescent="0.25">
      <c r="A4413" s="1"/>
      <c r="B4413" s="2"/>
    </row>
    <row r="4414" spans="1:2" x14ac:dyDescent="0.25">
      <c r="A4414" s="1"/>
      <c r="B4414" s="2"/>
    </row>
    <row r="4415" spans="1:2" x14ac:dyDescent="0.25">
      <c r="A4415" s="1"/>
      <c r="B4415" s="2"/>
    </row>
    <row r="4416" spans="1:2" x14ac:dyDescent="0.25">
      <c r="A4416" s="1"/>
      <c r="B4416" s="2"/>
    </row>
    <row r="4417" spans="1:2" x14ac:dyDescent="0.25">
      <c r="A4417" s="1"/>
      <c r="B4417" s="2"/>
    </row>
    <row r="4418" spans="1:2" x14ac:dyDescent="0.25">
      <c r="A4418" s="1"/>
      <c r="B4418" s="2"/>
    </row>
    <row r="4419" spans="1:2" x14ac:dyDescent="0.25">
      <c r="A4419" s="1"/>
      <c r="B4419" s="2"/>
    </row>
    <row r="4420" spans="1:2" x14ac:dyDescent="0.25">
      <c r="A4420" s="1"/>
      <c r="B4420" s="2"/>
    </row>
    <row r="4421" spans="1:2" x14ac:dyDescent="0.25">
      <c r="A4421" s="1"/>
      <c r="B4421" s="2"/>
    </row>
    <row r="4422" spans="1:2" x14ac:dyDescent="0.25">
      <c r="A4422" s="1"/>
      <c r="B4422" s="2"/>
    </row>
    <row r="4423" spans="1:2" x14ac:dyDescent="0.25">
      <c r="A4423" s="1"/>
      <c r="B4423" s="2"/>
    </row>
    <row r="4424" spans="1:2" x14ac:dyDescent="0.25">
      <c r="A4424" s="1"/>
      <c r="B4424" s="2"/>
    </row>
    <row r="4425" spans="1:2" x14ac:dyDescent="0.25">
      <c r="A4425" s="1"/>
      <c r="B4425" s="2"/>
    </row>
    <row r="4426" spans="1:2" x14ac:dyDescent="0.25">
      <c r="A4426" s="1"/>
      <c r="B4426" s="2"/>
    </row>
    <row r="4427" spans="1:2" x14ac:dyDescent="0.25">
      <c r="A4427" s="1"/>
      <c r="B4427" s="2"/>
    </row>
    <row r="4428" spans="1:2" x14ac:dyDescent="0.25">
      <c r="A4428" s="1"/>
      <c r="B4428" s="2"/>
    </row>
    <row r="4429" spans="1:2" x14ac:dyDescent="0.25">
      <c r="A4429" s="1"/>
      <c r="B4429" s="2"/>
    </row>
    <row r="4430" spans="1:2" x14ac:dyDescent="0.25">
      <c r="A4430" s="1"/>
      <c r="B4430" s="2"/>
    </row>
    <row r="4431" spans="1:2" x14ac:dyDescent="0.25">
      <c r="A4431" s="1"/>
      <c r="B4431" s="2"/>
    </row>
    <row r="4432" spans="1:2" x14ac:dyDescent="0.25">
      <c r="A4432" s="1"/>
      <c r="B4432" s="2"/>
    </row>
    <row r="4433" spans="1:2" x14ac:dyDescent="0.25">
      <c r="A4433" s="1"/>
      <c r="B4433" s="2"/>
    </row>
    <row r="4434" spans="1:2" x14ac:dyDescent="0.25">
      <c r="A4434" s="1"/>
      <c r="B4434" s="2"/>
    </row>
    <row r="4435" spans="1:2" x14ac:dyDescent="0.25">
      <c r="A4435" s="1"/>
      <c r="B4435" s="2"/>
    </row>
    <row r="4436" spans="1:2" x14ac:dyDescent="0.25">
      <c r="A4436" s="1"/>
      <c r="B4436" s="2"/>
    </row>
    <row r="4437" spans="1:2" x14ac:dyDescent="0.25">
      <c r="A4437" s="1"/>
      <c r="B4437" s="2"/>
    </row>
    <row r="4438" spans="1:2" x14ac:dyDescent="0.25">
      <c r="A4438" s="1"/>
      <c r="B4438" s="2"/>
    </row>
    <row r="4439" spans="1:2" x14ac:dyDescent="0.25">
      <c r="A4439" s="1"/>
      <c r="B4439" s="2"/>
    </row>
    <row r="4440" spans="1:2" x14ac:dyDescent="0.25">
      <c r="A4440" s="1"/>
      <c r="B4440" s="2"/>
    </row>
    <row r="4441" spans="1:2" x14ac:dyDescent="0.25">
      <c r="A4441" s="1"/>
      <c r="B4441" s="2"/>
    </row>
    <row r="4442" spans="1:2" x14ac:dyDescent="0.25">
      <c r="A4442" s="1"/>
      <c r="B4442" s="2"/>
    </row>
    <row r="4443" spans="1:2" x14ac:dyDescent="0.25">
      <c r="A4443" s="1"/>
      <c r="B4443" s="2"/>
    </row>
    <row r="4444" spans="1:2" x14ac:dyDescent="0.25">
      <c r="A4444" s="1"/>
      <c r="B4444" s="2"/>
    </row>
    <row r="4445" spans="1:2" x14ac:dyDescent="0.25">
      <c r="A4445" s="1"/>
      <c r="B4445" s="2"/>
    </row>
    <row r="4446" spans="1:2" x14ac:dyDescent="0.25">
      <c r="A4446" s="1"/>
      <c r="B4446" s="2"/>
    </row>
    <row r="4447" spans="1:2" x14ac:dyDescent="0.25">
      <c r="A4447" s="1"/>
      <c r="B4447" s="2"/>
    </row>
    <row r="4448" spans="1:2" x14ac:dyDescent="0.25">
      <c r="A4448" s="1"/>
      <c r="B4448" s="2"/>
    </row>
    <row r="4449" spans="1:2" x14ac:dyDescent="0.25">
      <c r="A4449" s="1"/>
      <c r="B4449" s="2"/>
    </row>
    <row r="4450" spans="1:2" x14ac:dyDescent="0.25">
      <c r="A4450" s="1"/>
      <c r="B4450" s="2"/>
    </row>
    <row r="4451" spans="1:2" x14ac:dyDescent="0.25">
      <c r="A4451" s="1"/>
      <c r="B4451" s="2"/>
    </row>
    <row r="4452" spans="1:2" x14ac:dyDescent="0.25">
      <c r="A4452" s="1"/>
      <c r="B4452" s="2"/>
    </row>
    <row r="4453" spans="1:2" x14ac:dyDescent="0.25">
      <c r="A4453" s="1"/>
      <c r="B4453" s="2"/>
    </row>
    <row r="4454" spans="1:2" x14ac:dyDescent="0.25">
      <c r="A4454" s="1"/>
      <c r="B4454" s="2"/>
    </row>
    <row r="4455" spans="1:2" x14ac:dyDescent="0.25">
      <c r="A4455" s="1"/>
      <c r="B4455" s="2"/>
    </row>
    <row r="4456" spans="1:2" x14ac:dyDescent="0.25">
      <c r="A4456" s="1"/>
      <c r="B4456" s="2"/>
    </row>
    <row r="4457" spans="1:2" x14ac:dyDescent="0.25">
      <c r="A4457" s="1"/>
      <c r="B4457" s="2"/>
    </row>
    <row r="4458" spans="1:2" x14ac:dyDescent="0.25">
      <c r="A4458" s="1"/>
      <c r="B4458" s="2"/>
    </row>
    <row r="4459" spans="1:2" x14ac:dyDescent="0.25">
      <c r="A4459" s="1"/>
      <c r="B4459" s="2"/>
    </row>
    <row r="4460" spans="1:2" x14ac:dyDescent="0.25">
      <c r="A4460" s="1"/>
      <c r="B4460" s="2"/>
    </row>
    <row r="4461" spans="1:2" x14ac:dyDescent="0.25">
      <c r="A4461" s="1"/>
      <c r="B4461" s="2"/>
    </row>
    <row r="4462" spans="1:2" x14ac:dyDescent="0.25">
      <c r="A4462" s="1"/>
      <c r="B4462" s="2"/>
    </row>
    <row r="4463" spans="1:2" x14ac:dyDescent="0.25">
      <c r="A4463" s="1"/>
      <c r="B4463" s="2"/>
    </row>
    <row r="4464" spans="1:2" x14ac:dyDescent="0.25">
      <c r="A4464" s="1"/>
      <c r="B4464" s="2"/>
    </row>
    <row r="4465" spans="1:2" x14ac:dyDescent="0.25">
      <c r="A4465" s="1"/>
      <c r="B4465" s="2"/>
    </row>
    <row r="4466" spans="1:2" x14ac:dyDescent="0.25">
      <c r="A4466" s="1"/>
      <c r="B4466" s="2"/>
    </row>
    <row r="4467" spans="1:2" x14ac:dyDescent="0.25">
      <c r="A4467" s="1"/>
      <c r="B4467" s="2"/>
    </row>
    <row r="4468" spans="1:2" x14ac:dyDescent="0.25">
      <c r="A4468" s="1"/>
      <c r="B4468" s="2"/>
    </row>
    <row r="4469" spans="1:2" x14ac:dyDescent="0.25">
      <c r="A4469" s="1"/>
      <c r="B4469" s="2"/>
    </row>
    <row r="4470" spans="1:2" x14ac:dyDescent="0.25">
      <c r="A4470" s="1"/>
      <c r="B4470" s="2"/>
    </row>
    <row r="4471" spans="1:2" x14ac:dyDescent="0.25">
      <c r="A4471" s="1"/>
      <c r="B4471" s="2"/>
    </row>
    <row r="4472" spans="1:2" x14ac:dyDescent="0.25">
      <c r="A4472" s="1"/>
      <c r="B4472" s="2"/>
    </row>
    <row r="4473" spans="1:2" x14ac:dyDescent="0.25">
      <c r="A4473" s="1"/>
      <c r="B4473" s="2"/>
    </row>
    <row r="4474" spans="1:2" x14ac:dyDescent="0.25">
      <c r="A4474" s="1"/>
      <c r="B4474" s="2"/>
    </row>
    <row r="4475" spans="1:2" x14ac:dyDescent="0.25">
      <c r="A4475" s="1"/>
      <c r="B4475" s="2"/>
    </row>
    <row r="4476" spans="1:2" x14ac:dyDescent="0.25">
      <c r="A4476" s="1"/>
      <c r="B4476" s="2"/>
    </row>
    <row r="4477" spans="1:2" x14ac:dyDescent="0.25">
      <c r="A4477" s="1"/>
      <c r="B4477" s="2"/>
    </row>
    <row r="4478" spans="1:2" x14ac:dyDescent="0.25">
      <c r="A4478" s="1"/>
      <c r="B4478" s="2"/>
    </row>
    <row r="4479" spans="1:2" x14ac:dyDescent="0.25">
      <c r="A4479" s="1"/>
      <c r="B4479" s="2"/>
    </row>
    <row r="4480" spans="1:2" x14ac:dyDescent="0.25">
      <c r="A4480" s="1"/>
      <c r="B4480" s="2"/>
    </row>
    <row r="4481" spans="1:2" x14ac:dyDescent="0.25">
      <c r="A4481" s="1"/>
      <c r="B4481" s="2"/>
    </row>
    <row r="4482" spans="1:2" x14ac:dyDescent="0.25">
      <c r="A4482" s="1"/>
      <c r="B4482" s="2"/>
    </row>
    <row r="4483" spans="1:2" x14ac:dyDescent="0.25">
      <c r="A4483" s="1"/>
      <c r="B4483" s="2"/>
    </row>
    <row r="4484" spans="1:2" x14ac:dyDescent="0.25">
      <c r="A4484" s="1"/>
      <c r="B4484" s="2"/>
    </row>
    <row r="4485" spans="1:2" x14ac:dyDescent="0.25">
      <c r="A4485" s="1"/>
      <c r="B4485" s="2"/>
    </row>
    <row r="4486" spans="1:2" x14ac:dyDescent="0.25">
      <c r="A4486" s="1"/>
      <c r="B4486" s="2"/>
    </row>
    <row r="4487" spans="1:2" x14ac:dyDescent="0.25">
      <c r="A4487" s="1"/>
      <c r="B4487" s="2"/>
    </row>
    <row r="4488" spans="1:2" x14ac:dyDescent="0.25">
      <c r="A4488" s="1"/>
      <c r="B4488" s="2"/>
    </row>
    <row r="4489" spans="1:2" x14ac:dyDescent="0.25">
      <c r="A4489" s="1"/>
      <c r="B4489" s="2"/>
    </row>
    <row r="4490" spans="1:2" x14ac:dyDescent="0.25">
      <c r="A4490" s="1"/>
      <c r="B4490" s="2"/>
    </row>
    <row r="4491" spans="1:2" x14ac:dyDescent="0.25">
      <c r="A4491" s="1"/>
      <c r="B4491" s="2"/>
    </row>
    <row r="4492" spans="1:2" x14ac:dyDescent="0.25">
      <c r="A4492" s="1"/>
      <c r="B4492" s="2"/>
    </row>
    <row r="4493" spans="1:2" x14ac:dyDescent="0.25">
      <c r="A4493" s="1"/>
      <c r="B4493" s="2"/>
    </row>
    <row r="4494" spans="1:2" x14ac:dyDescent="0.25">
      <c r="A4494" s="1"/>
      <c r="B4494" s="2"/>
    </row>
    <row r="4495" spans="1:2" x14ac:dyDescent="0.25">
      <c r="A4495" s="1"/>
      <c r="B4495" s="2"/>
    </row>
    <row r="4496" spans="1:2" x14ac:dyDescent="0.25">
      <c r="A4496" s="1"/>
      <c r="B4496" s="2"/>
    </row>
    <row r="4497" spans="1:2" x14ac:dyDescent="0.25">
      <c r="A4497" s="1"/>
      <c r="B4497" s="2"/>
    </row>
    <row r="4498" spans="1:2" x14ac:dyDescent="0.25">
      <c r="A4498" s="1"/>
      <c r="B4498" s="2"/>
    </row>
    <row r="4499" spans="1:2" x14ac:dyDescent="0.25">
      <c r="A4499" s="1"/>
      <c r="B4499" s="2"/>
    </row>
    <row r="4500" spans="1:2" x14ac:dyDescent="0.25">
      <c r="A4500" s="1"/>
      <c r="B4500" s="2"/>
    </row>
    <row r="4501" spans="1:2" x14ac:dyDescent="0.25">
      <c r="A4501" s="1"/>
      <c r="B4501" s="2"/>
    </row>
    <row r="4502" spans="1:2" x14ac:dyDescent="0.25">
      <c r="A4502" s="1"/>
      <c r="B4502" s="2"/>
    </row>
    <row r="4503" spans="1:2" x14ac:dyDescent="0.25">
      <c r="A4503" s="1"/>
      <c r="B4503" s="2"/>
    </row>
    <row r="4504" spans="1:2" x14ac:dyDescent="0.25">
      <c r="A4504" s="1"/>
      <c r="B4504" s="2"/>
    </row>
    <row r="4505" spans="1:2" x14ac:dyDescent="0.25">
      <c r="A4505" s="1"/>
      <c r="B4505" s="2"/>
    </row>
    <row r="4506" spans="1:2" x14ac:dyDescent="0.25">
      <c r="A4506" s="1"/>
      <c r="B4506" s="2"/>
    </row>
    <row r="4507" spans="1:2" x14ac:dyDescent="0.25">
      <c r="A4507" s="1"/>
      <c r="B4507" s="2"/>
    </row>
    <row r="4508" spans="1:2" x14ac:dyDescent="0.25">
      <c r="A4508" s="1"/>
      <c r="B4508" s="2"/>
    </row>
    <row r="4509" spans="1:2" x14ac:dyDescent="0.25">
      <c r="A4509" s="1"/>
      <c r="B4509" s="2"/>
    </row>
    <row r="4510" spans="1:2" x14ac:dyDescent="0.25">
      <c r="A4510" s="1"/>
      <c r="B4510" s="2"/>
    </row>
    <row r="4511" spans="1:2" x14ac:dyDescent="0.25">
      <c r="A4511" s="1"/>
      <c r="B4511" s="2"/>
    </row>
    <row r="4512" spans="1:2" x14ac:dyDescent="0.25">
      <c r="A4512" s="1"/>
      <c r="B4512" s="2"/>
    </row>
    <row r="4513" spans="1:2" x14ac:dyDescent="0.25">
      <c r="A4513" s="1"/>
      <c r="B4513" s="2"/>
    </row>
    <row r="4514" spans="1:2" x14ac:dyDescent="0.25">
      <c r="A4514" s="1"/>
      <c r="B4514" s="2"/>
    </row>
    <row r="4515" spans="1:2" x14ac:dyDescent="0.25">
      <c r="A4515" s="1"/>
      <c r="B4515" s="2"/>
    </row>
    <row r="4516" spans="1:2" x14ac:dyDescent="0.25">
      <c r="A4516" s="1"/>
      <c r="B4516" s="2"/>
    </row>
    <row r="4517" spans="1:2" x14ac:dyDescent="0.25">
      <c r="A4517" s="1"/>
      <c r="B4517" s="2"/>
    </row>
    <row r="4518" spans="1:2" x14ac:dyDescent="0.25">
      <c r="A4518" s="1"/>
      <c r="B4518" s="2"/>
    </row>
    <row r="4519" spans="1:2" x14ac:dyDescent="0.25">
      <c r="A4519" s="1"/>
      <c r="B4519" s="2"/>
    </row>
    <row r="4520" spans="1:2" x14ac:dyDescent="0.25">
      <c r="A4520" s="1"/>
      <c r="B4520" s="2"/>
    </row>
    <row r="4521" spans="1:2" x14ac:dyDescent="0.25">
      <c r="A4521" s="1"/>
      <c r="B4521" s="2"/>
    </row>
    <row r="4522" spans="1:2" x14ac:dyDescent="0.25">
      <c r="A4522" s="1"/>
      <c r="B4522" s="2"/>
    </row>
    <row r="4523" spans="1:2" x14ac:dyDescent="0.25">
      <c r="A4523" s="1"/>
      <c r="B4523" s="2"/>
    </row>
    <row r="4524" spans="1:2" x14ac:dyDescent="0.25">
      <c r="A4524" s="1"/>
      <c r="B4524" s="2"/>
    </row>
    <row r="4525" spans="1:2" x14ac:dyDescent="0.25">
      <c r="A4525" s="1"/>
      <c r="B4525" s="2"/>
    </row>
    <row r="4526" spans="1:2" x14ac:dyDescent="0.25">
      <c r="A4526" s="1"/>
      <c r="B4526" s="2"/>
    </row>
    <row r="4527" spans="1:2" x14ac:dyDescent="0.25">
      <c r="A4527" s="1"/>
      <c r="B4527" s="2"/>
    </row>
    <row r="4528" spans="1:2" x14ac:dyDescent="0.25">
      <c r="A4528" s="1"/>
      <c r="B4528" s="2"/>
    </row>
    <row r="4529" spans="1:2" x14ac:dyDescent="0.25">
      <c r="A4529" s="1"/>
      <c r="B4529" s="2"/>
    </row>
    <row r="4530" spans="1:2" x14ac:dyDescent="0.25">
      <c r="A4530" s="1"/>
      <c r="B4530" s="2"/>
    </row>
    <row r="4531" spans="1:2" x14ac:dyDescent="0.25">
      <c r="A4531" s="1"/>
      <c r="B4531" s="2"/>
    </row>
    <row r="4532" spans="1:2" x14ac:dyDescent="0.25">
      <c r="A4532" s="1"/>
      <c r="B4532" s="2"/>
    </row>
    <row r="4533" spans="1:2" x14ac:dyDescent="0.25">
      <c r="A4533" s="1"/>
      <c r="B4533" s="2"/>
    </row>
    <row r="4534" spans="1:2" x14ac:dyDescent="0.25">
      <c r="A4534" s="1"/>
      <c r="B4534" s="2"/>
    </row>
    <row r="4535" spans="1:2" x14ac:dyDescent="0.25">
      <c r="A4535" s="1"/>
      <c r="B4535" s="2"/>
    </row>
    <row r="4536" spans="1:2" x14ac:dyDescent="0.25">
      <c r="A4536" s="1"/>
      <c r="B4536" s="2"/>
    </row>
    <row r="4537" spans="1:2" x14ac:dyDescent="0.25">
      <c r="A4537" s="1"/>
      <c r="B4537" s="2"/>
    </row>
    <row r="4538" spans="1:2" x14ac:dyDescent="0.25">
      <c r="A4538" s="1"/>
      <c r="B4538" s="2"/>
    </row>
    <row r="4539" spans="1:2" x14ac:dyDescent="0.25">
      <c r="A4539" s="1"/>
      <c r="B4539" s="2"/>
    </row>
    <row r="4540" spans="1:2" x14ac:dyDescent="0.25">
      <c r="A4540" s="1"/>
      <c r="B4540" s="2"/>
    </row>
    <row r="4541" spans="1:2" x14ac:dyDescent="0.25">
      <c r="A4541" s="1"/>
      <c r="B4541" s="2"/>
    </row>
    <row r="4542" spans="1:2" x14ac:dyDescent="0.25">
      <c r="A4542" s="1"/>
      <c r="B4542" s="2"/>
    </row>
    <row r="4543" spans="1:2" x14ac:dyDescent="0.25">
      <c r="A4543" s="1"/>
      <c r="B4543" s="2"/>
    </row>
    <row r="4544" spans="1:2" x14ac:dyDescent="0.25">
      <c r="A4544" s="1"/>
      <c r="B4544" s="2"/>
    </row>
    <row r="4545" spans="1:2" x14ac:dyDescent="0.25">
      <c r="A4545" s="1"/>
      <c r="B4545" s="2"/>
    </row>
    <row r="4546" spans="1:2" x14ac:dyDescent="0.25">
      <c r="A4546" s="1"/>
      <c r="B4546" s="2"/>
    </row>
    <row r="4547" spans="1:2" x14ac:dyDescent="0.25">
      <c r="A4547" s="1"/>
      <c r="B4547" s="2"/>
    </row>
    <row r="4548" spans="1:2" x14ac:dyDescent="0.25">
      <c r="A4548" s="1"/>
      <c r="B4548" s="2"/>
    </row>
    <row r="4549" spans="1:2" x14ac:dyDescent="0.25">
      <c r="A4549" s="1"/>
      <c r="B4549" s="2"/>
    </row>
    <row r="4550" spans="1:2" x14ac:dyDescent="0.25">
      <c r="A4550" s="1"/>
      <c r="B4550" s="2"/>
    </row>
    <row r="4551" spans="1:2" x14ac:dyDescent="0.25">
      <c r="A4551" s="1"/>
      <c r="B4551" s="2"/>
    </row>
    <row r="4552" spans="1:2" x14ac:dyDescent="0.25">
      <c r="A4552" s="1"/>
      <c r="B4552" s="2"/>
    </row>
    <row r="4553" spans="1:2" x14ac:dyDescent="0.25">
      <c r="A4553" s="1"/>
      <c r="B4553" s="2"/>
    </row>
    <row r="4554" spans="1:2" x14ac:dyDescent="0.25">
      <c r="A4554" s="1"/>
      <c r="B4554" s="2"/>
    </row>
    <row r="4555" spans="1:2" x14ac:dyDescent="0.25">
      <c r="A4555" s="1"/>
      <c r="B4555" s="2"/>
    </row>
    <row r="4556" spans="1:2" x14ac:dyDescent="0.25">
      <c r="A4556" s="1"/>
      <c r="B4556" s="2"/>
    </row>
    <row r="4557" spans="1:2" x14ac:dyDescent="0.25">
      <c r="A4557" s="1"/>
      <c r="B4557" s="2"/>
    </row>
    <row r="4558" spans="1:2" x14ac:dyDescent="0.25">
      <c r="A4558" s="1"/>
      <c r="B4558" s="2"/>
    </row>
    <row r="4559" spans="1:2" x14ac:dyDescent="0.25">
      <c r="A4559" s="1"/>
      <c r="B4559" s="2"/>
    </row>
    <row r="4560" spans="1:2" x14ac:dyDescent="0.25">
      <c r="A4560" s="1"/>
      <c r="B4560" s="2"/>
    </row>
    <row r="4561" spans="1:2" x14ac:dyDescent="0.25">
      <c r="A4561" s="1"/>
      <c r="B4561" s="2"/>
    </row>
    <row r="4562" spans="1:2" x14ac:dyDescent="0.25">
      <c r="A4562" s="1"/>
      <c r="B4562" s="2"/>
    </row>
    <row r="4563" spans="1:2" x14ac:dyDescent="0.25">
      <c r="A4563" s="1"/>
      <c r="B4563" s="2"/>
    </row>
    <row r="4564" spans="1:2" x14ac:dyDescent="0.25">
      <c r="A4564" s="1"/>
      <c r="B4564" s="2"/>
    </row>
    <row r="4565" spans="1:2" x14ac:dyDescent="0.25">
      <c r="A4565" s="1"/>
      <c r="B4565" s="2"/>
    </row>
    <row r="4566" spans="1:2" x14ac:dyDescent="0.25">
      <c r="A4566" s="1"/>
      <c r="B4566" s="2"/>
    </row>
    <row r="4567" spans="1:2" x14ac:dyDescent="0.25">
      <c r="A4567" s="1"/>
      <c r="B4567" s="2"/>
    </row>
    <row r="4568" spans="1:2" x14ac:dyDescent="0.25">
      <c r="A4568" s="1"/>
      <c r="B4568" s="2"/>
    </row>
    <row r="4569" spans="1:2" x14ac:dyDescent="0.25">
      <c r="A4569" s="1"/>
      <c r="B4569" s="2"/>
    </row>
    <row r="4570" spans="1:2" x14ac:dyDescent="0.25">
      <c r="A4570" s="1"/>
      <c r="B4570" s="2"/>
    </row>
    <row r="4571" spans="1:2" x14ac:dyDescent="0.25">
      <c r="A4571" s="1"/>
      <c r="B4571" s="2"/>
    </row>
    <row r="4572" spans="1:2" x14ac:dyDescent="0.25">
      <c r="A4572" s="1"/>
      <c r="B4572" s="2"/>
    </row>
    <row r="4573" spans="1:2" x14ac:dyDescent="0.25">
      <c r="A4573" s="1"/>
    </row>
    <row r="4574" spans="1:2" x14ac:dyDescent="0.25">
      <c r="A4574" s="1"/>
    </row>
    <row r="4575" spans="1:2" x14ac:dyDescent="0.25">
      <c r="A4575" s="1"/>
    </row>
    <row r="4576" spans="1:2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</sheetData>
  <mergeCells count="2">
    <mergeCell ref="A3:A10"/>
    <mergeCell ref="A16:A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BFEF-1CA3-4415-8DB2-C07B26401B6B}">
  <dimension ref="A1:W3000"/>
  <sheetViews>
    <sheetView tabSelected="1" topLeftCell="G1826" zoomScale="98" zoomScaleNormal="98" workbookViewId="0">
      <selection activeCell="T3001" sqref="T3001"/>
    </sheetView>
  </sheetViews>
  <sheetFormatPr baseColWidth="10" defaultRowHeight="15" x14ac:dyDescent="0.25"/>
  <cols>
    <col min="1" max="1" width="24.42578125" customWidth="1"/>
    <col min="2" max="2" width="35.85546875" bestFit="1" customWidth="1"/>
    <col min="3" max="3" width="23.140625" customWidth="1"/>
    <col min="4" max="4" width="15" bestFit="1" customWidth="1"/>
    <col min="5" max="6" width="14.5703125" bestFit="1" customWidth="1"/>
    <col min="7" max="7" width="2.7109375" customWidth="1"/>
    <col min="8" max="8" width="14.28515625" customWidth="1"/>
    <col min="9" max="9" width="36.7109375" bestFit="1" customWidth="1"/>
    <col min="11" max="11" width="24.42578125" customWidth="1"/>
    <col min="12" max="12" width="22.140625" bestFit="1" customWidth="1"/>
    <col min="13" max="13" width="17.85546875" bestFit="1" customWidth="1"/>
    <col min="14" max="14" width="3.28515625" customWidth="1"/>
    <col min="15" max="15" width="14.28515625" customWidth="1"/>
    <col min="16" max="16" width="27" bestFit="1" customWidth="1"/>
    <col min="18" max="18" width="24.42578125" customWidth="1"/>
    <col min="19" max="19" width="22.140625" bestFit="1" customWidth="1"/>
    <col min="20" max="20" width="14.85546875" bestFit="1" customWidth="1"/>
    <col min="22" max="22" width="13.28515625" bestFit="1" customWidth="1"/>
    <col min="23" max="23" width="178.140625" bestFit="1" customWidth="1"/>
  </cols>
  <sheetData>
    <row r="1" spans="1:20" x14ac:dyDescent="0.25">
      <c r="C1" s="43" t="s">
        <v>54</v>
      </c>
      <c r="K1" s="43" t="s">
        <v>54</v>
      </c>
      <c r="P1" s="43" t="s">
        <v>54</v>
      </c>
    </row>
    <row r="3" spans="1:20" x14ac:dyDescent="0.25">
      <c r="A3" s="166" t="s">
        <v>30</v>
      </c>
      <c r="B3" s="166"/>
      <c r="C3" s="166"/>
      <c r="D3" s="166"/>
      <c r="E3" s="166"/>
      <c r="F3" s="166"/>
      <c r="H3" s="166" t="s">
        <v>31</v>
      </c>
      <c r="I3" s="166"/>
      <c r="J3" s="166"/>
      <c r="K3" s="166"/>
      <c r="L3" s="166"/>
      <c r="M3" s="166"/>
      <c r="O3" s="167" t="s">
        <v>27</v>
      </c>
      <c r="P3" s="167"/>
      <c r="Q3" s="167"/>
      <c r="R3" s="167"/>
      <c r="S3" s="167"/>
      <c r="T3" s="167"/>
    </row>
    <row r="4" spans="1:20" s="20" customFormat="1" x14ac:dyDescent="0.25">
      <c r="A4" s="25"/>
      <c r="B4" s="25"/>
      <c r="C4" s="25"/>
      <c r="D4" s="25"/>
      <c r="E4" s="25"/>
      <c r="F4" s="25"/>
      <c r="H4" s="25"/>
      <c r="I4" s="25"/>
      <c r="J4" s="25"/>
      <c r="K4" s="25"/>
      <c r="L4" s="25"/>
      <c r="M4" s="25"/>
      <c r="O4" s="26"/>
      <c r="P4" s="26"/>
      <c r="Q4" s="26"/>
      <c r="R4" s="26"/>
      <c r="S4" s="26"/>
      <c r="T4" s="26"/>
    </row>
    <row r="5" spans="1:20" x14ac:dyDescent="0.25">
      <c r="A5" s="27" t="s">
        <v>32</v>
      </c>
      <c r="B5" s="152" t="s">
        <v>33</v>
      </c>
      <c r="C5" s="29" t="s">
        <v>34</v>
      </c>
      <c r="D5" s="152" t="s">
        <v>35</v>
      </c>
      <c r="E5" s="152" t="s">
        <v>31</v>
      </c>
      <c r="F5" s="30" t="s">
        <v>36</v>
      </c>
      <c r="H5" s="31" t="s">
        <v>37</v>
      </c>
      <c r="I5" s="31" t="s">
        <v>51</v>
      </c>
      <c r="J5" s="152" t="s">
        <v>7</v>
      </c>
      <c r="K5" s="29" t="s">
        <v>32</v>
      </c>
      <c r="L5" s="152" t="s">
        <v>38</v>
      </c>
      <c r="M5" s="30" t="s">
        <v>39</v>
      </c>
      <c r="N5" s="157" t="s">
        <v>369</v>
      </c>
      <c r="O5" s="31" t="s">
        <v>37</v>
      </c>
      <c r="P5" s="31" t="s">
        <v>51</v>
      </c>
      <c r="Q5" s="152" t="s">
        <v>7</v>
      </c>
      <c r="R5" s="29" t="s">
        <v>32</v>
      </c>
      <c r="S5" s="152" t="s">
        <v>38</v>
      </c>
      <c r="T5" s="30" t="s">
        <v>39</v>
      </c>
    </row>
    <row r="6" spans="1:20" x14ac:dyDescent="0.25">
      <c r="A6" s="32" t="s">
        <v>40</v>
      </c>
      <c r="B6" s="9" t="s">
        <v>41</v>
      </c>
      <c r="C6" s="22"/>
      <c r="D6" s="22">
        <f>SUMIF(Tabla91116[CODIGO DEL PRODUCTO],Tabla797[[#This Row],[CODIGO DEL PRODUCTO]],Tabla91116[CANTIDAD KG])/1</f>
        <v>12024.160000000011</v>
      </c>
      <c r="E6" s="99">
        <f>SUMIF(Tabla81015[CODIGO DEL PRODUCTO],Tabla797[[#This Row],[CODIGO DEL PRODUCTO]],Tabla81015[CANTIDAD KG])/1</f>
        <v>10367.500000000002</v>
      </c>
      <c r="F6" s="107">
        <f>Tabla797[[#This Row],[EXISTENCIAS INICIALES]]+Tabla797[[#This Row],[ENTRADAS]]-Tabla797[[#This Row],[SALIDAS]]</f>
        <v>1656.6600000000089</v>
      </c>
      <c r="H6" s="34">
        <v>15755</v>
      </c>
      <c r="I6" s="34" t="s">
        <v>514</v>
      </c>
      <c r="J6" s="35">
        <v>46024</v>
      </c>
      <c r="K6" s="36" t="s">
        <v>43</v>
      </c>
      <c r="L6" s="36" t="str">
        <f>VLOOKUP(Tabla81015[[#This Row],[CODIGO DEL PRODUCTO]],Tabla797[],2,FALSE)</f>
        <v>PIEDRA 6-20</v>
      </c>
      <c r="M6" s="37">
        <v>37.380000000000003</v>
      </c>
      <c r="N6" s="158"/>
      <c r="O6" s="34">
        <v>2680818</v>
      </c>
      <c r="P6" s="34" t="s">
        <v>679</v>
      </c>
      <c r="Q6" s="35">
        <v>46024</v>
      </c>
      <c r="R6" s="78" t="s">
        <v>286</v>
      </c>
      <c r="S6" s="36" t="str">
        <f>VLOOKUP(Tabla91116[[#This Row],[CODIGO DEL PRODUCTO]],Tabla797[],2,FALSE)</f>
        <v>CPF 40 AVELLANEDA</v>
      </c>
      <c r="T6" s="37">
        <v>36</v>
      </c>
    </row>
    <row r="7" spans="1:20" x14ac:dyDescent="0.25">
      <c r="A7" s="32" t="s">
        <v>43</v>
      </c>
      <c r="B7" s="9" t="s">
        <v>44</v>
      </c>
      <c r="C7" s="22"/>
      <c r="D7" s="22">
        <f>SUMIF(Tabla91116[CODIGO DEL PRODUCTO],Tabla797[[#This Row],[CODIGO DEL PRODUCTO]],Tabla91116[CANTIDAD KG])/1</f>
        <v>22405.679999999982</v>
      </c>
      <c r="E7" s="99">
        <f>SUMIF(Tabla81015[CODIGO DEL PRODUCTO],Tabla797[[#This Row],[CODIGO DEL PRODUCTO]],Tabla81015[CANTIDAD KG])/1</f>
        <v>20726.100000000002</v>
      </c>
      <c r="F7" s="107">
        <f>Tabla797[[#This Row],[EXISTENCIAS INICIALES]]+Tabla797[[#This Row],[ENTRADAS]]-Tabla797[[#This Row],[SALIDAS]]</f>
        <v>1679.5799999999799</v>
      </c>
      <c r="H7" s="34">
        <v>15729</v>
      </c>
      <c r="I7" s="34" t="s">
        <v>681</v>
      </c>
      <c r="J7" s="35">
        <v>46027</v>
      </c>
      <c r="K7" s="36" t="s">
        <v>43</v>
      </c>
      <c r="L7" s="36" t="str">
        <f>VLOOKUP(Tabla81015[[#This Row],[CODIGO DEL PRODUCTO]],Tabla797[],2,FALSE)</f>
        <v>PIEDRA 6-20</v>
      </c>
      <c r="M7" s="37">
        <v>2</v>
      </c>
      <c r="N7" s="158"/>
      <c r="O7" s="34">
        <v>96962</v>
      </c>
      <c r="P7" s="34" t="s">
        <v>680</v>
      </c>
      <c r="Q7" s="35">
        <v>46025</v>
      </c>
      <c r="R7" s="78" t="s">
        <v>42</v>
      </c>
      <c r="S7" s="36" t="str">
        <f>VLOOKUP(Tabla91116[[#This Row],[CODIGO DEL PRODUCTO]],Tabla797[],2,FALSE)</f>
        <v>ARENA FINA</v>
      </c>
      <c r="T7" s="72">
        <v>54.96</v>
      </c>
    </row>
    <row r="8" spans="1:20" x14ac:dyDescent="0.25">
      <c r="A8" s="32" t="s">
        <v>46</v>
      </c>
      <c r="B8" s="9" t="s">
        <v>47</v>
      </c>
      <c r="C8" s="22"/>
      <c r="D8" s="22">
        <f>SUMIF(Tabla91116[CODIGO DEL PRODUCTO],Tabla797[[#This Row],[CODIGO DEL PRODUCTO]],Tabla91116[CANTIDAD KG])/1</f>
        <v>175.01999999999998</v>
      </c>
      <c r="E8" s="99">
        <f>SUMIF(Tabla81015[CODIGO DEL PRODUCTO],Tabla797[[#This Row],[CODIGO DEL PRODUCTO]],Tabla81015[CANTIDAD KG])/1</f>
        <v>695.68999999999994</v>
      </c>
      <c r="F8" s="107">
        <f>Tabla797[[#This Row],[EXISTENCIAS INICIALES]]+Tabla797[[#This Row],[ENTRADAS]]-Tabla797[[#This Row],[SALIDAS]]</f>
        <v>-520.66999999999996</v>
      </c>
      <c r="H8" s="34">
        <v>15738</v>
      </c>
      <c r="I8" s="34" t="s">
        <v>534</v>
      </c>
      <c r="J8" s="35">
        <v>46027</v>
      </c>
      <c r="K8" s="36" t="s">
        <v>42</v>
      </c>
      <c r="L8" s="36" t="str">
        <f>VLOOKUP(Tabla81015[[#This Row],[CODIGO DEL PRODUCTO]],Tabla797[],2,FALSE)</f>
        <v>ARENA FINA</v>
      </c>
      <c r="M8" s="37">
        <v>6</v>
      </c>
      <c r="N8" s="158"/>
      <c r="O8" s="34">
        <v>2680900</v>
      </c>
      <c r="P8" s="34" t="s">
        <v>679</v>
      </c>
      <c r="Q8" s="35">
        <v>46026</v>
      </c>
      <c r="R8" s="78" t="s">
        <v>286</v>
      </c>
      <c r="S8" s="36" t="str">
        <f>VLOOKUP(Tabla91116[[#This Row],[CODIGO DEL PRODUCTO]],Tabla797[],2,FALSE)</f>
        <v>CPF 40 AVELLANEDA</v>
      </c>
      <c r="T8" s="37">
        <v>35.840000000000003</v>
      </c>
    </row>
    <row r="9" spans="1:20" x14ac:dyDescent="0.25">
      <c r="A9" s="32" t="s">
        <v>48</v>
      </c>
      <c r="B9" s="9" t="s">
        <v>49</v>
      </c>
      <c r="C9" s="22"/>
      <c r="D9" s="22">
        <f>SUMIF(Tabla91116[CODIGO DEL PRODUCTO],Tabla797[[#This Row],[CODIGO DEL PRODUCTO]],Tabla91116[CANTIDAD KG])/1</f>
        <v>2270.2400000000002</v>
      </c>
      <c r="E9" s="99">
        <f>SUMIF(Tabla81015[CODIGO DEL PRODUCTO],Tabla797[[#This Row],[CODIGO DEL PRODUCTO]],Tabla81015[CANTIDAD KG])/1</f>
        <v>1740.1299999999997</v>
      </c>
      <c r="F9" s="107">
        <f>Tabla797[[#This Row],[EXISTENCIAS INICIALES]]+Tabla797[[#This Row],[ENTRADAS]]-Tabla797[[#This Row],[SALIDAS]]</f>
        <v>530.11000000000058</v>
      </c>
      <c r="H9" s="34">
        <v>15743</v>
      </c>
      <c r="I9" s="34" t="s">
        <v>558</v>
      </c>
      <c r="J9" s="35">
        <v>46027</v>
      </c>
      <c r="K9" s="36" t="s">
        <v>42</v>
      </c>
      <c r="L9" s="36" t="str">
        <f>VLOOKUP(Tabla81015[[#This Row],[CODIGO DEL PRODUCTO]],Tabla797[],2,FALSE)</f>
        <v>ARENA FINA</v>
      </c>
      <c r="M9" s="37">
        <v>5</v>
      </c>
      <c r="N9" s="158"/>
      <c r="O9" s="34">
        <v>103009</v>
      </c>
      <c r="P9" s="34" t="s">
        <v>683</v>
      </c>
      <c r="Q9" s="35">
        <v>46027</v>
      </c>
      <c r="R9" s="78" t="s">
        <v>42</v>
      </c>
      <c r="S9" s="36" t="str">
        <f>VLOOKUP(Tabla91116[[#This Row],[CODIGO DEL PRODUCTO]],Tabla797[],2,FALSE)</f>
        <v>ARENA FINA</v>
      </c>
      <c r="T9" s="37">
        <v>32.96</v>
      </c>
    </row>
    <row r="10" spans="1:20" x14ac:dyDescent="0.25">
      <c r="A10" s="32" t="s">
        <v>42</v>
      </c>
      <c r="B10" s="9" t="s">
        <v>6</v>
      </c>
      <c r="C10" s="22"/>
      <c r="D10" s="22">
        <f>SUMIF(Tabla91116[CODIGO DEL PRODUCTO],Tabla797[[#This Row],[CODIGO DEL PRODUCTO]],Tabla91116[CANTIDAD KG])/1</f>
        <v>19878.999999999993</v>
      </c>
      <c r="E10" s="99">
        <f>SUMIF(Tabla81015[CODIGO DEL PRODUCTO],Tabla797[[#This Row],[CODIGO DEL PRODUCTO]],Tabla81015[CANTIDAD KG])/1</f>
        <v>16938.010000000002</v>
      </c>
      <c r="F10" s="107">
        <f>Tabla797[[#This Row],[EXISTENCIAS INICIALES]]+Tabla797[[#This Row],[ENTRADAS]]-Tabla797[[#This Row],[SALIDAS]]</f>
        <v>2940.9899999999907</v>
      </c>
      <c r="H10" s="34">
        <v>15756</v>
      </c>
      <c r="I10" s="34" t="s">
        <v>682</v>
      </c>
      <c r="J10" s="35">
        <v>46027</v>
      </c>
      <c r="K10" s="36" t="s">
        <v>42</v>
      </c>
      <c r="L10" s="36" t="str">
        <f>VLOOKUP(Tabla81015[[#This Row],[CODIGO DEL PRODUCTO]],Tabla797[],2,FALSE)</f>
        <v>ARENA FINA</v>
      </c>
      <c r="M10" s="37">
        <v>3</v>
      </c>
      <c r="N10" s="158"/>
      <c r="O10" s="34">
        <v>103018</v>
      </c>
      <c r="P10" s="34" t="s">
        <v>683</v>
      </c>
      <c r="Q10" s="35">
        <v>46027</v>
      </c>
      <c r="R10" s="78" t="s">
        <v>42</v>
      </c>
      <c r="S10" s="36" t="str">
        <f>VLOOKUP(Tabla91116[[#This Row],[CODIGO DEL PRODUCTO]],Tabla797[],2,FALSE)</f>
        <v>ARENA FINA</v>
      </c>
      <c r="T10" s="37">
        <v>35.299999999999997</v>
      </c>
    </row>
    <row r="11" spans="1:20" x14ac:dyDescent="0.25">
      <c r="A11" s="32" t="s">
        <v>286</v>
      </c>
      <c r="B11" s="9" t="s">
        <v>10</v>
      </c>
      <c r="C11" s="22"/>
      <c r="D11" s="22">
        <f>SUMIF(Tabla91116[CODIGO DEL PRODUCTO],Tabla797[[#This Row],[CODIGO DEL PRODUCTO]],Tabla91116[CANTIDAD KG])/1</f>
        <v>7945.6599999999989</v>
      </c>
      <c r="E11" s="99">
        <f>SUMIF(Tabla81015[CODIGO DEL PRODUCTO],Tabla797[[#This Row],[CODIGO DEL PRODUCTO]],Tabla81015[CANTIDAD KG])/1</f>
        <v>7340.9400000000005</v>
      </c>
      <c r="F11" s="107">
        <f>Tabla797[[#This Row],[EXISTENCIAS INICIALES]]+Tabla797[[#This Row],[ENTRADAS]]-Tabla797[[#This Row],[SALIDAS]]</f>
        <v>604.71999999999844</v>
      </c>
      <c r="H11" s="34"/>
      <c r="I11" s="34" t="s">
        <v>682</v>
      </c>
      <c r="J11" s="35">
        <v>46027</v>
      </c>
      <c r="K11" s="36" t="s">
        <v>43</v>
      </c>
      <c r="L11" s="36" t="str">
        <f>VLOOKUP(Tabla81015[[#This Row],[CODIGO DEL PRODUCTO]],Tabla797[],2,FALSE)</f>
        <v>PIEDRA 6-20</v>
      </c>
      <c r="M11" s="37">
        <v>1</v>
      </c>
      <c r="N11" s="158"/>
      <c r="O11" s="34">
        <v>103021</v>
      </c>
      <c r="P11" s="34" t="s">
        <v>683</v>
      </c>
      <c r="Q11" s="35">
        <v>46027</v>
      </c>
      <c r="R11" s="78" t="s">
        <v>42</v>
      </c>
      <c r="S11" s="36" t="str">
        <f>VLOOKUP(Tabla91116[[#This Row],[CODIGO DEL PRODUCTO]],Tabla797[],2,FALSE)</f>
        <v>ARENA FINA</v>
      </c>
      <c r="T11" s="37">
        <v>36.64</v>
      </c>
    </row>
    <row r="12" spans="1:20" x14ac:dyDescent="0.25">
      <c r="A12" s="32" t="s">
        <v>50</v>
      </c>
      <c r="B12" s="9" t="s">
        <v>12</v>
      </c>
      <c r="C12" s="22"/>
      <c r="D12" s="22">
        <f>SUMIF(Tabla91116[CODIGO DEL PRODUCTO],Tabla797[[#This Row],[CODIGO DEL PRODUCTO]],Tabla91116[CANTIDAD KG])/1</f>
        <v>0</v>
      </c>
      <c r="E12" s="99">
        <f>SUMIF(Tabla81015[CODIGO DEL PRODUCTO],Tabla797[[#This Row],[CODIGO DEL PRODUCTO]],Tabla81015[CANTIDAD KG])/1</f>
        <v>21.03</v>
      </c>
      <c r="F12" s="107">
        <f>Tabla797[[#This Row],[EXISTENCIAS INICIALES]]+Tabla797[[#This Row],[ENTRADAS]]-Tabla797[[#This Row],[SALIDAS]]</f>
        <v>-21.03</v>
      </c>
      <c r="H12" s="34">
        <v>15807</v>
      </c>
      <c r="I12" s="34" t="s">
        <v>685</v>
      </c>
      <c r="J12" s="35">
        <v>46029</v>
      </c>
      <c r="K12" s="36" t="s">
        <v>42</v>
      </c>
      <c r="L12" s="36" t="str">
        <f>VLOOKUP(Tabla81015[[#This Row],[CODIGO DEL PRODUCTO]],Tabla797[],2,FALSE)</f>
        <v>ARENA FINA</v>
      </c>
      <c r="M12" s="37">
        <v>2</v>
      </c>
      <c r="N12" s="158"/>
      <c r="O12" s="76">
        <v>96963</v>
      </c>
      <c r="P12" s="76" t="s">
        <v>680</v>
      </c>
      <c r="Q12" s="77">
        <v>46027</v>
      </c>
      <c r="R12" s="78" t="s">
        <v>42</v>
      </c>
      <c r="S12" s="36" t="str">
        <f>VLOOKUP(Tabla91116[[#This Row],[CODIGO DEL PRODUCTO]],Tabla797[],2,FALSE)</f>
        <v>ARENA FINA</v>
      </c>
      <c r="T12" s="37">
        <v>53</v>
      </c>
    </row>
    <row r="13" spans="1:20" x14ac:dyDescent="0.25">
      <c r="A13" s="34" t="s">
        <v>24</v>
      </c>
      <c r="B13" s="24" t="s">
        <v>24</v>
      </c>
      <c r="C13" s="24"/>
      <c r="D13" s="22">
        <f>SUMIF(Tabla91116[CODIGO DEL PRODUCTO],Tabla797[[#This Row],[CODIGO DEL PRODUCTO]],Tabla91116[CANTIDAD KG])/1</f>
        <v>0</v>
      </c>
      <c r="E13" s="99">
        <f>SUMIF(Tabla81015[CODIGO DEL PRODUCTO],Tabla797[[#This Row],[CODIGO DEL PRODUCTO]],Tabla81015[CANTIDAD KG])/1</f>
        <v>0</v>
      </c>
      <c r="F13" s="107">
        <f>Tabla797[[#This Row],[EXISTENCIAS INICIALES]]+Tabla797[[#This Row],[ENTRADAS]]-Tabla797[[#This Row],[SALIDAS]]</f>
        <v>0</v>
      </c>
      <c r="H13" s="34">
        <v>15811</v>
      </c>
      <c r="I13" s="34" t="s">
        <v>642</v>
      </c>
      <c r="J13" s="35">
        <v>46029</v>
      </c>
      <c r="K13" s="36" t="s">
        <v>43</v>
      </c>
      <c r="L13" s="36" t="str">
        <f>VLOOKUP(Tabla81015[[#This Row],[CODIGO DEL PRODUCTO]],Tabla797[],2,FALSE)</f>
        <v>PIEDRA 6-20</v>
      </c>
      <c r="M13" s="37">
        <v>4</v>
      </c>
      <c r="N13" s="158"/>
      <c r="O13" s="76">
        <v>97482</v>
      </c>
      <c r="P13" s="76" t="s">
        <v>680</v>
      </c>
      <c r="Q13" s="77">
        <v>46027</v>
      </c>
      <c r="R13" s="78" t="s">
        <v>42</v>
      </c>
      <c r="S13" s="36" t="str">
        <f>VLOOKUP(Tabla91116[[#This Row],[CODIGO DEL PRODUCTO]],Tabla797[],2,FALSE)</f>
        <v>ARENA FINA</v>
      </c>
      <c r="T13" s="37">
        <v>49.28</v>
      </c>
    </row>
    <row r="14" spans="1:20" x14ac:dyDescent="0.25">
      <c r="A14" s="32" t="s">
        <v>227</v>
      </c>
      <c r="B14" s="9" t="s">
        <v>225</v>
      </c>
      <c r="C14" s="9"/>
      <c r="D14" s="22">
        <f>SUMIF(Tabla91116[CODIGO DEL PRODUCTO],Tabla797[[#This Row],[CODIGO DEL PRODUCTO]],Tabla91116[CANTIDAD KG])/1</f>
        <v>0</v>
      </c>
      <c r="E14" s="99">
        <f>SUMIF(Tabla81015[CODIGO DEL PRODUCTO],Tabla797[[#This Row],[CODIGO DEL PRODUCTO]],Tabla81015[CANTIDAD KG])/1</f>
        <v>0</v>
      </c>
      <c r="F14" s="107">
        <f>Tabla797[[#This Row],[EXISTENCIAS INICIALES]]+Tabla797[[#This Row],[ENTRADAS]]-Tabla797[[#This Row],[SALIDAS]]</f>
        <v>0</v>
      </c>
      <c r="H14" s="34">
        <v>15817</v>
      </c>
      <c r="I14" s="34" t="s">
        <v>534</v>
      </c>
      <c r="J14" s="35">
        <v>46029</v>
      </c>
      <c r="K14" s="36" t="s">
        <v>42</v>
      </c>
      <c r="L14" s="36" t="str">
        <f>VLOOKUP(Tabla81015[[#This Row],[CODIGO DEL PRODUCTO]],Tabla797[],2,FALSE)</f>
        <v>ARENA FINA</v>
      </c>
      <c r="M14" s="37">
        <v>4</v>
      </c>
      <c r="N14" s="158"/>
      <c r="O14" s="76">
        <v>106890</v>
      </c>
      <c r="P14" s="76" t="s">
        <v>684</v>
      </c>
      <c r="Q14" s="77">
        <v>46027</v>
      </c>
      <c r="R14" s="78" t="s">
        <v>48</v>
      </c>
      <c r="S14" s="36" t="str">
        <f>VLOOKUP(Tabla91116[[#This Row],[CODIGO DEL PRODUCTO]],Tabla797[],2,FALSE)</f>
        <v>PIEDRA 6-12</v>
      </c>
      <c r="T14" s="37">
        <v>34.14</v>
      </c>
    </row>
    <row r="15" spans="1:20" x14ac:dyDescent="0.25">
      <c r="A15" s="34" t="s">
        <v>228</v>
      </c>
      <c r="B15" s="24" t="s">
        <v>226</v>
      </c>
      <c r="C15" s="24"/>
      <c r="D15" s="22">
        <f>SUMIF(Tabla91116[CODIGO DEL PRODUCTO],Tabla797[[#This Row],[CODIGO DEL PRODUCTO]],Tabla91116[CANTIDAD KG])/1</f>
        <v>0</v>
      </c>
      <c r="E15" s="99">
        <f>SUMIF(Tabla81015[CODIGO DEL PRODUCTO],Tabla797[[#This Row],[CODIGO DEL PRODUCTO]],Tabla81015[CANTIDAD KG])/1</f>
        <v>0</v>
      </c>
      <c r="F15" s="107">
        <f>Tabla797[[#This Row],[EXISTENCIAS INICIALES]]+Tabla797[[#This Row],[ENTRADAS]]-Tabla797[[#This Row],[SALIDAS]]</f>
        <v>0</v>
      </c>
      <c r="H15" s="34">
        <v>15856</v>
      </c>
      <c r="I15" s="34" t="s">
        <v>642</v>
      </c>
      <c r="J15" s="35">
        <v>46030</v>
      </c>
      <c r="K15" s="36" t="s">
        <v>42</v>
      </c>
      <c r="L15" s="36" t="str">
        <f>VLOOKUP(Tabla81015[[#This Row],[CODIGO DEL PRODUCTO]],Tabla797[],2,FALSE)</f>
        <v>ARENA FINA</v>
      </c>
      <c r="M15" s="37">
        <v>5</v>
      </c>
      <c r="N15" s="158"/>
      <c r="O15" s="76">
        <v>106901</v>
      </c>
      <c r="P15" s="76" t="s">
        <v>684</v>
      </c>
      <c r="Q15" s="77">
        <v>46027</v>
      </c>
      <c r="R15" s="78" t="s">
        <v>43</v>
      </c>
      <c r="S15" s="36" t="str">
        <f>VLOOKUP(Tabla91116[[#This Row],[CODIGO DEL PRODUCTO]],Tabla797[],2,FALSE)</f>
        <v>PIEDRA 6-20</v>
      </c>
      <c r="T15" s="37">
        <v>34.74</v>
      </c>
    </row>
    <row r="16" spans="1:20" x14ac:dyDescent="0.25">
      <c r="A16" s="34" t="s">
        <v>372</v>
      </c>
      <c r="B16" s="24" t="s">
        <v>373</v>
      </c>
      <c r="C16" s="24"/>
      <c r="D16" s="22">
        <f>SUMIF(Tabla91116[CODIGO DEL PRODUCTO],Tabla797[[#This Row],[CODIGO DEL PRODUCTO]],Tabla91116[CANTIDAD KG])/1</f>
        <v>0</v>
      </c>
      <c r="E16" s="99">
        <f>SUMIF(Tabla81015[CODIGO DEL PRODUCTO],Tabla797[[#This Row],[CODIGO DEL PRODUCTO]],Tabla81015[CANTIDAD KG])/1</f>
        <v>155.46</v>
      </c>
      <c r="F16" s="107">
        <f>Tabla797[[#This Row],[EXISTENCIAS INICIALES]]+Tabla797[[#This Row],[ENTRADAS]]-Tabla797[[#This Row],[SALIDAS]]</f>
        <v>-155.46</v>
      </c>
      <c r="H16" s="34">
        <v>15857</v>
      </c>
      <c r="I16" s="34" t="s">
        <v>558</v>
      </c>
      <c r="J16" s="35">
        <v>46031</v>
      </c>
      <c r="K16" s="36" t="s">
        <v>42</v>
      </c>
      <c r="L16" s="36" t="str">
        <f>VLOOKUP(Tabla81015[[#This Row],[CODIGO DEL PRODUCTO]],Tabla797[],2,FALSE)</f>
        <v>ARENA FINA</v>
      </c>
      <c r="M16" s="37">
        <v>3</v>
      </c>
      <c r="N16" s="158"/>
      <c r="O16" s="76">
        <v>106905</v>
      </c>
      <c r="P16" s="76" t="s">
        <v>684</v>
      </c>
      <c r="Q16" s="77">
        <v>46027</v>
      </c>
      <c r="R16" s="78" t="s">
        <v>43</v>
      </c>
      <c r="S16" s="36" t="str">
        <f>VLOOKUP(Tabla91116[[#This Row],[CODIGO DEL PRODUCTO]],Tabla797[],2,FALSE)</f>
        <v>PIEDRA 6-20</v>
      </c>
      <c r="T16" s="37">
        <v>34.520000000000003</v>
      </c>
    </row>
    <row r="17" spans="1:20" x14ac:dyDescent="0.25">
      <c r="A17" s="34" t="s">
        <v>425</v>
      </c>
      <c r="B17" s="24" t="s">
        <v>424</v>
      </c>
      <c r="C17" s="24"/>
      <c r="D17" s="22">
        <f>SUMIF(Tabla91116[CODIGO DEL PRODUCTO],Tabla797[[#This Row],[CODIGO DEL PRODUCTO]],Tabla91116[CANTIDAD KG])/1</f>
        <v>20021</v>
      </c>
      <c r="E17" s="99">
        <f>SUMIF(Tabla81015[CODIGO DEL PRODUCTO],Tabla797[[#This Row],[CODIGO DEL PRODUCTO]],Tabla81015[CANTIDAD KG])/1</f>
        <v>862.33999999999992</v>
      </c>
      <c r="F17" s="107">
        <f>Tabla797[[#This Row],[EXISTENCIAS INICIALES]]+Tabla797[[#This Row],[ENTRADAS]]-Tabla797[[#This Row],[SALIDAS]]</f>
        <v>19158.66</v>
      </c>
      <c r="H17" s="34"/>
      <c r="I17" s="34" t="s">
        <v>558</v>
      </c>
      <c r="J17" s="35">
        <v>46031</v>
      </c>
      <c r="K17" s="36" t="s">
        <v>43</v>
      </c>
      <c r="L17" s="39" t="str">
        <f>VLOOKUP(Tabla81015[[#This Row],[CODIGO DEL PRODUCTO]],Tabla797[],2,FALSE)</f>
        <v>PIEDRA 6-20</v>
      </c>
      <c r="M17" s="37">
        <v>3</v>
      </c>
      <c r="N17" s="158"/>
      <c r="O17" s="76">
        <v>2681113</v>
      </c>
      <c r="P17" s="76" t="s">
        <v>679</v>
      </c>
      <c r="Q17" s="77">
        <v>46027</v>
      </c>
      <c r="R17" s="78" t="s">
        <v>286</v>
      </c>
      <c r="S17" s="36" t="str">
        <f>VLOOKUP(Tabla91116[[#This Row],[CODIGO DEL PRODUCTO]],Tabla797[],2,FALSE)</f>
        <v>CPF 40 AVELLANEDA</v>
      </c>
      <c r="T17" s="37">
        <v>35.659999999999997</v>
      </c>
    </row>
    <row r="18" spans="1:20" x14ac:dyDescent="0.25">
      <c r="A18" s="34" t="s">
        <v>450</v>
      </c>
      <c r="B18" s="24" t="s">
        <v>451</v>
      </c>
      <c r="C18" s="24"/>
      <c r="D18" s="22">
        <f>SUMIF(Tabla91116[CODIGO DEL PRODUCTO],Tabla797[[#This Row],[CODIGO DEL PRODUCTO]],Tabla91116[CANTIDAD KG])/1</f>
        <v>3</v>
      </c>
      <c r="E18" s="99">
        <f>SUMIF(Tabla81015[CODIGO DEL PRODUCTO],Tabla797[[#This Row],[CODIGO DEL PRODUCTO]],Tabla81015[CANTIDAD KG])/1</f>
        <v>0</v>
      </c>
      <c r="F18" s="107">
        <f>Tabla797[[#This Row],[EXISTENCIAS INICIALES]]+Tabla797[[#This Row],[ENTRADAS]]-Tabla797[[#This Row],[SALIDAS]]</f>
        <v>3</v>
      </c>
      <c r="H18" s="34"/>
      <c r="I18" s="34" t="s">
        <v>53</v>
      </c>
      <c r="J18" s="35">
        <v>46023</v>
      </c>
      <c r="K18" s="36" t="s">
        <v>42</v>
      </c>
      <c r="L18" s="39" t="str">
        <f>VLOOKUP(Tabla81015[[#This Row],[CODIGO DEL PRODUCTO]],Tabla797[],2,FALSE)</f>
        <v>ARENA FINA</v>
      </c>
      <c r="M18" s="37">
        <v>544.62</v>
      </c>
      <c r="N18" s="158"/>
      <c r="O18" s="76">
        <v>97483</v>
      </c>
      <c r="P18" s="76" t="s">
        <v>680</v>
      </c>
      <c r="Q18" s="77">
        <v>46028</v>
      </c>
      <c r="R18" s="78" t="s">
        <v>42</v>
      </c>
      <c r="S18" s="36" t="str">
        <f>VLOOKUP(Tabla91116[[#This Row],[CODIGO DEL PRODUCTO]],Tabla797[],2,FALSE)</f>
        <v>ARENA FINA</v>
      </c>
      <c r="T18" s="37">
        <v>49</v>
      </c>
    </row>
    <row r="19" spans="1:20" x14ac:dyDescent="0.25">
      <c r="A19" s="32" t="s">
        <v>468</v>
      </c>
      <c r="B19" s="9" t="s">
        <v>469</v>
      </c>
      <c r="C19" s="9"/>
      <c r="D19" s="22">
        <f>SUMIF(Tabla91116[CODIGO DEL PRODUCTO],Tabla797[[#This Row],[CODIGO DEL PRODUCTO]],Tabla91116[CANTIDAD KG])/1</f>
        <v>0</v>
      </c>
      <c r="E19" s="99">
        <f>SUMIF(Tabla81015[CODIGO DEL PRODUCTO],Tabla797[[#This Row],[CODIGO DEL PRODUCTO]],Tabla81015[CANTIDAD KG])/1</f>
        <v>2638.5000000000009</v>
      </c>
      <c r="F19" s="107">
        <f>Tabla797[[#This Row],[EXISTENCIAS INICIALES]]+Tabla797[[#This Row],[ENTRADAS]]-Tabla797[[#This Row],[SALIDAS]]</f>
        <v>-2638.5000000000009</v>
      </c>
      <c r="H19" s="34"/>
      <c r="I19" s="34" t="s">
        <v>53</v>
      </c>
      <c r="J19" s="35">
        <v>46024</v>
      </c>
      <c r="K19" s="36" t="s">
        <v>40</v>
      </c>
      <c r="L19" s="39" t="str">
        <f>VLOOKUP(Tabla81015[[#This Row],[CODIGO DEL PRODUCTO]],Tabla797[],2,FALSE)</f>
        <v>PIEDRA 0-6</v>
      </c>
      <c r="M19" s="37">
        <v>365.92</v>
      </c>
      <c r="N19" s="158"/>
      <c r="O19" s="76">
        <v>103025</v>
      </c>
      <c r="P19" s="76" t="s">
        <v>683</v>
      </c>
      <c r="Q19" s="77">
        <v>46028</v>
      </c>
      <c r="R19" s="78" t="s">
        <v>42</v>
      </c>
      <c r="S19" s="36" t="str">
        <f>VLOOKUP(Tabla91116[[#This Row],[CODIGO DEL PRODUCTO]],Tabla797[],2,FALSE)</f>
        <v>ARENA FINA</v>
      </c>
      <c r="T19" s="37">
        <v>37.06</v>
      </c>
    </row>
    <row r="20" spans="1:20" x14ac:dyDescent="0.25">
      <c r="A20" s="32" t="s">
        <v>481</v>
      </c>
      <c r="B20" s="9" t="s">
        <v>482</v>
      </c>
      <c r="C20" s="9"/>
      <c r="D20" s="22">
        <f>SUMIF(Tabla91116[CODIGO DEL PRODUCTO],Tabla797[[#This Row],[CODIGO DEL PRODUCTO]],Tabla91116[CANTIDAD KG])/1</f>
        <v>1</v>
      </c>
      <c r="E20" s="99">
        <f>SUMIF(Tabla81015[CODIGO DEL PRODUCTO],Tabla797[[#This Row],[CODIGO DEL PRODUCTO]],Tabla81015[CANTIDAD KG])/1</f>
        <v>0</v>
      </c>
      <c r="F20" s="107">
        <f>Tabla797[[#This Row],[EXISTENCIAS INICIALES]]+Tabla797[[#This Row],[ENTRADAS]]-Tabla797[[#This Row],[SALIDAS]]</f>
        <v>1</v>
      </c>
      <c r="H20" s="34"/>
      <c r="I20" s="34" t="s">
        <v>53</v>
      </c>
      <c r="J20" s="35">
        <v>46025</v>
      </c>
      <c r="K20" s="36" t="s">
        <v>286</v>
      </c>
      <c r="L20" s="39" t="str">
        <f>VLOOKUP(Tabla81015[[#This Row],[CODIGO DEL PRODUCTO]],Tabla797[],2,FALSE)</f>
        <v>CPF 40 AVELLANEDA</v>
      </c>
      <c r="M20" s="37">
        <v>288.70999999999998</v>
      </c>
      <c r="N20" s="158"/>
      <c r="O20" s="76">
        <v>103029</v>
      </c>
      <c r="P20" s="76" t="s">
        <v>683</v>
      </c>
      <c r="Q20" s="77">
        <v>46028</v>
      </c>
      <c r="R20" s="78" t="s">
        <v>42</v>
      </c>
      <c r="S20" s="36" t="str">
        <f>VLOOKUP(Tabla91116[[#This Row],[CODIGO DEL PRODUCTO]],Tabla797[],2,FALSE)</f>
        <v>ARENA FINA</v>
      </c>
      <c r="T20" s="37">
        <v>34.58</v>
      </c>
    </row>
    <row r="21" spans="1:20" x14ac:dyDescent="0.25">
      <c r="A21" s="34" t="s">
        <v>599</v>
      </c>
      <c r="B21" s="24" t="s">
        <v>600</v>
      </c>
      <c r="C21" s="24"/>
      <c r="D21" s="22">
        <f>SUMIF(Tabla91116[CODIGO DEL PRODUCTO],Tabla797[[#This Row],[CODIGO DEL PRODUCTO]],Tabla91116[CANTIDAD KG])/1</f>
        <v>0</v>
      </c>
      <c r="E21" s="99">
        <f>SUMIF(Tabla81015[CODIGO DEL PRODUCTO],Tabla797[[#This Row],[CODIGO DEL PRODUCTO]],Tabla81015[CANTIDAD KG])/1</f>
        <v>0</v>
      </c>
      <c r="F21" s="107">
        <f>Tabla797[[#This Row],[EXISTENCIAS INICIALES]]+Tabla797[[#This Row],[ENTRADAS]]-Tabla797[[#This Row],[SALIDAS]]</f>
        <v>0</v>
      </c>
      <c r="H21" s="34"/>
      <c r="I21" s="34" t="s">
        <v>53</v>
      </c>
      <c r="J21" s="35">
        <v>46026</v>
      </c>
      <c r="K21" s="36" t="s">
        <v>48</v>
      </c>
      <c r="L21" s="39" t="str">
        <f>VLOOKUP(Tabla81015[[#This Row],[CODIGO DEL PRODUCTO]],Tabla797[],2,FALSE)</f>
        <v>PIEDRA 6-12</v>
      </c>
      <c r="M21" s="37">
        <v>79.17</v>
      </c>
      <c r="N21" s="158"/>
      <c r="O21" s="76">
        <v>103032</v>
      </c>
      <c r="P21" s="76" t="s">
        <v>683</v>
      </c>
      <c r="Q21" s="77">
        <v>46028</v>
      </c>
      <c r="R21" s="78" t="s">
        <v>42</v>
      </c>
      <c r="S21" s="36" t="str">
        <f>VLOOKUP(Tabla91116[[#This Row],[CODIGO DEL PRODUCTO]],Tabla797[],2,FALSE)</f>
        <v>ARENA FINA</v>
      </c>
      <c r="T21" s="37">
        <v>36.14</v>
      </c>
    </row>
    <row r="22" spans="1:20" x14ac:dyDescent="0.25">
      <c r="A22" s="34" t="s">
        <v>713</v>
      </c>
      <c r="B22" s="24" t="s">
        <v>714</v>
      </c>
      <c r="C22" s="24"/>
      <c r="D22" s="70">
        <f>SUMIF(Tabla91116[CODIGO DEL PRODUCTO],Tabla797[[#This Row],[CODIGO DEL PRODUCTO]],Tabla91116[CANTIDAD KG])/1000</f>
        <v>7.0000000000000007E-2</v>
      </c>
      <c r="E22" s="155">
        <f>SUMIF(Tabla81015[CODIGO DEL PRODUCTO],Tabla797[[#This Row],[CODIGO DEL PRODUCTO]],Tabla81015[CANTIDAD KG])/1000</f>
        <v>0</v>
      </c>
      <c r="F22" s="156">
        <f>Tabla797[[#This Row],[EXISTENCIAS INICIALES]]+Tabla797[[#This Row],[ENTRADAS]]-Tabla797[[#This Row],[SALIDAS]]</f>
        <v>7.0000000000000007E-2</v>
      </c>
      <c r="H22" s="34"/>
      <c r="I22" s="34" t="s">
        <v>53</v>
      </c>
      <c r="J22" s="35">
        <v>46027</v>
      </c>
      <c r="K22" s="36" t="s">
        <v>43</v>
      </c>
      <c r="L22" s="39" t="str">
        <f>VLOOKUP(Tabla81015[[#This Row],[CODIGO DEL PRODUCTO]],Tabla797[],2,FALSE)</f>
        <v>PIEDRA 6-20</v>
      </c>
      <c r="M22" s="37">
        <v>574.22</v>
      </c>
      <c r="N22" s="158"/>
      <c r="O22" s="76">
        <v>106923</v>
      </c>
      <c r="P22" s="76" t="s">
        <v>684</v>
      </c>
      <c r="Q22" s="77">
        <v>46028</v>
      </c>
      <c r="R22" s="78" t="s">
        <v>48</v>
      </c>
      <c r="S22" s="36" t="str">
        <f>VLOOKUP(Tabla91116[[#This Row],[CODIGO DEL PRODUCTO]],Tabla797[],2,FALSE)</f>
        <v>PIEDRA 6-12</v>
      </c>
      <c r="T22" s="37">
        <v>34.520000000000003</v>
      </c>
    </row>
    <row r="23" spans="1:20" x14ac:dyDescent="0.25">
      <c r="A23" s="34" t="s">
        <v>715</v>
      </c>
      <c r="B23" s="24" t="s">
        <v>716</v>
      </c>
      <c r="C23" s="24"/>
      <c r="D23" s="70">
        <f>SUMIF(Tabla91116[CODIGO DEL PRODUCTO],Tabla797[[#This Row],[CODIGO DEL PRODUCTO]],Tabla91116[CANTIDAD KG])/1000</f>
        <v>0.1</v>
      </c>
      <c r="E23" s="155">
        <f>SUMIF(Tabla81015[CODIGO DEL PRODUCTO],Tabla797[[#This Row],[CODIGO DEL PRODUCTO]],Tabla81015[CANTIDAD KG])/1000</f>
        <v>0</v>
      </c>
      <c r="F23" s="156">
        <f>Tabla797[[#This Row],[EXISTENCIAS INICIALES]]+Tabla797[[#This Row],[ENTRADAS]]-Tabla797[[#This Row],[SALIDAS]]</f>
        <v>0.1</v>
      </c>
      <c r="H23" s="34"/>
      <c r="I23" s="34" t="s">
        <v>53</v>
      </c>
      <c r="J23" s="35">
        <v>46028</v>
      </c>
      <c r="K23" s="36" t="s">
        <v>46</v>
      </c>
      <c r="L23" s="39" t="str">
        <f>VLOOKUP(Tabla81015[[#This Row],[CODIGO DEL PRODUCTO]],Tabla797[],2,FALSE)</f>
        <v>PIEDRA 10-30</v>
      </c>
      <c r="M23" s="37">
        <v>263.49</v>
      </c>
      <c r="N23" s="158"/>
      <c r="O23" s="76">
        <v>106942</v>
      </c>
      <c r="P23" s="76" t="s">
        <v>684</v>
      </c>
      <c r="Q23" s="77">
        <v>46028</v>
      </c>
      <c r="R23" s="78" t="s">
        <v>43</v>
      </c>
      <c r="S23" s="36" t="str">
        <f>VLOOKUP(Tabla91116[[#This Row],[CODIGO DEL PRODUCTO]],Tabla797[],2,FALSE)</f>
        <v>PIEDRA 6-20</v>
      </c>
      <c r="T23" s="37">
        <v>35.020000000000003</v>
      </c>
    </row>
    <row r="24" spans="1:20" x14ac:dyDescent="0.25">
      <c r="A24" s="9"/>
      <c r="B24" s="9"/>
      <c r="C24" s="9"/>
      <c r="D24" s="9"/>
      <c r="E24" s="9"/>
      <c r="F24" s="9"/>
      <c r="H24" s="34"/>
      <c r="I24" s="34" t="s">
        <v>53</v>
      </c>
      <c r="J24" s="35">
        <v>46032</v>
      </c>
      <c r="K24" s="36" t="s">
        <v>425</v>
      </c>
      <c r="L24" s="39" t="str">
        <f>VLOOKUP(Tabla81015[[#This Row],[CODIGO DEL PRODUCTO]],Tabla797[],2,FALSE)</f>
        <v>W351R</v>
      </c>
      <c r="M24" s="37">
        <v>1.58</v>
      </c>
      <c r="N24" s="158"/>
      <c r="O24" s="76">
        <v>2681337</v>
      </c>
      <c r="P24" s="76" t="s">
        <v>679</v>
      </c>
      <c r="Q24" s="77">
        <v>46028</v>
      </c>
      <c r="R24" s="78" t="s">
        <v>286</v>
      </c>
      <c r="S24" s="36" t="str">
        <f>VLOOKUP(Tabla91116[[#This Row],[CODIGO DEL PRODUCTO]],Tabla797[],2,FALSE)</f>
        <v>CPF 40 AVELLANEDA</v>
      </c>
      <c r="T24" s="37">
        <v>35.94</v>
      </c>
    </row>
    <row r="25" spans="1:20" x14ac:dyDescent="0.25">
      <c r="A25" s="9"/>
      <c r="B25" s="9"/>
      <c r="C25" s="9"/>
      <c r="D25" s="9"/>
      <c r="E25" s="9"/>
      <c r="F25" s="9"/>
      <c r="H25" s="34">
        <v>15894</v>
      </c>
      <c r="I25" s="32" t="s">
        <v>661</v>
      </c>
      <c r="J25" s="35">
        <v>46034</v>
      </c>
      <c r="K25" s="36" t="s">
        <v>42</v>
      </c>
      <c r="L25" s="41" t="str">
        <f>VLOOKUP(Tabla81015[[#This Row],[CODIGO DEL PRODUCTO]],Tabla797[],2,FALSE)</f>
        <v>ARENA FINA</v>
      </c>
      <c r="M25" s="37">
        <v>3</v>
      </c>
      <c r="N25" s="158"/>
      <c r="O25" s="76">
        <v>2681342</v>
      </c>
      <c r="P25" s="76" t="s">
        <v>679</v>
      </c>
      <c r="Q25" s="77">
        <v>46028</v>
      </c>
      <c r="R25" s="78" t="s">
        <v>286</v>
      </c>
      <c r="S25" s="36" t="str">
        <f>VLOOKUP(Tabla91116[[#This Row],[CODIGO DEL PRODUCTO]],Tabla797[],2,FALSE)</f>
        <v>CPF 40 AVELLANEDA</v>
      </c>
      <c r="T25" s="37">
        <v>36.340000000000003</v>
      </c>
    </row>
    <row r="26" spans="1:20" x14ac:dyDescent="0.25">
      <c r="A26" s="9"/>
      <c r="B26" s="9"/>
      <c r="C26" s="9"/>
      <c r="D26" s="9"/>
      <c r="E26" s="9"/>
      <c r="F26" s="9"/>
      <c r="H26" s="34">
        <v>15895</v>
      </c>
      <c r="I26" s="32" t="s">
        <v>661</v>
      </c>
      <c r="J26" s="35">
        <v>46034</v>
      </c>
      <c r="K26" s="36" t="s">
        <v>43</v>
      </c>
      <c r="L26" s="41" t="str">
        <f>VLOOKUP(Tabla81015[[#This Row],[CODIGO DEL PRODUCTO]],Tabla797[],2,FALSE)</f>
        <v>PIEDRA 6-20</v>
      </c>
      <c r="M26" s="37">
        <v>3</v>
      </c>
      <c r="N26" s="158"/>
      <c r="O26" s="76">
        <v>103034</v>
      </c>
      <c r="P26" s="76" t="s">
        <v>683</v>
      </c>
      <c r="Q26" s="77">
        <v>46029</v>
      </c>
      <c r="R26" s="78" t="s">
        <v>42</v>
      </c>
      <c r="S26" s="36" t="str">
        <f>VLOOKUP(Tabla91116[[#This Row],[CODIGO DEL PRODUCTO]],Tabla797[],2,FALSE)</f>
        <v>ARENA FINA</v>
      </c>
      <c r="T26" s="37">
        <v>35</v>
      </c>
    </row>
    <row r="27" spans="1:20" x14ac:dyDescent="0.25">
      <c r="A27" s="9"/>
      <c r="B27" s="9"/>
      <c r="C27" s="9"/>
      <c r="D27" s="9"/>
      <c r="E27" s="9"/>
      <c r="F27" s="9"/>
      <c r="H27" s="34">
        <v>15920</v>
      </c>
      <c r="I27" s="32" t="s">
        <v>646</v>
      </c>
      <c r="J27" s="35">
        <v>46035</v>
      </c>
      <c r="K27" s="36" t="s">
        <v>42</v>
      </c>
      <c r="L27" s="41" t="str">
        <f>VLOOKUP(Tabla81015[[#This Row],[CODIGO DEL PRODUCTO]],Tabla797[],2,FALSE)</f>
        <v>ARENA FINA</v>
      </c>
      <c r="M27" s="37">
        <v>4</v>
      </c>
      <c r="N27" s="158"/>
      <c r="O27" s="76">
        <v>103040</v>
      </c>
      <c r="P27" s="76" t="s">
        <v>683</v>
      </c>
      <c r="Q27" s="77">
        <v>46029</v>
      </c>
      <c r="R27" s="78" t="s">
        <v>42</v>
      </c>
      <c r="S27" s="36" t="str">
        <f>VLOOKUP(Tabla91116[[#This Row],[CODIGO DEL PRODUCTO]],Tabla797[],2,FALSE)</f>
        <v>ARENA FINA</v>
      </c>
      <c r="T27" s="37">
        <v>34.200000000000003</v>
      </c>
    </row>
    <row r="28" spans="1:20" x14ac:dyDescent="0.25">
      <c r="A28" s="9"/>
      <c r="B28" s="9"/>
      <c r="C28" s="9"/>
      <c r="D28" s="9"/>
      <c r="E28" s="9"/>
      <c r="F28" s="9"/>
      <c r="H28" s="34">
        <v>15921</v>
      </c>
      <c r="I28" s="32" t="s">
        <v>693</v>
      </c>
      <c r="J28" s="35">
        <v>46035</v>
      </c>
      <c r="K28" s="36" t="s">
        <v>42</v>
      </c>
      <c r="L28" s="41" t="str">
        <f>VLOOKUP(Tabla81015[[#This Row],[CODIGO DEL PRODUCTO]],Tabla797[],2,FALSE)</f>
        <v>ARENA FINA</v>
      </c>
      <c r="M28" s="37">
        <v>4</v>
      </c>
      <c r="N28" s="158"/>
      <c r="O28" s="76">
        <v>103043</v>
      </c>
      <c r="P28" s="76" t="s">
        <v>683</v>
      </c>
      <c r="Q28" s="77">
        <v>46029</v>
      </c>
      <c r="R28" s="78" t="s">
        <v>42</v>
      </c>
      <c r="S28" s="36" t="str">
        <f>VLOOKUP(Tabla91116[[#This Row],[CODIGO DEL PRODUCTO]],Tabla797[],2,FALSE)</f>
        <v>ARENA FINA</v>
      </c>
      <c r="T28" s="37">
        <v>36.159999999999997</v>
      </c>
    </row>
    <row r="29" spans="1:20" x14ac:dyDescent="0.25">
      <c r="A29" s="9"/>
      <c r="B29" s="9"/>
      <c r="C29" s="9"/>
      <c r="D29" s="9"/>
      <c r="E29" s="9"/>
      <c r="F29" s="9"/>
      <c r="H29" s="34">
        <v>15935</v>
      </c>
      <c r="I29" s="32" t="s">
        <v>618</v>
      </c>
      <c r="J29" s="35">
        <v>46035</v>
      </c>
      <c r="K29" s="36" t="s">
        <v>42</v>
      </c>
      <c r="L29" s="41" t="str">
        <f>VLOOKUP(Tabla81015[[#This Row],[CODIGO DEL PRODUCTO]],Tabla797[],2,FALSE)</f>
        <v>ARENA FINA</v>
      </c>
      <c r="M29" s="37">
        <v>2</v>
      </c>
      <c r="N29" s="158"/>
      <c r="O29" s="76">
        <v>106958</v>
      </c>
      <c r="P29" s="76" t="s">
        <v>684</v>
      </c>
      <c r="Q29" s="77">
        <v>46029</v>
      </c>
      <c r="R29" s="78" t="s">
        <v>48</v>
      </c>
      <c r="S29" s="36" t="str">
        <f>VLOOKUP(Tabla91116[[#This Row],[CODIGO DEL PRODUCTO]],Tabla797[],2,FALSE)</f>
        <v>PIEDRA 6-12</v>
      </c>
      <c r="T29" s="37">
        <v>34.5</v>
      </c>
    </row>
    <row r="30" spans="1:20" x14ac:dyDescent="0.25">
      <c r="A30" s="9"/>
      <c r="B30" s="9"/>
      <c r="C30" s="9"/>
      <c r="D30" s="9"/>
      <c r="E30" s="9"/>
      <c r="F30" s="9"/>
      <c r="H30" s="34">
        <v>15940</v>
      </c>
      <c r="I30" s="32" t="s">
        <v>681</v>
      </c>
      <c r="J30" s="35">
        <v>46035</v>
      </c>
      <c r="K30" s="36" t="s">
        <v>42</v>
      </c>
      <c r="L30" s="41" t="str">
        <f>VLOOKUP(Tabla81015[[#This Row],[CODIGO DEL PRODUCTO]],Tabla797[],2,FALSE)</f>
        <v>ARENA FINA</v>
      </c>
      <c r="M30" s="37">
        <v>3</v>
      </c>
      <c r="N30" s="158"/>
      <c r="O30" s="76">
        <v>106974</v>
      </c>
      <c r="P30" s="76" t="s">
        <v>684</v>
      </c>
      <c r="Q30" s="77">
        <v>46029</v>
      </c>
      <c r="R30" s="78" t="s">
        <v>43</v>
      </c>
      <c r="S30" s="36" t="str">
        <f>VLOOKUP(Tabla91116[[#This Row],[CODIGO DEL PRODUCTO]],Tabla797[],2,FALSE)</f>
        <v>PIEDRA 6-20</v>
      </c>
      <c r="T30" s="37">
        <v>34.78</v>
      </c>
    </row>
    <row r="31" spans="1:20" x14ac:dyDescent="0.25">
      <c r="A31" s="9"/>
      <c r="B31" s="9"/>
      <c r="C31" s="9"/>
      <c r="D31" s="9"/>
      <c r="E31" s="9"/>
      <c r="F31" s="9"/>
      <c r="H31" s="34">
        <v>15942</v>
      </c>
      <c r="I31" s="32" t="s">
        <v>682</v>
      </c>
      <c r="J31" s="35">
        <v>46035</v>
      </c>
      <c r="K31" s="36" t="s">
        <v>43</v>
      </c>
      <c r="L31" s="41" t="str">
        <f>VLOOKUP(Tabla81015[[#This Row],[CODIGO DEL PRODUCTO]],Tabla797[],2,FALSE)</f>
        <v>PIEDRA 6-20</v>
      </c>
      <c r="M31" s="37">
        <v>2</v>
      </c>
      <c r="N31" s="158"/>
      <c r="O31" s="76">
        <v>2681598</v>
      </c>
      <c r="P31" s="76" t="s">
        <v>679</v>
      </c>
      <c r="Q31" s="77">
        <v>46029</v>
      </c>
      <c r="R31" s="78" t="s">
        <v>286</v>
      </c>
      <c r="S31" s="36" t="str">
        <f>VLOOKUP(Tabla91116[[#This Row],[CODIGO DEL PRODUCTO]],Tabla797[],2,FALSE)</f>
        <v>CPF 40 AVELLANEDA</v>
      </c>
      <c r="T31" s="37">
        <v>35.96</v>
      </c>
    </row>
    <row r="32" spans="1:20" x14ac:dyDescent="0.25">
      <c r="A32" s="9"/>
      <c r="B32" s="9"/>
      <c r="C32" s="9"/>
      <c r="D32" s="9"/>
      <c r="E32" s="9"/>
      <c r="F32" s="9"/>
      <c r="H32" s="34">
        <v>15959</v>
      </c>
      <c r="I32" s="32" t="s">
        <v>694</v>
      </c>
      <c r="J32" s="35">
        <v>46036</v>
      </c>
      <c r="K32" s="36" t="s">
        <v>42</v>
      </c>
      <c r="L32" s="41" t="str">
        <f>VLOOKUP(Tabla81015[[#This Row],[CODIGO DEL PRODUCTO]],Tabla797[],2,FALSE)</f>
        <v>ARENA FINA</v>
      </c>
      <c r="M32" s="37">
        <v>3</v>
      </c>
      <c r="N32" s="158"/>
      <c r="O32" s="76">
        <v>2681625</v>
      </c>
      <c r="P32" s="76" t="s">
        <v>679</v>
      </c>
      <c r="Q32" s="77">
        <v>46029</v>
      </c>
      <c r="R32" s="78" t="s">
        <v>286</v>
      </c>
      <c r="S32" s="36" t="str">
        <f>VLOOKUP(Tabla91116[[#This Row],[CODIGO DEL PRODUCTO]],Tabla797[],2,FALSE)</f>
        <v>CPF 40 AVELLANEDA</v>
      </c>
      <c r="T32" s="37">
        <v>36.08</v>
      </c>
    </row>
    <row r="33" spans="1:23" x14ac:dyDescent="0.25">
      <c r="A33" s="9"/>
      <c r="B33" s="9"/>
      <c r="C33" s="9"/>
      <c r="D33" s="9"/>
      <c r="E33" s="9"/>
      <c r="F33" s="9"/>
      <c r="H33" s="34">
        <v>15969</v>
      </c>
      <c r="I33" s="32" t="s">
        <v>642</v>
      </c>
      <c r="J33" s="35">
        <v>46036</v>
      </c>
      <c r="K33" s="36" t="s">
        <v>42</v>
      </c>
      <c r="L33" s="41" t="str">
        <f>VLOOKUP(Tabla81015[[#This Row],[CODIGO DEL PRODUCTO]],Tabla797[],2,FALSE)</f>
        <v>ARENA FINA</v>
      </c>
      <c r="M33" s="37">
        <v>5</v>
      </c>
      <c r="N33" s="158"/>
      <c r="O33" s="76">
        <v>103049</v>
      </c>
      <c r="P33" s="76" t="s">
        <v>683</v>
      </c>
      <c r="Q33" s="77">
        <v>46030</v>
      </c>
      <c r="R33" s="78" t="s">
        <v>42</v>
      </c>
      <c r="S33" s="36" t="str">
        <f>VLOOKUP(Tabla91116[[#This Row],[CODIGO DEL PRODUCTO]],Tabla797[],2,FALSE)</f>
        <v>ARENA FINA</v>
      </c>
      <c r="T33" s="37">
        <v>35.82</v>
      </c>
    </row>
    <row r="34" spans="1:23" x14ac:dyDescent="0.25">
      <c r="A34" s="9"/>
      <c r="B34" s="9"/>
      <c r="C34" s="9"/>
      <c r="D34" s="9"/>
      <c r="E34" s="9"/>
      <c r="F34" s="9"/>
      <c r="H34" s="34">
        <v>15972</v>
      </c>
      <c r="I34" s="32" t="s">
        <v>695</v>
      </c>
      <c r="J34" s="35">
        <v>46036</v>
      </c>
      <c r="K34" s="36" t="s">
        <v>42</v>
      </c>
      <c r="L34" s="41" t="str">
        <f>VLOOKUP(Tabla81015[[#This Row],[CODIGO DEL PRODUCTO]],Tabla797[],2,FALSE)</f>
        <v>ARENA FINA</v>
      </c>
      <c r="M34" s="37">
        <v>3</v>
      </c>
      <c r="N34" s="158"/>
      <c r="O34" s="76">
        <v>106989</v>
      </c>
      <c r="P34" s="76" t="s">
        <v>684</v>
      </c>
      <c r="Q34" s="77">
        <v>46030</v>
      </c>
      <c r="R34" s="78" t="s">
        <v>48</v>
      </c>
      <c r="S34" s="36" t="str">
        <f>VLOOKUP(Tabla91116[[#This Row],[CODIGO DEL PRODUCTO]],Tabla797[],2,FALSE)</f>
        <v>PIEDRA 6-12</v>
      </c>
      <c r="T34" s="37">
        <v>34.56</v>
      </c>
    </row>
    <row r="35" spans="1:23" x14ac:dyDescent="0.25">
      <c r="A35" s="9"/>
      <c r="B35" s="9"/>
      <c r="C35" s="9"/>
      <c r="D35" s="9"/>
      <c r="E35" s="9"/>
      <c r="F35" s="9"/>
      <c r="H35" s="34">
        <v>15977</v>
      </c>
      <c r="I35" s="32" t="s">
        <v>694</v>
      </c>
      <c r="J35" s="35">
        <v>46036</v>
      </c>
      <c r="K35" s="36" t="s">
        <v>42</v>
      </c>
      <c r="L35" s="41" t="str">
        <f>VLOOKUP(Tabla81015[[#This Row],[CODIGO DEL PRODUCTO]],Tabla797[],2,FALSE)</f>
        <v>ARENA FINA</v>
      </c>
      <c r="M35" s="37">
        <v>3</v>
      </c>
      <c r="N35" s="158"/>
      <c r="O35" s="76">
        <v>107008</v>
      </c>
      <c r="P35" s="76" t="s">
        <v>684</v>
      </c>
      <c r="Q35" s="77">
        <v>46030</v>
      </c>
      <c r="R35" s="78" t="s">
        <v>43</v>
      </c>
      <c r="S35" s="36" t="str">
        <f>VLOOKUP(Tabla91116[[#This Row],[CODIGO DEL PRODUCTO]],Tabla797[],2,FALSE)</f>
        <v>PIEDRA 6-20</v>
      </c>
      <c r="T35" s="37">
        <v>35.04</v>
      </c>
    </row>
    <row r="36" spans="1:23" x14ac:dyDescent="0.25">
      <c r="A36" s="9"/>
      <c r="B36" s="9"/>
      <c r="C36" s="9"/>
      <c r="D36" s="9"/>
      <c r="E36" s="9"/>
      <c r="F36" s="9"/>
      <c r="H36" s="34">
        <v>15984</v>
      </c>
      <c r="I36" s="32" t="s">
        <v>601</v>
      </c>
      <c r="J36" s="35">
        <v>46036</v>
      </c>
      <c r="K36" s="36" t="s">
        <v>42</v>
      </c>
      <c r="L36" s="41" t="str">
        <f>VLOOKUP(Tabla81015[[#This Row],[CODIGO DEL PRODUCTO]],Tabla797[],2,FALSE)</f>
        <v>ARENA FINA</v>
      </c>
      <c r="M36" s="37">
        <v>4</v>
      </c>
      <c r="N36" s="158"/>
      <c r="O36" s="76">
        <v>107011</v>
      </c>
      <c r="P36" s="76" t="s">
        <v>684</v>
      </c>
      <c r="Q36" s="77">
        <v>46030</v>
      </c>
      <c r="R36" s="78" t="s">
        <v>43</v>
      </c>
      <c r="S36" s="36" t="str">
        <f>VLOOKUP(Tabla91116[[#This Row],[CODIGO DEL PRODUCTO]],Tabla797[],2,FALSE)</f>
        <v>PIEDRA 6-20</v>
      </c>
      <c r="T36" s="37">
        <v>34.42</v>
      </c>
    </row>
    <row r="37" spans="1:23" x14ac:dyDescent="0.25">
      <c r="A37" s="9"/>
      <c r="B37" s="9"/>
      <c r="C37" s="9"/>
      <c r="D37" s="9"/>
      <c r="E37" s="9"/>
      <c r="F37" s="9"/>
      <c r="H37" s="34"/>
      <c r="I37" s="32" t="s">
        <v>601</v>
      </c>
      <c r="J37" s="35">
        <v>46036</v>
      </c>
      <c r="K37" s="36" t="s">
        <v>43</v>
      </c>
      <c r="L37" s="41" t="str">
        <f>VLOOKUP(Tabla81015[[#This Row],[CODIGO DEL PRODUCTO]],Tabla797[],2,FALSE)</f>
        <v>PIEDRA 6-20</v>
      </c>
      <c r="M37" s="37">
        <v>2</v>
      </c>
      <c r="N37" s="158"/>
      <c r="O37" s="76">
        <v>2681866</v>
      </c>
      <c r="P37" s="76" t="s">
        <v>679</v>
      </c>
      <c r="Q37" s="77">
        <v>46030</v>
      </c>
      <c r="R37" s="78" t="s">
        <v>286</v>
      </c>
      <c r="S37" s="36" t="str">
        <f>VLOOKUP(Tabla91116[[#This Row],[CODIGO DEL PRODUCTO]],Tabla797[],2,FALSE)</f>
        <v>CPF 40 AVELLANEDA</v>
      </c>
      <c r="T37" s="37">
        <v>35.659999999999997</v>
      </c>
    </row>
    <row r="38" spans="1:23" x14ac:dyDescent="0.25">
      <c r="A38" s="9"/>
      <c r="B38" s="9"/>
      <c r="C38" s="9"/>
      <c r="D38" s="9"/>
      <c r="E38" s="9"/>
      <c r="F38" s="9"/>
      <c r="H38" s="34">
        <v>16017</v>
      </c>
      <c r="I38" s="32" t="s">
        <v>661</v>
      </c>
      <c r="J38" s="35">
        <v>46037</v>
      </c>
      <c r="K38" s="36" t="s">
        <v>42</v>
      </c>
      <c r="L38" s="41" t="str">
        <f>VLOOKUP(Tabla81015[[#This Row],[CODIGO DEL PRODUCTO]],Tabla797[],2,FALSE)</f>
        <v>ARENA FINA</v>
      </c>
      <c r="M38" s="37">
        <v>2</v>
      </c>
      <c r="N38" s="158"/>
      <c r="O38" s="76">
        <v>39102</v>
      </c>
      <c r="P38" s="76" t="s">
        <v>449</v>
      </c>
      <c r="Q38" s="77">
        <v>46031</v>
      </c>
      <c r="R38" s="78" t="s">
        <v>425</v>
      </c>
      <c r="S38" s="36" t="str">
        <f>VLOOKUP(Tabla91116[[#This Row],[CODIGO DEL PRODUCTO]],Tabla797[],2,FALSE)</f>
        <v>W351R</v>
      </c>
      <c r="T38" s="37">
        <v>1000</v>
      </c>
    </row>
    <row r="39" spans="1:23" x14ac:dyDescent="0.25">
      <c r="A39" s="9"/>
      <c r="B39" s="9"/>
      <c r="C39" s="9"/>
      <c r="D39" s="9"/>
      <c r="E39" s="9"/>
      <c r="F39" s="9"/>
      <c r="H39" s="34"/>
      <c r="I39" s="32" t="s">
        <v>661</v>
      </c>
      <c r="J39" s="35">
        <v>46037</v>
      </c>
      <c r="K39" s="36" t="s">
        <v>43</v>
      </c>
      <c r="L39" s="41" t="str">
        <f>VLOOKUP(Tabla81015[[#This Row],[CODIGO DEL PRODUCTO]],Tabla797[],2,FALSE)</f>
        <v>PIEDRA 6-20</v>
      </c>
      <c r="M39" s="37">
        <v>2</v>
      </c>
      <c r="N39" s="158"/>
      <c r="O39" s="76">
        <v>103052</v>
      </c>
      <c r="P39" s="76" t="s">
        <v>683</v>
      </c>
      <c r="Q39" s="77">
        <v>46031</v>
      </c>
      <c r="R39" s="78" t="s">
        <v>42</v>
      </c>
      <c r="S39" s="36" t="str">
        <f>VLOOKUP(Tabla91116[[#This Row],[CODIGO DEL PRODUCTO]],Tabla797[],2,FALSE)</f>
        <v>ARENA FINA</v>
      </c>
      <c r="T39" s="37">
        <v>35.46</v>
      </c>
      <c r="U39" s="7">
        <v>46031</v>
      </c>
      <c r="V39" s="7" t="s">
        <v>686</v>
      </c>
      <c r="W39" t="s">
        <v>687</v>
      </c>
    </row>
    <row r="40" spans="1:23" x14ac:dyDescent="0.25">
      <c r="A40" s="9"/>
      <c r="B40" s="9"/>
      <c r="C40" s="9"/>
      <c r="D40" s="9"/>
      <c r="E40" s="9"/>
      <c r="F40" s="9"/>
      <c r="H40" s="154"/>
      <c r="I40" s="32" t="s">
        <v>53</v>
      </c>
      <c r="J40" s="35">
        <v>46034</v>
      </c>
      <c r="K40" s="36" t="s">
        <v>42</v>
      </c>
      <c r="L40" s="41" t="str">
        <f>VLOOKUP(Tabla81015[[#This Row],[CODIGO DEL PRODUCTO]],Tabla797[],2,FALSE)</f>
        <v>ARENA FINA</v>
      </c>
      <c r="M40" s="37">
        <v>451.66</v>
      </c>
      <c r="N40" s="158"/>
      <c r="O40" s="76">
        <v>103057</v>
      </c>
      <c r="P40" s="76" t="s">
        <v>683</v>
      </c>
      <c r="Q40" s="77">
        <v>46031</v>
      </c>
      <c r="R40" s="78" t="s">
        <v>42</v>
      </c>
      <c r="S40" s="36" t="str">
        <f>VLOOKUP(Tabla91116[[#This Row],[CODIGO DEL PRODUCTO]],Tabla797[],2,FALSE)</f>
        <v>ARENA FINA</v>
      </c>
      <c r="T40" s="37">
        <v>36.06</v>
      </c>
    </row>
    <row r="41" spans="1:23" x14ac:dyDescent="0.25">
      <c r="A41" s="9"/>
      <c r="B41" s="9"/>
      <c r="C41" s="9"/>
      <c r="D41" s="9"/>
      <c r="E41" s="9"/>
      <c r="F41" s="9"/>
      <c r="H41" s="34"/>
      <c r="I41" s="32" t="s">
        <v>53</v>
      </c>
      <c r="J41" s="35">
        <v>46035</v>
      </c>
      <c r="K41" s="36" t="s">
        <v>40</v>
      </c>
      <c r="L41" s="41" t="str">
        <f>VLOOKUP(Tabla81015[[#This Row],[CODIGO DEL PRODUCTO]],Tabla797[],2,FALSE)</f>
        <v>PIEDRA 0-6</v>
      </c>
      <c r="M41" s="37">
        <v>302.39</v>
      </c>
      <c r="N41" s="158"/>
      <c r="O41" s="76">
        <v>103061</v>
      </c>
      <c r="P41" s="76" t="s">
        <v>683</v>
      </c>
      <c r="Q41" s="77">
        <v>46031</v>
      </c>
      <c r="R41" s="78" t="s">
        <v>42</v>
      </c>
      <c r="S41" s="36" t="str">
        <f>VLOOKUP(Tabla91116[[#This Row],[CODIGO DEL PRODUCTO]],Tabla797[],2,FALSE)</f>
        <v>ARENA FINA</v>
      </c>
      <c r="T41" s="37">
        <v>38.46</v>
      </c>
    </row>
    <row r="42" spans="1:23" x14ac:dyDescent="0.25">
      <c r="A42" s="9"/>
      <c r="B42" s="9"/>
      <c r="C42" s="9"/>
      <c r="D42" s="9"/>
      <c r="E42" s="9"/>
      <c r="F42" s="9"/>
      <c r="H42" s="34"/>
      <c r="I42" s="32" t="s">
        <v>53</v>
      </c>
      <c r="J42" s="35">
        <v>46036</v>
      </c>
      <c r="K42" s="36" t="s">
        <v>286</v>
      </c>
      <c r="L42" s="41" t="str">
        <f>VLOOKUP(Tabla81015[[#This Row],[CODIGO DEL PRODUCTO]],Tabla797[],2,FALSE)</f>
        <v>CPF 40 AVELLANEDA</v>
      </c>
      <c r="M42" s="37">
        <v>223.99</v>
      </c>
      <c r="N42" s="158"/>
      <c r="O42" s="76">
        <v>107024</v>
      </c>
      <c r="P42" s="76" t="s">
        <v>684</v>
      </c>
      <c r="Q42" s="77">
        <v>46031</v>
      </c>
      <c r="R42" s="78" t="s">
        <v>48</v>
      </c>
      <c r="S42" s="36" t="str">
        <f>VLOOKUP(Tabla91116[[#This Row],[CODIGO DEL PRODUCTO]],Tabla797[],2,FALSE)</f>
        <v>PIEDRA 6-12</v>
      </c>
      <c r="T42" s="37">
        <v>35.24</v>
      </c>
    </row>
    <row r="43" spans="1:23" x14ac:dyDescent="0.25">
      <c r="A43" s="9"/>
      <c r="B43" s="9"/>
      <c r="C43" s="9"/>
      <c r="D43" s="9"/>
      <c r="E43" s="9"/>
      <c r="F43" s="9"/>
      <c r="H43" s="34"/>
      <c r="I43" s="32" t="s">
        <v>53</v>
      </c>
      <c r="J43" s="35">
        <v>46037</v>
      </c>
      <c r="K43" s="36" t="s">
        <v>48</v>
      </c>
      <c r="L43" s="41" t="str">
        <f>VLOOKUP(Tabla81015[[#This Row],[CODIGO DEL PRODUCTO]],Tabla797[],2,FALSE)</f>
        <v>PIEDRA 6-12</v>
      </c>
      <c r="M43" s="37">
        <v>122.16</v>
      </c>
      <c r="N43" s="158"/>
      <c r="O43" s="76">
        <v>107030</v>
      </c>
      <c r="P43" s="76" t="s">
        <v>684</v>
      </c>
      <c r="Q43" s="77">
        <v>46031</v>
      </c>
      <c r="R43" s="78" t="s">
        <v>43</v>
      </c>
      <c r="S43" s="36" t="str">
        <f>VLOOKUP(Tabla91116[[#This Row],[CODIGO DEL PRODUCTO]],Tabla797[],2,FALSE)</f>
        <v>PIEDRA 6-20</v>
      </c>
      <c r="T43" s="37">
        <v>34.840000000000003</v>
      </c>
    </row>
    <row r="44" spans="1:23" x14ac:dyDescent="0.25">
      <c r="A44" s="9"/>
      <c r="B44" s="9"/>
      <c r="C44" s="9"/>
      <c r="D44" s="9"/>
      <c r="E44" s="9"/>
      <c r="F44" s="9"/>
      <c r="H44" s="34"/>
      <c r="I44" s="40" t="s">
        <v>53</v>
      </c>
      <c r="J44" s="35">
        <v>46038</v>
      </c>
      <c r="K44" s="36" t="s">
        <v>43</v>
      </c>
      <c r="L44" s="42" t="str">
        <f>VLOOKUP(Tabla81015[[#This Row],[CODIGO DEL PRODUCTO]],Tabla797[],2,FALSE)</f>
        <v>PIEDRA 6-20</v>
      </c>
      <c r="M44" s="37">
        <v>445.39</v>
      </c>
      <c r="N44" s="158"/>
      <c r="O44" s="76">
        <v>107031</v>
      </c>
      <c r="P44" s="76" t="s">
        <v>684</v>
      </c>
      <c r="Q44" s="77">
        <v>46031</v>
      </c>
      <c r="R44" s="78" t="s">
        <v>43</v>
      </c>
      <c r="S44" s="36" t="str">
        <f>VLOOKUP(Tabla91116[[#This Row],[CODIGO DEL PRODUCTO]],Tabla797[],2,FALSE)</f>
        <v>PIEDRA 6-20</v>
      </c>
      <c r="T44" s="37">
        <v>34.96</v>
      </c>
    </row>
    <row r="45" spans="1:23" x14ac:dyDescent="0.25">
      <c r="A45" s="9"/>
      <c r="B45" s="9"/>
      <c r="C45" s="9"/>
      <c r="D45" s="9"/>
      <c r="E45" s="9"/>
      <c r="F45" s="9"/>
      <c r="H45" s="34"/>
      <c r="I45" s="40" t="s">
        <v>53</v>
      </c>
      <c r="J45" s="35">
        <v>46039</v>
      </c>
      <c r="K45" s="36" t="s">
        <v>46</v>
      </c>
      <c r="L45" s="42" t="str">
        <f>VLOOKUP(Tabla81015[[#This Row],[CODIGO DEL PRODUCTO]],Tabla797[],2,FALSE)</f>
        <v>PIEDRA 10-30</v>
      </c>
      <c r="M45" s="37">
        <v>81.739999999999995</v>
      </c>
      <c r="N45" s="158"/>
      <c r="O45" s="76">
        <v>2682128</v>
      </c>
      <c r="P45" s="76" t="s">
        <v>679</v>
      </c>
      <c r="Q45" s="77">
        <v>46031</v>
      </c>
      <c r="R45" s="78" t="s">
        <v>286</v>
      </c>
      <c r="S45" s="36" t="str">
        <f>VLOOKUP(Tabla91116[[#This Row],[CODIGO DEL PRODUCTO]],Tabla797[],2,FALSE)</f>
        <v>CPF 40 AVELLANEDA</v>
      </c>
      <c r="T45" s="37">
        <v>35.979999999999997</v>
      </c>
    </row>
    <row r="46" spans="1:23" x14ac:dyDescent="0.25">
      <c r="H46" s="34"/>
      <c r="I46" s="34" t="s">
        <v>53</v>
      </c>
      <c r="J46" s="35">
        <v>46039</v>
      </c>
      <c r="K46" s="36" t="s">
        <v>425</v>
      </c>
      <c r="L46" s="39" t="str">
        <f>VLOOKUP(Tabla81015[[#This Row],[CODIGO DEL PRODUCTO]],Tabla797[],2,FALSE)</f>
        <v>W351R</v>
      </c>
      <c r="M46" s="37">
        <v>1.29</v>
      </c>
      <c r="N46" s="158"/>
      <c r="O46" s="76">
        <v>107033</v>
      </c>
      <c r="P46" s="76" t="s">
        <v>684</v>
      </c>
      <c r="Q46" s="77">
        <v>46032</v>
      </c>
      <c r="R46" s="78" t="s">
        <v>43</v>
      </c>
      <c r="S46" s="36" t="str">
        <f>VLOOKUP(Tabla91116[[#This Row],[CODIGO DEL PRODUCTO]],Tabla797[],2,FALSE)</f>
        <v>PIEDRA 6-20</v>
      </c>
      <c r="T46" s="37">
        <v>34.4</v>
      </c>
    </row>
    <row r="47" spans="1:23" x14ac:dyDescent="0.25">
      <c r="H47" s="34">
        <v>16074</v>
      </c>
      <c r="I47" s="44" t="s">
        <v>621</v>
      </c>
      <c r="J47" s="35">
        <v>46041</v>
      </c>
      <c r="K47" s="36" t="s">
        <v>43</v>
      </c>
      <c r="L47" s="39" t="str">
        <f>VLOOKUP(Tabla81015[[#This Row],[CODIGO DEL PRODUCTO]],Tabla797[],2,FALSE)</f>
        <v>PIEDRA 6-20</v>
      </c>
      <c r="M47" s="37">
        <v>5</v>
      </c>
      <c r="N47" s="158"/>
      <c r="O47" s="76">
        <v>2682209</v>
      </c>
      <c r="P47" s="76" t="s">
        <v>679</v>
      </c>
      <c r="Q47" s="77">
        <v>46032</v>
      </c>
      <c r="R47" s="78" t="s">
        <v>286</v>
      </c>
      <c r="S47" s="36" t="str">
        <f>VLOOKUP(Tabla91116[[#This Row],[CODIGO DEL PRODUCTO]],Tabla797[],2,FALSE)</f>
        <v>CPF 40 AVELLANEDA</v>
      </c>
      <c r="T47" s="37">
        <v>35.799999999999997</v>
      </c>
    </row>
    <row r="48" spans="1:23" x14ac:dyDescent="0.25">
      <c r="H48" s="34">
        <v>16077</v>
      </c>
      <c r="I48" s="34" t="s">
        <v>661</v>
      </c>
      <c r="J48" s="35">
        <v>46041</v>
      </c>
      <c r="K48" s="36" t="s">
        <v>48</v>
      </c>
      <c r="L48" s="39" t="str">
        <f>VLOOKUP(Tabla81015[[#This Row],[CODIGO DEL PRODUCTO]],Tabla797[],2,FALSE)</f>
        <v>PIEDRA 6-12</v>
      </c>
      <c r="M48" s="37">
        <v>3</v>
      </c>
      <c r="N48" s="158"/>
      <c r="O48" s="76">
        <v>103069</v>
      </c>
      <c r="P48" s="76" t="s">
        <v>683</v>
      </c>
      <c r="Q48" s="77">
        <v>46034</v>
      </c>
      <c r="R48" s="78" t="s">
        <v>42</v>
      </c>
      <c r="S48" s="36" t="str">
        <f>VLOOKUP(Tabla91116[[#This Row],[CODIGO DEL PRODUCTO]],Tabla797[],2,FALSE)</f>
        <v>ARENA FINA</v>
      </c>
      <c r="T48" s="37">
        <v>34.18</v>
      </c>
    </row>
    <row r="49" spans="8:20" x14ac:dyDescent="0.25">
      <c r="H49" s="34">
        <v>16081</v>
      </c>
      <c r="I49" s="34" t="s">
        <v>642</v>
      </c>
      <c r="J49" s="35">
        <v>46042</v>
      </c>
      <c r="K49" s="36" t="s">
        <v>43</v>
      </c>
      <c r="L49" s="39" t="str">
        <f>VLOOKUP(Tabla81015[[#This Row],[CODIGO DEL PRODUCTO]],Tabla797[],2,FALSE)</f>
        <v>PIEDRA 6-20</v>
      </c>
      <c r="M49" s="37">
        <v>5</v>
      </c>
      <c r="N49" s="158"/>
      <c r="O49" s="76">
        <v>103074</v>
      </c>
      <c r="P49" s="76" t="s">
        <v>683</v>
      </c>
      <c r="Q49" s="77">
        <v>46034</v>
      </c>
      <c r="R49" s="78" t="s">
        <v>42</v>
      </c>
      <c r="S49" s="36" t="str">
        <f>VLOOKUP(Tabla91116[[#This Row],[CODIGO DEL PRODUCTO]],Tabla797[],2,FALSE)</f>
        <v>ARENA FINA</v>
      </c>
      <c r="T49" s="37">
        <v>36.700000000000003</v>
      </c>
    </row>
    <row r="50" spans="8:20" x14ac:dyDescent="0.25">
      <c r="H50" s="34">
        <v>16085</v>
      </c>
      <c r="I50" s="34" t="s">
        <v>621</v>
      </c>
      <c r="J50" s="35">
        <v>46042</v>
      </c>
      <c r="K50" s="36" t="s">
        <v>42</v>
      </c>
      <c r="L50" s="39" t="str">
        <f>VLOOKUP(Tabla81015[[#This Row],[CODIGO DEL PRODUCTO]],Tabla797[],2,FALSE)</f>
        <v>ARENA FINA</v>
      </c>
      <c r="M50" s="37">
        <v>5</v>
      </c>
      <c r="N50" s="158"/>
      <c r="O50" s="76">
        <v>103077</v>
      </c>
      <c r="P50" s="76" t="s">
        <v>683</v>
      </c>
      <c r="Q50" s="77">
        <v>46034</v>
      </c>
      <c r="R50" s="78" t="s">
        <v>42</v>
      </c>
      <c r="S50" s="36" t="str">
        <f>VLOOKUP(Tabla91116[[#This Row],[CODIGO DEL PRODUCTO]],Tabla797[],2,FALSE)</f>
        <v>ARENA FINA</v>
      </c>
      <c r="T50" s="37">
        <v>36.82</v>
      </c>
    </row>
    <row r="51" spans="8:20" x14ac:dyDescent="0.25">
      <c r="H51" s="34">
        <v>16089</v>
      </c>
      <c r="I51" s="34" t="s">
        <v>621</v>
      </c>
      <c r="J51" s="35">
        <v>46042</v>
      </c>
      <c r="K51" s="36" t="s">
        <v>43</v>
      </c>
      <c r="L51" s="39" t="str">
        <f>VLOOKUP(Tabla81015[[#This Row],[CODIGO DEL PRODUCTO]],Tabla797[],2,FALSE)</f>
        <v>PIEDRA 6-20</v>
      </c>
      <c r="M51" s="37">
        <v>5</v>
      </c>
      <c r="N51" s="158"/>
      <c r="O51" s="76">
        <v>103079</v>
      </c>
      <c r="P51" s="76" t="s">
        <v>683</v>
      </c>
      <c r="Q51" s="77">
        <v>46034</v>
      </c>
      <c r="R51" s="78" t="s">
        <v>42</v>
      </c>
      <c r="S51" s="36" t="str">
        <f>VLOOKUP(Tabla91116[[#This Row],[CODIGO DEL PRODUCTO]],Tabla797[],2,FALSE)</f>
        <v>ARENA FINA</v>
      </c>
      <c r="T51" s="37">
        <v>35.4</v>
      </c>
    </row>
    <row r="52" spans="8:20" x14ac:dyDescent="0.25">
      <c r="H52" s="34">
        <v>16101</v>
      </c>
      <c r="I52" s="34" t="s">
        <v>642</v>
      </c>
      <c r="J52" s="35">
        <v>46042</v>
      </c>
      <c r="K52" s="36" t="s">
        <v>42</v>
      </c>
      <c r="L52" s="39" t="str">
        <f>VLOOKUP(Tabla81015[[#This Row],[CODIGO DEL PRODUCTO]],Tabla797[],2,FALSE)</f>
        <v>ARENA FINA</v>
      </c>
      <c r="M52" s="37">
        <v>5</v>
      </c>
      <c r="N52" s="158"/>
      <c r="O52" s="76">
        <v>103081</v>
      </c>
      <c r="P52" s="76" t="s">
        <v>683</v>
      </c>
      <c r="Q52" s="77">
        <v>46034</v>
      </c>
      <c r="R52" s="78" t="s">
        <v>42</v>
      </c>
      <c r="S52" s="36" t="str">
        <f>VLOOKUP(Tabla91116[[#This Row],[CODIGO DEL PRODUCTO]],Tabla797[],2,FALSE)</f>
        <v>ARENA FINA</v>
      </c>
      <c r="T52" s="37">
        <v>38.28</v>
      </c>
    </row>
    <row r="53" spans="8:20" x14ac:dyDescent="0.25">
      <c r="H53" s="34">
        <v>16106</v>
      </c>
      <c r="I53" s="34" t="s">
        <v>558</v>
      </c>
      <c r="J53" s="35">
        <v>46042</v>
      </c>
      <c r="K53" s="36" t="s">
        <v>42</v>
      </c>
      <c r="L53" s="39" t="str">
        <f>VLOOKUP(Tabla81015[[#This Row],[CODIGO DEL PRODUCTO]],Tabla797[],2,FALSE)</f>
        <v>ARENA FINA</v>
      </c>
      <c r="M53" s="37">
        <v>2</v>
      </c>
      <c r="N53" s="158"/>
      <c r="O53" s="76">
        <v>219302</v>
      </c>
      <c r="P53" s="76" t="s">
        <v>516</v>
      </c>
      <c r="Q53" s="77">
        <v>46034</v>
      </c>
      <c r="R53" s="78" t="s">
        <v>43</v>
      </c>
      <c r="S53" s="36" t="str">
        <f>VLOOKUP(Tabla91116[[#This Row],[CODIGO DEL PRODUCTO]],Tabla797[],2,FALSE)</f>
        <v>PIEDRA 6-20</v>
      </c>
      <c r="T53" s="37">
        <v>34.700000000000003</v>
      </c>
    </row>
    <row r="54" spans="8:20" x14ac:dyDescent="0.25">
      <c r="H54" s="34">
        <v>16107</v>
      </c>
      <c r="I54" s="34" t="s">
        <v>618</v>
      </c>
      <c r="J54" s="35">
        <v>46043</v>
      </c>
      <c r="K54" s="36" t="s">
        <v>42</v>
      </c>
      <c r="L54" s="39" t="str">
        <f>VLOOKUP(Tabla81015[[#This Row],[CODIGO DEL PRODUCTO]],Tabla797[],2,FALSE)</f>
        <v>ARENA FINA</v>
      </c>
      <c r="M54" s="37">
        <v>5</v>
      </c>
      <c r="N54" s="158"/>
      <c r="O54" s="76">
        <v>107040</v>
      </c>
      <c r="P54" s="76" t="s">
        <v>684</v>
      </c>
      <c r="Q54" s="77">
        <v>46034</v>
      </c>
      <c r="R54" s="78" t="s">
        <v>40</v>
      </c>
      <c r="S54" s="36" t="str">
        <f>VLOOKUP(Tabla91116[[#This Row],[CODIGO DEL PRODUCTO]],Tabla797[],2,FALSE)</f>
        <v>PIEDRA 0-6</v>
      </c>
      <c r="T54" s="37">
        <v>34.380000000000003</v>
      </c>
    </row>
    <row r="55" spans="8:20" x14ac:dyDescent="0.25">
      <c r="H55" s="34">
        <v>16115</v>
      </c>
      <c r="I55" s="34" t="s">
        <v>661</v>
      </c>
      <c r="J55" s="35">
        <v>46043</v>
      </c>
      <c r="K55" s="36" t="s">
        <v>42</v>
      </c>
      <c r="L55" s="39" t="str">
        <f>VLOOKUP(Tabla81015[[#This Row],[CODIGO DEL PRODUCTO]],Tabla797[],2,FALSE)</f>
        <v>ARENA FINA</v>
      </c>
      <c r="M55" s="37">
        <v>3</v>
      </c>
      <c r="N55" s="158"/>
      <c r="O55" s="76">
        <v>107041</v>
      </c>
      <c r="P55" s="76" t="s">
        <v>684</v>
      </c>
      <c r="Q55" s="77">
        <v>46034</v>
      </c>
      <c r="R55" s="78" t="s">
        <v>40</v>
      </c>
      <c r="S55" s="36" t="str">
        <f>VLOOKUP(Tabla91116[[#This Row],[CODIGO DEL PRODUCTO]],Tabla797[],2,FALSE)</f>
        <v>PIEDRA 0-6</v>
      </c>
      <c r="T55" s="37">
        <v>34.700000000000003</v>
      </c>
    </row>
    <row r="56" spans="8:20" x14ac:dyDescent="0.25">
      <c r="H56" s="34">
        <v>16119</v>
      </c>
      <c r="I56" s="34" t="s">
        <v>694</v>
      </c>
      <c r="J56" s="35">
        <v>46043</v>
      </c>
      <c r="K56" s="36" t="s">
        <v>42</v>
      </c>
      <c r="L56" s="39" t="str">
        <f>VLOOKUP(Tabla81015[[#This Row],[CODIGO DEL PRODUCTO]],Tabla797[],2,FALSE)</f>
        <v>ARENA FINA</v>
      </c>
      <c r="M56" s="37">
        <v>3</v>
      </c>
      <c r="N56" s="158"/>
      <c r="O56" s="76">
        <v>107042</v>
      </c>
      <c r="P56" s="76" t="s">
        <v>684</v>
      </c>
      <c r="Q56" s="77">
        <v>46034</v>
      </c>
      <c r="R56" s="78" t="s">
        <v>43</v>
      </c>
      <c r="S56" s="36" t="str">
        <f>VLOOKUP(Tabla91116[[#This Row],[CODIGO DEL PRODUCTO]],Tabla797[],2,FALSE)</f>
        <v>PIEDRA 6-20</v>
      </c>
      <c r="T56" s="37">
        <v>34.08</v>
      </c>
    </row>
    <row r="57" spans="8:20" x14ac:dyDescent="0.25">
      <c r="H57" s="34">
        <v>16124</v>
      </c>
      <c r="I57" s="34" t="s">
        <v>661</v>
      </c>
      <c r="J57" s="35">
        <v>46043</v>
      </c>
      <c r="K57" s="36" t="s">
        <v>43</v>
      </c>
      <c r="L57" s="39" t="str">
        <f>VLOOKUP(Tabla81015[[#This Row],[CODIGO DEL PRODUCTO]],Tabla797[],2,FALSE)</f>
        <v>PIEDRA 6-20</v>
      </c>
      <c r="M57" s="37">
        <v>5</v>
      </c>
      <c r="N57" s="158"/>
      <c r="O57" s="76">
        <v>107048</v>
      </c>
      <c r="P57" s="76" t="s">
        <v>684</v>
      </c>
      <c r="Q57" s="77">
        <v>46034</v>
      </c>
      <c r="R57" s="78" t="s">
        <v>43</v>
      </c>
      <c r="S57" s="36" t="str">
        <f>VLOOKUP(Tabla91116[[#This Row],[CODIGO DEL PRODUCTO]],Tabla797[],2,FALSE)</f>
        <v>PIEDRA 6-20</v>
      </c>
      <c r="T57" s="37">
        <v>34.58</v>
      </c>
    </row>
    <row r="58" spans="8:20" x14ac:dyDescent="0.25">
      <c r="H58" s="34">
        <v>16127</v>
      </c>
      <c r="I58" s="34" t="s">
        <v>694</v>
      </c>
      <c r="J58" s="35">
        <v>46043</v>
      </c>
      <c r="K58" s="36" t="s">
        <v>42</v>
      </c>
      <c r="L58" s="39" t="str">
        <f>VLOOKUP(Tabla81015[[#This Row],[CODIGO DEL PRODUCTO]],Tabla797[],2,FALSE)</f>
        <v>ARENA FINA</v>
      </c>
      <c r="M58" s="37">
        <v>3</v>
      </c>
      <c r="N58" s="158"/>
      <c r="O58" s="76">
        <v>107049</v>
      </c>
      <c r="P58" s="76" t="s">
        <v>684</v>
      </c>
      <c r="Q58" s="77">
        <v>46034</v>
      </c>
      <c r="R58" s="78" t="s">
        <v>40</v>
      </c>
      <c r="S58" s="36" t="str">
        <f>VLOOKUP(Tabla91116[[#This Row],[CODIGO DEL PRODUCTO]],Tabla797[],2,FALSE)</f>
        <v>PIEDRA 0-6</v>
      </c>
      <c r="T58" s="37">
        <v>34.44</v>
      </c>
    </row>
    <row r="59" spans="8:20" x14ac:dyDescent="0.25">
      <c r="H59" s="34">
        <v>16130</v>
      </c>
      <c r="I59" s="34" t="s">
        <v>702</v>
      </c>
      <c r="J59" s="35">
        <v>46044</v>
      </c>
      <c r="K59" s="36" t="s">
        <v>468</v>
      </c>
      <c r="L59" s="39" t="str">
        <f>VLOOKUP(Tabla81015[[#This Row],[CODIGO DEL PRODUCTO]],Tabla797[],2,FALSE)</f>
        <v>ESTABILIZADO 0-100 X TN</v>
      </c>
      <c r="M59" s="37">
        <v>5.6</v>
      </c>
      <c r="N59" s="158"/>
      <c r="O59" s="76">
        <v>150371</v>
      </c>
      <c r="P59" s="76" t="s">
        <v>679</v>
      </c>
      <c r="Q59" s="77">
        <v>46034</v>
      </c>
      <c r="R59" s="78" t="s">
        <v>43</v>
      </c>
      <c r="S59" s="36" t="str">
        <f>VLOOKUP(Tabla91116[[#This Row],[CODIGO DEL PRODUCTO]],Tabla797[],2,FALSE)</f>
        <v>PIEDRA 6-20</v>
      </c>
      <c r="T59" s="37">
        <v>34.799999999999997</v>
      </c>
    </row>
    <row r="60" spans="8:20" x14ac:dyDescent="0.25">
      <c r="H60" s="34">
        <v>16135</v>
      </c>
      <c r="I60" s="34" t="s">
        <v>703</v>
      </c>
      <c r="J60" s="35">
        <v>46044</v>
      </c>
      <c r="K60" s="36" t="s">
        <v>42</v>
      </c>
      <c r="L60" s="39" t="str">
        <f>VLOOKUP(Tabla81015[[#This Row],[CODIGO DEL PRODUCTO]],Tabla797[],2,FALSE)</f>
        <v>ARENA FINA</v>
      </c>
      <c r="M60" s="37">
        <v>1</v>
      </c>
      <c r="N60" s="158"/>
      <c r="O60" s="76">
        <v>2682555</v>
      </c>
      <c r="P60" s="76" t="s">
        <v>679</v>
      </c>
      <c r="Q60" s="77">
        <v>46034</v>
      </c>
      <c r="R60" s="78" t="s">
        <v>286</v>
      </c>
      <c r="S60" s="36" t="str">
        <f>VLOOKUP(Tabla91116[[#This Row],[CODIGO DEL PRODUCTO]],Tabla797[],2,FALSE)</f>
        <v>CPF 40 AVELLANEDA</v>
      </c>
      <c r="T60" s="37">
        <v>36</v>
      </c>
    </row>
    <row r="61" spans="8:20" x14ac:dyDescent="0.25">
      <c r="H61" s="34">
        <v>16138</v>
      </c>
      <c r="I61" s="34" t="s">
        <v>704</v>
      </c>
      <c r="J61" s="35">
        <v>46044</v>
      </c>
      <c r="K61" s="36" t="s">
        <v>42</v>
      </c>
      <c r="L61" s="39" t="str">
        <f>VLOOKUP(Tabla81015[[#This Row],[CODIGO DEL PRODUCTO]],Tabla797[],2,FALSE)</f>
        <v>ARENA FINA</v>
      </c>
      <c r="M61" s="37">
        <v>1</v>
      </c>
      <c r="N61" s="158"/>
      <c r="O61" s="76">
        <v>103085</v>
      </c>
      <c r="P61" s="76" t="s">
        <v>683</v>
      </c>
      <c r="Q61" s="77">
        <v>46035</v>
      </c>
      <c r="R61" s="78" t="s">
        <v>42</v>
      </c>
      <c r="S61" s="36" t="str">
        <f>VLOOKUP(Tabla91116[[#This Row],[CODIGO DEL PRODUCTO]],Tabla797[],2,FALSE)</f>
        <v>ARENA FINA</v>
      </c>
      <c r="T61" s="37">
        <v>35.36</v>
      </c>
    </row>
    <row r="62" spans="8:20" x14ac:dyDescent="0.25">
      <c r="H62" s="34"/>
      <c r="I62" s="34" t="s">
        <v>704</v>
      </c>
      <c r="J62" s="35">
        <v>46044</v>
      </c>
      <c r="K62" s="36" t="s">
        <v>43</v>
      </c>
      <c r="L62" s="39" t="str">
        <f>VLOOKUP(Tabla81015[[#This Row],[CODIGO DEL PRODUCTO]],Tabla797[],2,FALSE)</f>
        <v>PIEDRA 6-20</v>
      </c>
      <c r="M62" s="37">
        <v>1</v>
      </c>
      <c r="N62" s="158"/>
      <c r="O62" s="76">
        <v>103091</v>
      </c>
      <c r="P62" s="76" t="s">
        <v>683</v>
      </c>
      <c r="Q62" s="77">
        <v>46035</v>
      </c>
      <c r="R62" s="78" t="s">
        <v>42</v>
      </c>
      <c r="S62" s="36" t="str">
        <f>VLOOKUP(Tabla91116[[#This Row],[CODIGO DEL PRODUCTO]],Tabla797[],2,FALSE)</f>
        <v>ARENA FINA</v>
      </c>
      <c r="T62" s="37">
        <v>35.4</v>
      </c>
    </row>
    <row r="63" spans="8:20" x14ac:dyDescent="0.25">
      <c r="H63" s="34">
        <v>16160</v>
      </c>
      <c r="I63" s="34" t="s">
        <v>705</v>
      </c>
      <c r="J63" s="35">
        <v>46045</v>
      </c>
      <c r="K63" s="36" t="s">
        <v>42</v>
      </c>
      <c r="L63" s="39" t="str">
        <f>VLOOKUP(Tabla81015[[#This Row],[CODIGO DEL PRODUCTO]],Tabla797[],2,FALSE)</f>
        <v>ARENA FINA</v>
      </c>
      <c r="M63" s="37">
        <v>2</v>
      </c>
      <c r="N63" s="158"/>
      <c r="O63" s="76">
        <v>103094</v>
      </c>
      <c r="P63" s="76" t="s">
        <v>683</v>
      </c>
      <c r="Q63" s="77">
        <v>46035</v>
      </c>
      <c r="R63" s="78" t="s">
        <v>42</v>
      </c>
      <c r="S63" s="36" t="str">
        <f>VLOOKUP(Tabla91116[[#This Row],[CODIGO DEL PRODUCTO]],Tabla797[],2,FALSE)</f>
        <v>ARENA FINA</v>
      </c>
      <c r="T63" s="37">
        <v>36.020000000000003</v>
      </c>
    </row>
    <row r="64" spans="8:20" x14ac:dyDescent="0.25">
      <c r="H64" s="34">
        <v>16161</v>
      </c>
      <c r="I64" s="34" t="s">
        <v>706</v>
      </c>
      <c r="J64" s="35">
        <v>46045</v>
      </c>
      <c r="K64" s="36" t="s">
        <v>43</v>
      </c>
      <c r="L64" s="39" t="str">
        <f>VLOOKUP(Tabla81015[[#This Row],[CODIGO DEL PRODUCTO]],Tabla797[],2,FALSE)</f>
        <v>PIEDRA 6-20</v>
      </c>
      <c r="M64" s="37">
        <v>2</v>
      </c>
      <c r="N64" s="158"/>
      <c r="O64" s="76">
        <v>107050</v>
      </c>
      <c r="P64" s="76" t="s">
        <v>684</v>
      </c>
      <c r="Q64" s="77">
        <v>46035</v>
      </c>
      <c r="R64" s="78" t="s">
        <v>40</v>
      </c>
      <c r="S64" s="36" t="str">
        <f>VLOOKUP(Tabla91116[[#This Row],[CODIGO DEL PRODUCTO]],Tabla797[],2,FALSE)</f>
        <v>PIEDRA 0-6</v>
      </c>
      <c r="T64" s="37">
        <v>35.56</v>
      </c>
    </row>
    <row r="65" spans="8:23" x14ac:dyDescent="0.25">
      <c r="H65" s="34">
        <v>16178</v>
      </c>
      <c r="I65" s="34" t="s">
        <v>707</v>
      </c>
      <c r="J65" s="35">
        <v>46045</v>
      </c>
      <c r="K65" s="36" t="s">
        <v>42</v>
      </c>
      <c r="L65" s="39" t="str">
        <f>VLOOKUP(Tabla81015[[#This Row],[CODIGO DEL PRODUCTO]],Tabla797[],2,FALSE)</f>
        <v>ARENA FINA</v>
      </c>
      <c r="M65" s="37">
        <v>1</v>
      </c>
      <c r="N65" s="158"/>
      <c r="O65" s="76">
        <v>107054</v>
      </c>
      <c r="P65" s="76" t="s">
        <v>684</v>
      </c>
      <c r="Q65" s="77">
        <v>46035</v>
      </c>
      <c r="R65" s="78" t="s">
        <v>43</v>
      </c>
      <c r="S65" s="36" t="str">
        <f>VLOOKUP(Tabla91116[[#This Row],[CODIGO DEL PRODUCTO]],Tabla797[],2,FALSE)</f>
        <v>PIEDRA 6-20</v>
      </c>
      <c r="T65" s="37">
        <v>34.200000000000003</v>
      </c>
    </row>
    <row r="66" spans="8:23" x14ac:dyDescent="0.25">
      <c r="H66" s="34">
        <v>16179</v>
      </c>
      <c r="I66" s="34" t="s">
        <v>708</v>
      </c>
      <c r="J66" s="35">
        <v>46045</v>
      </c>
      <c r="K66" s="36" t="s">
        <v>42</v>
      </c>
      <c r="L66" s="39" t="str">
        <f>VLOOKUP(Tabla81015[[#This Row],[CODIGO DEL PRODUCTO]],Tabla797[],2,FALSE)</f>
        <v>ARENA FINA</v>
      </c>
      <c r="M66" s="37">
        <v>2</v>
      </c>
      <c r="N66" s="158"/>
      <c r="O66" s="76">
        <v>107056</v>
      </c>
      <c r="P66" s="76" t="s">
        <v>684</v>
      </c>
      <c r="Q66" s="77">
        <v>46035</v>
      </c>
      <c r="R66" s="78" t="s">
        <v>40</v>
      </c>
      <c r="S66" s="36" t="str">
        <f>VLOOKUP(Tabla91116[[#This Row],[CODIGO DEL PRODUCTO]],Tabla797[],2,FALSE)</f>
        <v>PIEDRA 0-6</v>
      </c>
      <c r="T66" s="37">
        <v>34</v>
      </c>
    </row>
    <row r="67" spans="8:23" x14ac:dyDescent="0.25">
      <c r="H67" s="34"/>
      <c r="I67" s="34" t="s">
        <v>708</v>
      </c>
      <c r="J67" s="35">
        <v>46045</v>
      </c>
      <c r="K67" s="36" t="s">
        <v>43</v>
      </c>
      <c r="L67" s="39" t="str">
        <f>VLOOKUP(Tabla81015[[#This Row],[CODIGO DEL PRODUCTO]],Tabla797[],2,FALSE)</f>
        <v>PIEDRA 6-20</v>
      </c>
      <c r="M67" s="37">
        <v>2</v>
      </c>
      <c r="N67" s="158"/>
      <c r="O67" s="76">
        <v>107058</v>
      </c>
      <c r="P67" s="76" t="s">
        <v>684</v>
      </c>
      <c r="Q67" s="77">
        <v>46035</v>
      </c>
      <c r="R67" s="78" t="s">
        <v>40</v>
      </c>
      <c r="S67" s="36" t="str">
        <f>VLOOKUP(Tabla91116[[#This Row],[CODIGO DEL PRODUCTO]],Tabla797[],2,FALSE)</f>
        <v>PIEDRA 0-6</v>
      </c>
      <c r="T67" s="37">
        <v>34.94</v>
      </c>
    </row>
    <row r="68" spans="8:23" x14ac:dyDescent="0.25">
      <c r="H68" s="34">
        <v>16182</v>
      </c>
      <c r="I68" s="34" t="s">
        <v>709</v>
      </c>
      <c r="J68" s="35">
        <v>46046</v>
      </c>
      <c r="K68" s="36" t="s">
        <v>42</v>
      </c>
      <c r="L68" s="39" t="str">
        <f>VLOOKUP(Tabla81015[[#This Row],[CODIGO DEL PRODUCTO]],Tabla797[],2,FALSE)</f>
        <v>ARENA FINA</v>
      </c>
      <c r="M68" s="37">
        <v>5</v>
      </c>
      <c r="N68" s="158"/>
      <c r="O68" s="76">
        <v>107062</v>
      </c>
      <c r="P68" s="76" t="s">
        <v>684</v>
      </c>
      <c r="Q68" s="77">
        <v>46035</v>
      </c>
      <c r="R68" s="78" t="s">
        <v>43</v>
      </c>
      <c r="S68" s="36" t="str">
        <f>VLOOKUP(Tabla91116[[#This Row],[CODIGO DEL PRODUCTO]],Tabla797[],2,FALSE)</f>
        <v>PIEDRA 6-20</v>
      </c>
      <c r="T68" s="37">
        <v>34.82</v>
      </c>
    </row>
    <row r="69" spans="8:23" x14ac:dyDescent="0.25">
      <c r="H69" s="34"/>
      <c r="I69" s="34" t="s">
        <v>53</v>
      </c>
      <c r="J69" s="35">
        <v>46041</v>
      </c>
      <c r="K69" s="36" t="s">
        <v>42</v>
      </c>
      <c r="L69" s="39" t="str">
        <f>VLOOKUP(Tabla81015[[#This Row],[CODIGO DEL PRODUCTO]],Tabla797[],2,FALSE)</f>
        <v>ARENA FINA</v>
      </c>
      <c r="M69" s="37">
        <v>324.75</v>
      </c>
      <c r="N69" s="158"/>
      <c r="O69" s="76">
        <v>150437</v>
      </c>
      <c r="P69" s="76" t="s">
        <v>679</v>
      </c>
      <c r="Q69" s="77">
        <v>46035</v>
      </c>
      <c r="R69" s="78" t="s">
        <v>43</v>
      </c>
      <c r="S69" s="36" t="str">
        <f>VLOOKUP(Tabla91116[[#This Row],[CODIGO DEL PRODUCTO]],Tabla797[],2,FALSE)</f>
        <v>PIEDRA 6-20</v>
      </c>
      <c r="T69" s="37">
        <v>35.340000000000003</v>
      </c>
    </row>
    <row r="70" spans="8:23" x14ac:dyDescent="0.25">
      <c r="H70" s="34"/>
      <c r="I70" s="34" t="s">
        <v>53</v>
      </c>
      <c r="J70" s="35">
        <v>46041</v>
      </c>
      <c r="K70" s="36" t="s">
        <v>40</v>
      </c>
      <c r="L70" s="39" t="str">
        <f>VLOOKUP(Tabla81015[[#This Row],[CODIGO DEL PRODUCTO]],Tabla797[],2,FALSE)</f>
        <v>PIEDRA 0-6</v>
      </c>
      <c r="M70" s="37">
        <v>217.57</v>
      </c>
      <c r="N70" s="158"/>
      <c r="O70" s="76">
        <v>2682831</v>
      </c>
      <c r="P70" s="76" t="s">
        <v>679</v>
      </c>
      <c r="Q70" s="77">
        <v>46035</v>
      </c>
      <c r="R70" s="78" t="s">
        <v>286</v>
      </c>
      <c r="S70" s="36" t="str">
        <f>VLOOKUP(Tabla91116[[#This Row],[CODIGO DEL PRODUCTO]],Tabla797[],2,FALSE)</f>
        <v>CPF 40 AVELLANEDA</v>
      </c>
      <c r="T70" s="37">
        <v>36.04</v>
      </c>
    </row>
    <row r="71" spans="8:23" x14ac:dyDescent="0.25">
      <c r="H71" s="34"/>
      <c r="I71" s="34" t="s">
        <v>53</v>
      </c>
      <c r="J71" s="35">
        <v>46042</v>
      </c>
      <c r="K71" s="36" t="s">
        <v>286</v>
      </c>
      <c r="L71" s="39" t="str">
        <f>VLOOKUP(Tabla81015[[#This Row],[CODIGO DEL PRODUCTO]],Tabla797[],2,FALSE)</f>
        <v>CPF 40 AVELLANEDA</v>
      </c>
      <c r="M71" s="37">
        <v>156.47999999999999</v>
      </c>
      <c r="N71" s="158"/>
      <c r="O71" s="76">
        <v>103097</v>
      </c>
      <c r="P71" s="76" t="s">
        <v>683</v>
      </c>
      <c r="Q71" s="77">
        <v>46036</v>
      </c>
      <c r="R71" s="78" t="s">
        <v>42</v>
      </c>
      <c r="S71" s="36" t="str">
        <f>VLOOKUP(Tabla91116[[#This Row],[CODIGO DEL PRODUCTO]],Tabla797[],2,FALSE)</f>
        <v>ARENA FINA</v>
      </c>
      <c r="T71" s="37">
        <v>34.64</v>
      </c>
      <c r="U71" s="7">
        <v>46036</v>
      </c>
      <c r="V71" t="s">
        <v>696</v>
      </c>
      <c r="W71" t="s">
        <v>697</v>
      </c>
    </row>
    <row r="72" spans="8:23" x14ac:dyDescent="0.25">
      <c r="H72" s="34"/>
      <c r="I72" s="34" t="s">
        <v>53</v>
      </c>
      <c r="J72" s="35">
        <v>46043</v>
      </c>
      <c r="K72" s="36" t="s">
        <v>48</v>
      </c>
      <c r="L72" s="39" t="str">
        <f>VLOOKUP(Tabla81015[[#This Row],[CODIGO DEL PRODUCTO]],Tabla797[],2,FALSE)</f>
        <v>PIEDRA 6-12</v>
      </c>
      <c r="M72" s="37">
        <v>18.39</v>
      </c>
      <c r="N72" s="158"/>
      <c r="O72" s="76">
        <v>103104</v>
      </c>
      <c r="P72" s="76" t="s">
        <v>683</v>
      </c>
      <c r="Q72" s="77">
        <v>46036</v>
      </c>
      <c r="R72" s="78" t="s">
        <v>42</v>
      </c>
      <c r="S72" s="36" t="str">
        <f>VLOOKUP(Tabla91116[[#This Row],[CODIGO DEL PRODUCTO]],Tabla797[],2,FALSE)</f>
        <v>ARENA FINA</v>
      </c>
      <c r="T72" s="37">
        <v>36.36</v>
      </c>
    </row>
    <row r="73" spans="8:23" x14ac:dyDescent="0.25">
      <c r="H73" s="34"/>
      <c r="I73" s="34" t="s">
        <v>53</v>
      </c>
      <c r="J73" s="35">
        <v>46044</v>
      </c>
      <c r="K73" s="36" t="s">
        <v>43</v>
      </c>
      <c r="L73" s="39" t="str">
        <f>VLOOKUP(Tabla81015[[#This Row],[CODIGO DEL PRODUCTO]],Tabla797[],2,FALSE)</f>
        <v>PIEDRA 6-20</v>
      </c>
      <c r="M73" s="37">
        <v>454.38</v>
      </c>
      <c r="N73" s="158"/>
      <c r="O73" s="76">
        <v>103106</v>
      </c>
      <c r="P73" s="76" t="s">
        <v>683</v>
      </c>
      <c r="Q73" s="77">
        <v>46036</v>
      </c>
      <c r="R73" s="78" t="s">
        <v>42</v>
      </c>
      <c r="S73" s="36" t="str">
        <f>VLOOKUP(Tabla91116[[#This Row],[CODIGO DEL PRODUCTO]],Tabla797[],2,FALSE)</f>
        <v>ARENA FINA</v>
      </c>
      <c r="T73" s="37">
        <v>35.659999999999997</v>
      </c>
    </row>
    <row r="74" spans="8:23" x14ac:dyDescent="0.25">
      <c r="H74" s="34"/>
      <c r="I74" s="34" t="s">
        <v>53</v>
      </c>
      <c r="J74" s="35">
        <v>46046</v>
      </c>
      <c r="K74" s="36" t="s">
        <v>425</v>
      </c>
      <c r="L74" s="39" t="str">
        <f>VLOOKUP(Tabla81015[[#This Row],[CODIGO DEL PRODUCTO]],Tabla797[],2,FALSE)</f>
        <v>W351R</v>
      </c>
      <c r="M74" s="37">
        <v>0.89</v>
      </c>
      <c r="N74" s="158"/>
      <c r="O74" s="76">
        <v>107064</v>
      </c>
      <c r="P74" s="76" t="s">
        <v>684</v>
      </c>
      <c r="Q74" s="77">
        <v>46036</v>
      </c>
      <c r="R74" s="78" t="s">
        <v>48</v>
      </c>
      <c r="S74" s="36" t="str">
        <f>VLOOKUP(Tabla91116[[#This Row],[CODIGO DEL PRODUCTO]],Tabla797[],2,FALSE)</f>
        <v>PIEDRA 6-12</v>
      </c>
      <c r="T74" s="37">
        <v>35.159999999999997</v>
      </c>
    </row>
    <row r="75" spans="8:23" x14ac:dyDescent="0.25">
      <c r="H75" s="34">
        <v>16202</v>
      </c>
      <c r="I75" s="34" t="s">
        <v>712</v>
      </c>
      <c r="J75" s="35">
        <v>46048</v>
      </c>
      <c r="K75" s="36" t="s">
        <v>42</v>
      </c>
      <c r="L75" s="39" t="str">
        <f>VLOOKUP(Tabla81015[[#This Row],[CODIGO DEL PRODUCTO]],Tabla797[],2,FALSE)</f>
        <v>ARENA FINA</v>
      </c>
      <c r="M75" s="37">
        <v>3</v>
      </c>
      <c r="N75" s="158"/>
      <c r="O75" s="76">
        <v>107068</v>
      </c>
      <c r="P75" s="76" t="s">
        <v>684</v>
      </c>
      <c r="Q75" s="77">
        <v>46036</v>
      </c>
      <c r="R75" s="78" t="s">
        <v>40</v>
      </c>
      <c r="S75" s="36" t="str">
        <f>VLOOKUP(Tabla91116[[#This Row],[CODIGO DEL PRODUCTO]],Tabla797[],2,FALSE)</f>
        <v>PIEDRA 0-6</v>
      </c>
      <c r="T75" s="37">
        <v>34.5</v>
      </c>
    </row>
    <row r="76" spans="8:23" x14ac:dyDescent="0.25">
      <c r="H76" s="34">
        <v>16212</v>
      </c>
      <c r="I76" s="34" t="s">
        <v>707</v>
      </c>
      <c r="J76" s="35">
        <v>46048</v>
      </c>
      <c r="K76" s="36" t="s">
        <v>42</v>
      </c>
      <c r="L76" s="39" t="str">
        <f>VLOOKUP(Tabla81015[[#This Row],[CODIGO DEL PRODUCTO]],Tabla797[],2,FALSE)</f>
        <v>ARENA FINA</v>
      </c>
      <c r="M76" s="37">
        <v>1</v>
      </c>
      <c r="N76" s="158"/>
      <c r="O76" s="76">
        <v>107070</v>
      </c>
      <c r="P76" s="76" t="s">
        <v>684</v>
      </c>
      <c r="Q76" s="77">
        <v>46036</v>
      </c>
      <c r="R76" s="78" t="s">
        <v>43</v>
      </c>
      <c r="S76" s="36" t="str">
        <f>VLOOKUP(Tabla91116[[#This Row],[CODIGO DEL PRODUCTO]],Tabla797[],2,FALSE)</f>
        <v>PIEDRA 6-20</v>
      </c>
      <c r="T76" s="37">
        <v>34.36</v>
      </c>
    </row>
    <row r="77" spans="8:23" x14ac:dyDescent="0.25">
      <c r="H77" s="34">
        <v>16213</v>
      </c>
      <c r="I77" s="34" t="s">
        <v>661</v>
      </c>
      <c r="J77" s="35">
        <v>46048</v>
      </c>
      <c r="K77" s="36" t="s">
        <v>42</v>
      </c>
      <c r="L77" s="39" t="str">
        <f>VLOOKUP(Tabla81015[[#This Row],[CODIGO DEL PRODUCTO]],Tabla797[],2,FALSE)</f>
        <v>ARENA FINA</v>
      </c>
      <c r="M77" s="37">
        <v>3</v>
      </c>
      <c r="N77" s="158"/>
      <c r="O77" s="76">
        <v>107071</v>
      </c>
      <c r="P77" s="76" t="s">
        <v>684</v>
      </c>
      <c r="Q77" s="77">
        <v>46036</v>
      </c>
      <c r="R77" s="78" t="s">
        <v>40</v>
      </c>
      <c r="S77" s="36" t="str">
        <f>VLOOKUP(Tabla91116[[#This Row],[CODIGO DEL PRODUCTO]],Tabla797[],2,FALSE)</f>
        <v>PIEDRA 0-6</v>
      </c>
      <c r="T77" s="37">
        <v>34.74</v>
      </c>
    </row>
    <row r="78" spans="8:23" x14ac:dyDescent="0.25">
      <c r="H78" s="34">
        <v>16218</v>
      </c>
      <c r="I78" s="34" t="s">
        <v>681</v>
      </c>
      <c r="J78" s="35">
        <v>46048</v>
      </c>
      <c r="K78" s="36" t="s">
        <v>42</v>
      </c>
      <c r="L78" s="39" t="str">
        <f>VLOOKUP(Tabla81015[[#This Row],[CODIGO DEL PRODUCTO]],Tabla797[],2,FALSE)</f>
        <v>ARENA FINA</v>
      </c>
      <c r="M78" s="37">
        <v>3</v>
      </c>
      <c r="N78" s="158"/>
      <c r="O78" s="76">
        <v>107077</v>
      </c>
      <c r="P78" s="76" t="s">
        <v>684</v>
      </c>
      <c r="Q78" s="77">
        <v>46036</v>
      </c>
      <c r="R78" s="78" t="s">
        <v>40</v>
      </c>
      <c r="S78" s="36" t="str">
        <f>VLOOKUP(Tabla91116[[#This Row],[CODIGO DEL PRODUCTO]],Tabla797[],2,FALSE)</f>
        <v>PIEDRA 0-6</v>
      </c>
      <c r="T78" s="37">
        <v>34.64</v>
      </c>
    </row>
    <row r="79" spans="8:23" x14ac:dyDescent="0.25">
      <c r="H79" s="34">
        <v>16226</v>
      </c>
      <c r="I79" s="34" t="s">
        <v>646</v>
      </c>
      <c r="J79" s="35">
        <v>46049</v>
      </c>
      <c r="K79" s="36" t="s">
        <v>42</v>
      </c>
      <c r="L79" s="39" t="str">
        <f>VLOOKUP(Tabla81015[[#This Row],[CODIGO DEL PRODUCTO]],Tabla797[],2,FALSE)</f>
        <v>ARENA FINA</v>
      </c>
      <c r="M79" s="37">
        <v>3</v>
      </c>
      <c r="N79" s="158"/>
      <c r="O79" s="76">
        <v>107078</v>
      </c>
      <c r="P79" s="76" t="s">
        <v>684</v>
      </c>
      <c r="Q79" s="77">
        <v>46036</v>
      </c>
      <c r="R79" s="78" t="s">
        <v>43</v>
      </c>
      <c r="S79" s="36" t="str">
        <f>VLOOKUP(Tabla91116[[#This Row],[CODIGO DEL PRODUCTO]],Tabla797[],2,FALSE)</f>
        <v>PIEDRA 6-20</v>
      </c>
      <c r="T79" s="37">
        <v>34.68</v>
      </c>
    </row>
    <row r="80" spans="8:23" x14ac:dyDescent="0.25">
      <c r="H80" s="34">
        <v>16228</v>
      </c>
      <c r="I80" s="34" t="s">
        <v>708</v>
      </c>
      <c r="J80" s="35">
        <v>46049</v>
      </c>
      <c r="K80" s="36" t="s">
        <v>42</v>
      </c>
      <c r="L80" s="39" t="str">
        <f>VLOOKUP(Tabla81015[[#This Row],[CODIGO DEL PRODUCTO]],Tabla797[],2,FALSE)</f>
        <v>ARENA FINA</v>
      </c>
      <c r="M80" s="37">
        <v>2</v>
      </c>
      <c r="N80" s="158"/>
      <c r="O80" s="76">
        <v>150514</v>
      </c>
      <c r="P80" s="76" t="s">
        <v>679</v>
      </c>
      <c r="Q80" s="77">
        <v>46036</v>
      </c>
      <c r="R80" s="78" t="s">
        <v>43</v>
      </c>
      <c r="S80" s="36" t="str">
        <f>VLOOKUP(Tabla91116[[#This Row],[CODIGO DEL PRODUCTO]],Tabla797[],2,FALSE)</f>
        <v>PIEDRA 6-20</v>
      </c>
      <c r="T80" s="37">
        <v>35.14</v>
      </c>
    </row>
    <row r="81" spans="5:23" x14ac:dyDescent="0.25">
      <c r="H81" s="34"/>
      <c r="I81" s="34" t="s">
        <v>708</v>
      </c>
      <c r="J81" s="35">
        <v>46049</v>
      </c>
      <c r="K81" s="36" t="s">
        <v>43</v>
      </c>
      <c r="L81" s="39" t="str">
        <f>VLOOKUP(Tabla81015[[#This Row],[CODIGO DEL PRODUCTO]],Tabla797[],2,FALSE)</f>
        <v>PIEDRA 6-20</v>
      </c>
      <c r="M81" s="37">
        <v>2</v>
      </c>
      <c r="N81" s="158"/>
      <c r="O81" s="76">
        <v>2683139</v>
      </c>
      <c r="P81" s="76" t="s">
        <v>679</v>
      </c>
      <c r="Q81" s="77">
        <v>46036</v>
      </c>
      <c r="R81" s="78" t="s">
        <v>286</v>
      </c>
      <c r="S81" s="36" t="str">
        <f>VLOOKUP(Tabla91116[[#This Row],[CODIGO DEL PRODUCTO]],Tabla797[],2,FALSE)</f>
        <v>CPF 40 AVELLANEDA</v>
      </c>
      <c r="T81" s="37">
        <v>35.799999999999997</v>
      </c>
    </row>
    <row r="82" spans="5:23" x14ac:dyDescent="0.25">
      <c r="E82" t="s">
        <v>124</v>
      </c>
      <c r="H82" s="34">
        <v>16241</v>
      </c>
      <c r="I82" s="34" t="s">
        <v>681</v>
      </c>
      <c r="J82" s="35">
        <v>46049</v>
      </c>
      <c r="K82" s="36" t="s">
        <v>43</v>
      </c>
      <c r="L82" s="39" t="str">
        <f>VLOOKUP(Tabla81015[[#This Row],[CODIGO DEL PRODUCTO]],Tabla797[],2,FALSE)</f>
        <v>PIEDRA 6-20</v>
      </c>
      <c r="M82" s="37">
        <v>3</v>
      </c>
      <c r="N82" s="158"/>
      <c r="O82" s="76">
        <v>39522</v>
      </c>
      <c r="P82" s="76" t="s">
        <v>449</v>
      </c>
      <c r="Q82" s="77">
        <v>46037</v>
      </c>
      <c r="R82" s="78" t="s">
        <v>425</v>
      </c>
      <c r="S82" s="36" t="str">
        <f>VLOOKUP(Tabla91116[[#This Row],[CODIGO DEL PRODUCTO]],Tabla797[],2,FALSE)</f>
        <v>W351R</v>
      </c>
      <c r="T82" s="37">
        <v>2000</v>
      </c>
    </row>
    <row r="83" spans="5:23" x14ac:dyDescent="0.25">
      <c r="H83" s="34">
        <v>16247</v>
      </c>
      <c r="I83" s="34" t="s">
        <v>708</v>
      </c>
      <c r="J83" s="35">
        <v>46049</v>
      </c>
      <c r="K83" s="36" t="s">
        <v>42</v>
      </c>
      <c r="L83" s="39" t="str">
        <f>VLOOKUP(Tabla81015[[#This Row],[CODIGO DEL PRODUCTO]],Tabla797[],2,FALSE)</f>
        <v>ARENA FINA</v>
      </c>
      <c r="M83" s="37">
        <v>3</v>
      </c>
      <c r="N83" s="158"/>
      <c r="O83" s="76">
        <v>103107</v>
      </c>
      <c r="P83" s="76" t="s">
        <v>683</v>
      </c>
      <c r="Q83" s="77">
        <v>46037</v>
      </c>
      <c r="R83" s="78" t="s">
        <v>42</v>
      </c>
      <c r="S83" s="36" t="str">
        <f>VLOOKUP(Tabla91116[[#This Row],[CODIGO DEL PRODUCTO]],Tabla797[],2,FALSE)</f>
        <v>ARENA FINA</v>
      </c>
      <c r="T83" s="37">
        <v>35.68</v>
      </c>
      <c r="U83" s="7">
        <v>46037</v>
      </c>
      <c r="V83" t="s">
        <v>698</v>
      </c>
      <c r="W83" t="s">
        <v>699</v>
      </c>
    </row>
    <row r="84" spans="5:23" x14ac:dyDescent="0.25">
      <c r="H84" s="34"/>
      <c r="I84" s="34" t="s">
        <v>708</v>
      </c>
      <c r="J84" s="35">
        <v>46049</v>
      </c>
      <c r="K84" s="36" t="s">
        <v>43</v>
      </c>
      <c r="L84" s="39" t="str">
        <f>VLOOKUP(Tabla81015[[#This Row],[CODIGO DEL PRODUCTO]],Tabla797[],2,FALSE)</f>
        <v>PIEDRA 6-20</v>
      </c>
      <c r="M84" s="37">
        <v>1</v>
      </c>
      <c r="N84" s="158"/>
      <c r="O84" s="76">
        <v>103117</v>
      </c>
      <c r="P84" s="76" t="s">
        <v>683</v>
      </c>
      <c r="Q84" s="77">
        <v>46037</v>
      </c>
      <c r="R84" s="78" t="s">
        <v>42</v>
      </c>
      <c r="S84" s="36" t="str">
        <f>VLOOKUP(Tabla91116[[#This Row],[CODIGO DEL PRODUCTO]],Tabla797[],2,FALSE)</f>
        <v>ARENA FINA</v>
      </c>
      <c r="T84" s="37">
        <v>35.18</v>
      </c>
    </row>
    <row r="85" spans="5:23" x14ac:dyDescent="0.25">
      <c r="H85" s="34">
        <v>16258</v>
      </c>
      <c r="I85" s="34" t="s">
        <v>621</v>
      </c>
      <c r="J85" s="35">
        <v>46050</v>
      </c>
      <c r="K85" s="36" t="s">
        <v>42</v>
      </c>
      <c r="L85" s="39" t="str">
        <f>VLOOKUP(Tabla81015[[#This Row],[CODIGO DEL PRODUCTO]],Tabla797[],2,FALSE)</f>
        <v>ARENA FINA</v>
      </c>
      <c r="M85" s="37">
        <v>5</v>
      </c>
      <c r="N85" s="158"/>
      <c r="O85" s="76">
        <v>107083</v>
      </c>
      <c r="P85" s="76" t="s">
        <v>684</v>
      </c>
      <c r="Q85" s="77">
        <v>46037</v>
      </c>
      <c r="R85" s="78" t="s">
        <v>43</v>
      </c>
      <c r="S85" s="36" t="str">
        <f>VLOOKUP(Tabla91116[[#This Row],[CODIGO DEL PRODUCTO]],Tabla797[],2,FALSE)</f>
        <v>PIEDRA 6-20</v>
      </c>
      <c r="T85" s="37">
        <v>34.28</v>
      </c>
    </row>
    <row r="86" spans="5:23" x14ac:dyDescent="0.25">
      <c r="H86" s="34">
        <v>16263</v>
      </c>
      <c r="I86" s="34" t="s">
        <v>661</v>
      </c>
      <c r="J86" s="35">
        <v>46050</v>
      </c>
      <c r="K86" s="36" t="s">
        <v>42</v>
      </c>
      <c r="L86" s="39" t="str">
        <f>VLOOKUP(Tabla81015[[#This Row],[CODIGO DEL PRODUCTO]],Tabla797[],2,FALSE)</f>
        <v>ARENA FINA</v>
      </c>
      <c r="M86" s="37">
        <v>3</v>
      </c>
      <c r="N86" s="158"/>
      <c r="O86" s="76">
        <v>107084</v>
      </c>
      <c r="P86" s="76" t="s">
        <v>684</v>
      </c>
      <c r="Q86" s="77">
        <v>46037</v>
      </c>
      <c r="R86" s="78" t="s">
        <v>40</v>
      </c>
      <c r="S86" s="36" t="str">
        <f>VLOOKUP(Tabla91116[[#This Row],[CODIGO DEL PRODUCTO]],Tabla797[],2,FALSE)</f>
        <v>PIEDRA 0-6</v>
      </c>
      <c r="T86" s="37">
        <v>34.06</v>
      </c>
    </row>
    <row r="87" spans="5:23" x14ac:dyDescent="0.25">
      <c r="H87" s="34">
        <v>16264</v>
      </c>
      <c r="I87" s="34" t="s">
        <v>681</v>
      </c>
      <c r="J87" s="35">
        <v>46050</v>
      </c>
      <c r="K87" s="36" t="s">
        <v>42</v>
      </c>
      <c r="L87" s="39" t="str">
        <f>VLOOKUP(Tabla81015[[#This Row],[CODIGO DEL PRODUCTO]],Tabla797[],2,FALSE)</f>
        <v>ARENA FINA</v>
      </c>
      <c r="M87" s="37">
        <v>2</v>
      </c>
      <c r="N87" s="158"/>
      <c r="O87" s="76">
        <v>107089</v>
      </c>
      <c r="P87" s="76" t="s">
        <v>684</v>
      </c>
      <c r="Q87" s="77">
        <v>46037</v>
      </c>
      <c r="R87" s="78" t="s">
        <v>40</v>
      </c>
      <c r="S87" s="36" t="str">
        <f>VLOOKUP(Tabla91116[[#This Row],[CODIGO DEL PRODUCTO]],Tabla797[],2,FALSE)</f>
        <v>PIEDRA 0-6</v>
      </c>
      <c r="T87" s="37">
        <v>34.82</v>
      </c>
    </row>
    <row r="88" spans="5:23" x14ac:dyDescent="0.25">
      <c r="H88" s="34">
        <v>16265</v>
      </c>
      <c r="I88" s="34" t="s">
        <v>681</v>
      </c>
      <c r="J88" s="35">
        <v>46050</v>
      </c>
      <c r="K88" s="36" t="s">
        <v>42</v>
      </c>
      <c r="L88" s="39" t="str">
        <f>VLOOKUP(Tabla81015[[#This Row],[CODIGO DEL PRODUCTO]],Tabla797[],2,FALSE)</f>
        <v>ARENA FINA</v>
      </c>
      <c r="M88" s="37">
        <v>4</v>
      </c>
      <c r="N88" s="158"/>
      <c r="O88" s="76">
        <v>107091</v>
      </c>
      <c r="P88" s="76" t="s">
        <v>684</v>
      </c>
      <c r="Q88" s="77">
        <v>46037</v>
      </c>
      <c r="R88" s="78" t="s">
        <v>43</v>
      </c>
      <c r="S88" s="36" t="str">
        <f>VLOOKUP(Tabla91116[[#This Row],[CODIGO DEL PRODUCTO]],Tabla797[],2,FALSE)</f>
        <v>PIEDRA 6-20</v>
      </c>
      <c r="T88" s="37">
        <v>34.68</v>
      </c>
    </row>
    <row r="89" spans="5:23" x14ac:dyDescent="0.25">
      <c r="H89" s="34">
        <v>16279</v>
      </c>
      <c r="I89" s="34" t="s">
        <v>593</v>
      </c>
      <c r="J89" s="35">
        <v>46051</v>
      </c>
      <c r="K89" s="36" t="s">
        <v>42</v>
      </c>
      <c r="L89" s="39" t="str">
        <f>VLOOKUP(Tabla81015[[#This Row],[CODIGO DEL PRODUCTO]],Tabla797[],2,FALSE)</f>
        <v>ARENA FINA</v>
      </c>
      <c r="M89" s="37">
        <v>5</v>
      </c>
      <c r="N89" s="158"/>
      <c r="O89" s="76">
        <v>150607</v>
      </c>
      <c r="P89" s="76" t="s">
        <v>679</v>
      </c>
      <c r="Q89" s="77">
        <v>46037</v>
      </c>
      <c r="R89" s="78" t="s">
        <v>43</v>
      </c>
      <c r="S89" s="36" t="str">
        <f>VLOOKUP(Tabla91116[[#This Row],[CODIGO DEL PRODUCTO]],Tabla797[],2,FALSE)</f>
        <v>PIEDRA 6-20</v>
      </c>
      <c r="T89" s="37">
        <v>35.479999999999997</v>
      </c>
    </row>
    <row r="90" spans="5:23" x14ac:dyDescent="0.25">
      <c r="H90" s="34">
        <v>16283</v>
      </c>
      <c r="I90" s="34" t="s">
        <v>593</v>
      </c>
      <c r="J90" s="35">
        <v>46051</v>
      </c>
      <c r="K90" s="36" t="s">
        <v>372</v>
      </c>
      <c r="L90" s="39" t="str">
        <f>VLOOKUP(Tabla81015[[#This Row],[CODIGO DEL PRODUCTO]],Tabla797[],2,FALSE)</f>
        <v xml:space="preserve">ESTABILIZADO GRANULOMETRICO 0/20 </v>
      </c>
      <c r="M90" s="37">
        <v>5</v>
      </c>
      <c r="N90" s="158"/>
      <c r="O90" s="76">
        <v>150690</v>
      </c>
      <c r="P90" s="76" t="s">
        <v>679</v>
      </c>
      <c r="Q90" s="77">
        <v>46037</v>
      </c>
      <c r="R90" s="78" t="s">
        <v>46</v>
      </c>
      <c r="S90" s="36" t="str">
        <f>VLOOKUP(Tabla91116[[#This Row],[CODIGO DEL PRODUCTO]],Tabla797[],2,FALSE)</f>
        <v>PIEDRA 10-30</v>
      </c>
      <c r="T90" s="37">
        <v>36.1</v>
      </c>
    </row>
    <row r="91" spans="5:23" x14ac:dyDescent="0.25">
      <c r="H91" s="47">
        <v>16295</v>
      </c>
      <c r="I91" s="48" t="s">
        <v>480</v>
      </c>
      <c r="J91" s="153">
        <v>46051</v>
      </c>
      <c r="K91" s="151" t="s">
        <v>372</v>
      </c>
      <c r="L91" s="50" t="str">
        <f>VLOOKUP(Tabla81015[[#This Row],[CODIGO DEL PRODUCTO]],Tabla797[],2,FALSE)</f>
        <v xml:space="preserve">ESTABILIZADO GRANULOMETRICO 0/20 </v>
      </c>
      <c r="M91" s="51">
        <v>4</v>
      </c>
      <c r="N91" s="158"/>
      <c r="O91" s="79">
        <v>2683400</v>
      </c>
      <c r="P91" s="79" t="s">
        <v>679</v>
      </c>
      <c r="Q91" s="80">
        <v>46037</v>
      </c>
      <c r="R91" s="81" t="s">
        <v>286</v>
      </c>
      <c r="S91" s="151" t="str">
        <f>VLOOKUP(Tabla91116[[#This Row],[CODIGO DEL PRODUCTO]],Tabla797[],2,FALSE)</f>
        <v>CPF 40 AVELLANEDA</v>
      </c>
      <c r="T91" s="51">
        <v>36.020000000000003</v>
      </c>
      <c r="U91" s="7"/>
    </row>
    <row r="92" spans="5:23" x14ac:dyDescent="0.25">
      <c r="H92" s="34">
        <v>16298</v>
      </c>
      <c r="I92" s="34" t="s">
        <v>480</v>
      </c>
      <c r="J92" s="35">
        <v>46051</v>
      </c>
      <c r="K92" s="36" t="s">
        <v>42</v>
      </c>
      <c r="L92" s="39" t="str">
        <f>VLOOKUP(Tabla81015[[#This Row],[CODIGO DEL PRODUCTO]],Tabla797[],2,FALSE)</f>
        <v>ARENA FINA</v>
      </c>
      <c r="M92" s="37">
        <v>2</v>
      </c>
      <c r="N92" s="158"/>
      <c r="O92" s="76">
        <v>103121</v>
      </c>
      <c r="P92" s="76" t="s">
        <v>683</v>
      </c>
      <c r="Q92" s="77">
        <v>46038</v>
      </c>
      <c r="R92" s="78" t="s">
        <v>42</v>
      </c>
      <c r="S92" s="36" t="str">
        <f>VLOOKUP(Tabla91116[[#This Row],[CODIGO DEL PRODUCTO]],Tabla797[],2,FALSE)</f>
        <v>ARENA FINA</v>
      </c>
      <c r="T92" s="37">
        <v>33.979999999999997</v>
      </c>
      <c r="U92" s="7"/>
    </row>
    <row r="93" spans="5:23" x14ac:dyDescent="0.25">
      <c r="H93" s="34">
        <v>16320</v>
      </c>
      <c r="I93" s="34" t="s">
        <v>641</v>
      </c>
      <c r="J93" s="35">
        <v>46052</v>
      </c>
      <c r="K93" s="36" t="s">
        <v>42</v>
      </c>
      <c r="L93" s="39" t="str">
        <f>VLOOKUP(Tabla81015[[#This Row],[CODIGO DEL PRODUCTO]],Tabla797[],2,FALSE)</f>
        <v>ARENA FINA</v>
      </c>
      <c r="M93" s="37">
        <v>3</v>
      </c>
      <c r="N93" s="158"/>
      <c r="O93" s="76">
        <v>103123</v>
      </c>
      <c r="P93" s="76" t="s">
        <v>683</v>
      </c>
      <c r="Q93" s="77">
        <v>46038</v>
      </c>
      <c r="R93" s="78" t="s">
        <v>42</v>
      </c>
      <c r="S93" s="36" t="str">
        <f>VLOOKUP(Tabla91116[[#This Row],[CODIGO DEL PRODUCTO]],Tabla797[],2,FALSE)</f>
        <v>ARENA FINA</v>
      </c>
      <c r="T93" s="37">
        <v>34.9</v>
      </c>
    </row>
    <row r="94" spans="5:23" x14ac:dyDescent="0.25">
      <c r="H94" s="34"/>
      <c r="I94" s="34" t="s">
        <v>53</v>
      </c>
      <c r="J94" s="35">
        <v>46048</v>
      </c>
      <c r="K94" s="36" t="s">
        <v>42</v>
      </c>
      <c r="L94" s="39" t="str">
        <f>VLOOKUP(Tabla81015[[#This Row],[CODIGO DEL PRODUCTO]],Tabla797[],2,FALSE)</f>
        <v>ARENA FINA</v>
      </c>
      <c r="M94" s="37">
        <v>282.77</v>
      </c>
      <c r="N94" s="158"/>
      <c r="O94" s="76">
        <v>103126</v>
      </c>
      <c r="P94" s="76" t="s">
        <v>683</v>
      </c>
      <c r="Q94" s="77">
        <v>46038</v>
      </c>
      <c r="R94" s="78" t="s">
        <v>42</v>
      </c>
      <c r="S94" s="36" t="str">
        <f>VLOOKUP(Tabla91116[[#This Row],[CODIGO DEL PRODUCTO]],Tabla797[],2,FALSE)</f>
        <v>ARENA FINA</v>
      </c>
      <c r="T94" s="37">
        <v>35.020000000000003</v>
      </c>
    </row>
    <row r="95" spans="5:23" x14ac:dyDescent="0.25">
      <c r="H95" s="34"/>
      <c r="I95" s="34" t="s">
        <v>53</v>
      </c>
      <c r="J95" s="35">
        <v>46049</v>
      </c>
      <c r="K95" s="36" t="s">
        <v>40</v>
      </c>
      <c r="L95" s="39" t="str">
        <f>VLOOKUP(Tabla81015[[#This Row],[CODIGO DEL PRODUCTO]],Tabla797[],2,FALSE)</f>
        <v>PIEDRA 0-6</v>
      </c>
      <c r="M95" s="37">
        <v>183.61</v>
      </c>
      <c r="N95" s="158"/>
      <c r="O95" s="76">
        <v>219470</v>
      </c>
      <c r="P95" s="76" t="s">
        <v>516</v>
      </c>
      <c r="Q95" s="77">
        <v>46038</v>
      </c>
      <c r="R95" s="78" t="s">
        <v>43</v>
      </c>
      <c r="S95" s="36" t="str">
        <f>VLOOKUP(Tabla91116[[#This Row],[CODIGO DEL PRODUCTO]],Tabla797[],2,FALSE)</f>
        <v>PIEDRA 6-20</v>
      </c>
      <c r="T95" s="37">
        <v>35.58</v>
      </c>
    </row>
    <row r="96" spans="5:23" x14ac:dyDescent="0.25">
      <c r="H96" s="34"/>
      <c r="I96" s="34" t="s">
        <v>53</v>
      </c>
      <c r="J96" s="35">
        <v>46050</v>
      </c>
      <c r="K96" s="36" t="s">
        <v>286</v>
      </c>
      <c r="L96" s="39" t="str">
        <f>VLOOKUP(Tabla81015[[#This Row],[CODIGO DEL PRODUCTO]],Tabla797[],2,FALSE)</f>
        <v>CPF 40 AVELLANEDA</v>
      </c>
      <c r="M96" s="37">
        <v>134.44</v>
      </c>
      <c r="N96" s="158"/>
      <c r="O96" s="76">
        <v>107096</v>
      </c>
      <c r="P96" s="76" t="s">
        <v>684</v>
      </c>
      <c r="Q96" s="77">
        <v>46038</v>
      </c>
      <c r="R96" s="78" t="s">
        <v>43</v>
      </c>
      <c r="S96" s="36" t="str">
        <f>VLOOKUP(Tabla91116[[#This Row],[CODIGO DEL PRODUCTO]],Tabla797[],2,FALSE)</f>
        <v>PIEDRA 6-20</v>
      </c>
      <c r="T96" s="37">
        <v>34.799999999999997</v>
      </c>
    </row>
    <row r="97" spans="8:23" x14ac:dyDescent="0.25">
      <c r="H97" s="34"/>
      <c r="I97" s="34" t="s">
        <v>53</v>
      </c>
      <c r="J97" s="35">
        <v>46051</v>
      </c>
      <c r="K97" s="36" t="s">
        <v>48</v>
      </c>
      <c r="L97" s="39" t="str">
        <f>VLOOKUP(Tabla81015[[#This Row],[CODIGO DEL PRODUCTO]],Tabla797[],2,FALSE)</f>
        <v>PIEDRA 6-12</v>
      </c>
      <c r="M97" s="37">
        <v>26.94</v>
      </c>
      <c r="N97" s="158"/>
      <c r="O97" s="76">
        <v>107098</v>
      </c>
      <c r="P97" s="76" t="s">
        <v>684</v>
      </c>
      <c r="Q97" s="77">
        <v>46038</v>
      </c>
      <c r="R97" s="78" t="s">
        <v>40</v>
      </c>
      <c r="S97" s="36" t="str">
        <f>VLOOKUP(Tabla91116[[#This Row],[CODIGO DEL PRODUCTO]],Tabla797[],2,FALSE)</f>
        <v>PIEDRA 0-6</v>
      </c>
      <c r="T97" s="37">
        <v>34.54</v>
      </c>
    </row>
    <row r="98" spans="8:23" x14ac:dyDescent="0.25">
      <c r="H98" s="34"/>
      <c r="I98" s="34" t="s">
        <v>53</v>
      </c>
      <c r="J98" s="35">
        <v>46052</v>
      </c>
      <c r="K98" s="36" t="s">
        <v>43</v>
      </c>
      <c r="L98" s="39" t="str">
        <f>VLOOKUP(Tabla81015[[#This Row],[CODIGO DEL PRODUCTO]],Tabla797[],2,FALSE)</f>
        <v>PIEDRA 6-20</v>
      </c>
      <c r="M98" s="37">
        <v>448.37</v>
      </c>
      <c r="N98" s="158"/>
      <c r="O98" s="76">
        <v>107099</v>
      </c>
      <c r="P98" s="76" t="s">
        <v>684</v>
      </c>
      <c r="Q98" s="77">
        <v>46038</v>
      </c>
      <c r="R98" s="78" t="s">
        <v>40</v>
      </c>
      <c r="S98" s="36" t="str">
        <f>VLOOKUP(Tabla91116[[#This Row],[CODIGO DEL PRODUCTO]],Tabla797[],2,FALSE)</f>
        <v>PIEDRA 0-6</v>
      </c>
      <c r="T98" s="37">
        <v>34.700000000000003</v>
      </c>
    </row>
    <row r="99" spans="8:23" x14ac:dyDescent="0.25">
      <c r="H99" s="34"/>
      <c r="I99" s="34" t="s">
        <v>53</v>
      </c>
      <c r="J99" s="35">
        <v>46053</v>
      </c>
      <c r="K99" s="36" t="s">
        <v>425</v>
      </c>
      <c r="L99" s="39" t="str">
        <f>VLOOKUP(Tabla81015[[#This Row],[CODIGO DEL PRODUCTO]],Tabla797[],2,FALSE)</f>
        <v>W351R</v>
      </c>
      <c r="M99" s="37">
        <v>0.73</v>
      </c>
      <c r="N99" s="158"/>
      <c r="O99" s="76">
        <v>107100</v>
      </c>
      <c r="P99" s="76" t="s">
        <v>684</v>
      </c>
      <c r="Q99" s="77">
        <v>46038</v>
      </c>
      <c r="R99" s="78" t="s">
        <v>40</v>
      </c>
      <c r="S99" s="36" t="str">
        <f>VLOOKUP(Tabla91116[[#This Row],[CODIGO DEL PRODUCTO]],Tabla797[],2,FALSE)</f>
        <v>PIEDRA 0-6</v>
      </c>
      <c r="T99" s="37">
        <v>34.76</v>
      </c>
    </row>
    <row r="100" spans="8:23" x14ac:dyDescent="0.25">
      <c r="H100" s="34">
        <v>16330</v>
      </c>
      <c r="I100" s="34" t="s">
        <v>641</v>
      </c>
      <c r="J100" s="35">
        <v>46055</v>
      </c>
      <c r="K100" s="36" t="s">
        <v>43</v>
      </c>
      <c r="L100" s="39" t="str">
        <f>VLOOKUP(Tabla81015[[#This Row],[CODIGO DEL PRODUCTO]],Tabla797[],2,FALSE)</f>
        <v>PIEDRA 6-20</v>
      </c>
      <c r="M100" s="37">
        <v>3</v>
      </c>
      <c r="N100" s="158"/>
      <c r="O100" s="76">
        <v>107103</v>
      </c>
      <c r="P100" s="76" t="s">
        <v>684</v>
      </c>
      <c r="Q100" s="77">
        <v>46038</v>
      </c>
      <c r="R100" s="78" t="s">
        <v>43</v>
      </c>
      <c r="S100" s="36" t="str">
        <f>VLOOKUP(Tabla91116[[#This Row],[CODIGO DEL PRODUCTO]],Tabla797[],2,FALSE)</f>
        <v>PIEDRA 6-20</v>
      </c>
      <c r="T100" s="37">
        <v>35.159999999999997</v>
      </c>
    </row>
    <row r="101" spans="8:23" x14ac:dyDescent="0.25">
      <c r="H101" s="34">
        <v>16334</v>
      </c>
      <c r="I101" s="34" t="s">
        <v>719</v>
      </c>
      <c r="J101" s="35">
        <v>46055</v>
      </c>
      <c r="K101" s="36" t="s">
        <v>42</v>
      </c>
      <c r="L101" s="39" t="str">
        <f>VLOOKUP(Tabla81015[[#This Row],[CODIGO DEL PRODUCTO]],Tabla797[],2,FALSE)</f>
        <v>ARENA FINA</v>
      </c>
      <c r="M101" s="37">
        <v>1</v>
      </c>
      <c r="N101" s="158"/>
      <c r="O101" s="76">
        <v>150702</v>
      </c>
      <c r="P101" s="76" t="s">
        <v>679</v>
      </c>
      <c r="Q101" s="77">
        <v>46038</v>
      </c>
      <c r="R101" s="78" t="s">
        <v>43</v>
      </c>
      <c r="S101" s="36" t="str">
        <f>VLOOKUP(Tabla91116[[#This Row],[CODIGO DEL PRODUCTO]],Tabla797[],2,FALSE)</f>
        <v>PIEDRA 6-20</v>
      </c>
      <c r="T101" s="37">
        <v>35.78</v>
      </c>
    </row>
    <row r="102" spans="8:23" x14ac:dyDescent="0.25">
      <c r="H102" s="34">
        <v>16335</v>
      </c>
      <c r="I102" s="34" t="s">
        <v>626</v>
      </c>
      <c r="J102" s="35">
        <v>46055</v>
      </c>
      <c r="K102" s="36" t="s">
        <v>42</v>
      </c>
      <c r="L102" s="39" t="str">
        <f>VLOOKUP(Tabla81015[[#This Row],[CODIGO DEL PRODUCTO]],Tabla797[],2,FALSE)</f>
        <v>ARENA FINA</v>
      </c>
      <c r="M102" s="37">
        <v>4</v>
      </c>
      <c r="N102" s="158"/>
      <c r="O102" s="76">
        <v>2683666</v>
      </c>
      <c r="P102" s="76" t="s">
        <v>679</v>
      </c>
      <c r="Q102" s="77">
        <v>46038</v>
      </c>
      <c r="R102" s="78" t="s">
        <v>286</v>
      </c>
      <c r="S102" s="36" t="str">
        <f>VLOOKUP(Tabla91116[[#This Row],[CODIGO DEL PRODUCTO]],Tabla797[],2,FALSE)</f>
        <v>CPF 40 AVELLANEDA</v>
      </c>
      <c r="T102" s="37">
        <v>36</v>
      </c>
    </row>
    <row r="103" spans="8:23" x14ac:dyDescent="0.25">
      <c r="H103" s="34">
        <v>16341</v>
      </c>
      <c r="I103" s="34" t="s">
        <v>694</v>
      </c>
      <c r="J103" s="35">
        <v>46055</v>
      </c>
      <c r="K103" s="36" t="s">
        <v>42</v>
      </c>
      <c r="L103" s="39" t="str">
        <f>VLOOKUP(Tabla81015[[#This Row],[CODIGO DEL PRODUCTO]],Tabla797[],2,FALSE)</f>
        <v>ARENA FINA</v>
      </c>
      <c r="M103" s="37">
        <v>2</v>
      </c>
      <c r="N103" s="158"/>
      <c r="O103" s="76">
        <v>150803</v>
      </c>
      <c r="P103" s="76" t="s">
        <v>679</v>
      </c>
      <c r="Q103" s="77">
        <v>46039</v>
      </c>
      <c r="R103" s="78" t="s">
        <v>43</v>
      </c>
      <c r="S103" s="36" t="str">
        <f>VLOOKUP(Tabla91116[[#This Row],[CODIGO DEL PRODUCTO]],Tabla797[],2,FALSE)</f>
        <v>PIEDRA 6-20</v>
      </c>
      <c r="T103" s="37">
        <v>35.92</v>
      </c>
    </row>
    <row r="104" spans="8:23" x14ac:dyDescent="0.25">
      <c r="H104" s="34">
        <v>16342</v>
      </c>
      <c r="I104" s="34" t="s">
        <v>694</v>
      </c>
      <c r="J104" s="35">
        <v>46055</v>
      </c>
      <c r="K104" s="36" t="s">
        <v>372</v>
      </c>
      <c r="L104" s="39" t="str">
        <f>VLOOKUP(Tabla81015[[#This Row],[CODIGO DEL PRODUCTO]],Tabla797[],2,FALSE)</f>
        <v xml:space="preserve">ESTABILIZADO GRANULOMETRICO 0/20 </v>
      </c>
      <c r="M104" s="37">
        <v>4</v>
      </c>
      <c r="N104" s="158"/>
      <c r="O104" s="76">
        <v>150823</v>
      </c>
      <c r="P104" s="76" t="s">
        <v>679</v>
      </c>
      <c r="Q104" s="77">
        <v>46039</v>
      </c>
      <c r="R104" s="78" t="s">
        <v>43</v>
      </c>
      <c r="S104" s="36" t="str">
        <f>VLOOKUP(Tabla91116[[#This Row],[CODIGO DEL PRODUCTO]],Tabla797[],2,FALSE)</f>
        <v>PIEDRA 6-20</v>
      </c>
      <c r="T104" s="37">
        <v>35.72</v>
      </c>
    </row>
    <row r="105" spans="8:23" x14ac:dyDescent="0.25">
      <c r="H105" s="34">
        <v>16368</v>
      </c>
      <c r="I105" s="34" t="s">
        <v>720</v>
      </c>
      <c r="J105" s="35">
        <v>46056</v>
      </c>
      <c r="K105" s="36" t="s">
        <v>42</v>
      </c>
      <c r="L105" s="39" t="str">
        <f>VLOOKUP(Tabla81015[[#This Row],[CODIGO DEL PRODUCTO]],Tabla797[],2,FALSE)</f>
        <v>ARENA FINA</v>
      </c>
      <c r="M105" s="37">
        <v>1</v>
      </c>
      <c r="N105" s="158"/>
      <c r="O105" s="76">
        <v>150837</v>
      </c>
      <c r="P105" s="76" t="s">
        <v>679</v>
      </c>
      <c r="Q105" s="77">
        <v>46039</v>
      </c>
      <c r="R105" s="78" t="s">
        <v>43</v>
      </c>
      <c r="S105" s="36" t="str">
        <f>VLOOKUP(Tabla91116[[#This Row],[CODIGO DEL PRODUCTO]],Tabla797[],2,FALSE)</f>
        <v>PIEDRA 6-20</v>
      </c>
      <c r="T105" s="37">
        <v>35.5</v>
      </c>
    </row>
    <row r="106" spans="8:23" x14ac:dyDescent="0.25">
      <c r="H106" s="34">
        <v>16411</v>
      </c>
      <c r="I106" s="34" t="s">
        <v>601</v>
      </c>
      <c r="J106" s="35">
        <v>46058</v>
      </c>
      <c r="K106" s="36" t="s">
        <v>42</v>
      </c>
      <c r="L106" s="39" t="str">
        <f>VLOOKUP(Tabla81015[[#This Row],[CODIGO DEL PRODUCTO]],Tabla797[],2,FALSE)</f>
        <v>ARENA FINA</v>
      </c>
      <c r="M106" s="37">
        <v>6</v>
      </c>
      <c r="N106" s="158"/>
      <c r="O106" s="76">
        <v>2683808</v>
      </c>
      <c r="P106" s="76" t="s">
        <v>679</v>
      </c>
      <c r="Q106" s="77">
        <v>46039</v>
      </c>
      <c r="R106" s="78" t="s">
        <v>286</v>
      </c>
      <c r="S106" s="36" t="str">
        <f>VLOOKUP(Tabla91116[[#This Row],[CODIGO DEL PRODUCTO]],Tabla797[],2,FALSE)</f>
        <v>CPF 40 AVELLANEDA</v>
      </c>
      <c r="T106" s="37">
        <v>35.799999999999997</v>
      </c>
    </row>
    <row r="107" spans="8:23" x14ac:dyDescent="0.25">
      <c r="H107" s="34"/>
      <c r="I107" s="34" t="s">
        <v>601</v>
      </c>
      <c r="J107" s="35">
        <v>46058</v>
      </c>
      <c r="K107" s="36" t="s">
        <v>43</v>
      </c>
      <c r="L107" s="39" t="str">
        <f>VLOOKUP(Tabla81015[[#This Row],[CODIGO DEL PRODUCTO]],Tabla797[],2,FALSE)</f>
        <v>PIEDRA 6-20</v>
      </c>
      <c r="M107" s="37">
        <v>2</v>
      </c>
      <c r="N107" s="158"/>
      <c r="O107" s="76">
        <v>103132</v>
      </c>
      <c r="P107" s="76" t="s">
        <v>683</v>
      </c>
      <c r="Q107" s="77">
        <v>46041</v>
      </c>
      <c r="R107" s="78" t="s">
        <v>42</v>
      </c>
      <c r="S107" s="36" t="str">
        <f>VLOOKUP(Tabla91116[[#This Row],[CODIGO DEL PRODUCTO]],Tabla797[],2,FALSE)</f>
        <v>ARENA FINA</v>
      </c>
      <c r="T107" s="37">
        <v>34.119999999999997</v>
      </c>
      <c r="U107" s="7">
        <v>46041</v>
      </c>
      <c r="V107" t="s">
        <v>700</v>
      </c>
      <c r="W107" t="s">
        <v>701</v>
      </c>
    </row>
    <row r="108" spans="8:23" x14ac:dyDescent="0.25">
      <c r="H108" s="34">
        <v>16426</v>
      </c>
      <c r="I108" s="34" t="s">
        <v>601</v>
      </c>
      <c r="J108" s="35">
        <v>46058</v>
      </c>
      <c r="K108" s="36" t="s">
        <v>42</v>
      </c>
      <c r="L108" s="39" t="str">
        <f>VLOOKUP(Tabla81015[[#This Row],[CODIGO DEL PRODUCTO]],Tabla797[],2,FALSE)</f>
        <v>ARENA FINA</v>
      </c>
      <c r="M108" s="37">
        <v>9</v>
      </c>
      <c r="N108" s="158"/>
      <c r="O108" s="76">
        <v>103138</v>
      </c>
      <c r="P108" s="76" t="s">
        <v>683</v>
      </c>
      <c r="Q108" s="77">
        <v>46041</v>
      </c>
      <c r="R108" s="78" t="s">
        <v>42</v>
      </c>
      <c r="S108" s="36" t="str">
        <f>VLOOKUP(Tabla91116[[#This Row],[CODIGO DEL PRODUCTO]],Tabla797[],2,FALSE)</f>
        <v>ARENA FINA</v>
      </c>
      <c r="T108" s="37">
        <v>36.4</v>
      </c>
    </row>
    <row r="109" spans="8:23" x14ac:dyDescent="0.25">
      <c r="H109" s="34"/>
      <c r="I109" s="34" t="s">
        <v>601</v>
      </c>
      <c r="J109" s="35">
        <v>46058</v>
      </c>
      <c r="K109" s="36" t="s">
        <v>43</v>
      </c>
      <c r="L109" s="39" t="str">
        <f>VLOOKUP(Tabla81015[[#This Row],[CODIGO DEL PRODUCTO]],Tabla797[],2,FALSE)</f>
        <v>PIEDRA 6-20</v>
      </c>
      <c r="M109" s="37">
        <v>10</v>
      </c>
      <c r="N109" s="158"/>
      <c r="O109" s="76">
        <v>103141</v>
      </c>
      <c r="P109" s="76" t="s">
        <v>683</v>
      </c>
      <c r="Q109" s="77">
        <v>46041</v>
      </c>
      <c r="R109" s="78" t="s">
        <v>42</v>
      </c>
      <c r="S109" s="36" t="str">
        <f>VLOOKUP(Tabla91116[[#This Row],[CODIGO DEL PRODUCTO]],Tabla797[],2,FALSE)</f>
        <v>ARENA FINA</v>
      </c>
      <c r="T109" s="37">
        <v>35.299999999999997</v>
      </c>
    </row>
    <row r="110" spans="8:23" x14ac:dyDescent="0.25">
      <c r="H110" s="34">
        <v>16431</v>
      </c>
      <c r="I110" s="34" t="s">
        <v>723</v>
      </c>
      <c r="J110" s="35">
        <v>46059</v>
      </c>
      <c r="K110" s="36" t="s">
        <v>42</v>
      </c>
      <c r="L110" s="39" t="str">
        <f>VLOOKUP(Tabla81015[[#This Row],[CODIGO DEL PRODUCTO]],Tabla797[],2,FALSE)</f>
        <v>ARENA FINA</v>
      </c>
      <c r="M110" s="37">
        <v>2</v>
      </c>
      <c r="N110" s="158"/>
      <c r="O110" s="76">
        <v>107109</v>
      </c>
      <c r="P110" s="76" t="s">
        <v>684</v>
      </c>
      <c r="Q110" s="77">
        <v>46041</v>
      </c>
      <c r="R110" s="78" t="s">
        <v>40</v>
      </c>
      <c r="S110" s="36" t="str">
        <f>VLOOKUP(Tabla91116[[#This Row],[CODIGO DEL PRODUCTO]],Tabla797[],2,FALSE)</f>
        <v>PIEDRA 0-6</v>
      </c>
      <c r="T110" s="37">
        <v>34.82</v>
      </c>
    </row>
    <row r="111" spans="8:23" x14ac:dyDescent="0.25">
      <c r="H111" s="34"/>
      <c r="I111" s="34" t="s">
        <v>723</v>
      </c>
      <c r="J111" s="35">
        <v>46059</v>
      </c>
      <c r="K111" s="36" t="s">
        <v>372</v>
      </c>
      <c r="L111" s="39" t="str">
        <f>VLOOKUP(Tabla81015[[#This Row],[CODIGO DEL PRODUCTO]],Tabla797[],2,FALSE)</f>
        <v xml:space="preserve">ESTABILIZADO GRANULOMETRICO 0/20 </v>
      </c>
      <c r="M111" s="37">
        <v>3</v>
      </c>
      <c r="N111" s="158"/>
      <c r="O111" s="76">
        <v>107110</v>
      </c>
      <c r="P111" s="76" t="s">
        <v>684</v>
      </c>
      <c r="Q111" s="77">
        <v>46041</v>
      </c>
      <c r="R111" s="78" t="s">
        <v>43</v>
      </c>
      <c r="S111" s="36" t="str">
        <f>VLOOKUP(Tabla91116[[#This Row],[CODIGO DEL PRODUCTO]],Tabla797[],2,FALSE)</f>
        <v>PIEDRA 6-20</v>
      </c>
      <c r="T111" s="37">
        <v>34.26</v>
      </c>
    </row>
    <row r="112" spans="8:23" x14ac:dyDescent="0.25">
      <c r="H112" s="34">
        <v>16435</v>
      </c>
      <c r="I112" s="34" t="s">
        <v>618</v>
      </c>
      <c r="J112" s="35">
        <v>46059</v>
      </c>
      <c r="K112" s="36" t="s">
        <v>42</v>
      </c>
      <c r="L112" s="39" t="str">
        <f>VLOOKUP(Tabla81015[[#This Row],[CODIGO DEL PRODUCTO]],Tabla797[],2,FALSE)</f>
        <v>ARENA FINA</v>
      </c>
      <c r="M112" s="37">
        <v>5</v>
      </c>
      <c r="N112" s="158"/>
      <c r="O112" s="76">
        <v>107115</v>
      </c>
      <c r="P112" s="76" t="s">
        <v>684</v>
      </c>
      <c r="Q112" s="77">
        <v>46041</v>
      </c>
      <c r="R112" s="78" t="s">
        <v>40</v>
      </c>
      <c r="S112" s="36" t="str">
        <f>VLOOKUP(Tabla91116[[#This Row],[CODIGO DEL PRODUCTO]],Tabla797[],2,FALSE)</f>
        <v>PIEDRA 0-6</v>
      </c>
      <c r="T112" s="37">
        <v>34.619999999999997</v>
      </c>
    </row>
    <row r="113" spans="8:21" x14ac:dyDescent="0.25">
      <c r="H113" s="34">
        <v>16459</v>
      </c>
      <c r="I113" s="34" t="s">
        <v>724</v>
      </c>
      <c r="J113" s="35">
        <v>46059</v>
      </c>
      <c r="K113" s="36" t="s">
        <v>42</v>
      </c>
      <c r="L113" s="39" t="str">
        <f>VLOOKUP(Tabla81015[[#This Row],[CODIGO DEL PRODUCTO]],Tabla797[],2,FALSE)</f>
        <v>ARENA FINA</v>
      </c>
      <c r="M113" s="37">
        <v>1</v>
      </c>
      <c r="N113" s="158"/>
      <c r="O113" s="76">
        <v>107119</v>
      </c>
      <c r="P113" s="76" t="s">
        <v>684</v>
      </c>
      <c r="Q113" s="77">
        <v>46041</v>
      </c>
      <c r="R113" s="78" t="s">
        <v>43</v>
      </c>
      <c r="S113" s="36" t="str">
        <f>VLOOKUP(Tabla91116[[#This Row],[CODIGO DEL PRODUCTO]],Tabla797[],2,FALSE)</f>
        <v>PIEDRA 6-20</v>
      </c>
      <c r="T113" s="37">
        <v>34.64</v>
      </c>
    </row>
    <row r="114" spans="8:21" x14ac:dyDescent="0.25">
      <c r="H114" s="34">
        <v>16469</v>
      </c>
      <c r="I114" s="34" t="s">
        <v>724</v>
      </c>
      <c r="J114" s="35">
        <v>46060</v>
      </c>
      <c r="K114" s="36" t="s">
        <v>42</v>
      </c>
      <c r="L114" s="39" t="str">
        <f>VLOOKUP(Tabla81015[[#This Row],[CODIGO DEL PRODUCTO]],Tabla797[],2,FALSE)</f>
        <v>ARENA FINA</v>
      </c>
      <c r="M114" s="37">
        <v>4</v>
      </c>
      <c r="N114" s="158"/>
      <c r="O114" s="76">
        <v>2684199</v>
      </c>
      <c r="P114" s="76" t="s">
        <v>679</v>
      </c>
      <c r="Q114" s="77">
        <v>46041</v>
      </c>
      <c r="R114" s="78" t="s">
        <v>286</v>
      </c>
      <c r="S114" s="36" t="str">
        <f>VLOOKUP(Tabla91116[[#This Row],[CODIGO DEL PRODUCTO]],Tabla797[],2,FALSE)</f>
        <v>CPF 40 AVELLANEDA</v>
      </c>
      <c r="T114" s="37">
        <v>36.46</v>
      </c>
    </row>
    <row r="115" spans="8:21" x14ac:dyDescent="0.25">
      <c r="H115" s="34"/>
      <c r="I115" s="34" t="s">
        <v>724</v>
      </c>
      <c r="J115" s="35">
        <v>46060</v>
      </c>
      <c r="K115" s="36" t="s">
        <v>43</v>
      </c>
      <c r="L115" s="39" t="str">
        <f>VLOOKUP(Tabla81015[[#This Row],[CODIGO DEL PRODUCTO]],Tabla797[],2,FALSE)</f>
        <v>PIEDRA 6-20</v>
      </c>
      <c r="M115" s="37">
        <v>2</v>
      </c>
      <c r="N115" s="158"/>
      <c r="O115" s="76">
        <v>103148</v>
      </c>
      <c r="P115" s="76" t="s">
        <v>683</v>
      </c>
      <c r="Q115" s="77">
        <v>46042</v>
      </c>
      <c r="R115" s="78" t="s">
        <v>42</v>
      </c>
      <c r="S115" s="36" t="str">
        <f>VLOOKUP(Tabla91116[[#This Row],[CODIGO DEL PRODUCTO]],Tabla797[],2,FALSE)</f>
        <v>ARENA FINA</v>
      </c>
      <c r="T115" s="37">
        <v>36.380000000000003</v>
      </c>
    </row>
    <row r="116" spans="8:21" x14ac:dyDescent="0.25">
      <c r="H116" s="34"/>
      <c r="I116" s="34" t="s">
        <v>53</v>
      </c>
      <c r="J116" s="35">
        <v>46055</v>
      </c>
      <c r="K116" s="36" t="s">
        <v>42</v>
      </c>
      <c r="L116" s="39" t="str">
        <f>VLOOKUP(Tabla81015[[#This Row],[CODIGO DEL PRODUCTO]],Tabla797[],2,FALSE)</f>
        <v>ARENA FINA</v>
      </c>
      <c r="M116" s="37">
        <v>437.32</v>
      </c>
      <c r="N116" s="158"/>
      <c r="O116" s="76">
        <v>103154</v>
      </c>
      <c r="P116" s="76" t="s">
        <v>683</v>
      </c>
      <c r="Q116" s="77">
        <v>46042</v>
      </c>
      <c r="R116" s="78" t="s">
        <v>42</v>
      </c>
      <c r="S116" s="36" t="str">
        <f>VLOOKUP(Tabla91116[[#This Row],[CODIGO DEL PRODUCTO]],Tabla797[],2,FALSE)</f>
        <v>ARENA FINA</v>
      </c>
      <c r="T116" s="37">
        <v>36.54</v>
      </c>
    </row>
    <row r="117" spans="8:21" x14ac:dyDescent="0.25">
      <c r="H117" s="34"/>
      <c r="I117" s="34" t="s">
        <v>53</v>
      </c>
      <c r="J117" s="35">
        <v>46056</v>
      </c>
      <c r="K117" s="36" t="s">
        <v>40</v>
      </c>
      <c r="L117" s="39" t="str">
        <f>VLOOKUP(Tabla81015[[#This Row],[CODIGO DEL PRODUCTO]],Tabla797[],2,FALSE)</f>
        <v>PIEDRA 0-6</v>
      </c>
      <c r="M117" s="37">
        <v>285.48</v>
      </c>
      <c r="N117" s="158"/>
      <c r="O117" s="76">
        <v>103160</v>
      </c>
      <c r="P117" s="76" t="s">
        <v>683</v>
      </c>
      <c r="Q117" s="77">
        <v>46042</v>
      </c>
      <c r="R117" s="78" t="s">
        <v>42</v>
      </c>
      <c r="S117" s="36" t="str">
        <f>VLOOKUP(Tabla91116[[#This Row],[CODIGO DEL PRODUCTO]],Tabla797[],2,FALSE)</f>
        <v>ARENA FINA</v>
      </c>
      <c r="T117" s="37">
        <v>36.020000000000003</v>
      </c>
    </row>
    <row r="118" spans="8:21" x14ac:dyDescent="0.25">
      <c r="H118" s="34"/>
      <c r="I118" s="34" t="s">
        <v>53</v>
      </c>
      <c r="J118" s="35">
        <v>46057</v>
      </c>
      <c r="K118" s="36" t="s">
        <v>286</v>
      </c>
      <c r="L118" s="39" t="str">
        <f>VLOOKUP(Tabla81015[[#This Row],[CODIGO DEL PRODUCTO]],Tabla797[],2,FALSE)</f>
        <v>CPF 40 AVELLANEDA</v>
      </c>
      <c r="M118" s="37">
        <v>195.81</v>
      </c>
      <c r="N118" s="158"/>
      <c r="O118" s="76">
        <v>107122</v>
      </c>
      <c r="P118" s="76" t="s">
        <v>684</v>
      </c>
      <c r="Q118" s="77">
        <v>46042</v>
      </c>
      <c r="R118" s="78" t="s">
        <v>40</v>
      </c>
      <c r="S118" s="36" t="str">
        <f>VLOOKUP(Tabla91116[[#This Row],[CODIGO DEL PRODUCTO]],Tabla797[],2,FALSE)</f>
        <v>PIEDRA 0-6</v>
      </c>
      <c r="T118" s="37">
        <v>34.92</v>
      </c>
    </row>
    <row r="119" spans="8:21" x14ac:dyDescent="0.25">
      <c r="H119" s="34"/>
      <c r="I119" s="34" t="s">
        <v>53</v>
      </c>
      <c r="J119" s="35">
        <v>46058</v>
      </c>
      <c r="K119" s="36" t="s">
        <v>48</v>
      </c>
      <c r="L119" s="39" t="str">
        <f>VLOOKUP(Tabla81015[[#This Row],[CODIGO DEL PRODUCTO]],Tabla797[],2,FALSE)</f>
        <v>PIEDRA 6-12</v>
      </c>
      <c r="M119" s="37">
        <v>23.47</v>
      </c>
      <c r="N119" s="158"/>
      <c r="O119" s="76">
        <v>107123</v>
      </c>
      <c r="P119" s="76" t="s">
        <v>684</v>
      </c>
      <c r="Q119" s="77">
        <v>46042</v>
      </c>
      <c r="R119" s="78" t="s">
        <v>43</v>
      </c>
      <c r="S119" s="36" t="str">
        <f>VLOOKUP(Tabla91116[[#This Row],[CODIGO DEL PRODUCTO]],Tabla797[],2,FALSE)</f>
        <v>PIEDRA 6-20</v>
      </c>
      <c r="T119" s="37">
        <v>34.380000000000003</v>
      </c>
    </row>
    <row r="120" spans="8:21" x14ac:dyDescent="0.25">
      <c r="H120" s="34"/>
      <c r="I120" s="34" t="s">
        <v>53</v>
      </c>
      <c r="J120" s="35">
        <v>46059</v>
      </c>
      <c r="K120" s="36" t="s">
        <v>43</v>
      </c>
      <c r="L120" s="39" t="str">
        <f>VLOOKUP(Tabla81015[[#This Row],[CODIGO DEL PRODUCTO]],Tabla797[],2,FALSE)</f>
        <v>PIEDRA 6-20</v>
      </c>
      <c r="M120" s="37">
        <v>572.98</v>
      </c>
      <c r="N120" s="158"/>
      <c r="O120" s="76">
        <v>107130</v>
      </c>
      <c r="P120" s="76" t="s">
        <v>684</v>
      </c>
      <c r="Q120" s="77">
        <v>46042</v>
      </c>
      <c r="R120" s="78" t="s">
        <v>40</v>
      </c>
      <c r="S120" s="36" t="str">
        <f>VLOOKUP(Tabla91116[[#This Row],[CODIGO DEL PRODUCTO]],Tabla797[],2,FALSE)</f>
        <v>PIEDRA 0-6</v>
      </c>
      <c r="T120" s="37">
        <v>35.58</v>
      </c>
    </row>
    <row r="121" spans="8:21" x14ac:dyDescent="0.25">
      <c r="H121" s="34"/>
      <c r="I121" s="34" t="s">
        <v>53</v>
      </c>
      <c r="J121" s="35">
        <v>46060</v>
      </c>
      <c r="K121" s="36" t="s">
        <v>425</v>
      </c>
      <c r="L121" s="39" t="str">
        <f>VLOOKUP(Tabla81015[[#This Row],[CODIGO DEL PRODUCTO]],Tabla797[],2,FALSE)</f>
        <v>W351R</v>
      </c>
      <c r="M121" s="72">
        <v>1.1200000000000001</v>
      </c>
      <c r="N121" s="158"/>
      <c r="O121" s="76">
        <v>107131</v>
      </c>
      <c r="P121" s="76" t="s">
        <v>684</v>
      </c>
      <c r="Q121" s="77">
        <v>46042</v>
      </c>
      <c r="R121" s="78" t="s">
        <v>43</v>
      </c>
      <c r="S121" s="36" t="str">
        <f>VLOOKUP(Tabla91116[[#This Row],[CODIGO DEL PRODUCTO]],Tabla797[],2,FALSE)</f>
        <v>PIEDRA 6-20</v>
      </c>
      <c r="T121" s="37">
        <v>35.5</v>
      </c>
    </row>
    <row r="122" spans="8:21" x14ac:dyDescent="0.25">
      <c r="H122" s="34">
        <v>16509</v>
      </c>
      <c r="I122" s="34" t="s">
        <v>519</v>
      </c>
      <c r="J122" s="35">
        <v>46062</v>
      </c>
      <c r="K122" s="36" t="s">
        <v>42</v>
      </c>
      <c r="L122" s="39" t="str">
        <f>VLOOKUP(Tabla81015[[#This Row],[CODIGO DEL PRODUCTO]],Tabla797[],2,FALSE)</f>
        <v>ARENA FINA</v>
      </c>
      <c r="M122" s="37">
        <v>4</v>
      </c>
      <c r="N122" s="158"/>
      <c r="O122" s="76">
        <v>150960</v>
      </c>
      <c r="P122" s="76" t="s">
        <v>679</v>
      </c>
      <c r="Q122" s="77">
        <v>46042</v>
      </c>
      <c r="R122" s="78" t="s">
        <v>43</v>
      </c>
      <c r="S122" s="36" t="str">
        <f>VLOOKUP(Tabla91116[[#This Row],[CODIGO DEL PRODUCTO]],Tabla797[],2,FALSE)</f>
        <v>PIEDRA 6-20</v>
      </c>
      <c r="T122" s="37">
        <v>36.26</v>
      </c>
    </row>
    <row r="123" spans="8:21" x14ac:dyDescent="0.25">
      <c r="H123" s="34">
        <v>16531</v>
      </c>
      <c r="I123" s="34" t="s">
        <v>621</v>
      </c>
      <c r="J123" s="35">
        <v>46063</v>
      </c>
      <c r="K123" s="36" t="s">
        <v>42</v>
      </c>
      <c r="L123" s="39" t="str">
        <f>VLOOKUP(Tabla81015[[#This Row],[CODIGO DEL PRODUCTO]],Tabla797[],2,FALSE)</f>
        <v>ARENA FINA</v>
      </c>
      <c r="M123" s="37">
        <v>5</v>
      </c>
      <c r="N123" s="158"/>
      <c r="O123" s="76">
        <v>2684456</v>
      </c>
      <c r="P123" s="76" t="s">
        <v>679</v>
      </c>
      <c r="Q123" s="77">
        <v>46042</v>
      </c>
      <c r="R123" s="78" t="s">
        <v>286</v>
      </c>
      <c r="S123" s="36" t="str">
        <f>VLOOKUP(Tabla91116[[#This Row],[CODIGO DEL PRODUCTO]],Tabla797[],2,FALSE)</f>
        <v>CPF 40 AVELLANEDA</v>
      </c>
      <c r="T123" s="37">
        <v>36.28</v>
      </c>
    </row>
    <row r="124" spans="8:21" x14ac:dyDescent="0.25">
      <c r="H124" s="34">
        <v>16540</v>
      </c>
      <c r="I124" s="34" t="s">
        <v>621</v>
      </c>
      <c r="J124" s="35">
        <v>46063</v>
      </c>
      <c r="K124" s="36" t="s">
        <v>42</v>
      </c>
      <c r="L124" s="39" t="str">
        <f>VLOOKUP(Tabla81015[[#This Row],[CODIGO DEL PRODUCTO]],Tabla797[],2,FALSE)</f>
        <v>ARENA FINA</v>
      </c>
      <c r="M124" s="37">
        <v>5</v>
      </c>
      <c r="N124" s="158"/>
      <c r="O124" s="76">
        <v>103171</v>
      </c>
      <c r="P124" s="76" t="s">
        <v>683</v>
      </c>
      <c r="Q124" s="77">
        <v>46043</v>
      </c>
      <c r="R124" s="78" t="s">
        <v>42</v>
      </c>
      <c r="S124" s="36" t="str">
        <f>VLOOKUP(Tabla91116[[#This Row],[CODIGO DEL PRODUCTO]],Tabla797[],2,FALSE)</f>
        <v>ARENA FINA</v>
      </c>
      <c r="T124" s="37">
        <v>35.299999999999997</v>
      </c>
    </row>
    <row r="125" spans="8:21" x14ac:dyDescent="0.25">
      <c r="H125" s="34">
        <v>16576</v>
      </c>
      <c r="I125" s="34" t="s">
        <v>708</v>
      </c>
      <c r="J125" s="35">
        <v>46064</v>
      </c>
      <c r="K125" s="36" t="s">
        <v>42</v>
      </c>
      <c r="L125" s="39" t="str">
        <f>VLOOKUP(Tabla81015[[#This Row],[CODIGO DEL PRODUCTO]],Tabla797[],2,FALSE)</f>
        <v>ARENA FINA</v>
      </c>
      <c r="M125" s="37">
        <v>2</v>
      </c>
      <c r="N125" s="158"/>
      <c r="O125" s="76">
        <v>103164</v>
      </c>
      <c r="P125" s="76" t="s">
        <v>683</v>
      </c>
      <c r="Q125" s="77">
        <v>46043</v>
      </c>
      <c r="R125" s="78" t="s">
        <v>42</v>
      </c>
      <c r="S125" s="36" t="str">
        <f>VLOOKUP(Tabla91116[[#This Row],[CODIGO DEL PRODUCTO]],Tabla797[],2,FALSE)</f>
        <v>ARENA FINA</v>
      </c>
      <c r="T125" s="37">
        <v>35.96</v>
      </c>
      <c r="U125" s="7"/>
    </row>
    <row r="126" spans="8:21" x14ac:dyDescent="0.25">
      <c r="H126" s="34"/>
      <c r="I126" s="34" t="s">
        <v>708</v>
      </c>
      <c r="J126" s="35">
        <v>46064</v>
      </c>
      <c r="K126" s="36" t="s">
        <v>43</v>
      </c>
      <c r="L126" s="39" t="str">
        <f>VLOOKUP(Tabla81015[[#This Row],[CODIGO DEL PRODUCTO]],Tabla797[],2,FALSE)</f>
        <v>PIEDRA 6-20</v>
      </c>
      <c r="M126" s="37">
        <v>2</v>
      </c>
      <c r="N126" s="158"/>
      <c r="O126" s="76">
        <v>219624</v>
      </c>
      <c r="P126" s="76" t="s">
        <v>516</v>
      </c>
      <c r="Q126" s="77">
        <v>46043</v>
      </c>
      <c r="R126" s="78" t="s">
        <v>43</v>
      </c>
      <c r="S126" s="36" t="str">
        <f>VLOOKUP(Tabla91116[[#This Row],[CODIGO DEL PRODUCTO]],Tabla797[],2,FALSE)</f>
        <v>PIEDRA 6-20</v>
      </c>
      <c r="T126" s="37">
        <v>34.92</v>
      </c>
    </row>
    <row r="127" spans="8:21" x14ac:dyDescent="0.25">
      <c r="H127" s="34">
        <v>16594</v>
      </c>
      <c r="I127" s="34" t="s">
        <v>534</v>
      </c>
      <c r="J127" s="35">
        <v>46064</v>
      </c>
      <c r="K127" s="36" t="s">
        <v>42</v>
      </c>
      <c r="L127" s="39" t="str">
        <f>VLOOKUP(Tabla81015[[#This Row],[CODIGO DEL PRODUCTO]],Tabla797[],2,FALSE)</f>
        <v>ARENA FINA</v>
      </c>
      <c r="M127" s="37">
        <v>2</v>
      </c>
      <c r="N127" s="158"/>
      <c r="O127" s="76">
        <v>107134</v>
      </c>
      <c r="P127" s="76" t="s">
        <v>684</v>
      </c>
      <c r="Q127" s="77">
        <v>46043</v>
      </c>
      <c r="R127" s="78" t="s">
        <v>43</v>
      </c>
      <c r="S127" s="36" t="str">
        <f>VLOOKUP(Tabla91116[[#This Row],[CODIGO DEL PRODUCTO]],Tabla797[],2,FALSE)</f>
        <v>PIEDRA 6-20</v>
      </c>
      <c r="T127" s="37">
        <v>35.020000000000003</v>
      </c>
    </row>
    <row r="128" spans="8:21" x14ac:dyDescent="0.25">
      <c r="H128" s="34">
        <v>16613</v>
      </c>
      <c r="I128" s="34" t="s">
        <v>725</v>
      </c>
      <c r="J128" s="35">
        <v>46065</v>
      </c>
      <c r="K128" s="36" t="s">
        <v>372</v>
      </c>
      <c r="L128" s="39" t="str">
        <f>VLOOKUP(Tabla81015[[#This Row],[CODIGO DEL PRODUCTO]],Tabla797[],2,FALSE)</f>
        <v xml:space="preserve">ESTABILIZADO GRANULOMETRICO 0/20 </v>
      </c>
      <c r="M128" s="37">
        <v>7</v>
      </c>
      <c r="N128" s="158"/>
      <c r="O128" s="76">
        <v>107138</v>
      </c>
      <c r="P128" s="76" t="s">
        <v>684</v>
      </c>
      <c r="Q128" s="77">
        <v>46043</v>
      </c>
      <c r="R128" s="78" t="s">
        <v>40</v>
      </c>
      <c r="S128" s="36" t="str">
        <f>VLOOKUP(Tabla91116[[#This Row],[CODIGO DEL PRODUCTO]],Tabla797[],2,FALSE)</f>
        <v>PIEDRA 0-6</v>
      </c>
      <c r="T128" s="37">
        <v>35</v>
      </c>
    </row>
    <row r="129" spans="8:23" x14ac:dyDescent="0.25">
      <c r="H129" s="34">
        <v>16618</v>
      </c>
      <c r="I129" s="34" t="s">
        <v>708</v>
      </c>
      <c r="J129" s="35">
        <v>46065</v>
      </c>
      <c r="K129" s="36" t="s">
        <v>42</v>
      </c>
      <c r="L129" s="39" t="str">
        <f>VLOOKUP(Tabla81015[[#This Row],[CODIGO DEL PRODUCTO]],Tabla797[],2,FALSE)</f>
        <v>ARENA FINA</v>
      </c>
      <c r="M129" s="37">
        <v>3</v>
      </c>
      <c r="N129" s="158"/>
      <c r="O129" s="76">
        <v>107140</v>
      </c>
      <c r="P129" s="76" t="s">
        <v>684</v>
      </c>
      <c r="Q129" s="77">
        <v>46043</v>
      </c>
      <c r="R129" s="78" t="s">
        <v>40</v>
      </c>
      <c r="S129" s="36" t="str">
        <f>VLOOKUP(Tabla91116[[#This Row],[CODIGO DEL PRODUCTO]],Tabla797[],2,FALSE)</f>
        <v>PIEDRA 0-6</v>
      </c>
      <c r="T129" s="37">
        <v>35.520000000000003</v>
      </c>
    </row>
    <row r="130" spans="8:23" x14ac:dyDescent="0.25">
      <c r="H130" s="34"/>
      <c r="I130" s="34" t="s">
        <v>708</v>
      </c>
      <c r="J130" s="35">
        <v>46065</v>
      </c>
      <c r="K130" s="36" t="s">
        <v>43</v>
      </c>
      <c r="L130" s="39" t="str">
        <f>VLOOKUP(Tabla81015[[#This Row],[CODIGO DEL PRODUCTO]],Tabla797[],2,FALSE)</f>
        <v>PIEDRA 6-20</v>
      </c>
      <c r="M130" s="37">
        <v>1</v>
      </c>
      <c r="N130" s="158"/>
      <c r="O130" s="76">
        <v>107143</v>
      </c>
      <c r="P130" s="76" t="s">
        <v>684</v>
      </c>
      <c r="Q130" s="77">
        <v>46043</v>
      </c>
      <c r="R130" s="78" t="s">
        <v>43</v>
      </c>
      <c r="S130" s="36" t="str">
        <f>VLOOKUP(Tabla91116[[#This Row],[CODIGO DEL PRODUCTO]],Tabla797[],2,FALSE)</f>
        <v>PIEDRA 6-20</v>
      </c>
      <c r="T130" s="37">
        <v>34.14</v>
      </c>
    </row>
    <row r="131" spans="8:23" x14ac:dyDescent="0.25">
      <c r="H131" s="34">
        <v>16635</v>
      </c>
      <c r="I131" s="34" t="s">
        <v>725</v>
      </c>
      <c r="J131" s="35">
        <v>46065</v>
      </c>
      <c r="K131" s="36" t="s">
        <v>372</v>
      </c>
      <c r="L131" s="39" t="str">
        <f>VLOOKUP(Tabla81015[[#This Row],[CODIGO DEL PRODUCTO]],Tabla797[],2,FALSE)</f>
        <v xml:space="preserve">ESTABILIZADO GRANULOMETRICO 0/20 </v>
      </c>
      <c r="M131" s="37">
        <v>4.2</v>
      </c>
      <c r="N131" s="158"/>
      <c r="O131" s="76">
        <v>151042</v>
      </c>
      <c r="P131" s="76" t="s">
        <v>679</v>
      </c>
      <c r="Q131" s="77">
        <v>46043</v>
      </c>
      <c r="R131" s="78" t="s">
        <v>43</v>
      </c>
      <c r="S131" s="36" t="str">
        <f>VLOOKUP(Tabla91116[[#This Row],[CODIGO DEL PRODUCTO]],Tabla797[],2,FALSE)</f>
        <v>PIEDRA 6-20</v>
      </c>
      <c r="T131" s="37">
        <v>35.4</v>
      </c>
    </row>
    <row r="132" spans="8:23" x14ac:dyDescent="0.25">
      <c r="H132" s="34">
        <v>16636</v>
      </c>
      <c r="I132" s="34" t="s">
        <v>682</v>
      </c>
      <c r="J132" s="35">
        <v>46065</v>
      </c>
      <c r="K132" s="36" t="s">
        <v>42</v>
      </c>
      <c r="L132" s="39" t="str">
        <f>VLOOKUP(Tabla81015[[#This Row],[CODIGO DEL PRODUCTO]],Tabla797[],2,FALSE)</f>
        <v>ARENA FINA</v>
      </c>
      <c r="M132" s="37">
        <v>4</v>
      </c>
      <c r="N132" s="158"/>
      <c r="O132" s="76">
        <v>2684748</v>
      </c>
      <c r="P132" s="76" t="s">
        <v>679</v>
      </c>
      <c r="Q132" s="77">
        <v>46043</v>
      </c>
      <c r="R132" s="78" t="s">
        <v>286</v>
      </c>
      <c r="S132" s="36" t="str">
        <f>VLOOKUP(Tabla91116[[#This Row],[CODIGO DEL PRODUCTO]],Tabla797[],2,FALSE)</f>
        <v>CPF 40 AVELLANEDA</v>
      </c>
      <c r="T132" s="37">
        <v>36.42</v>
      </c>
    </row>
    <row r="133" spans="8:23" x14ac:dyDescent="0.25">
      <c r="H133" s="34"/>
      <c r="I133" s="34" t="s">
        <v>682</v>
      </c>
      <c r="J133" s="35">
        <v>46065</v>
      </c>
      <c r="K133" s="36" t="s">
        <v>43</v>
      </c>
      <c r="L133" s="39" t="str">
        <f>VLOOKUP(Tabla81015[[#This Row],[CODIGO DEL PRODUCTO]],Tabla797[],2,FALSE)</f>
        <v>PIEDRA 6-20</v>
      </c>
      <c r="M133" s="37">
        <v>2</v>
      </c>
      <c r="N133" s="158"/>
      <c r="O133" s="76">
        <v>103177</v>
      </c>
      <c r="P133" s="76" t="s">
        <v>683</v>
      </c>
      <c r="Q133" s="77">
        <v>46044</v>
      </c>
      <c r="R133" s="78" t="s">
        <v>42</v>
      </c>
      <c r="S133" s="36" t="str">
        <f>VLOOKUP(Tabla91116[[#This Row],[CODIGO DEL PRODUCTO]],Tabla797[],2,FALSE)</f>
        <v>ARENA FINA</v>
      </c>
      <c r="T133" s="37">
        <v>35.200000000000003</v>
      </c>
    </row>
    <row r="134" spans="8:23" x14ac:dyDescent="0.25">
      <c r="H134" s="34">
        <v>16638</v>
      </c>
      <c r="I134" s="34" t="s">
        <v>694</v>
      </c>
      <c r="J134" s="35">
        <v>46065</v>
      </c>
      <c r="K134" s="36" t="s">
        <v>372</v>
      </c>
      <c r="L134" s="39" t="str">
        <f>VLOOKUP(Tabla81015[[#This Row],[CODIGO DEL PRODUCTO]],Tabla797[],2,FALSE)</f>
        <v xml:space="preserve">ESTABILIZADO GRANULOMETRICO 0/20 </v>
      </c>
      <c r="M134" s="37">
        <v>4</v>
      </c>
      <c r="N134" s="158"/>
      <c r="O134" s="76">
        <v>103179</v>
      </c>
      <c r="P134" s="76" t="s">
        <v>683</v>
      </c>
      <c r="Q134" s="77">
        <v>46044</v>
      </c>
      <c r="R134" s="78" t="s">
        <v>42</v>
      </c>
      <c r="S134" s="36" t="str">
        <f>VLOOKUP(Tabla91116[[#This Row],[CODIGO DEL PRODUCTO]],Tabla797[],2,FALSE)</f>
        <v>ARENA FINA</v>
      </c>
      <c r="T134" s="37">
        <v>33.96</v>
      </c>
    </row>
    <row r="135" spans="8:23" x14ac:dyDescent="0.25">
      <c r="H135" s="34">
        <v>16646</v>
      </c>
      <c r="I135" s="34" t="s">
        <v>726</v>
      </c>
      <c r="J135" s="35">
        <v>46065</v>
      </c>
      <c r="K135" s="36" t="s">
        <v>42</v>
      </c>
      <c r="L135" s="39" t="str">
        <f>VLOOKUP(Tabla81015[[#This Row],[CODIGO DEL PRODUCTO]],Tabla797[],2,FALSE)</f>
        <v>ARENA FINA</v>
      </c>
      <c r="M135" s="37">
        <v>4</v>
      </c>
      <c r="N135" s="158"/>
      <c r="O135" s="76">
        <v>107148</v>
      </c>
      <c r="P135" s="76" t="s">
        <v>684</v>
      </c>
      <c r="Q135" s="77">
        <v>46044</v>
      </c>
      <c r="R135" s="78" t="s">
        <v>43</v>
      </c>
      <c r="S135" s="36" t="str">
        <f>VLOOKUP(Tabla91116[[#This Row],[CODIGO DEL PRODUCTO]],Tabla797[],2,FALSE)</f>
        <v>PIEDRA 6-20</v>
      </c>
      <c r="T135" s="37">
        <v>34.619999999999997</v>
      </c>
    </row>
    <row r="136" spans="8:23" x14ac:dyDescent="0.25">
      <c r="H136" s="34">
        <v>16661</v>
      </c>
      <c r="I136" s="34" t="s">
        <v>702</v>
      </c>
      <c r="J136" s="35">
        <v>46066</v>
      </c>
      <c r="K136" s="36" t="s">
        <v>42</v>
      </c>
      <c r="L136" s="39" t="str">
        <f>VLOOKUP(Tabla81015[[#This Row],[CODIGO DEL PRODUCTO]],Tabla797[],2,FALSE)</f>
        <v>ARENA FINA</v>
      </c>
      <c r="M136" s="37">
        <v>4</v>
      </c>
      <c r="N136" s="158"/>
      <c r="O136" s="76">
        <v>107150</v>
      </c>
      <c r="P136" s="76" t="s">
        <v>684</v>
      </c>
      <c r="Q136" s="77">
        <v>46044</v>
      </c>
      <c r="R136" s="78" t="s">
        <v>40</v>
      </c>
      <c r="S136" s="36" t="str">
        <f>VLOOKUP(Tabla91116[[#This Row],[CODIGO DEL PRODUCTO]],Tabla797[],2,FALSE)</f>
        <v>PIEDRA 0-6</v>
      </c>
      <c r="T136" s="37">
        <v>34.24</v>
      </c>
    </row>
    <row r="137" spans="8:23" x14ac:dyDescent="0.25">
      <c r="H137" s="34">
        <v>16672</v>
      </c>
      <c r="I137" s="34" t="s">
        <v>662</v>
      </c>
      <c r="J137" s="35">
        <v>46066</v>
      </c>
      <c r="K137" s="36" t="s">
        <v>42</v>
      </c>
      <c r="L137" s="39" t="str">
        <f>VLOOKUP(Tabla81015[[#This Row],[CODIGO DEL PRODUCTO]],Tabla797[],2,FALSE)</f>
        <v>ARENA FINA</v>
      </c>
      <c r="M137" s="37">
        <v>3</v>
      </c>
      <c r="N137" s="158"/>
      <c r="O137" s="76">
        <v>107151</v>
      </c>
      <c r="P137" s="76" t="s">
        <v>684</v>
      </c>
      <c r="Q137" s="77">
        <v>46044</v>
      </c>
      <c r="R137" s="78" t="s">
        <v>40</v>
      </c>
      <c r="S137" s="36" t="str">
        <f>VLOOKUP(Tabla91116[[#This Row],[CODIGO DEL PRODUCTO]],Tabla797[],2,FALSE)</f>
        <v>PIEDRA 0-6</v>
      </c>
      <c r="T137" s="37">
        <v>34.82</v>
      </c>
    </row>
    <row r="138" spans="8:23" x14ac:dyDescent="0.25">
      <c r="H138" s="34"/>
      <c r="I138" s="34" t="s">
        <v>662</v>
      </c>
      <c r="J138" s="35">
        <v>46066</v>
      </c>
      <c r="K138" s="36" t="s">
        <v>43</v>
      </c>
      <c r="L138" s="39" t="str">
        <f>VLOOKUP(Tabla81015[[#This Row],[CODIGO DEL PRODUCTO]],Tabla797[],2,FALSE)</f>
        <v>PIEDRA 6-20</v>
      </c>
      <c r="M138" s="37">
        <v>1</v>
      </c>
      <c r="N138" s="158"/>
      <c r="O138" s="76">
        <v>107157</v>
      </c>
      <c r="P138" s="76" t="s">
        <v>684</v>
      </c>
      <c r="Q138" s="77">
        <v>46044</v>
      </c>
      <c r="R138" s="78" t="s">
        <v>43</v>
      </c>
      <c r="S138" s="36" t="str">
        <f>VLOOKUP(Tabla91116[[#This Row],[CODIGO DEL PRODUCTO]],Tabla797[],2,FALSE)</f>
        <v>PIEDRA 6-20</v>
      </c>
      <c r="T138" s="37">
        <v>34.28</v>
      </c>
    </row>
    <row r="139" spans="8:23" x14ac:dyDescent="0.25">
      <c r="H139" s="34"/>
      <c r="I139" s="34" t="s">
        <v>53</v>
      </c>
      <c r="J139" s="35">
        <v>46062</v>
      </c>
      <c r="K139" s="36" t="s">
        <v>42</v>
      </c>
      <c r="L139" s="39" t="str">
        <f>VLOOKUP(Tabla81015[[#This Row],[CODIGO DEL PRODUCTO]],Tabla797[],2,FALSE)</f>
        <v>ARENA FINA</v>
      </c>
      <c r="M139" s="37">
        <v>633.21</v>
      </c>
      <c r="N139" s="158"/>
      <c r="O139" s="76">
        <v>151132</v>
      </c>
      <c r="P139" s="76" t="s">
        <v>679</v>
      </c>
      <c r="Q139" s="77">
        <v>46044</v>
      </c>
      <c r="R139" s="78" t="s">
        <v>43</v>
      </c>
      <c r="S139" s="36" t="str">
        <f>VLOOKUP(Tabla91116[[#This Row],[CODIGO DEL PRODUCTO]],Tabla797[],2,FALSE)</f>
        <v>PIEDRA 6-20</v>
      </c>
      <c r="T139" s="37">
        <v>35.6</v>
      </c>
    </row>
    <row r="140" spans="8:23" x14ac:dyDescent="0.25">
      <c r="H140" s="34"/>
      <c r="I140" s="34" t="s">
        <v>53</v>
      </c>
      <c r="J140" s="35">
        <v>46063</v>
      </c>
      <c r="K140" s="36" t="s">
        <v>40</v>
      </c>
      <c r="L140" s="39" t="str">
        <f>VLOOKUP(Tabla81015[[#This Row],[CODIGO DEL PRODUCTO]],Tabla797[],2,FALSE)</f>
        <v>PIEDRA 0-6</v>
      </c>
      <c r="M140" s="37">
        <v>410.81</v>
      </c>
      <c r="N140" s="158"/>
      <c r="O140" s="76">
        <v>2685070</v>
      </c>
      <c r="P140" s="76" t="s">
        <v>679</v>
      </c>
      <c r="Q140" s="77">
        <v>46044</v>
      </c>
      <c r="R140" s="78" t="s">
        <v>286</v>
      </c>
      <c r="S140" s="36" t="str">
        <f>VLOOKUP(Tabla91116[[#This Row],[CODIGO DEL PRODUCTO]],Tabla797[],2,FALSE)</f>
        <v>CPF 40 AVELLANEDA</v>
      </c>
      <c r="T140" s="37">
        <v>36.36</v>
      </c>
    </row>
    <row r="141" spans="8:23" x14ac:dyDescent="0.25">
      <c r="H141" s="34"/>
      <c r="I141" s="34" t="s">
        <v>53</v>
      </c>
      <c r="J141" s="35">
        <v>46064</v>
      </c>
      <c r="K141" s="36" t="s">
        <v>286</v>
      </c>
      <c r="L141" s="39" t="str">
        <f>VLOOKUP(Tabla81015[[#This Row],[CODIGO DEL PRODUCTO]],Tabla797[],2,FALSE)</f>
        <v>CPF 40 AVELLANEDA</v>
      </c>
      <c r="M141" s="37">
        <v>298.35000000000002</v>
      </c>
      <c r="N141" s="158"/>
      <c r="O141" s="76">
        <v>103185</v>
      </c>
      <c r="P141" s="76" t="s">
        <v>683</v>
      </c>
      <c r="Q141" s="77">
        <v>46045</v>
      </c>
      <c r="R141" s="78" t="s">
        <v>42</v>
      </c>
      <c r="S141" s="36" t="str">
        <f>VLOOKUP(Tabla91116[[#This Row],[CODIGO DEL PRODUCTO]],Tabla797[],2,FALSE)</f>
        <v>ARENA FINA</v>
      </c>
      <c r="T141" s="37">
        <v>35.26</v>
      </c>
      <c r="U141" s="7">
        <v>46045</v>
      </c>
      <c r="V141" t="s">
        <v>710</v>
      </c>
      <c r="W141" t="s">
        <v>711</v>
      </c>
    </row>
    <row r="142" spans="8:23" x14ac:dyDescent="0.25">
      <c r="H142" s="34"/>
      <c r="I142" s="34" t="s">
        <v>53</v>
      </c>
      <c r="J142" s="35">
        <v>46065</v>
      </c>
      <c r="K142" s="36" t="s">
        <v>48</v>
      </c>
      <c r="L142" s="39" t="str">
        <f>VLOOKUP(Tabla81015[[#This Row],[CODIGO DEL PRODUCTO]],Tabla797[],2,FALSE)</f>
        <v>PIEDRA 6-12</v>
      </c>
      <c r="M142" s="37">
        <v>164.35</v>
      </c>
      <c r="N142" s="158"/>
      <c r="O142" s="76">
        <v>103195</v>
      </c>
      <c r="P142" s="76" t="s">
        <v>683</v>
      </c>
      <c r="Q142" s="77">
        <v>46045</v>
      </c>
      <c r="R142" s="78" t="s">
        <v>42</v>
      </c>
      <c r="S142" s="36" t="str">
        <f>VLOOKUP(Tabla91116[[#This Row],[CODIGO DEL PRODUCTO]],Tabla797[],2,FALSE)</f>
        <v>ARENA FINA</v>
      </c>
      <c r="T142" s="37">
        <v>33.86</v>
      </c>
    </row>
    <row r="143" spans="8:23" x14ac:dyDescent="0.25">
      <c r="H143" s="34"/>
      <c r="I143" s="34" t="s">
        <v>53</v>
      </c>
      <c r="J143" s="35">
        <v>46066</v>
      </c>
      <c r="K143" s="36" t="s">
        <v>43</v>
      </c>
      <c r="L143" s="39" t="str">
        <f>VLOOKUP(Tabla81015[[#This Row],[CODIGO DEL PRODUCTO]],Tabla797[],2,FALSE)</f>
        <v>PIEDRA 6-20</v>
      </c>
      <c r="M143" s="37">
        <v>681.9</v>
      </c>
      <c r="N143" s="158"/>
      <c r="O143" s="76">
        <v>107162</v>
      </c>
      <c r="P143" s="76" t="s">
        <v>684</v>
      </c>
      <c r="Q143" s="77">
        <v>46045</v>
      </c>
      <c r="R143" s="78" t="s">
        <v>43</v>
      </c>
      <c r="S143" s="36" t="str">
        <f>VLOOKUP(Tabla91116[[#This Row],[CODIGO DEL PRODUCTO]],Tabla797[],2,FALSE)</f>
        <v>PIEDRA 6-20</v>
      </c>
      <c r="T143" s="37">
        <v>34.46</v>
      </c>
    </row>
    <row r="144" spans="8:23" x14ac:dyDescent="0.25">
      <c r="H144" s="34"/>
      <c r="I144" s="34" t="s">
        <v>53</v>
      </c>
      <c r="J144" s="35">
        <v>46067</v>
      </c>
      <c r="K144" s="36" t="s">
        <v>46</v>
      </c>
      <c r="L144" s="39" t="str">
        <f>VLOOKUP(Tabla81015[[#This Row],[CODIGO DEL PRODUCTO]],Tabla797[],2,FALSE)</f>
        <v>PIEDRA 10-30</v>
      </c>
      <c r="M144" s="37">
        <v>7.56</v>
      </c>
      <c r="N144" s="158"/>
      <c r="O144" s="76">
        <v>107164</v>
      </c>
      <c r="P144" s="76" t="s">
        <v>684</v>
      </c>
      <c r="Q144" s="77">
        <v>46045</v>
      </c>
      <c r="R144" s="78" t="s">
        <v>40</v>
      </c>
      <c r="S144" s="36" t="str">
        <f>VLOOKUP(Tabla91116[[#This Row],[CODIGO DEL PRODUCTO]],Tabla797[],2,FALSE)</f>
        <v>PIEDRA 0-6</v>
      </c>
      <c r="T144" s="37">
        <v>34.32</v>
      </c>
      <c r="U144" s="7"/>
    </row>
    <row r="145" spans="8:20" x14ac:dyDescent="0.25">
      <c r="H145" s="34"/>
      <c r="I145" s="34" t="s">
        <v>53</v>
      </c>
      <c r="J145" s="35">
        <v>46067</v>
      </c>
      <c r="K145" s="36" t="s">
        <v>425</v>
      </c>
      <c r="L145" s="39" t="str">
        <f>VLOOKUP(Tabla81015[[#This Row],[CODIGO DEL PRODUCTO]],Tabla797[],2,FALSE)</f>
        <v>W351R</v>
      </c>
      <c r="M145" s="37">
        <v>1.79</v>
      </c>
      <c r="N145" s="158"/>
      <c r="O145" s="76">
        <v>107171</v>
      </c>
      <c r="P145" s="76" t="s">
        <v>684</v>
      </c>
      <c r="Q145" s="77">
        <v>46045</v>
      </c>
      <c r="R145" s="78" t="s">
        <v>40</v>
      </c>
      <c r="S145" s="36" t="str">
        <f>VLOOKUP(Tabla91116[[#This Row],[CODIGO DEL PRODUCTO]],Tabla797[],2,FALSE)</f>
        <v>PIEDRA 0-6</v>
      </c>
      <c r="T145" s="37">
        <v>34.86</v>
      </c>
    </row>
    <row r="146" spans="8:20" x14ac:dyDescent="0.25">
      <c r="H146" s="34">
        <v>16728</v>
      </c>
      <c r="I146" s="34" t="s">
        <v>534</v>
      </c>
      <c r="J146" s="35">
        <v>46071</v>
      </c>
      <c r="K146" s="36" t="s">
        <v>42</v>
      </c>
      <c r="L146" s="39" t="str">
        <f>VLOOKUP(Tabla81015[[#This Row],[CODIGO DEL PRODUCTO]],Tabla797[],2,FALSE)</f>
        <v>ARENA FINA</v>
      </c>
      <c r="M146" s="37">
        <v>3</v>
      </c>
      <c r="N146" s="158"/>
      <c r="O146" s="76">
        <v>107173</v>
      </c>
      <c r="P146" s="76" t="s">
        <v>684</v>
      </c>
      <c r="Q146" s="77">
        <v>46045</v>
      </c>
      <c r="R146" s="78" t="s">
        <v>43</v>
      </c>
      <c r="S146" s="36" t="str">
        <f>VLOOKUP(Tabla91116[[#This Row],[CODIGO DEL PRODUCTO]],Tabla797[],2,FALSE)</f>
        <v>PIEDRA 6-20</v>
      </c>
      <c r="T146" s="37">
        <v>34.380000000000003</v>
      </c>
    </row>
    <row r="147" spans="8:20" x14ac:dyDescent="0.25">
      <c r="H147" s="34">
        <v>16733</v>
      </c>
      <c r="I147" s="34" t="s">
        <v>618</v>
      </c>
      <c r="J147" s="35">
        <v>46071</v>
      </c>
      <c r="K147" s="36" t="s">
        <v>42</v>
      </c>
      <c r="L147" s="39" t="str">
        <f>VLOOKUP(Tabla81015[[#This Row],[CODIGO DEL PRODUCTO]],Tabla797[],2,FALSE)</f>
        <v>ARENA FINA</v>
      </c>
      <c r="M147" s="37">
        <v>5</v>
      </c>
      <c r="N147" s="158"/>
      <c r="O147" s="76">
        <v>151222</v>
      </c>
      <c r="P147" s="76" t="s">
        <v>679</v>
      </c>
      <c r="Q147" s="77">
        <v>46045</v>
      </c>
      <c r="R147" s="78" t="s">
        <v>43</v>
      </c>
      <c r="S147" s="36" t="str">
        <f>VLOOKUP(Tabla91116[[#This Row],[CODIGO DEL PRODUCTO]],Tabla797[],2,FALSE)</f>
        <v>PIEDRA 6-20</v>
      </c>
      <c r="T147" s="37">
        <v>35.54</v>
      </c>
    </row>
    <row r="148" spans="8:20" x14ac:dyDescent="0.25">
      <c r="H148" s="34">
        <v>16734</v>
      </c>
      <c r="I148" s="34" t="s">
        <v>618</v>
      </c>
      <c r="J148" s="35">
        <v>46071</v>
      </c>
      <c r="K148" s="36" t="s">
        <v>42</v>
      </c>
      <c r="L148" s="39" t="str">
        <f>VLOOKUP(Tabla81015[[#This Row],[CODIGO DEL PRODUCTO]],Tabla797[],2,FALSE)</f>
        <v>ARENA FINA</v>
      </c>
      <c r="M148" s="37">
        <v>5</v>
      </c>
      <c r="N148" s="158"/>
      <c r="O148" s="76">
        <v>2685314</v>
      </c>
      <c r="P148" s="76" t="s">
        <v>679</v>
      </c>
      <c r="Q148" s="77">
        <v>46045</v>
      </c>
      <c r="R148" s="78" t="s">
        <v>286</v>
      </c>
      <c r="S148" s="36" t="str">
        <f>VLOOKUP(Tabla91116[[#This Row],[CODIGO DEL PRODUCTO]],Tabla797[],2,FALSE)</f>
        <v>CPF 40 AVELLANEDA</v>
      </c>
      <c r="T148" s="37">
        <v>36.26</v>
      </c>
    </row>
    <row r="149" spans="8:20" x14ac:dyDescent="0.25">
      <c r="H149" s="34">
        <v>16758</v>
      </c>
      <c r="I149" s="34" t="s">
        <v>403</v>
      </c>
      <c r="J149" s="35">
        <v>46072</v>
      </c>
      <c r="K149" s="36" t="s">
        <v>43</v>
      </c>
      <c r="L149" s="39" t="str">
        <f>VLOOKUP(Tabla81015[[#This Row],[CODIGO DEL PRODUCTO]],Tabla797[],2,FALSE)</f>
        <v>PIEDRA 6-20</v>
      </c>
      <c r="M149" s="37">
        <v>5</v>
      </c>
      <c r="N149" s="158"/>
      <c r="O149" s="76">
        <v>151331</v>
      </c>
      <c r="P149" s="76" t="s">
        <v>679</v>
      </c>
      <c r="Q149" s="77">
        <v>46045</v>
      </c>
      <c r="R149" s="78" t="s">
        <v>43</v>
      </c>
      <c r="S149" s="36" t="str">
        <f>VLOOKUP(Tabla91116[[#This Row],[CODIGO DEL PRODUCTO]],Tabla797[],2,FALSE)</f>
        <v>PIEDRA 6-20</v>
      </c>
      <c r="T149" s="37">
        <v>35.56</v>
      </c>
    </row>
    <row r="150" spans="8:20" x14ac:dyDescent="0.25">
      <c r="H150" s="34">
        <v>16759</v>
      </c>
      <c r="I150" s="34" t="s">
        <v>403</v>
      </c>
      <c r="J150" s="35">
        <v>46072</v>
      </c>
      <c r="K150" s="36" t="s">
        <v>43</v>
      </c>
      <c r="L150" s="39" t="str">
        <f>VLOOKUP(Tabla81015[[#This Row],[CODIGO DEL PRODUCTO]],Tabla797[],2,FALSE)</f>
        <v>PIEDRA 6-20</v>
      </c>
      <c r="M150" s="37">
        <v>5</v>
      </c>
      <c r="N150" s="158"/>
      <c r="O150" s="76">
        <v>151342</v>
      </c>
      <c r="P150" s="76" t="s">
        <v>679</v>
      </c>
      <c r="Q150" s="77">
        <v>46046</v>
      </c>
      <c r="R150" s="78" t="s">
        <v>43</v>
      </c>
      <c r="S150" s="36" t="str">
        <f>VLOOKUP(Tabla91116[[#This Row],[CODIGO DEL PRODUCTO]],Tabla797[],2,FALSE)</f>
        <v>PIEDRA 6-20</v>
      </c>
      <c r="T150" s="37">
        <v>36.42</v>
      </c>
    </row>
    <row r="151" spans="8:20" x14ac:dyDescent="0.25">
      <c r="H151" s="34">
        <v>16857</v>
      </c>
      <c r="I151" s="34" t="s">
        <v>740</v>
      </c>
      <c r="J151" s="35">
        <v>46077</v>
      </c>
      <c r="K151" s="36" t="s">
        <v>42</v>
      </c>
      <c r="L151" s="39" t="str">
        <f>VLOOKUP(Tabla81015[[#This Row],[CODIGO DEL PRODUCTO]],Tabla797[],2,FALSE)</f>
        <v>ARENA FINA</v>
      </c>
      <c r="M151" s="37">
        <v>2</v>
      </c>
      <c r="N151" s="158"/>
      <c r="O151" s="76">
        <v>151347</v>
      </c>
      <c r="P151" s="76" t="s">
        <v>679</v>
      </c>
      <c r="Q151" s="77">
        <v>46046</v>
      </c>
      <c r="R151" s="78" t="s">
        <v>43</v>
      </c>
      <c r="S151" s="36" t="str">
        <f>VLOOKUP(Tabla91116[[#This Row],[CODIGO DEL PRODUCTO]],Tabla797[],2,FALSE)</f>
        <v>PIEDRA 6-20</v>
      </c>
      <c r="T151" s="37">
        <v>35.26</v>
      </c>
    </row>
    <row r="152" spans="8:20" x14ac:dyDescent="0.25">
      <c r="H152" s="34"/>
      <c r="I152" s="34" t="s">
        <v>740</v>
      </c>
      <c r="J152" s="35">
        <v>46077</v>
      </c>
      <c r="K152" s="36" t="s">
        <v>43</v>
      </c>
      <c r="L152" s="39" t="str">
        <f>VLOOKUP(Tabla81015[[#This Row],[CODIGO DEL PRODUCTO]],Tabla797[],2,FALSE)</f>
        <v>PIEDRA 6-20</v>
      </c>
      <c r="M152" s="37">
        <v>1</v>
      </c>
      <c r="N152" s="158"/>
      <c r="O152" s="76">
        <v>2685543</v>
      </c>
      <c r="P152" s="76" t="s">
        <v>679</v>
      </c>
      <c r="Q152" s="77">
        <v>46046</v>
      </c>
      <c r="R152" s="78" t="s">
        <v>286</v>
      </c>
      <c r="S152" s="36" t="str">
        <f>VLOOKUP(Tabla91116[[#This Row],[CODIGO DEL PRODUCTO]],Tabla797[],2,FALSE)</f>
        <v>CPF 40 AVELLANEDA</v>
      </c>
      <c r="T152" s="37">
        <v>36.56</v>
      </c>
    </row>
    <row r="153" spans="8:20" x14ac:dyDescent="0.25">
      <c r="H153" s="34">
        <v>16889</v>
      </c>
      <c r="I153" s="34" t="s">
        <v>618</v>
      </c>
      <c r="J153" s="35">
        <v>46078</v>
      </c>
      <c r="K153" s="36" t="s">
        <v>42</v>
      </c>
      <c r="L153" s="39" t="str">
        <f>VLOOKUP(Tabla81015[[#This Row],[CODIGO DEL PRODUCTO]],Tabla797[],2,FALSE)</f>
        <v>ARENA FINA</v>
      </c>
      <c r="M153" s="37">
        <v>5</v>
      </c>
      <c r="N153" s="158"/>
      <c r="O153" s="76">
        <v>103209</v>
      </c>
      <c r="P153" s="76" t="s">
        <v>683</v>
      </c>
      <c r="Q153" s="77">
        <v>46048</v>
      </c>
      <c r="R153" s="78" t="s">
        <v>42</v>
      </c>
      <c r="S153" s="36" t="str">
        <f>VLOOKUP(Tabla91116[[#This Row],[CODIGO DEL PRODUCTO]],Tabla797[],2,FALSE)</f>
        <v>ARENA FINA</v>
      </c>
      <c r="T153" s="37">
        <v>34.92</v>
      </c>
    </row>
    <row r="154" spans="8:20" x14ac:dyDescent="0.25">
      <c r="H154" s="34">
        <v>16908</v>
      </c>
      <c r="I154" s="34" t="s">
        <v>534</v>
      </c>
      <c r="J154" s="35">
        <v>46078</v>
      </c>
      <c r="K154" s="36" t="s">
        <v>43</v>
      </c>
      <c r="L154" s="39" t="str">
        <f>VLOOKUP(Tabla81015[[#This Row],[CODIGO DEL PRODUCTO]],Tabla797[],2,FALSE)</f>
        <v>PIEDRA 6-20</v>
      </c>
      <c r="M154" s="37">
        <v>2</v>
      </c>
      <c r="N154" s="158"/>
      <c r="O154" s="76">
        <v>103219</v>
      </c>
      <c r="P154" s="76" t="s">
        <v>683</v>
      </c>
      <c r="Q154" s="77">
        <v>46048</v>
      </c>
      <c r="R154" s="78" t="s">
        <v>42</v>
      </c>
      <c r="S154" s="36" t="str">
        <f>VLOOKUP(Tabla91116[[#This Row],[CODIGO DEL PRODUCTO]],Tabla797[],2,FALSE)</f>
        <v>ARENA FINA</v>
      </c>
      <c r="T154" s="37">
        <v>35.24</v>
      </c>
    </row>
    <row r="155" spans="8:20" x14ac:dyDescent="0.25">
      <c r="H155" s="34"/>
      <c r="I155" s="34" t="s">
        <v>534</v>
      </c>
      <c r="J155" s="35">
        <v>46078</v>
      </c>
      <c r="K155" s="36" t="s">
        <v>42</v>
      </c>
      <c r="L155" s="39" t="str">
        <f>VLOOKUP(Tabla81015[[#This Row],[CODIGO DEL PRODUCTO]],Tabla797[],2,FALSE)</f>
        <v>ARENA FINA</v>
      </c>
      <c r="M155" s="37">
        <v>4</v>
      </c>
      <c r="N155" s="158"/>
      <c r="O155" s="76">
        <v>219759</v>
      </c>
      <c r="P155" s="76" t="s">
        <v>516</v>
      </c>
      <c r="Q155" s="77">
        <v>46048</v>
      </c>
      <c r="R155" s="78" t="s">
        <v>43</v>
      </c>
      <c r="S155" s="36" t="str">
        <f>VLOOKUP(Tabla91116[[#This Row],[CODIGO DEL PRODUCTO]],Tabla797[],2,FALSE)</f>
        <v>PIEDRA 6-20</v>
      </c>
      <c r="T155" s="37">
        <v>34.479999999999997</v>
      </c>
    </row>
    <row r="156" spans="8:20" x14ac:dyDescent="0.25">
      <c r="H156" s="34">
        <v>16923</v>
      </c>
      <c r="I156" s="34" t="s">
        <v>601</v>
      </c>
      <c r="J156" s="35">
        <v>46079</v>
      </c>
      <c r="K156" s="36" t="s">
        <v>42</v>
      </c>
      <c r="L156" s="39" t="str">
        <f>VLOOKUP(Tabla81015[[#This Row],[CODIGO DEL PRODUCTO]],Tabla797[],2,FALSE)</f>
        <v>ARENA FINA</v>
      </c>
      <c r="M156" s="37">
        <v>4</v>
      </c>
      <c r="N156" s="158"/>
      <c r="O156" s="76">
        <v>107176</v>
      </c>
      <c r="P156" s="76" t="s">
        <v>684</v>
      </c>
      <c r="Q156" s="77">
        <v>46048</v>
      </c>
      <c r="R156" s="78" t="s">
        <v>43</v>
      </c>
      <c r="S156" s="36" t="str">
        <f>VLOOKUP(Tabla91116[[#This Row],[CODIGO DEL PRODUCTO]],Tabla797[],2,FALSE)</f>
        <v>PIEDRA 6-20</v>
      </c>
      <c r="T156" s="37">
        <v>35.200000000000003</v>
      </c>
    </row>
    <row r="157" spans="8:20" x14ac:dyDescent="0.25">
      <c r="H157" s="34">
        <v>16924</v>
      </c>
      <c r="I157" s="34" t="s">
        <v>601</v>
      </c>
      <c r="J157" s="35">
        <v>46079</v>
      </c>
      <c r="K157" s="36" t="s">
        <v>43</v>
      </c>
      <c r="L157" s="39" t="str">
        <f>VLOOKUP(Tabla81015[[#This Row],[CODIGO DEL PRODUCTO]],Tabla797[],2,FALSE)</f>
        <v>PIEDRA 6-20</v>
      </c>
      <c r="M157" s="37">
        <v>4</v>
      </c>
      <c r="N157" s="158"/>
      <c r="O157" s="76">
        <v>107180</v>
      </c>
      <c r="P157" s="76" t="s">
        <v>684</v>
      </c>
      <c r="Q157" s="77">
        <v>46048</v>
      </c>
      <c r="R157" s="78" t="s">
        <v>43</v>
      </c>
      <c r="S157" s="36" t="str">
        <f>VLOOKUP(Tabla91116[[#This Row],[CODIGO DEL PRODUCTO]],Tabla797[],2,FALSE)</f>
        <v>PIEDRA 6-20</v>
      </c>
      <c r="T157" s="37">
        <v>34.76</v>
      </c>
    </row>
    <row r="158" spans="8:20" x14ac:dyDescent="0.25">
      <c r="H158" s="34">
        <v>16959</v>
      </c>
      <c r="I158" s="34" t="s">
        <v>403</v>
      </c>
      <c r="J158" s="35">
        <v>46079</v>
      </c>
      <c r="K158" s="36" t="s">
        <v>42</v>
      </c>
      <c r="L158" s="39" t="str">
        <f>VLOOKUP(Tabla81015[[#This Row],[CODIGO DEL PRODUCTO]],Tabla797[],2,FALSE)</f>
        <v>ARENA FINA</v>
      </c>
      <c r="M158" s="37">
        <v>5</v>
      </c>
      <c r="N158" s="158"/>
      <c r="O158" s="76">
        <v>107187</v>
      </c>
      <c r="P158" s="76" t="s">
        <v>684</v>
      </c>
      <c r="Q158" s="77">
        <v>46048</v>
      </c>
      <c r="R158" s="78" t="s">
        <v>40</v>
      </c>
      <c r="S158" s="36" t="str">
        <f>VLOOKUP(Tabla91116[[#This Row],[CODIGO DEL PRODUCTO]],Tabla797[],2,FALSE)</f>
        <v>PIEDRA 0-6</v>
      </c>
      <c r="T158" s="37">
        <v>34.700000000000003</v>
      </c>
    </row>
    <row r="159" spans="8:20" x14ac:dyDescent="0.25">
      <c r="H159" s="34">
        <v>16961</v>
      </c>
      <c r="I159" s="34" t="s">
        <v>403</v>
      </c>
      <c r="J159" s="35">
        <v>46079</v>
      </c>
      <c r="K159" s="36" t="s">
        <v>42</v>
      </c>
      <c r="L159" s="39" t="str">
        <f>VLOOKUP(Tabla81015[[#This Row],[CODIGO DEL PRODUCTO]],Tabla797[],2,FALSE)</f>
        <v>ARENA FINA</v>
      </c>
      <c r="M159" s="37">
        <v>3</v>
      </c>
      <c r="N159" s="158"/>
      <c r="O159" s="76">
        <v>107190</v>
      </c>
      <c r="P159" s="76" t="s">
        <v>684</v>
      </c>
      <c r="Q159" s="77">
        <v>46048</v>
      </c>
      <c r="R159" s="78" t="s">
        <v>40</v>
      </c>
      <c r="S159" s="36" t="str">
        <f>VLOOKUP(Tabla91116[[#This Row],[CODIGO DEL PRODUCTO]],Tabla797[],2,FALSE)</f>
        <v>PIEDRA 0-6</v>
      </c>
      <c r="T159" s="37">
        <v>34.74</v>
      </c>
    </row>
    <row r="160" spans="8:20" x14ac:dyDescent="0.25">
      <c r="H160" s="34">
        <v>16966</v>
      </c>
      <c r="I160" s="34" t="s">
        <v>426</v>
      </c>
      <c r="J160" s="35">
        <v>46079</v>
      </c>
      <c r="K160" s="36" t="s">
        <v>42</v>
      </c>
      <c r="L160" s="39" t="str">
        <f>VLOOKUP(Tabla81015[[#This Row],[CODIGO DEL PRODUCTO]],Tabla797[],2,FALSE)</f>
        <v>ARENA FINA</v>
      </c>
      <c r="M160" s="37">
        <v>5</v>
      </c>
      <c r="N160" s="158"/>
      <c r="O160" s="76">
        <v>107192</v>
      </c>
      <c r="P160" s="76" t="s">
        <v>684</v>
      </c>
      <c r="Q160" s="77">
        <v>46048</v>
      </c>
      <c r="R160" s="78" t="s">
        <v>43</v>
      </c>
      <c r="S160" s="36" t="str">
        <f>VLOOKUP(Tabla91116[[#This Row],[CODIGO DEL PRODUCTO]],Tabla797[],2,FALSE)</f>
        <v>PIEDRA 6-20</v>
      </c>
      <c r="T160" s="37">
        <v>35.22</v>
      </c>
    </row>
    <row r="161" spans="8:20" x14ac:dyDescent="0.25">
      <c r="H161" s="34">
        <v>16971</v>
      </c>
      <c r="I161" s="34" t="s">
        <v>426</v>
      </c>
      <c r="J161" s="35">
        <v>46080</v>
      </c>
      <c r="K161" s="36" t="s">
        <v>43</v>
      </c>
      <c r="L161" s="39" t="str">
        <f>VLOOKUP(Tabla81015[[#This Row],[CODIGO DEL PRODUCTO]],Tabla797[],2,FALSE)</f>
        <v>PIEDRA 6-20</v>
      </c>
      <c r="M161" s="37">
        <v>5</v>
      </c>
      <c r="N161" s="158"/>
      <c r="O161" s="76">
        <v>107194</v>
      </c>
      <c r="P161" s="76" t="s">
        <v>684</v>
      </c>
      <c r="Q161" s="77">
        <v>46048</v>
      </c>
      <c r="R161" s="78" t="s">
        <v>40</v>
      </c>
      <c r="S161" s="36" t="str">
        <f>VLOOKUP(Tabla91116[[#This Row],[CODIGO DEL PRODUCTO]],Tabla797[],2,FALSE)</f>
        <v>PIEDRA 0-6</v>
      </c>
      <c r="T161" s="37">
        <v>34.46</v>
      </c>
    </row>
    <row r="162" spans="8:20" x14ac:dyDescent="0.25">
      <c r="H162" s="34">
        <v>16972</v>
      </c>
      <c r="I162" s="34" t="s">
        <v>641</v>
      </c>
      <c r="J162" s="35">
        <v>46080</v>
      </c>
      <c r="K162" s="36" t="s">
        <v>42</v>
      </c>
      <c r="L162" s="39" t="str">
        <f>VLOOKUP(Tabla81015[[#This Row],[CODIGO DEL PRODUCTO]],Tabla797[],2,FALSE)</f>
        <v>ARENA FINA</v>
      </c>
      <c r="M162" s="37">
        <v>5</v>
      </c>
      <c r="N162" s="158"/>
      <c r="O162" s="76">
        <v>151469</v>
      </c>
      <c r="P162" s="76" t="s">
        <v>679</v>
      </c>
      <c r="Q162" s="77">
        <v>46048</v>
      </c>
      <c r="R162" s="78" t="s">
        <v>46</v>
      </c>
      <c r="S162" s="36" t="str">
        <f>VLOOKUP(Tabla91116[[#This Row],[CODIGO DEL PRODUCTO]],Tabla797[],2,FALSE)</f>
        <v>PIEDRA 10-30</v>
      </c>
      <c r="T162" s="37">
        <v>35.159999999999997</v>
      </c>
    </row>
    <row r="163" spans="8:20" x14ac:dyDescent="0.25">
      <c r="H163" s="34">
        <v>16998</v>
      </c>
      <c r="I163" s="34" t="s">
        <v>741</v>
      </c>
      <c r="J163" s="35">
        <v>46080</v>
      </c>
      <c r="K163" s="36" t="s">
        <v>43</v>
      </c>
      <c r="L163" s="39" t="str">
        <f>VLOOKUP(Tabla81015[[#This Row],[CODIGO DEL PRODUCTO]],Tabla797[],2,FALSE)</f>
        <v>PIEDRA 6-20</v>
      </c>
      <c r="M163" s="37">
        <v>3</v>
      </c>
      <c r="N163" s="158"/>
      <c r="O163" s="76">
        <v>2685830</v>
      </c>
      <c r="P163" s="76" t="s">
        <v>679</v>
      </c>
      <c r="Q163" s="77">
        <v>46048</v>
      </c>
      <c r="R163" s="78" t="s">
        <v>286</v>
      </c>
      <c r="S163" s="36" t="str">
        <f>VLOOKUP(Tabla91116[[#This Row],[CODIGO DEL PRODUCTO]],Tabla797[],2,FALSE)</f>
        <v>CPF 40 AVELLANEDA</v>
      </c>
      <c r="T163" s="37">
        <v>36.4</v>
      </c>
    </row>
    <row r="164" spans="8:20" x14ac:dyDescent="0.25">
      <c r="H164" s="34"/>
      <c r="I164" s="34" t="s">
        <v>741</v>
      </c>
      <c r="J164" s="35">
        <v>46080</v>
      </c>
      <c r="K164" s="36" t="s">
        <v>42</v>
      </c>
      <c r="L164" s="39" t="str">
        <f>VLOOKUP(Tabla81015[[#This Row],[CODIGO DEL PRODUCTO]],Tabla797[],2,FALSE)</f>
        <v>ARENA FINA</v>
      </c>
      <c r="M164" s="37">
        <v>5</v>
      </c>
      <c r="N164" s="158"/>
      <c r="O164" s="76">
        <v>103227</v>
      </c>
      <c r="P164" s="76" t="s">
        <v>683</v>
      </c>
      <c r="Q164" s="77">
        <v>46049</v>
      </c>
      <c r="R164" s="78" t="s">
        <v>42</v>
      </c>
      <c r="S164" s="36" t="str">
        <f>VLOOKUP(Tabla91116[[#This Row],[CODIGO DEL PRODUCTO]],Tabla797[],2,FALSE)</f>
        <v>ARENA FINA</v>
      </c>
      <c r="T164" s="37">
        <v>37.32</v>
      </c>
    </row>
    <row r="165" spans="8:20" x14ac:dyDescent="0.25">
      <c r="H165" s="34">
        <v>17013</v>
      </c>
      <c r="I165" s="34" t="s">
        <v>426</v>
      </c>
      <c r="J165" s="35">
        <v>46081</v>
      </c>
      <c r="K165" s="36" t="s">
        <v>468</v>
      </c>
      <c r="L165" s="39" t="str">
        <f>VLOOKUP(Tabla81015[[#This Row],[CODIGO DEL PRODUCTO]],Tabla797[],2,FALSE)</f>
        <v>ESTABILIZADO 0-100 X TN</v>
      </c>
      <c r="M165" s="37">
        <v>19.559999999999999</v>
      </c>
      <c r="N165" s="158"/>
      <c r="O165" s="76">
        <v>103232</v>
      </c>
      <c r="P165" s="76" t="s">
        <v>683</v>
      </c>
      <c r="Q165" s="77">
        <v>46049</v>
      </c>
      <c r="R165" s="78" t="s">
        <v>42</v>
      </c>
      <c r="S165" s="36" t="str">
        <f>VLOOKUP(Tabla91116[[#This Row],[CODIGO DEL PRODUCTO]],Tabla797[],2,FALSE)</f>
        <v>ARENA FINA</v>
      </c>
      <c r="T165" s="37">
        <v>33.94</v>
      </c>
    </row>
    <row r="166" spans="8:20" x14ac:dyDescent="0.25">
      <c r="H166" s="34">
        <v>17028</v>
      </c>
      <c r="I166" s="34" t="s">
        <v>426</v>
      </c>
      <c r="J166" s="35">
        <v>46083</v>
      </c>
      <c r="K166" s="36" t="s">
        <v>42</v>
      </c>
      <c r="L166" s="39" t="str">
        <f>VLOOKUP(Tabla81015[[#This Row],[CODIGO DEL PRODUCTO]],Tabla797[],2,FALSE)</f>
        <v>ARENA FINA</v>
      </c>
      <c r="M166" s="37">
        <v>5</v>
      </c>
      <c r="N166" s="158"/>
      <c r="O166" s="76">
        <v>107196</v>
      </c>
      <c r="P166" s="76" t="s">
        <v>684</v>
      </c>
      <c r="Q166" s="77">
        <v>46049</v>
      </c>
      <c r="R166" s="78" t="s">
        <v>43</v>
      </c>
      <c r="S166" s="36" t="str">
        <f>VLOOKUP(Tabla91116[[#This Row],[CODIGO DEL PRODUCTO]],Tabla797[],2,FALSE)</f>
        <v>PIEDRA 6-20</v>
      </c>
      <c r="T166" s="37">
        <v>35.08</v>
      </c>
    </row>
    <row r="167" spans="8:20" x14ac:dyDescent="0.25">
      <c r="H167" s="34">
        <v>17032</v>
      </c>
      <c r="I167" s="34" t="s">
        <v>426</v>
      </c>
      <c r="J167" s="35">
        <v>46083</v>
      </c>
      <c r="K167" s="36" t="s">
        <v>42</v>
      </c>
      <c r="L167" s="39" t="str">
        <f>VLOOKUP(Tabla81015[[#This Row],[CODIGO DEL PRODUCTO]],Tabla797[],2,FALSE)</f>
        <v>ARENA FINA</v>
      </c>
      <c r="M167" s="37">
        <v>5</v>
      </c>
      <c r="N167" s="158"/>
      <c r="O167" s="76">
        <v>107202</v>
      </c>
      <c r="P167" s="76" t="s">
        <v>684</v>
      </c>
      <c r="Q167" s="77">
        <v>46049</v>
      </c>
      <c r="R167" s="78" t="s">
        <v>43</v>
      </c>
      <c r="S167" s="36" t="str">
        <f>VLOOKUP(Tabla91116[[#This Row],[CODIGO DEL PRODUCTO]],Tabla797[],2,FALSE)</f>
        <v>PIEDRA 6-20</v>
      </c>
      <c r="T167" s="37">
        <v>35.28</v>
      </c>
    </row>
    <row r="168" spans="8:20" x14ac:dyDescent="0.25">
      <c r="H168" s="34">
        <v>17056</v>
      </c>
      <c r="I168" s="34" t="s">
        <v>742</v>
      </c>
      <c r="J168" s="35">
        <v>46083</v>
      </c>
      <c r="K168" s="36" t="s">
        <v>42</v>
      </c>
      <c r="L168" s="39" t="str">
        <f>VLOOKUP(Tabla81015[[#This Row],[CODIGO DEL PRODUCTO]],Tabla797[],2,FALSE)</f>
        <v>ARENA FINA</v>
      </c>
      <c r="M168" s="37">
        <v>1</v>
      </c>
      <c r="N168" s="158"/>
      <c r="O168" s="76">
        <v>107207</v>
      </c>
      <c r="P168" s="76" t="s">
        <v>684</v>
      </c>
      <c r="Q168" s="77">
        <v>46049</v>
      </c>
      <c r="R168" s="78" t="s">
        <v>40</v>
      </c>
      <c r="S168" s="36" t="str">
        <f>VLOOKUP(Tabla91116[[#This Row],[CODIGO DEL PRODUCTO]],Tabla797[],2,FALSE)</f>
        <v>PIEDRA 0-6</v>
      </c>
      <c r="T168" s="37">
        <v>35.54</v>
      </c>
    </row>
    <row r="169" spans="8:20" x14ac:dyDescent="0.25">
      <c r="H169" s="34">
        <v>17057</v>
      </c>
      <c r="I169" s="34" t="s">
        <v>621</v>
      </c>
      <c r="J169" s="35">
        <v>46083</v>
      </c>
      <c r="K169" s="36" t="s">
        <v>42</v>
      </c>
      <c r="L169" s="39" t="str">
        <f>VLOOKUP(Tabla81015[[#This Row],[CODIGO DEL PRODUCTO]],Tabla797[],2,FALSE)</f>
        <v>ARENA FINA</v>
      </c>
      <c r="M169" s="37">
        <v>5</v>
      </c>
      <c r="N169" s="158"/>
      <c r="O169" s="76">
        <v>107213</v>
      </c>
      <c r="P169" s="76" t="s">
        <v>684</v>
      </c>
      <c r="Q169" s="77">
        <v>46049</v>
      </c>
      <c r="R169" s="78" t="s">
        <v>40</v>
      </c>
      <c r="S169" s="36" t="str">
        <f>VLOOKUP(Tabla91116[[#This Row],[CODIGO DEL PRODUCTO]],Tabla797[],2,FALSE)</f>
        <v>PIEDRA 0-6</v>
      </c>
      <c r="T169" s="37">
        <v>34.58</v>
      </c>
    </row>
    <row r="170" spans="8:20" x14ac:dyDescent="0.25">
      <c r="H170" s="34">
        <v>17059</v>
      </c>
      <c r="I170" s="34" t="s">
        <v>743</v>
      </c>
      <c r="J170" s="35">
        <v>46083</v>
      </c>
      <c r="K170" s="36" t="s">
        <v>372</v>
      </c>
      <c r="L170" s="39" t="str">
        <f>VLOOKUP(Tabla81015[[#This Row],[CODIGO DEL PRODUCTO]],Tabla797[],2,FALSE)</f>
        <v xml:space="preserve">ESTABILIZADO GRANULOMETRICO 0/20 </v>
      </c>
      <c r="M170" s="37">
        <v>25</v>
      </c>
      <c r="N170" s="158"/>
      <c r="O170" s="76">
        <v>40085</v>
      </c>
      <c r="P170" s="76" t="s">
        <v>449</v>
      </c>
      <c r="Q170" s="77">
        <v>46050</v>
      </c>
      <c r="R170" s="78" t="s">
        <v>425</v>
      </c>
      <c r="S170" s="36" t="str">
        <f>VLOOKUP(Tabla91116[[#This Row],[CODIGO DEL PRODUCTO]],Tabla797[],2,FALSE)</f>
        <v>W351R</v>
      </c>
      <c r="T170" s="37">
        <v>2000</v>
      </c>
    </row>
    <row r="171" spans="8:20" x14ac:dyDescent="0.25">
      <c r="H171" s="34">
        <v>17062</v>
      </c>
      <c r="I171" s="34" t="s">
        <v>426</v>
      </c>
      <c r="J171" s="35">
        <v>46084</v>
      </c>
      <c r="K171" s="36" t="s">
        <v>42</v>
      </c>
      <c r="L171" s="39" t="str">
        <f>VLOOKUP(Tabla81015[[#This Row],[CODIGO DEL PRODUCTO]],Tabla797[],2,FALSE)</f>
        <v>ARENA FINA</v>
      </c>
      <c r="M171" s="37">
        <v>5</v>
      </c>
      <c r="N171" s="158"/>
      <c r="O171" s="76">
        <v>40144</v>
      </c>
      <c r="P171" s="76" t="s">
        <v>449</v>
      </c>
      <c r="Q171" s="77">
        <v>46050</v>
      </c>
      <c r="R171" s="78" t="s">
        <v>713</v>
      </c>
      <c r="S171" s="36" t="str">
        <f>VLOOKUP(Tabla91116[[#This Row],[CODIGO DEL PRODUCTO]],Tabla797[],2,FALSE)</f>
        <v>MAPEFILL E BASGS 25KG</v>
      </c>
      <c r="T171" s="37">
        <v>70</v>
      </c>
    </row>
    <row r="172" spans="8:20" x14ac:dyDescent="0.25">
      <c r="H172" s="34">
        <v>17063</v>
      </c>
      <c r="I172" s="34" t="s">
        <v>426</v>
      </c>
      <c r="J172" s="35">
        <v>46084</v>
      </c>
      <c r="K172" s="36" t="s">
        <v>43</v>
      </c>
      <c r="L172" s="39" t="str">
        <f>VLOOKUP(Tabla81015[[#This Row],[CODIGO DEL PRODUCTO]],Tabla797[],2,FALSE)</f>
        <v>PIEDRA 6-20</v>
      </c>
      <c r="M172" s="37">
        <v>6</v>
      </c>
      <c r="N172" s="158"/>
      <c r="O172" s="76">
        <v>10145</v>
      </c>
      <c r="P172" s="76" t="s">
        <v>449</v>
      </c>
      <c r="Q172" s="77">
        <v>46050</v>
      </c>
      <c r="R172" s="78" t="s">
        <v>715</v>
      </c>
      <c r="S172" s="36" t="str">
        <f>VLOOKUP(Tabla91116[[#This Row],[CODIGO DEL PRODUCTO]],Tabla797[],2,FALSE)</f>
        <v>SELLADOR (MAPEFLEX PU 45 FT 111 GREY 20X 600ML</v>
      </c>
      <c r="T172" s="37">
        <v>100</v>
      </c>
    </row>
    <row r="173" spans="8:20" x14ac:dyDescent="0.25">
      <c r="H173" s="34"/>
      <c r="I173" s="34" t="s">
        <v>53</v>
      </c>
      <c r="J173" s="35">
        <v>46078</v>
      </c>
      <c r="K173" s="36" t="s">
        <v>42</v>
      </c>
      <c r="L173" s="39" t="str">
        <f>VLOOKUP(Tabla81015[[#This Row],[CODIGO DEL PRODUCTO]],Tabla797[],2,FALSE)</f>
        <v>ARENA FINA</v>
      </c>
      <c r="M173" s="37">
        <v>569.62</v>
      </c>
      <c r="N173" s="158"/>
      <c r="O173" s="76">
        <v>103240</v>
      </c>
      <c r="P173" s="76" t="s">
        <v>683</v>
      </c>
      <c r="Q173" s="77">
        <v>46050</v>
      </c>
      <c r="R173" s="78" t="s">
        <v>42</v>
      </c>
      <c r="S173" s="36" t="str">
        <f>VLOOKUP(Tabla91116[[#This Row],[CODIGO DEL PRODUCTO]],Tabla797[],2,FALSE)</f>
        <v>ARENA FINA</v>
      </c>
      <c r="T173" s="37">
        <v>37.18</v>
      </c>
    </row>
    <row r="174" spans="8:20" x14ac:dyDescent="0.25">
      <c r="H174" s="34"/>
      <c r="I174" s="34" t="s">
        <v>53</v>
      </c>
      <c r="J174" s="35">
        <v>46079</v>
      </c>
      <c r="K174" s="36" t="s">
        <v>40</v>
      </c>
      <c r="L174" s="39" t="str">
        <f>VLOOKUP(Tabla81015[[#This Row],[CODIGO DEL PRODUCTO]],Tabla797[],2,FALSE)</f>
        <v>PIEDRA 0-6</v>
      </c>
      <c r="M174" s="37">
        <v>384.2</v>
      </c>
      <c r="N174" s="158"/>
      <c r="O174" s="76">
        <v>103250</v>
      </c>
      <c r="P174" s="76" t="s">
        <v>683</v>
      </c>
      <c r="Q174" s="77">
        <v>46050</v>
      </c>
      <c r="R174" s="78" t="s">
        <v>42</v>
      </c>
      <c r="S174" s="36" t="str">
        <f>VLOOKUP(Tabla91116[[#This Row],[CODIGO DEL PRODUCTO]],Tabla797[],2,FALSE)</f>
        <v>ARENA FINA</v>
      </c>
      <c r="T174" s="37">
        <v>34.72</v>
      </c>
    </row>
    <row r="175" spans="8:20" x14ac:dyDescent="0.25">
      <c r="H175" s="34"/>
      <c r="I175" s="34" t="s">
        <v>53</v>
      </c>
      <c r="J175" s="35">
        <v>46079</v>
      </c>
      <c r="K175" s="36" t="s">
        <v>286</v>
      </c>
      <c r="L175" s="39" t="str">
        <f>VLOOKUP(Tabla81015[[#This Row],[CODIGO DEL PRODUCTO]],Tabla797[],2,FALSE)</f>
        <v>CPF 40 AVELLANEDA</v>
      </c>
      <c r="M175" s="37">
        <v>259.27</v>
      </c>
      <c r="N175" s="158"/>
      <c r="O175" s="76">
        <v>107215</v>
      </c>
      <c r="P175" s="76" t="s">
        <v>684</v>
      </c>
      <c r="Q175" s="77">
        <v>46050</v>
      </c>
      <c r="R175" s="78" t="s">
        <v>43</v>
      </c>
      <c r="S175" s="36" t="str">
        <f>VLOOKUP(Tabla91116[[#This Row],[CODIGO DEL PRODUCTO]],Tabla797[],2,FALSE)</f>
        <v>PIEDRA 6-20</v>
      </c>
      <c r="T175" s="37">
        <v>34.86</v>
      </c>
    </row>
    <row r="176" spans="8:20" x14ac:dyDescent="0.25">
      <c r="H176" s="34"/>
      <c r="I176" s="34" t="s">
        <v>53</v>
      </c>
      <c r="J176" s="35">
        <v>46080</v>
      </c>
      <c r="K176" s="36" t="s">
        <v>48</v>
      </c>
      <c r="L176" s="39" t="str">
        <f>VLOOKUP(Tabla81015[[#This Row],[CODIGO DEL PRODUCTO]],Tabla797[],2,FALSE)</f>
        <v>PIEDRA 6-12</v>
      </c>
      <c r="M176" s="37">
        <v>22.96</v>
      </c>
      <c r="N176" s="158"/>
      <c r="O176" s="76">
        <v>107229</v>
      </c>
      <c r="P176" s="76" t="s">
        <v>684</v>
      </c>
      <c r="Q176" s="77">
        <v>46050</v>
      </c>
      <c r="R176" s="78" t="s">
        <v>43</v>
      </c>
      <c r="S176" s="36" t="str">
        <f>VLOOKUP(Tabla91116[[#This Row],[CODIGO DEL PRODUCTO]],Tabla797[],2,FALSE)</f>
        <v>PIEDRA 6-20</v>
      </c>
      <c r="T176" s="37">
        <v>35.159999999999997</v>
      </c>
    </row>
    <row r="177" spans="8:23" x14ac:dyDescent="0.25">
      <c r="H177" s="34"/>
      <c r="I177" s="34" t="s">
        <v>53</v>
      </c>
      <c r="J177" s="35">
        <v>46080</v>
      </c>
      <c r="K177" s="36" t="s">
        <v>43</v>
      </c>
      <c r="L177" s="39" t="str">
        <f>VLOOKUP(Tabla81015[[#This Row],[CODIGO DEL PRODUCTO]],Tabla797[],2,FALSE)</f>
        <v>PIEDRA 6-20</v>
      </c>
      <c r="M177" s="37">
        <v>793.98</v>
      </c>
      <c r="N177" s="158"/>
      <c r="O177" s="76">
        <v>107231</v>
      </c>
      <c r="P177" s="76" t="s">
        <v>684</v>
      </c>
      <c r="Q177" s="77">
        <v>46050</v>
      </c>
      <c r="R177" s="78" t="s">
        <v>40</v>
      </c>
      <c r="S177" s="36" t="str">
        <f>VLOOKUP(Tabla91116[[#This Row],[CODIGO DEL PRODUCTO]],Tabla797[],2,FALSE)</f>
        <v>PIEDRA 0-6</v>
      </c>
      <c r="T177" s="37">
        <v>34.46</v>
      </c>
    </row>
    <row r="178" spans="8:23" x14ac:dyDescent="0.25">
      <c r="H178" s="34"/>
      <c r="I178" s="34" t="s">
        <v>53</v>
      </c>
      <c r="J178" s="35">
        <v>46081</v>
      </c>
      <c r="K178" s="36" t="s">
        <v>46</v>
      </c>
      <c r="L178" s="39" t="str">
        <f>VLOOKUP(Tabla81015[[#This Row],[CODIGO DEL PRODUCTO]],Tabla797[],2,FALSE)</f>
        <v>PIEDRA 10-30</v>
      </c>
      <c r="M178" s="37">
        <v>5.84</v>
      </c>
      <c r="N178" s="158"/>
      <c r="O178" s="76">
        <v>107232</v>
      </c>
      <c r="P178" s="76" t="s">
        <v>684</v>
      </c>
      <c r="Q178" s="77">
        <v>46050</v>
      </c>
      <c r="R178" s="78" t="s">
        <v>40</v>
      </c>
      <c r="S178" s="36" t="str">
        <f>VLOOKUP(Tabla91116[[#This Row],[CODIGO DEL PRODUCTO]],Tabla797[],2,FALSE)</f>
        <v>PIEDRA 0-6</v>
      </c>
      <c r="T178" s="37">
        <v>35.22</v>
      </c>
    </row>
    <row r="179" spans="8:23" x14ac:dyDescent="0.25">
      <c r="H179" s="34"/>
      <c r="I179" s="34" t="s">
        <v>53</v>
      </c>
      <c r="J179" s="35">
        <v>46081</v>
      </c>
      <c r="K179" s="36" t="s">
        <v>425</v>
      </c>
      <c r="L179" s="39" t="str">
        <f>VLOOKUP(Tabla81015[[#This Row],[CODIGO DEL PRODUCTO]],Tabla797[],2,FALSE)</f>
        <v>W351R</v>
      </c>
      <c r="M179" s="37">
        <v>1.44</v>
      </c>
      <c r="N179" s="158"/>
      <c r="O179" s="76">
        <v>151602</v>
      </c>
      <c r="P179" s="76" t="s">
        <v>679</v>
      </c>
      <c r="Q179" s="77">
        <v>46050</v>
      </c>
      <c r="R179" s="78" t="s">
        <v>43</v>
      </c>
      <c r="S179" s="36" t="str">
        <f>VLOOKUP(Tabla91116[[#This Row],[CODIGO DEL PRODUCTO]],Tabla797[],2,FALSE)</f>
        <v>PIEDRA 6-20</v>
      </c>
      <c r="T179" s="37">
        <v>34.94</v>
      </c>
    </row>
    <row r="180" spans="8:23" x14ac:dyDescent="0.25">
      <c r="H180" s="34"/>
      <c r="I180" s="34" t="s">
        <v>53</v>
      </c>
      <c r="J180" s="35">
        <v>46069</v>
      </c>
      <c r="K180" s="36" t="s">
        <v>42</v>
      </c>
      <c r="L180" s="39" t="str">
        <f>VLOOKUP(Tabla81015[[#This Row],[CODIGO DEL PRODUCTO]],Tabla797[],2,FALSE)</f>
        <v>ARENA FINA</v>
      </c>
      <c r="M180" s="37">
        <v>380.41</v>
      </c>
      <c r="N180" s="158"/>
      <c r="O180" s="76">
        <v>2686420</v>
      </c>
      <c r="P180" s="76" t="s">
        <v>679</v>
      </c>
      <c r="Q180" s="77">
        <v>46050</v>
      </c>
      <c r="R180" s="78" t="s">
        <v>286</v>
      </c>
      <c r="S180" s="36" t="str">
        <f>VLOOKUP(Tabla91116[[#This Row],[CODIGO DEL PRODUCTO]],Tabla797[],2,FALSE)</f>
        <v>CPF 40 AVELLANEDA</v>
      </c>
      <c r="T180" s="37">
        <v>36.44</v>
      </c>
    </row>
    <row r="181" spans="8:23" x14ac:dyDescent="0.25">
      <c r="H181" s="34"/>
      <c r="I181" s="34" t="s">
        <v>53</v>
      </c>
      <c r="J181" s="35">
        <v>46070</v>
      </c>
      <c r="K181" s="36" t="s">
        <v>40</v>
      </c>
      <c r="L181" s="39" t="str">
        <f>VLOOKUP(Tabla81015[[#This Row],[CODIGO DEL PRODUCTO]],Tabla797[],2,FALSE)</f>
        <v>PIEDRA 0-6</v>
      </c>
      <c r="M181" s="37">
        <v>255.34</v>
      </c>
      <c r="N181" s="158"/>
      <c r="O181" s="76">
        <v>103261</v>
      </c>
      <c r="P181" s="76" t="s">
        <v>683</v>
      </c>
      <c r="Q181" s="77">
        <v>46051</v>
      </c>
      <c r="R181" s="78" t="s">
        <v>42</v>
      </c>
      <c r="S181" s="36" t="str">
        <f>VLOOKUP(Tabla91116[[#This Row],[CODIGO DEL PRODUCTO]],Tabla797[],2,FALSE)</f>
        <v>ARENA FINA</v>
      </c>
      <c r="T181" s="37">
        <v>34.1</v>
      </c>
    </row>
    <row r="182" spans="8:23" x14ac:dyDescent="0.25">
      <c r="H182" s="34"/>
      <c r="I182" s="34" t="s">
        <v>53</v>
      </c>
      <c r="J182" s="35">
        <v>46071</v>
      </c>
      <c r="K182" s="36" t="s">
        <v>286</v>
      </c>
      <c r="L182" s="39" t="str">
        <f>VLOOKUP(Tabla81015[[#This Row],[CODIGO DEL PRODUCTO]],Tabla797[],2,FALSE)</f>
        <v>CPF 40 AVELLANEDA</v>
      </c>
      <c r="M182" s="37">
        <v>173.1</v>
      </c>
      <c r="N182" s="158"/>
      <c r="O182" s="76">
        <v>837</v>
      </c>
      <c r="P182" s="76" t="s">
        <v>683</v>
      </c>
      <c r="Q182" s="77">
        <v>46051</v>
      </c>
      <c r="R182" s="78" t="s">
        <v>42</v>
      </c>
      <c r="S182" s="36" t="str">
        <f>VLOOKUP(Tabla91116[[#This Row],[CODIGO DEL PRODUCTO]],Tabla797[],2,FALSE)</f>
        <v>ARENA FINA</v>
      </c>
      <c r="T182" s="37">
        <v>37.340000000000003</v>
      </c>
    </row>
    <row r="183" spans="8:23" x14ac:dyDescent="0.25">
      <c r="H183" s="34"/>
      <c r="I183" s="34" t="s">
        <v>53</v>
      </c>
      <c r="J183" s="35">
        <v>46072</v>
      </c>
      <c r="K183" s="36" t="s">
        <v>48</v>
      </c>
      <c r="L183" s="39" t="str">
        <f>VLOOKUP(Tabla81015[[#This Row],[CODIGO DEL PRODUCTO]],Tabla797[],2,FALSE)</f>
        <v>PIEDRA 6-12</v>
      </c>
      <c r="M183" s="37">
        <v>13.41</v>
      </c>
      <c r="N183" s="158"/>
      <c r="O183" s="76">
        <v>219887</v>
      </c>
      <c r="P183" s="76" t="s">
        <v>516</v>
      </c>
      <c r="Q183" s="77">
        <v>46051</v>
      </c>
      <c r="R183" s="78" t="s">
        <v>43</v>
      </c>
      <c r="S183" s="36" t="str">
        <f>VLOOKUP(Tabla91116[[#This Row],[CODIGO DEL PRODUCTO]],Tabla797[],2,FALSE)</f>
        <v>PIEDRA 6-20</v>
      </c>
      <c r="T183" s="37">
        <v>34.840000000000003</v>
      </c>
    </row>
    <row r="184" spans="8:23" x14ac:dyDescent="0.25">
      <c r="H184" s="34"/>
      <c r="I184" s="34" t="s">
        <v>53</v>
      </c>
      <c r="J184" s="35">
        <v>46073</v>
      </c>
      <c r="K184" s="36" t="s">
        <v>43</v>
      </c>
      <c r="L184" s="39" t="str">
        <f>VLOOKUP(Tabla81015[[#This Row],[CODIGO DEL PRODUCTO]],Tabla797[],2,FALSE)</f>
        <v>PIEDRA 6-20</v>
      </c>
      <c r="M184" s="37">
        <v>532.47</v>
      </c>
      <c r="N184" s="158"/>
      <c r="O184" s="76">
        <v>107234</v>
      </c>
      <c r="P184" s="76" t="s">
        <v>684</v>
      </c>
      <c r="Q184" s="77">
        <v>46051</v>
      </c>
      <c r="R184" s="78" t="s">
        <v>43</v>
      </c>
      <c r="S184" s="36" t="str">
        <f>VLOOKUP(Tabla91116[[#This Row],[CODIGO DEL PRODUCTO]],Tabla797[],2,FALSE)</f>
        <v>PIEDRA 6-20</v>
      </c>
      <c r="T184" s="37">
        <v>35.32</v>
      </c>
    </row>
    <row r="185" spans="8:23" x14ac:dyDescent="0.25">
      <c r="H185" s="34"/>
      <c r="I185" s="34" t="s">
        <v>53</v>
      </c>
      <c r="J185" s="35">
        <v>46074</v>
      </c>
      <c r="K185" s="36" t="s">
        <v>46</v>
      </c>
      <c r="L185" s="39" t="str">
        <f>VLOOKUP(Tabla81015[[#This Row],[CODIGO DEL PRODUCTO]],Tabla797[],2,FALSE)</f>
        <v>PIEDRA 10-30</v>
      </c>
      <c r="M185" s="37">
        <v>3.37</v>
      </c>
      <c r="N185" s="158"/>
      <c r="O185" s="76">
        <v>107243</v>
      </c>
      <c r="P185" s="76" t="s">
        <v>684</v>
      </c>
      <c r="Q185" s="77">
        <v>46051</v>
      </c>
      <c r="R185" s="78" t="s">
        <v>43</v>
      </c>
      <c r="S185" s="36" t="str">
        <f>VLOOKUP(Tabla91116[[#This Row],[CODIGO DEL PRODUCTO]],Tabla797[],2,FALSE)</f>
        <v>PIEDRA 6-20</v>
      </c>
      <c r="T185" s="37">
        <v>35.840000000000003</v>
      </c>
    </row>
    <row r="186" spans="8:23" x14ac:dyDescent="0.25">
      <c r="H186" s="34"/>
      <c r="I186" s="34" t="s">
        <v>53</v>
      </c>
      <c r="J186" s="35">
        <v>46074</v>
      </c>
      <c r="K186" s="36" t="s">
        <v>425</v>
      </c>
      <c r="L186" s="39" t="str">
        <f>VLOOKUP(Tabla81015[[#This Row],[CODIGO DEL PRODUCTO]],Tabla797[],2,FALSE)</f>
        <v>W351R</v>
      </c>
      <c r="M186" s="37">
        <v>1.03</v>
      </c>
      <c r="N186" s="158"/>
      <c r="O186" s="76">
        <v>107251</v>
      </c>
      <c r="P186" s="76" t="s">
        <v>684</v>
      </c>
      <c r="Q186" s="77">
        <v>46051</v>
      </c>
      <c r="R186" s="78" t="s">
        <v>40</v>
      </c>
      <c r="S186" s="36" t="str">
        <f>VLOOKUP(Tabla91116[[#This Row],[CODIGO DEL PRODUCTO]],Tabla797[],2,FALSE)</f>
        <v>PIEDRA 0-6</v>
      </c>
      <c r="T186" s="37">
        <v>34.159999999999997</v>
      </c>
    </row>
    <row r="187" spans="8:23" x14ac:dyDescent="0.25">
      <c r="H187" s="34">
        <v>17124</v>
      </c>
      <c r="I187" s="34" t="s">
        <v>403</v>
      </c>
      <c r="J187" s="35">
        <v>46085</v>
      </c>
      <c r="K187" s="36" t="s">
        <v>42</v>
      </c>
      <c r="L187" s="39" t="str">
        <f>VLOOKUP(Tabla81015[[#This Row],[CODIGO DEL PRODUCTO]],Tabla797[],2,FALSE)</f>
        <v>ARENA FINA</v>
      </c>
      <c r="M187" s="37">
        <v>4</v>
      </c>
      <c r="N187" s="158"/>
      <c r="O187" s="76">
        <v>107252</v>
      </c>
      <c r="P187" s="76" t="s">
        <v>684</v>
      </c>
      <c r="Q187" s="77">
        <v>46051</v>
      </c>
      <c r="R187" s="78" t="s">
        <v>40</v>
      </c>
      <c r="S187" s="36" t="str">
        <f>VLOOKUP(Tabla91116[[#This Row],[CODIGO DEL PRODUCTO]],Tabla797[],2,FALSE)</f>
        <v>PIEDRA 0-6</v>
      </c>
      <c r="T187" s="37">
        <v>34.46</v>
      </c>
      <c r="U187" s="7"/>
    </row>
    <row r="188" spans="8:23" x14ac:dyDescent="0.25">
      <c r="H188" s="34">
        <v>17129</v>
      </c>
      <c r="I188" s="34" t="s">
        <v>746</v>
      </c>
      <c r="J188" s="35">
        <v>46085</v>
      </c>
      <c r="K188" s="36" t="s">
        <v>43</v>
      </c>
      <c r="L188" s="39" t="str">
        <f>VLOOKUP(Tabla81015[[#This Row],[CODIGO DEL PRODUCTO]],Tabla797[],2,FALSE)</f>
        <v>PIEDRA 6-20</v>
      </c>
      <c r="M188" s="37">
        <v>1</v>
      </c>
      <c r="N188" s="158"/>
      <c r="O188" s="76">
        <v>103264</v>
      </c>
      <c r="P188" s="76" t="s">
        <v>683</v>
      </c>
      <c r="Q188" s="77">
        <v>46052</v>
      </c>
      <c r="R188" s="78" t="s">
        <v>42</v>
      </c>
      <c r="S188" s="36" t="str">
        <f>VLOOKUP(Tabla91116[[#This Row],[CODIGO DEL PRODUCTO]],Tabla797[],2,FALSE)</f>
        <v>ARENA FINA</v>
      </c>
      <c r="T188" s="37">
        <v>33.74</v>
      </c>
      <c r="U188" s="7">
        <v>46052</v>
      </c>
      <c r="V188" t="s">
        <v>717</v>
      </c>
      <c r="W188" t="s">
        <v>718</v>
      </c>
    </row>
    <row r="189" spans="8:23" x14ac:dyDescent="0.25">
      <c r="H189" s="34"/>
      <c r="I189" s="34" t="s">
        <v>746</v>
      </c>
      <c r="J189" s="35">
        <v>46085</v>
      </c>
      <c r="K189" s="36" t="s">
        <v>42</v>
      </c>
      <c r="L189" s="39" t="str">
        <f>VLOOKUP(Tabla81015[[#This Row],[CODIGO DEL PRODUCTO]],Tabla797[],2,FALSE)</f>
        <v>ARENA FINA</v>
      </c>
      <c r="M189" s="37">
        <v>1</v>
      </c>
      <c r="N189" s="158"/>
      <c r="O189" s="76">
        <v>103268</v>
      </c>
      <c r="P189" s="76" t="s">
        <v>683</v>
      </c>
      <c r="Q189" s="77">
        <v>46052</v>
      </c>
      <c r="R189" s="78" t="s">
        <v>42</v>
      </c>
      <c r="S189" s="36" t="str">
        <f>VLOOKUP(Tabla91116[[#This Row],[CODIGO DEL PRODUCTO]],Tabla797[],2,FALSE)</f>
        <v>ARENA FINA</v>
      </c>
      <c r="T189" s="37">
        <v>33.82</v>
      </c>
    </row>
    <row r="190" spans="8:23" x14ac:dyDescent="0.25">
      <c r="H190" s="34">
        <v>17134</v>
      </c>
      <c r="I190" s="34" t="s">
        <v>695</v>
      </c>
      <c r="J190" s="35">
        <v>46085</v>
      </c>
      <c r="K190" s="36" t="s">
        <v>42</v>
      </c>
      <c r="L190" s="39" t="str">
        <f>VLOOKUP(Tabla81015[[#This Row],[CODIGO DEL PRODUCTO]],Tabla797[],2,FALSE)</f>
        <v>ARENA FINA</v>
      </c>
      <c r="M190" s="37">
        <v>5</v>
      </c>
      <c r="N190" s="158"/>
      <c r="O190" s="76">
        <v>219905</v>
      </c>
      <c r="P190" s="76" t="s">
        <v>516</v>
      </c>
      <c r="Q190" s="77">
        <v>46052</v>
      </c>
      <c r="R190" s="78" t="s">
        <v>43</v>
      </c>
      <c r="S190" s="36" t="str">
        <f>VLOOKUP(Tabla91116[[#This Row],[CODIGO DEL PRODUCTO]],Tabla797[],2,FALSE)</f>
        <v>PIEDRA 6-20</v>
      </c>
      <c r="T190" s="37">
        <v>36.200000000000003</v>
      </c>
    </row>
    <row r="191" spans="8:23" x14ac:dyDescent="0.25">
      <c r="H191" s="34">
        <v>17135</v>
      </c>
      <c r="I191" s="34" t="s">
        <v>621</v>
      </c>
      <c r="J191" s="35">
        <v>46085</v>
      </c>
      <c r="K191" s="36" t="s">
        <v>42</v>
      </c>
      <c r="L191" s="39" t="str">
        <f>VLOOKUP(Tabla81015[[#This Row],[CODIGO DEL PRODUCTO]],Tabla797[],2,FALSE)</f>
        <v>ARENA FINA</v>
      </c>
      <c r="M191" s="37">
        <v>5</v>
      </c>
      <c r="N191" s="158"/>
      <c r="O191" s="76">
        <v>107254</v>
      </c>
      <c r="P191" s="76" t="s">
        <v>684</v>
      </c>
      <c r="Q191" s="77">
        <v>46052</v>
      </c>
      <c r="R191" s="78" t="s">
        <v>43</v>
      </c>
      <c r="S191" s="36" t="str">
        <f>VLOOKUP(Tabla91116[[#This Row],[CODIGO DEL PRODUCTO]],Tabla797[],2,FALSE)</f>
        <v>PIEDRA 6-20</v>
      </c>
      <c r="T191" s="37">
        <v>35.46</v>
      </c>
    </row>
    <row r="192" spans="8:23" x14ac:dyDescent="0.25">
      <c r="H192" s="34">
        <v>17140</v>
      </c>
      <c r="I192" s="34" t="s">
        <v>618</v>
      </c>
      <c r="J192" s="35">
        <v>46085</v>
      </c>
      <c r="K192" s="36" t="s">
        <v>43</v>
      </c>
      <c r="L192" s="39" t="str">
        <f>VLOOKUP(Tabla81015[[#This Row],[CODIGO DEL PRODUCTO]],Tabla797[],2,FALSE)</f>
        <v>PIEDRA 6-20</v>
      </c>
      <c r="M192" s="37">
        <v>1</v>
      </c>
      <c r="N192" s="158"/>
      <c r="O192" s="76">
        <v>107271</v>
      </c>
      <c r="P192" s="76" t="s">
        <v>684</v>
      </c>
      <c r="Q192" s="77">
        <v>46052</v>
      </c>
      <c r="R192" s="78" t="s">
        <v>40</v>
      </c>
      <c r="S192" s="36" t="str">
        <f>VLOOKUP(Tabla91116[[#This Row],[CODIGO DEL PRODUCTO]],Tabla797[],2,FALSE)</f>
        <v>PIEDRA 0-6</v>
      </c>
      <c r="T192" s="37">
        <v>34.32</v>
      </c>
    </row>
    <row r="193" spans="8:21" x14ac:dyDescent="0.25">
      <c r="H193" s="34">
        <v>17142</v>
      </c>
      <c r="I193" s="34" t="s">
        <v>403</v>
      </c>
      <c r="J193" s="35">
        <v>46085</v>
      </c>
      <c r="K193" s="36" t="s">
        <v>42</v>
      </c>
      <c r="L193" s="39" t="str">
        <f>VLOOKUP(Tabla81015[[#This Row],[CODIGO DEL PRODUCTO]],Tabla797[],2,FALSE)</f>
        <v>ARENA FINA</v>
      </c>
      <c r="M193" s="37">
        <v>4</v>
      </c>
      <c r="N193" s="158"/>
      <c r="O193" s="76">
        <v>107272</v>
      </c>
      <c r="P193" s="76" t="s">
        <v>684</v>
      </c>
      <c r="Q193" s="77">
        <v>46052</v>
      </c>
      <c r="R193" s="78" t="s">
        <v>40</v>
      </c>
      <c r="S193" s="36" t="str">
        <f>VLOOKUP(Tabla91116[[#This Row],[CODIGO DEL PRODUCTO]],Tabla797[],2,FALSE)</f>
        <v>PIEDRA 0-6</v>
      </c>
      <c r="T193" s="37">
        <v>34.4</v>
      </c>
    </row>
    <row r="194" spans="8:21" x14ac:dyDescent="0.25">
      <c r="H194" s="34">
        <v>17156</v>
      </c>
      <c r="I194" s="34" t="s">
        <v>618</v>
      </c>
      <c r="J194" s="35">
        <v>46085</v>
      </c>
      <c r="K194" s="36" t="s">
        <v>42</v>
      </c>
      <c r="L194" s="39" t="str">
        <f>VLOOKUP(Tabla81015[[#This Row],[CODIGO DEL PRODUCTO]],Tabla797[],2,FALSE)</f>
        <v>ARENA FINA</v>
      </c>
      <c r="M194" s="37">
        <v>5</v>
      </c>
      <c r="N194" s="158"/>
      <c r="O194" s="76">
        <v>151799</v>
      </c>
      <c r="P194" s="76" t="s">
        <v>679</v>
      </c>
      <c r="Q194" s="77">
        <v>46052</v>
      </c>
      <c r="R194" s="78" t="s">
        <v>43</v>
      </c>
      <c r="S194" s="36" t="str">
        <f>VLOOKUP(Tabla91116[[#This Row],[CODIGO DEL PRODUCTO]],Tabla797[],2,FALSE)</f>
        <v>PIEDRA 6-20</v>
      </c>
      <c r="T194" s="37">
        <v>35.159999999999997</v>
      </c>
    </row>
    <row r="195" spans="8:21" x14ac:dyDescent="0.25">
      <c r="H195" s="34">
        <v>17158</v>
      </c>
      <c r="I195" s="34" t="s">
        <v>720</v>
      </c>
      <c r="J195" s="35">
        <v>46085</v>
      </c>
      <c r="K195" s="36" t="s">
        <v>43</v>
      </c>
      <c r="L195" s="39" t="str">
        <f>VLOOKUP(Tabla81015[[#This Row],[CODIGO DEL PRODUCTO]],Tabla797[],2,FALSE)</f>
        <v>PIEDRA 6-20</v>
      </c>
      <c r="M195" s="37">
        <v>2</v>
      </c>
      <c r="N195" s="158"/>
      <c r="O195" s="76">
        <v>2686715</v>
      </c>
      <c r="P195" s="76" t="s">
        <v>679</v>
      </c>
      <c r="Q195" s="77">
        <v>46052</v>
      </c>
      <c r="R195" s="78" t="s">
        <v>286</v>
      </c>
      <c r="S195" s="36" t="str">
        <f>VLOOKUP(Tabla91116[[#This Row],[CODIGO DEL PRODUCTO]],Tabla797[],2,FALSE)</f>
        <v>CPF 40 AVELLANEDA</v>
      </c>
      <c r="T195" s="37">
        <v>36.380000000000003</v>
      </c>
    </row>
    <row r="196" spans="8:21" x14ac:dyDescent="0.25">
      <c r="H196" s="34"/>
      <c r="I196" s="34" t="s">
        <v>682</v>
      </c>
      <c r="J196" s="35">
        <v>46085</v>
      </c>
      <c r="K196" s="36" t="s">
        <v>42</v>
      </c>
      <c r="L196" s="39" t="str">
        <f>VLOOKUP(Tabla81015[[#This Row],[CODIGO DEL PRODUCTO]],Tabla797[],2,FALSE)</f>
        <v>ARENA FINA</v>
      </c>
      <c r="M196" s="37">
        <v>2</v>
      </c>
      <c r="N196" s="158"/>
      <c r="O196" s="76">
        <v>107268</v>
      </c>
      <c r="P196" s="76" t="s">
        <v>684</v>
      </c>
      <c r="Q196" s="77">
        <v>46053</v>
      </c>
      <c r="R196" s="78" t="s">
        <v>43</v>
      </c>
      <c r="S196" s="36" t="str">
        <f>VLOOKUP(Tabla91116[[#This Row],[CODIGO DEL PRODUCTO]],Tabla797[],2,FALSE)</f>
        <v>PIEDRA 6-20</v>
      </c>
      <c r="T196" s="37">
        <v>35.380000000000003</v>
      </c>
    </row>
    <row r="197" spans="8:21" x14ac:dyDescent="0.25">
      <c r="H197" s="34">
        <v>17161</v>
      </c>
      <c r="I197" s="34" t="s">
        <v>661</v>
      </c>
      <c r="J197" s="35">
        <v>46085</v>
      </c>
      <c r="K197" s="36" t="s">
        <v>43</v>
      </c>
      <c r="L197" s="39" t="str">
        <f>VLOOKUP(Tabla81015[[#This Row],[CODIGO DEL PRODUCTO]],Tabla797[],2,FALSE)</f>
        <v>PIEDRA 6-20</v>
      </c>
      <c r="M197" s="37">
        <v>1</v>
      </c>
      <c r="N197" s="158"/>
      <c r="O197" s="76">
        <v>103277</v>
      </c>
      <c r="P197" s="76" t="s">
        <v>683</v>
      </c>
      <c r="Q197" s="77">
        <v>46055</v>
      </c>
      <c r="R197" s="78" t="s">
        <v>42</v>
      </c>
      <c r="S197" s="36" t="str">
        <f>VLOOKUP(Tabla91116[[#This Row],[CODIGO DEL PRODUCTO]],Tabla797[],2,FALSE)</f>
        <v>ARENA FINA</v>
      </c>
      <c r="T197" s="37">
        <v>35.5</v>
      </c>
    </row>
    <row r="198" spans="8:21" x14ac:dyDescent="0.25">
      <c r="H198" s="34">
        <v>17165</v>
      </c>
      <c r="I198" s="34" t="s">
        <v>601</v>
      </c>
      <c r="J198" s="35">
        <v>46085</v>
      </c>
      <c r="K198" s="36" t="s">
        <v>43</v>
      </c>
      <c r="L198" s="39" t="str">
        <f>VLOOKUP(Tabla81015[[#This Row],[CODIGO DEL PRODUCTO]],Tabla797[],2,FALSE)</f>
        <v>PIEDRA 6-20</v>
      </c>
      <c r="M198" s="37">
        <v>5</v>
      </c>
      <c r="N198" s="158"/>
      <c r="O198" s="76">
        <v>103287</v>
      </c>
      <c r="P198" s="76" t="s">
        <v>683</v>
      </c>
      <c r="Q198" s="77">
        <v>46055</v>
      </c>
      <c r="R198" s="78" t="s">
        <v>42</v>
      </c>
      <c r="S198" s="36" t="str">
        <f>VLOOKUP(Tabla91116[[#This Row],[CODIGO DEL PRODUCTO]],Tabla797[],2,FALSE)</f>
        <v>ARENA FINA</v>
      </c>
      <c r="T198" s="37">
        <v>35.32</v>
      </c>
    </row>
    <row r="199" spans="8:21" x14ac:dyDescent="0.25">
      <c r="H199" s="34"/>
      <c r="I199" s="34" t="s">
        <v>601</v>
      </c>
      <c r="J199" s="35">
        <v>46085</v>
      </c>
      <c r="K199" s="36" t="s">
        <v>42</v>
      </c>
      <c r="L199" s="39" t="str">
        <f>VLOOKUP(Tabla81015[[#This Row],[CODIGO DEL PRODUCTO]],Tabla797[],2,FALSE)</f>
        <v>ARENA FINA</v>
      </c>
      <c r="M199" s="37">
        <v>6</v>
      </c>
      <c r="N199" s="158"/>
      <c r="O199" s="76">
        <v>103291</v>
      </c>
      <c r="P199" s="76" t="s">
        <v>683</v>
      </c>
      <c r="Q199" s="77">
        <v>46055</v>
      </c>
      <c r="R199" s="78" t="s">
        <v>42</v>
      </c>
      <c r="S199" s="36" t="str">
        <f>VLOOKUP(Tabla91116[[#This Row],[CODIGO DEL PRODUCTO]],Tabla797[],2,FALSE)</f>
        <v>ARENA FINA</v>
      </c>
      <c r="T199" s="37">
        <v>35.46</v>
      </c>
    </row>
    <row r="200" spans="8:21" x14ac:dyDescent="0.25">
      <c r="H200" s="34">
        <v>17174</v>
      </c>
      <c r="I200" s="34" t="s">
        <v>749</v>
      </c>
      <c r="J200" s="35">
        <v>46086</v>
      </c>
      <c r="K200" s="36" t="s">
        <v>42</v>
      </c>
      <c r="L200" s="39" t="str">
        <f>VLOOKUP(Tabla81015[[#This Row],[CODIGO DEL PRODUCTO]],Tabla797[],2,FALSE)</f>
        <v>ARENA FINA</v>
      </c>
      <c r="M200" s="37">
        <v>0.5</v>
      </c>
      <c r="N200" s="158"/>
      <c r="O200" s="76">
        <v>107280</v>
      </c>
      <c r="P200" s="76" t="s">
        <v>684</v>
      </c>
      <c r="Q200" s="77">
        <v>46055</v>
      </c>
      <c r="R200" s="78" t="s">
        <v>43</v>
      </c>
      <c r="S200" s="36" t="str">
        <f>VLOOKUP(Tabla91116[[#This Row],[CODIGO DEL PRODUCTO]],Tabla797[],2,FALSE)</f>
        <v>PIEDRA 6-20</v>
      </c>
      <c r="T200" s="37">
        <v>34.979999999999997</v>
      </c>
    </row>
    <row r="201" spans="8:21" x14ac:dyDescent="0.25">
      <c r="H201" s="34"/>
      <c r="I201" s="34" t="s">
        <v>749</v>
      </c>
      <c r="J201" s="35">
        <v>46086</v>
      </c>
      <c r="K201" s="36" t="s">
        <v>43</v>
      </c>
      <c r="L201" s="39" t="str">
        <f>VLOOKUP(Tabla81015[[#This Row],[CODIGO DEL PRODUCTO]],Tabla797[],2,FALSE)</f>
        <v>PIEDRA 6-20</v>
      </c>
      <c r="M201" s="37">
        <v>0.5</v>
      </c>
      <c r="N201" s="158"/>
      <c r="O201" s="76">
        <v>107285</v>
      </c>
      <c r="P201" s="76" t="s">
        <v>684</v>
      </c>
      <c r="Q201" s="77">
        <v>46055</v>
      </c>
      <c r="R201" s="78" t="s">
        <v>43</v>
      </c>
      <c r="S201" s="36" t="str">
        <f>VLOOKUP(Tabla91116[[#This Row],[CODIGO DEL PRODUCTO]],Tabla797[],2,FALSE)</f>
        <v>PIEDRA 6-20</v>
      </c>
      <c r="T201" s="37">
        <v>34.32</v>
      </c>
    </row>
    <row r="202" spans="8:21" x14ac:dyDescent="0.25">
      <c r="H202" s="34">
        <v>17183</v>
      </c>
      <c r="I202" s="34" t="s">
        <v>621</v>
      </c>
      <c r="J202" s="35">
        <v>46086</v>
      </c>
      <c r="K202" s="36" t="s">
        <v>42</v>
      </c>
      <c r="L202" s="39" t="str">
        <f>VLOOKUP(Tabla81015[[#This Row],[CODIGO DEL PRODUCTO]],Tabla797[],2,FALSE)</f>
        <v>ARENA FINA</v>
      </c>
      <c r="M202" s="37">
        <v>3</v>
      </c>
      <c r="N202" s="158"/>
      <c r="O202" s="76">
        <v>107290</v>
      </c>
      <c r="P202" s="76" t="s">
        <v>684</v>
      </c>
      <c r="Q202" s="77">
        <v>46055</v>
      </c>
      <c r="R202" s="78" t="s">
        <v>40</v>
      </c>
      <c r="S202" s="36" t="str">
        <f>VLOOKUP(Tabla91116[[#This Row],[CODIGO DEL PRODUCTO]],Tabla797[],2,FALSE)</f>
        <v>PIEDRA 0-6</v>
      </c>
      <c r="T202" s="37">
        <v>34.5</v>
      </c>
    </row>
    <row r="203" spans="8:21" x14ac:dyDescent="0.25">
      <c r="H203" s="34">
        <v>17249</v>
      </c>
      <c r="I203" s="34" t="s">
        <v>750</v>
      </c>
      <c r="J203" s="35">
        <v>46090</v>
      </c>
      <c r="K203" s="36" t="s">
        <v>42</v>
      </c>
      <c r="L203" s="39" t="str">
        <f>VLOOKUP(Tabla81015[[#This Row],[CODIGO DEL PRODUCTO]],Tabla797[],2,FALSE)</f>
        <v>ARENA FINA</v>
      </c>
      <c r="M203" s="37">
        <v>3</v>
      </c>
      <c r="N203" s="158"/>
      <c r="O203" s="76">
        <v>107294</v>
      </c>
      <c r="P203" s="76" t="s">
        <v>684</v>
      </c>
      <c r="Q203" s="77">
        <v>46055</v>
      </c>
      <c r="R203" s="78" t="s">
        <v>40</v>
      </c>
      <c r="S203" s="36" t="str">
        <f>VLOOKUP(Tabla91116[[#This Row],[CODIGO DEL PRODUCTO]],Tabla797[],2,FALSE)</f>
        <v>PIEDRA 0-6</v>
      </c>
      <c r="T203" s="37">
        <v>34.76</v>
      </c>
      <c r="U203" s="7"/>
    </row>
    <row r="204" spans="8:21" x14ac:dyDescent="0.25">
      <c r="H204" s="34">
        <v>17260</v>
      </c>
      <c r="I204" s="34" t="s">
        <v>703</v>
      </c>
      <c r="J204" s="35">
        <v>46090</v>
      </c>
      <c r="K204" s="36" t="s">
        <v>42</v>
      </c>
      <c r="L204" s="39" t="str">
        <f>VLOOKUP(Tabla81015[[#This Row],[CODIGO DEL PRODUCTO]],Tabla797[],2,FALSE)</f>
        <v>ARENA FINA</v>
      </c>
      <c r="M204" s="37">
        <v>1</v>
      </c>
      <c r="N204" s="158"/>
      <c r="O204" s="76">
        <v>2687078</v>
      </c>
      <c r="P204" s="76" t="s">
        <v>679</v>
      </c>
      <c r="Q204" s="77">
        <v>46055</v>
      </c>
      <c r="R204" s="78" t="s">
        <v>286</v>
      </c>
      <c r="S204" s="36" t="str">
        <f>VLOOKUP(Tabla91116[[#This Row],[CODIGO DEL PRODUCTO]],Tabla797[],2,FALSE)</f>
        <v>CPF 40 AVELLANEDA</v>
      </c>
      <c r="T204" s="37">
        <v>36.1</v>
      </c>
    </row>
    <row r="205" spans="8:21" x14ac:dyDescent="0.25">
      <c r="H205" s="34">
        <v>17262</v>
      </c>
      <c r="I205" s="34" t="s">
        <v>751</v>
      </c>
      <c r="J205" s="35">
        <v>46090</v>
      </c>
      <c r="K205" s="36" t="s">
        <v>42</v>
      </c>
      <c r="L205" s="39" t="str">
        <f>VLOOKUP(Tabla81015[[#This Row],[CODIGO DEL PRODUCTO]],Tabla797[],2,FALSE)</f>
        <v>ARENA FINA</v>
      </c>
      <c r="M205" s="37">
        <v>2</v>
      </c>
      <c r="N205" s="158"/>
      <c r="O205" s="76">
        <v>103297</v>
      </c>
      <c r="P205" s="76" t="s">
        <v>683</v>
      </c>
      <c r="Q205" s="77">
        <v>46056</v>
      </c>
      <c r="R205" s="78" t="s">
        <v>42</v>
      </c>
      <c r="S205" s="36" t="str">
        <f>VLOOKUP(Tabla91116[[#This Row],[CODIGO DEL PRODUCTO]],Tabla797[],2,FALSE)</f>
        <v>ARENA FINA</v>
      </c>
      <c r="T205" s="37">
        <v>36.979999999999997</v>
      </c>
    </row>
    <row r="206" spans="8:21" x14ac:dyDescent="0.25">
      <c r="H206" s="34"/>
      <c r="I206" s="34" t="s">
        <v>751</v>
      </c>
      <c r="J206" s="35">
        <v>46090</v>
      </c>
      <c r="K206" s="36" t="s">
        <v>43</v>
      </c>
      <c r="L206" s="39" t="str">
        <f>VLOOKUP(Tabla81015[[#This Row],[CODIGO DEL PRODUCTO]],Tabla797[],2,FALSE)</f>
        <v>PIEDRA 6-20</v>
      </c>
      <c r="M206" s="37">
        <v>1</v>
      </c>
      <c r="N206" s="158"/>
      <c r="O206" s="76">
        <v>103302</v>
      </c>
      <c r="P206" s="76" t="s">
        <v>683</v>
      </c>
      <c r="Q206" s="77">
        <v>46056</v>
      </c>
      <c r="R206" s="78" t="s">
        <v>42</v>
      </c>
      <c r="S206" s="36" t="str">
        <f>VLOOKUP(Tabla91116[[#This Row],[CODIGO DEL PRODUCTO]],Tabla797[],2,FALSE)</f>
        <v>ARENA FINA</v>
      </c>
      <c r="T206" s="37">
        <v>35.42</v>
      </c>
    </row>
    <row r="207" spans="8:21" x14ac:dyDescent="0.25">
      <c r="H207" s="34">
        <v>17271</v>
      </c>
      <c r="I207" s="34" t="s">
        <v>474</v>
      </c>
      <c r="J207" s="35">
        <v>46090</v>
      </c>
      <c r="K207" s="36" t="s">
        <v>42</v>
      </c>
      <c r="L207" s="39" t="str">
        <f>VLOOKUP(Tabla81015[[#This Row],[CODIGO DEL PRODUCTO]],Tabla797[],2,FALSE)</f>
        <v>ARENA FINA</v>
      </c>
      <c r="M207" s="37">
        <v>2</v>
      </c>
      <c r="N207" s="158"/>
      <c r="O207" s="76">
        <v>103306</v>
      </c>
      <c r="P207" s="76" t="s">
        <v>683</v>
      </c>
      <c r="Q207" s="77">
        <v>46056</v>
      </c>
      <c r="R207" s="78" t="s">
        <v>42</v>
      </c>
      <c r="S207" s="36" t="str">
        <f>VLOOKUP(Tabla91116[[#This Row],[CODIGO DEL PRODUCTO]],Tabla797[],2,FALSE)</f>
        <v>ARENA FINA</v>
      </c>
      <c r="T207" s="37">
        <v>34.299999999999997</v>
      </c>
    </row>
    <row r="208" spans="8:21" x14ac:dyDescent="0.25">
      <c r="H208" s="34"/>
      <c r="I208" s="34" t="s">
        <v>474</v>
      </c>
      <c r="J208" s="35">
        <v>46090</v>
      </c>
      <c r="K208" s="36" t="s">
        <v>43</v>
      </c>
      <c r="L208" s="39" t="str">
        <f>VLOOKUP(Tabla81015[[#This Row],[CODIGO DEL PRODUCTO]],Tabla797[],2,FALSE)</f>
        <v>PIEDRA 6-20</v>
      </c>
      <c r="M208" s="37">
        <v>1</v>
      </c>
      <c r="N208" s="158"/>
      <c r="O208" s="76">
        <v>107304</v>
      </c>
      <c r="P208" s="76" t="s">
        <v>684</v>
      </c>
      <c r="Q208" s="77">
        <v>46056</v>
      </c>
      <c r="R208" s="78" t="s">
        <v>43</v>
      </c>
      <c r="S208" s="36" t="str">
        <f>VLOOKUP(Tabla91116[[#This Row],[CODIGO DEL PRODUCTO]],Tabla797[],2,FALSE)</f>
        <v>PIEDRA 6-20</v>
      </c>
      <c r="T208" s="37">
        <v>34.700000000000003</v>
      </c>
    </row>
    <row r="209" spans="8:23" x14ac:dyDescent="0.25">
      <c r="H209" s="34"/>
      <c r="I209" s="34" t="s">
        <v>53</v>
      </c>
      <c r="J209" s="35">
        <v>46083</v>
      </c>
      <c r="K209" s="36" t="s">
        <v>42</v>
      </c>
      <c r="L209" s="39" t="str">
        <f>VLOOKUP(Tabla81015[[#This Row],[CODIGO DEL PRODUCTO]],Tabla797[],2,FALSE)</f>
        <v>ARENA FINA</v>
      </c>
      <c r="M209" s="37">
        <v>625.48</v>
      </c>
      <c r="N209" s="158"/>
      <c r="O209" s="76">
        <v>107305</v>
      </c>
      <c r="P209" s="76" t="s">
        <v>684</v>
      </c>
      <c r="Q209" s="77">
        <v>46056</v>
      </c>
      <c r="R209" s="78" t="s">
        <v>43</v>
      </c>
      <c r="S209" s="36" t="str">
        <f>VLOOKUP(Tabla91116[[#This Row],[CODIGO DEL PRODUCTO]],Tabla797[],2,FALSE)</f>
        <v>PIEDRA 6-20</v>
      </c>
      <c r="T209" s="37">
        <v>34.479999999999997</v>
      </c>
    </row>
    <row r="210" spans="8:23" x14ac:dyDescent="0.25">
      <c r="H210" s="34"/>
      <c r="I210" s="34" t="s">
        <v>53</v>
      </c>
      <c r="J210" s="35">
        <v>46084</v>
      </c>
      <c r="K210" s="36" t="s">
        <v>40</v>
      </c>
      <c r="L210" s="39" t="str">
        <f>VLOOKUP(Tabla81015[[#This Row],[CODIGO DEL PRODUCTO]],Tabla797[],2,FALSE)</f>
        <v>PIEDRA 0-6</v>
      </c>
      <c r="M210" s="37">
        <v>419.65</v>
      </c>
      <c r="N210" s="158"/>
      <c r="O210" s="76">
        <v>107311</v>
      </c>
      <c r="P210" s="76" t="s">
        <v>684</v>
      </c>
      <c r="Q210" s="77">
        <v>46056</v>
      </c>
      <c r="R210" s="78" t="s">
        <v>40</v>
      </c>
      <c r="S210" s="36" t="str">
        <f>VLOOKUP(Tabla91116[[#This Row],[CODIGO DEL PRODUCTO]],Tabla797[],2,FALSE)</f>
        <v>PIEDRA 0-6</v>
      </c>
      <c r="T210" s="37">
        <v>35.619999999999997</v>
      </c>
    </row>
    <row r="211" spans="8:23" x14ac:dyDescent="0.25">
      <c r="H211" s="34"/>
      <c r="I211" s="34" t="s">
        <v>53</v>
      </c>
      <c r="J211" s="35">
        <v>46085</v>
      </c>
      <c r="K211" s="36" t="s">
        <v>286</v>
      </c>
      <c r="L211" s="39" t="str">
        <f>VLOOKUP(Tabla81015[[#This Row],[CODIGO DEL PRODUCTO]],Tabla797[],2,FALSE)</f>
        <v>CPF 40 AVELLANEDA</v>
      </c>
      <c r="M211" s="37">
        <v>292.01</v>
      </c>
      <c r="N211" s="158"/>
      <c r="O211" s="76">
        <v>107319</v>
      </c>
      <c r="P211" s="76" t="s">
        <v>684</v>
      </c>
      <c r="Q211" s="77">
        <v>46056</v>
      </c>
      <c r="R211" s="78" t="s">
        <v>40</v>
      </c>
      <c r="S211" s="36" t="str">
        <f>VLOOKUP(Tabla91116[[#This Row],[CODIGO DEL PRODUCTO]],Tabla797[],2,FALSE)</f>
        <v>PIEDRA 0-6</v>
      </c>
      <c r="T211" s="37">
        <v>35.96</v>
      </c>
    </row>
    <row r="212" spans="8:23" x14ac:dyDescent="0.25">
      <c r="H212" s="34"/>
      <c r="I212" s="34" t="s">
        <v>53</v>
      </c>
      <c r="J212" s="35">
        <v>46086</v>
      </c>
      <c r="K212" s="36" t="s">
        <v>50</v>
      </c>
      <c r="L212" s="39" t="str">
        <f>VLOOKUP(Tabla81015[[#This Row],[CODIGO DEL PRODUCTO]],Tabla797[],2,FALSE)</f>
        <v>MIRA SET 453 (ADITIVO)</v>
      </c>
      <c r="M212" s="37">
        <v>21</v>
      </c>
      <c r="N212" s="158"/>
      <c r="O212" s="76">
        <v>107320</v>
      </c>
      <c r="P212" s="76" t="s">
        <v>684</v>
      </c>
      <c r="Q212" s="77">
        <v>46056</v>
      </c>
      <c r="R212" s="78" t="s">
        <v>40</v>
      </c>
      <c r="S212" s="36" t="str">
        <f>VLOOKUP(Tabla91116[[#This Row],[CODIGO DEL PRODUCTO]],Tabla797[],2,FALSE)</f>
        <v>PIEDRA 0-6</v>
      </c>
      <c r="T212" s="37">
        <v>34.700000000000003</v>
      </c>
    </row>
    <row r="213" spans="8:23" x14ac:dyDescent="0.25">
      <c r="H213" s="34"/>
      <c r="I213" s="34" t="s">
        <v>53</v>
      </c>
      <c r="J213" s="35">
        <v>46086</v>
      </c>
      <c r="K213" s="36" t="s">
        <v>48</v>
      </c>
      <c r="L213" s="39" t="str">
        <f>VLOOKUP(Tabla81015[[#This Row],[CODIGO DEL PRODUCTO]],Tabla797[],2,FALSE)</f>
        <v>PIEDRA 6-12</v>
      </c>
      <c r="M213" s="37">
        <v>67.77</v>
      </c>
      <c r="N213" s="158"/>
      <c r="O213" s="76">
        <v>2687610</v>
      </c>
      <c r="P213" s="76" t="s">
        <v>679</v>
      </c>
      <c r="Q213" s="77">
        <v>46056</v>
      </c>
      <c r="R213" s="78" t="s">
        <v>286</v>
      </c>
      <c r="S213" s="36" t="str">
        <f>VLOOKUP(Tabla91116[[#This Row],[CODIGO DEL PRODUCTO]],Tabla797[],2,FALSE)</f>
        <v>CPF 40 AVELLANEDA</v>
      </c>
      <c r="T213" s="37">
        <v>35.94</v>
      </c>
    </row>
    <row r="214" spans="8:23" x14ac:dyDescent="0.25">
      <c r="H214" s="34"/>
      <c r="I214" s="34" t="s">
        <v>53</v>
      </c>
      <c r="J214" s="35">
        <v>46087</v>
      </c>
      <c r="K214" s="36" t="s">
        <v>43</v>
      </c>
      <c r="L214" s="39" t="str">
        <f>VLOOKUP(Tabla81015[[#This Row],[CODIGO DEL PRODUCTO]],Tabla797[],2,FALSE)</f>
        <v>PIEDRA 6-20</v>
      </c>
      <c r="M214" s="37">
        <v>849.51</v>
      </c>
      <c r="N214" s="158"/>
      <c r="O214" s="76">
        <v>103322</v>
      </c>
      <c r="P214" s="76" t="s">
        <v>683</v>
      </c>
      <c r="Q214" s="77">
        <v>46057</v>
      </c>
      <c r="R214" s="78" t="s">
        <v>42</v>
      </c>
      <c r="S214" s="36" t="str">
        <f>VLOOKUP(Tabla91116[[#This Row],[CODIGO DEL PRODUCTO]],Tabla797[],2,FALSE)</f>
        <v>ARENA FINA</v>
      </c>
      <c r="T214" s="37">
        <v>35.96</v>
      </c>
      <c r="U214" s="7">
        <v>46057</v>
      </c>
      <c r="V214" t="s">
        <v>721</v>
      </c>
      <c r="W214" t="s">
        <v>722</v>
      </c>
    </row>
    <row r="215" spans="8:23" x14ac:dyDescent="0.25">
      <c r="H215" s="34"/>
      <c r="I215" s="34" t="s">
        <v>53</v>
      </c>
      <c r="J215" s="35">
        <v>46088</v>
      </c>
      <c r="K215" s="36" t="s">
        <v>46</v>
      </c>
      <c r="L215" s="39" t="str">
        <f>VLOOKUP(Tabla81015[[#This Row],[CODIGO DEL PRODUCTO]],Tabla797[],2,FALSE)</f>
        <v>PIEDRA 10-30</v>
      </c>
      <c r="M215" s="37">
        <v>8.9700000000000006</v>
      </c>
      <c r="N215" s="158"/>
      <c r="O215" s="76">
        <v>103320</v>
      </c>
      <c r="P215" s="76" t="s">
        <v>683</v>
      </c>
      <c r="Q215" s="77">
        <v>46057</v>
      </c>
      <c r="R215" s="78" t="s">
        <v>42</v>
      </c>
      <c r="S215" s="36" t="str">
        <f>VLOOKUP(Tabla91116[[#This Row],[CODIGO DEL PRODUCTO]],Tabla797[],2,FALSE)</f>
        <v>ARENA FINA</v>
      </c>
      <c r="T215" s="37">
        <v>34.380000000000003</v>
      </c>
    </row>
    <row r="216" spans="8:23" x14ac:dyDescent="0.25">
      <c r="H216" s="34"/>
      <c r="I216" s="34" t="s">
        <v>53</v>
      </c>
      <c r="J216" s="35">
        <v>46088</v>
      </c>
      <c r="K216" s="36" t="s">
        <v>425</v>
      </c>
      <c r="L216" s="39" t="str">
        <f>VLOOKUP(Tabla81015[[#This Row],[CODIGO DEL PRODUCTO]],Tabla797[],2,FALSE)</f>
        <v>W351R</v>
      </c>
      <c r="M216" s="37">
        <v>61</v>
      </c>
      <c r="N216" s="158"/>
      <c r="O216" s="76">
        <v>220013</v>
      </c>
      <c r="P216" s="76" t="s">
        <v>516</v>
      </c>
      <c r="Q216" s="77">
        <v>46057</v>
      </c>
      <c r="R216" s="78" t="s">
        <v>43</v>
      </c>
      <c r="S216" s="36" t="str">
        <f>VLOOKUP(Tabla91116[[#This Row],[CODIGO DEL PRODUCTO]],Tabla797[],2,FALSE)</f>
        <v>PIEDRA 6-20</v>
      </c>
      <c r="T216" s="37">
        <v>36.14</v>
      </c>
    </row>
    <row r="217" spans="8:23" x14ac:dyDescent="0.25">
      <c r="H217" s="34">
        <v>17347</v>
      </c>
      <c r="I217" s="34" t="s">
        <v>760</v>
      </c>
      <c r="J217" s="35">
        <v>46092</v>
      </c>
      <c r="K217" s="36" t="s">
        <v>42</v>
      </c>
      <c r="L217" s="39" t="str">
        <f>VLOOKUP(Tabla81015[[#This Row],[CODIGO DEL PRODUCTO]],Tabla797[],2,FALSE)</f>
        <v>ARENA FINA</v>
      </c>
      <c r="M217" s="37">
        <v>35.08</v>
      </c>
      <c r="N217" s="158"/>
      <c r="O217" s="76">
        <v>107330</v>
      </c>
      <c r="P217" s="76" t="s">
        <v>684</v>
      </c>
      <c r="Q217" s="77">
        <v>46057</v>
      </c>
      <c r="R217" s="78" t="s">
        <v>43</v>
      </c>
      <c r="S217" s="36" t="str">
        <f>VLOOKUP(Tabla91116[[#This Row],[CODIGO DEL PRODUCTO]],Tabla797[],2,FALSE)</f>
        <v>PIEDRA 6-20</v>
      </c>
      <c r="T217" s="37">
        <v>35.68</v>
      </c>
    </row>
    <row r="218" spans="8:23" x14ac:dyDescent="0.25">
      <c r="H218" s="34">
        <v>17350</v>
      </c>
      <c r="I218" s="34" t="s">
        <v>601</v>
      </c>
      <c r="J218" s="35">
        <v>46092</v>
      </c>
      <c r="K218" s="36" t="s">
        <v>42</v>
      </c>
      <c r="L218" s="39" t="str">
        <f>VLOOKUP(Tabla81015[[#This Row],[CODIGO DEL PRODUCTO]],Tabla797[],2,FALSE)</f>
        <v>ARENA FINA</v>
      </c>
      <c r="M218" s="37">
        <v>10</v>
      </c>
      <c r="N218" s="158"/>
      <c r="O218" s="76">
        <v>107331</v>
      </c>
      <c r="P218" s="76" t="s">
        <v>684</v>
      </c>
      <c r="Q218" s="77">
        <v>46057</v>
      </c>
      <c r="R218" s="78" t="s">
        <v>43</v>
      </c>
      <c r="S218" s="36" t="str">
        <f>VLOOKUP(Tabla91116[[#This Row],[CODIGO DEL PRODUCTO]],Tabla797[],2,FALSE)</f>
        <v>PIEDRA 6-20</v>
      </c>
      <c r="T218" s="37">
        <v>34.6</v>
      </c>
    </row>
    <row r="219" spans="8:23" x14ac:dyDescent="0.25">
      <c r="H219" s="34"/>
      <c r="I219" s="34" t="s">
        <v>601</v>
      </c>
      <c r="J219" s="35">
        <v>46092</v>
      </c>
      <c r="K219" s="36" t="s">
        <v>43</v>
      </c>
      <c r="L219" s="39" t="str">
        <f>VLOOKUP(Tabla81015[[#This Row],[CODIGO DEL PRODUCTO]],Tabla797[],2,FALSE)</f>
        <v>PIEDRA 6-20</v>
      </c>
      <c r="M219" s="37">
        <v>10</v>
      </c>
      <c r="N219" s="158"/>
      <c r="O219" s="76">
        <v>107337</v>
      </c>
      <c r="P219" s="76" t="s">
        <v>684</v>
      </c>
      <c r="Q219" s="77">
        <v>46057</v>
      </c>
      <c r="R219" s="78" t="s">
        <v>40</v>
      </c>
      <c r="S219" s="36" t="str">
        <f>VLOOKUP(Tabla91116[[#This Row],[CODIGO DEL PRODUCTO]],Tabla797[],2,FALSE)</f>
        <v>PIEDRA 0-6</v>
      </c>
      <c r="T219" s="37">
        <v>35.1</v>
      </c>
    </row>
    <row r="220" spans="8:23" x14ac:dyDescent="0.25">
      <c r="H220" s="34">
        <v>17368</v>
      </c>
      <c r="I220" s="34" t="s">
        <v>513</v>
      </c>
      <c r="J220" s="35">
        <v>46093</v>
      </c>
      <c r="K220" s="36" t="s">
        <v>42</v>
      </c>
      <c r="L220" s="39" t="str">
        <f>VLOOKUP(Tabla81015[[#This Row],[CODIGO DEL PRODUCTO]],Tabla797[],2,FALSE)</f>
        <v>ARENA FINA</v>
      </c>
      <c r="M220" s="37">
        <v>0.2</v>
      </c>
      <c r="N220" s="158"/>
      <c r="O220" s="76">
        <v>107339</v>
      </c>
      <c r="P220" s="76" t="s">
        <v>684</v>
      </c>
      <c r="Q220" s="77">
        <v>46057</v>
      </c>
      <c r="R220" s="78" t="s">
        <v>40</v>
      </c>
      <c r="S220" s="36" t="str">
        <f>VLOOKUP(Tabla91116[[#This Row],[CODIGO DEL PRODUCTO]],Tabla797[],2,FALSE)</f>
        <v>PIEDRA 0-6</v>
      </c>
      <c r="T220" s="37">
        <v>36.26</v>
      </c>
    </row>
    <row r="221" spans="8:23" x14ac:dyDescent="0.25">
      <c r="H221" s="34">
        <v>17398</v>
      </c>
      <c r="I221" s="34" t="s">
        <v>767</v>
      </c>
      <c r="J221" s="35">
        <v>46094</v>
      </c>
      <c r="K221" s="36" t="s">
        <v>42</v>
      </c>
      <c r="L221" s="39" t="str">
        <f>VLOOKUP(Tabla81015[[#This Row],[CODIGO DEL PRODUCTO]],Tabla797[],2,FALSE)</f>
        <v>ARENA FINA</v>
      </c>
      <c r="M221" s="37">
        <v>2</v>
      </c>
      <c r="N221" s="158"/>
      <c r="O221" s="76">
        <v>107344</v>
      </c>
      <c r="P221" s="76" t="s">
        <v>684</v>
      </c>
      <c r="Q221" s="77">
        <v>46057</v>
      </c>
      <c r="R221" s="78" t="s">
        <v>40</v>
      </c>
      <c r="S221" s="36" t="str">
        <f>VLOOKUP(Tabla91116[[#This Row],[CODIGO DEL PRODUCTO]],Tabla797[],2,FALSE)</f>
        <v>PIEDRA 0-6</v>
      </c>
      <c r="T221" s="37">
        <v>34.92</v>
      </c>
    </row>
    <row r="222" spans="8:23" x14ac:dyDescent="0.25">
      <c r="H222" s="34"/>
      <c r="I222" s="34" t="s">
        <v>767</v>
      </c>
      <c r="J222" s="35">
        <v>46094</v>
      </c>
      <c r="K222" s="36" t="s">
        <v>43</v>
      </c>
      <c r="L222" s="39" t="str">
        <f>VLOOKUP(Tabla81015[[#This Row],[CODIGO DEL PRODUCTO]],Tabla797[],2,FALSE)</f>
        <v>PIEDRA 6-20</v>
      </c>
      <c r="M222" s="37">
        <v>3</v>
      </c>
      <c r="N222" s="158"/>
      <c r="O222" s="76">
        <v>2687889</v>
      </c>
      <c r="P222" s="76" t="s">
        <v>679</v>
      </c>
      <c r="Q222" s="77">
        <v>46057</v>
      </c>
      <c r="R222" s="78" t="s">
        <v>286</v>
      </c>
      <c r="S222" s="36" t="str">
        <f>VLOOKUP(Tabla91116[[#This Row],[CODIGO DEL PRODUCTO]],Tabla797[],2,FALSE)</f>
        <v>CPF 40 AVELLANEDA</v>
      </c>
      <c r="T222" s="37">
        <v>35.68</v>
      </c>
    </row>
    <row r="223" spans="8:23" x14ac:dyDescent="0.25">
      <c r="H223" s="34">
        <v>17402</v>
      </c>
      <c r="I223" s="34" t="s">
        <v>768</v>
      </c>
      <c r="J223" s="35">
        <v>46094</v>
      </c>
      <c r="K223" s="36" t="s">
        <v>372</v>
      </c>
      <c r="L223" s="39" t="str">
        <f>VLOOKUP(Tabla81015[[#This Row],[CODIGO DEL PRODUCTO]],Tabla797[],2,FALSE)</f>
        <v xml:space="preserve">ESTABILIZADO GRANULOMETRICO 0/20 </v>
      </c>
      <c r="M223" s="37">
        <v>1</v>
      </c>
      <c r="N223" s="158"/>
      <c r="O223" s="76">
        <v>40428</v>
      </c>
      <c r="P223" s="76" t="s">
        <v>449</v>
      </c>
      <c r="Q223" s="77">
        <v>46058</v>
      </c>
      <c r="R223" s="78" t="s">
        <v>425</v>
      </c>
      <c r="S223" s="36" t="str">
        <f>VLOOKUP(Tabla91116[[#This Row],[CODIGO DEL PRODUCTO]],Tabla797[],2,FALSE)</f>
        <v>W351R</v>
      </c>
      <c r="T223" s="37">
        <v>1000</v>
      </c>
    </row>
    <row r="224" spans="8:23" x14ac:dyDescent="0.25">
      <c r="H224" s="34">
        <v>17415</v>
      </c>
      <c r="I224" s="34" t="s">
        <v>618</v>
      </c>
      <c r="J224" s="35">
        <v>46094</v>
      </c>
      <c r="K224" s="36" t="s">
        <v>42</v>
      </c>
      <c r="L224" s="39" t="str">
        <f>VLOOKUP(Tabla81015[[#This Row],[CODIGO DEL PRODUCTO]],Tabla797[],2,FALSE)</f>
        <v>ARENA FINA</v>
      </c>
      <c r="M224" s="37">
        <v>5</v>
      </c>
      <c r="N224" s="158"/>
      <c r="O224" s="76">
        <v>103326</v>
      </c>
      <c r="P224" s="76" t="s">
        <v>683</v>
      </c>
      <c r="Q224" s="77">
        <v>46058</v>
      </c>
      <c r="R224" s="78" t="s">
        <v>42</v>
      </c>
      <c r="S224" s="36" t="str">
        <f>VLOOKUP(Tabla91116[[#This Row],[CODIGO DEL PRODUCTO]],Tabla797[],2,FALSE)</f>
        <v>ARENA FINA</v>
      </c>
      <c r="T224" s="37">
        <v>37</v>
      </c>
    </row>
    <row r="225" spans="8:21" x14ac:dyDescent="0.25">
      <c r="H225" s="34">
        <v>17471</v>
      </c>
      <c r="I225" s="34" t="s">
        <v>743</v>
      </c>
      <c r="J225" s="35">
        <v>46097</v>
      </c>
      <c r="K225" s="36" t="s">
        <v>372</v>
      </c>
      <c r="L225" s="39" t="str">
        <f>VLOOKUP(Tabla81015[[#This Row],[CODIGO DEL PRODUCTO]],Tabla797[],2,FALSE)</f>
        <v xml:space="preserve">ESTABILIZADO GRANULOMETRICO 0/20 </v>
      </c>
      <c r="M225" s="37">
        <v>7</v>
      </c>
      <c r="N225" s="158"/>
      <c r="O225" s="76">
        <v>103335</v>
      </c>
      <c r="P225" s="76" t="s">
        <v>683</v>
      </c>
      <c r="Q225" s="77">
        <v>46058</v>
      </c>
      <c r="R225" s="78" t="s">
        <v>42</v>
      </c>
      <c r="S225" s="36" t="str">
        <f>VLOOKUP(Tabla91116[[#This Row],[CODIGO DEL PRODUCTO]],Tabla797[],2,FALSE)</f>
        <v>ARENA FINA</v>
      </c>
      <c r="T225" s="37">
        <v>34.68</v>
      </c>
    </row>
    <row r="226" spans="8:21" x14ac:dyDescent="0.25">
      <c r="H226" s="34">
        <v>17481</v>
      </c>
      <c r="I226" s="34" t="s">
        <v>743</v>
      </c>
      <c r="J226" s="35">
        <v>46097</v>
      </c>
      <c r="K226" s="36" t="s">
        <v>372</v>
      </c>
      <c r="L226" s="39" t="str">
        <f>VLOOKUP(Tabla81015[[#This Row],[CODIGO DEL PRODUCTO]],Tabla797[],2,FALSE)</f>
        <v xml:space="preserve">ESTABILIZADO GRANULOMETRICO 0/20 </v>
      </c>
      <c r="M226" s="37">
        <v>7</v>
      </c>
      <c r="N226" s="158"/>
      <c r="O226" s="76">
        <v>103340</v>
      </c>
      <c r="P226" s="76" t="s">
        <v>683</v>
      </c>
      <c r="Q226" s="77">
        <v>46058</v>
      </c>
      <c r="R226" s="78" t="s">
        <v>42</v>
      </c>
      <c r="S226" s="36" t="str">
        <f>VLOOKUP(Tabla91116[[#This Row],[CODIGO DEL PRODUCTO]],Tabla797[],2,FALSE)</f>
        <v>ARENA FINA</v>
      </c>
      <c r="T226" s="37">
        <v>35.340000000000003</v>
      </c>
    </row>
    <row r="227" spans="8:21" x14ac:dyDescent="0.25">
      <c r="H227" s="34">
        <v>17482</v>
      </c>
      <c r="I227" s="34" t="s">
        <v>743</v>
      </c>
      <c r="J227" s="35">
        <v>46097</v>
      </c>
      <c r="K227" s="36" t="s">
        <v>372</v>
      </c>
      <c r="L227" s="39" t="str">
        <f>VLOOKUP(Tabla81015[[#This Row],[CODIGO DEL PRODUCTO]],Tabla797[],2,FALSE)</f>
        <v xml:space="preserve">ESTABILIZADO GRANULOMETRICO 0/20 </v>
      </c>
      <c r="M227" s="37">
        <v>7</v>
      </c>
      <c r="N227" s="158"/>
      <c r="O227" s="76">
        <v>220074</v>
      </c>
      <c r="P227" s="76" t="s">
        <v>516</v>
      </c>
      <c r="Q227" s="77">
        <v>46058</v>
      </c>
      <c r="R227" s="78" t="s">
        <v>43</v>
      </c>
      <c r="S227" s="36" t="str">
        <f>VLOOKUP(Tabla91116[[#This Row],[CODIGO DEL PRODUCTO]],Tabla797[],2,FALSE)</f>
        <v>PIEDRA 6-20</v>
      </c>
      <c r="T227" s="37">
        <v>35.94</v>
      </c>
    </row>
    <row r="228" spans="8:21" x14ac:dyDescent="0.25">
      <c r="H228" s="34">
        <v>17491</v>
      </c>
      <c r="I228" s="34" t="s">
        <v>743</v>
      </c>
      <c r="J228" s="35">
        <v>46097</v>
      </c>
      <c r="K228" s="36" t="s">
        <v>372</v>
      </c>
      <c r="L228" s="39" t="str">
        <f>VLOOKUP(Tabla81015[[#This Row],[CODIGO DEL PRODUCTO]],Tabla797[],2,FALSE)</f>
        <v xml:space="preserve">ESTABILIZADO GRANULOMETRICO 0/20 </v>
      </c>
      <c r="M228" s="37">
        <v>7</v>
      </c>
      <c r="N228" s="158"/>
      <c r="O228" s="76">
        <v>107353</v>
      </c>
      <c r="P228" s="76" t="s">
        <v>684</v>
      </c>
      <c r="Q228" s="77">
        <v>46058</v>
      </c>
      <c r="R228" s="78" t="s">
        <v>40</v>
      </c>
      <c r="S228" s="36" t="str">
        <f>VLOOKUP(Tabla91116[[#This Row],[CODIGO DEL PRODUCTO]],Tabla797[],2,FALSE)</f>
        <v>PIEDRA 0-6</v>
      </c>
      <c r="T228" s="37">
        <v>34.64</v>
      </c>
      <c r="U228" s="7"/>
    </row>
    <row r="229" spans="8:21" x14ac:dyDescent="0.25">
      <c r="H229" s="34">
        <v>17506</v>
      </c>
      <c r="I229" s="34" t="s">
        <v>403</v>
      </c>
      <c r="J229" s="35">
        <v>46097</v>
      </c>
      <c r="K229" s="36" t="s">
        <v>43</v>
      </c>
      <c r="L229" s="39" t="str">
        <f>VLOOKUP(Tabla81015[[#This Row],[CODIGO DEL PRODUCTO]],Tabla797[],2,FALSE)</f>
        <v>PIEDRA 6-20</v>
      </c>
      <c r="M229" s="37">
        <v>5</v>
      </c>
      <c r="N229" s="158"/>
      <c r="O229" s="76">
        <v>107354</v>
      </c>
      <c r="P229" s="76" t="s">
        <v>684</v>
      </c>
      <c r="Q229" s="77">
        <v>46058</v>
      </c>
      <c r="R229" s="78" t="s">
        <v>43</v>
      </c>
      <c r="S229" s="36" t="str">
        <f>VLOOKUP(Tabla91116[[#This Row],[CODIGO DEL PRODUCTO]],Tabla797[],2,FALSE)</f>
        <v>PIEDRA 6-20</v>
      </c>
      <c r="T229" s="37">
        <v>35.020000000000003</v>
      </c>
    </row>
    <row r="230" spans="8:21" x14ac:dyDescent="0.25">
      <c r="H230" s="34"/>
      <c r="I230" s="34" t="s">
        <v>53</v>
      </c>
      <c r="J230" s="35">
        <v>46090</v>
      </c>
      <c r="K230" s="36" t="s">
        <v>42</v>
      </c>
      <c r="L230" s="39" t="str">
        <f>VLOOKUP(Tabla81015[[#This Row],[CODIGO DEL PRODUCTO]],Tabla797[],2,FALSE)</f>
        <v>ARENA FINA</v>
      </c>
      <c r="M230" s="37">
        <v>598.29</v>
      </c>
      <c r="N230" s="158"/>
      <c r="O230" s="76">
        <v>107358</v>
      </c>
      <c r="P230" s="76" t="s">
        <v>684</v>
      </c>
      <c r="Q230" s="77">
        <v>46058</v>
      </c>
      <c r="R230" s="78" t="s">
        <v>43</v>
      </c>
      <c r="S230" s="36" t="str">
        <f>VLOOKUP(Tabla91116[[#This Row],[CODIGO DEL PRODUCTO]],Tabla797[],2,FALSE)</f>
        <v>PIEDRA 6-20</v>
      </c>
      <c r="T230" s="37">
        <v>34.479999999999997</v>
      </c>
    </row>
    <row r="231" spans="8:21" x14ac:dyDescent="0.25">
      <c r="H231" s="34"/>
      <c r="I231" s="34" t="s">
        <v>53</v>
      </c>
      <c r="J231" s="35">
        <v>46091</v>
      </c>
      <c r="K231" s="36" t="s">
        <v>40</v>
      </c>
      <c r="L231" s="39" t="str">
        <f>VLOOKUP(Tabla81015[[#This Row],[CODIGO DEL PRODUCTO]],Tabla797[],2,FALSE)</f>
        <v>PIEDRA 0-6</v>
      </c>
      <c r="M231" s="37">
        <v>399.33</v>
      </c>
      <c r="N231" s="158"/>
      <c r="O231" s="76">
        <v>107359</v>
      </c>
      <c r="P231" s="76" t="s">
        <v>684</v>
      </c>
      <c r="Q231" s="77">
        <v>46058</v>
      </c>
      <c r="R231" s="78" t="s">
        <v>40</v>
      </c>
      <c r="S231" s="36" t="str">
        <f>VLOOKUP(Tabla91116[[#This Row],[CODIGO DEL PRODUCTO]],Tabla797[],2,FALSE)</f>
        <v>PIEDRA 0-6</v>
      </c>
      <c r="T231" s="37">
        <v>34.42</v>
      </c>
    </row>
    <row r="232" spans="8:21" x14ac:dyDescent="0.25">
      <c r="H232" s="34"/>
      <c r="I232" s="34" t="s">
        <v>53</v>
      </c>
      <c r="J232" s="35">
        <v>46092</v>
      </c>
      <c r="K232" s="36" t="s">
        <v>286</v>
      </c>
      <c r="L232" s="39" t="str">
        <f>VLOOKUP(Tabla81015[[#This Row],[CODIGO DEL PRODUCTO]],Tabla797[],2,FALSE)</f>
        <v>CPF 40 AVELLANEDA</v>
      </c>
      <c r="M232" s="37">
        <v>271.69</v>
      </c>
      <c r="N232" s="158"/>
      <c r="O232" s="76">
        <v>107367</v>
      </c>
      <c r="P232" s="76" t="s">
        <v>684</v>
      </c>
      <c r="Q232" s="77">
        <v>46058</v>
      </c>
      <c r="R232" s="78" t="s">
        <v>40</v>
      </c>
      <c r="S232" s="36" t="str">
        <f>VLOOKUP(Tabla91116[[#This Row],[CODIGO DEL PRODUCTO]],Tabla797[],2,FALSE)</f>
        <v>PIEDRA 0-6</v>
      </c>
      <c r="T232" s="37">
        <v>34.72</v>
      </c>
    </row>
    <row r="233" spans="8:21" x14ac:dyDescent="0.25">
      <c r="H233" s="34"/>
      <c r="I233" s="34" t="s">
        <v>53</v>
      </c>
      <c r="J233" s="35">
        <v>46093</v>
      </c>
      <c r="K233" s="36" t="s">
        <v>48</v>
      </c>
      <c r="L233" s="39" t="str">
        <f>VLOOKUP(Tabla81015[[#This Row],[CODIGO DEL PRODUCTO]],Tabla797[],2,FALSE)</f>
        <v>PIEDRA 6-12</v>
      </c>
      <c r="M233" s="37">
        <v>77.52</v>
      </c>
      <c r="N233" s="158"/>
      <c r="O233" s="76">
        <v>2688173</v>
      </c>
      <c r="P233" s="76" t="s">
        <v>679</v>
      </c>
      <c r="Q233" s="77">
        <v>46058</v>
      </c>
      <c r="R233" s="78" t="s">
        <v>286</v>
      </c>
      <c r="S233" s="36" t="str">
        <f>VLOOKUP(Tabla91116[[#This Row],[CODIGO DEL PRODUCTO]],Tabla797[],2,FALSE)</f>
        <v>CPF 40 AVELLANEDA</v>
      </c>
      <c r="T233" s="37">
        <v>36.08</v>
      </c>
    </row>
    <row r="234" spans="8:21" x14ac:dyDescent="0.25">
      <c r="H234" s="34"/>
      <c r="I234" s="34" t="s">
        <v>53</v>
      </c>
      <c r="J234" s="35">
        <v>46093</v>
      </c>
      <c r="K234" s="36" t="s">
        <v>43</v>
      </c>
      <c r="L234" s="39" t="str">
        <f>VLOOKUP(Tabla81015[[#This Row],[CODIGO DEL PRODUCTO]],Tabla797[],2,FALSE)</f>
        <v>PIEDRA 6-20</v>
      </c>
      <c r="M234" s="37">
        <v>749.8</v>
      </c>
      <c r="N234" s="158"/>
      <c r="O234" s="76">
        <v>103349</v>
      </c>
      <c r="P234" s="76" t="s">
        <v>683</v>
      </c>
      <c r="Q234" s="77">
        <v>46059</v>
      </c>
      <c r="R234" s="78" t="s">
        <v>42</v>
      </c>
      <c r="S234" s="36" t="str">
        <f>VLOOKUP(Tabla91116[[#This Row],[CODIGO DEL PRODUCTO]],Tabla797[],2,FALSE)</f>
        <v>ARENA FINA</v>
      </c>
      <c r="T234" s="37">
        <v>34.26</v>
      </c>
    </row>
    <row r="235" spans="8:21" x14ac:dyDescent="0.25">
      <c r="H235" s="34"/>
      <c r="I235" s="34" t="s">
        <v>53</v>
      </c>
      <c r="J235" s="35">
        <v>46094</v>
      </c>
      <c r="K235" s="36" t="s">
        <v>46</v>
      </c>
      <c r="L235" s="39" t="str">
        <f>VLOOKUP(Tabla81015[[#This Row],[CODIGO DEL PRODUCTO]],Tabla797[],2,FALSE)</f>
        <v>PIEDRA 10-30</v>
      </c>
      <c r="M235" s="37">
        <v>6.5</v>
      </c>
      <c r="N235" s="158" t="s">
        <v>124</v>
      </c>
      <c r="O235" s="76">
        <v>103357</v>
      </c>
      <c r="P235" s="76" t="s">
        <v>683</v>
      </c>
      <c r="Q235" s="77">
        <v>46059</v>
      </c>
      <c r="R235" s="78" t="s">
        <v>42</v>
      </c>
      <c r="S235" s="36" t="str">
        <f>VLOOKUP(Tabla91116[[#This Row],[CODIGO DEL PRODUCTO]],Tabla797[],2,FALSE)</f>
        <v>ARENA FINA</v>
      </c>
      <c r="T235" s="37">
        <v>33.9</v>
      </c>
    </row>
    <row r="236" spans="8:21" x14ac:dyDescent="0.25">
      <c r="H236" s="34"/>
      <c r="I236" s="34" t="s">
        <v>53</v>
      </c>
      <c r="J236" s="35">
        <v>46095</v>
      </c>
      <c r="K236" s="36" t="s">
        <v>425</v>
      </c>
      <c r="L236" s="39" t="str">
        <f>VLOOKUP(Tabla81015[[#This Row],[CODIGO DEL PRODUCTO]],Tabla797[],2,FALSE)</f>
        <v>W351R</v>
      </c>
      <c r="M236" s="37">
        <v>1.44</v>
      </c>
      <c r="N236" s="158"/>
      <c r="O236" s="76">
        <v>103360</v>
      </c>
      <c r="P236" s="76" t="s">
        <v>683</v>
      </c>
      <c r="Q236" s="77">
        <v>46059</v>
      </c>
      <c r="R236" s="78" t="s">
        <v>42</v>
      </c>
      <c r="S236" s="36" t="str">
        <f>VLOOKUP(Tabla91116[[#This Row],[CODIGO DEL PRODUCTO]],Tabla797[],2,FALSE)</f>
        <v>ARENA FINA</v>
      </c>
      <c r="T236" s="37">
        <v>36.04</v>
      </c>
    </row>
    <row r="237" spans="8:21" x14ac:dyDescent="0.25">
      <c r="H237" s="34">
        <v>17525</v>
      </c>
      <c r="I237" s="34" t="s">
        <v>682</v>
      </c>
      <c r="J237" s="35">
        <v>46098</v>
      </c>
      <c r="K237" s="36" t="s">
        <v>42</v>
      </c>
      <c r="L237" s="39" t="str">
        <f>VLOOKUP(Tabla81015[[#This Row],[CODIGO DEL PRODUCTO]],Tabla797[],2,FALSE)</f>
        <v>ARENA FINA</v>
      </c>
      <c r="M237" s="37">
        <v>2</v>
      </c>
      <c r="N237" s="158"/>
      <c r="O237" s="76">
        <v>107375</v>
      </c>
      <c r="P237" s="76" t="s">
        <v>684</v>
      </c>
      <c r="Q237" s="77">
        <v>46059</v>
      </c>
      <c r="R237" s="78" t="s">
        <v>40</v>
      </c>
      <c r="S237" s="36" t="str">
        <f>VLOOKUP(Tabla91116[[#This Row],[CODIGO DEL PRODUCTO]],Tabla797[],2,FALSE)</f>
        <v>PIEDRA 0-6</v>
      </c>
      <c r="T237" s="37">
        <v>34.92</v>
      </c>
      <c r="U237" s="7"/>
    </row>
    <row r="238" spans="8:21" x14ac:dyDescent="0.25">
      <c r="H238" s="34">
        <v>17526</v>
      </c>
      <c r="I238" s="34" t="s">
        <v>426</v>
      </c>
      <c r="J238" s="35">
        <v>46098</v>
      </c>
      <c r="K238" s="36" t="s">
        <v>42</v>
      </c>
      <c r="L238" s="39" t="str">
        <f>VLOOKUP(Tabla81015[[#This Row],[CODIGO DEL PRODUCTO]],Tabla797[],2,FALSE)</f>
        <v>ARENA FINA</v>
      </c>
      <c r="M238" s="37">
        <v>2</v>
      </c>
      <c r="N238" s="158"/>
      <c r="O238" s="76">
        <v>107378</v>
      </c>
      <c r="P238" s="76" t="s">
        <v>684</v>
      </c>
      <c r="Q238" s="77">
        <v>46059</v>
      </c>
      <c r="R238" s="78" t="s">
        <v>43</v>
      </c>
      <c r="S238" s="36" t="str">
        <f>VLOOKUP(Tabla91116[[#This Row],[CODIGO DEL PRODUCTO]],Tabla797[],2,FALSE)</f>
        <v>PIEDRA 6-20</v>
      </c>
      <c r="T238" s="37">
        <v>34.92</v>
      </c>
    </row>
    <row r="239" spans="8:21" x14ac:dyDescent="0.25">
      <c r="H239" s="34">
        <v>17531</v>
      </c>
      <c r="I239" s="34" t="s">
        <v>426</v>
      </c>
      <c r="J239" s="35">
        <v>46098</v>
      </c>
      <c r="K239" s="36" t="s">
        <v>42</v>
      </c>
      <c r="L239" s="39" t="str">
        <f>VLOOKUP(Tabla81015[[#This Row],[CODIGO DEL PRODUCTO]],Tabla797[],2,FALSE)</f>
        <v>ARENA FINA</v>
      </c>
      <c r="M239" s="37">
        <v>8</v>
      </c>
      <c r="N239" s="158"/>
      <c r="O239" s="76">
        <v>107385</v>
      </c>
      <c r="P239" s="76" t="s">
        <v>684</v>
      </c>
      <c r="Q239" s="77">
        <v>46059</v>
      </c>
      <c r="R239" s="78" t="s">
        <v>43</v>
      </c>
      <c r="S239" s="36" t="str">
        <f>VLOOKUP(Tabla91116[[#This Row],[CODIGO DEL PRODUCTO]],Tabla797[],2,FALSE)</f>
        <v>PIEDRA 6-20</v>
      </c>
      <c r="T239" s="37">
        <v>35.5</v>
      </c>
    </row>
    <row r="240" spans="8:21" x14ac:dyDescent="0.25">
      <c r="H240" s="34"/>
      <c r="I240" s="34" t="s">
        <v>426</v>
      </c>
      <c r="J240" s="35">
        <v>46098</v>
      </c>
      <c r="K240" s="36" t="s">
        <v>43</v>
      </c>
      <c r="L240" s="39" t="str">
        <f>VLOOKUP(Tabla81015[[#This Row],[CODIGO DEL PRODUCTO]],Tabla797[],2,FALSE)</f>
        <v>PIEDRA 6-20</v>
      </c>
      <c r="M240" s="37">
        <v>8</v>
      </c>
      <c r="N240" s="158"/>
      <c r="O240" s="76">
        <v>107388</v>
      </c>
      <c r="P240" s="76" t="s">
        <v>684</v>
      </c>
      <c r="Q240" s="77">
        <v>46059</v>
      </c>
      <c r="R240" s="78" t="s">
        <v>40</v>
      </c>
      <c r="S240" s="36" t="str">
        <f>VLOOKUP(Tabla91116[[#This Row],[CODIGO DEL PRODUCTO]],Tabla797[],2,FALSE)</f>
        <v>PIEDRA 0-6</v>
      </c>
      <c r="T240" s="37">
        <v>35.94</v>
      </c>
    </row>
    <row r="241" spans="8:20" x14ac:dyDescent="0.25">
      <c r="H241" s="34">
        <v>17557</v>
      </c>
      <c r="I241" s="34" t="s">
        <v>426</v>
      </c>
      <c r="J241" s="35">
        <v>46099</v>
      </c>
      <c r="K241" s="36" t="s">
        <v>43</v>
      </c>
      <c r="L241" s="39" t="str">
        <f>VLOOKUP(Tabla81015[[#This Row],[CODIGO DEL PRODUCTO]],Tabla797[],2,FALSE)</f>
        <v>PIEDRA 6-20</v>
      </c>
      <c r="M241" s="37">
        <v>1</v>
      </c>
      <c r="N241" s="158"/>
      <c r="O241" s="76">
        <v>107393</v>
      </c>
      <c r="P241" s="76" t="s">
        <v>684</v>
      </c>
      <c r="Q241" s="77">
        <v>46059</v>
      </c>
      <c r="R241" s="78" t="s">
        <v>40</v>
      </c>
      <c r="S241" s="36" t="str">
        <f>VLOOKUP(Tabla91116[[#This Row],[CODIGO DEL PRODUCTO]],Tabla797[],2,FALSE)</f>
        <v>PIEDRA 0-6</v>
      </c>
      <c r="T241" s="37">
        <v>34.94</v>
      </c>
    </row>
    <row r="242" spans="8:20" x14ac:dyDescent="0.25">
      <c r="H242" s="34">
        <v>17563</v>
      </c>
      <c r="I242" s="34" t="s">
        <v>426</v>
      </c>
      <c r="J242" s="35">
        <v>46099</v>
      </c>
      <c r="K242" s="36" t="s">
        <v>42</v>
      </c>
      <c r="L242" s="39" t="str">
        <f>VLOOKUP(Tabla81015[[#This Row],[CODIGO DEL PRODUCTO]],Tabla797[],2,FALSE)</f>
        <v>ARENA FINA</v>
      </c>
      <c r="M242" s="37">
        <v>1</v>
      </c>
      <c r="N242" s="158"/>
      <c r="O242" s="76">
        <v>2688440</v>
      </c>
      <c r="P242" s="76" t="s">
        <v>679</v>
      </c>
      <c r="Q242" s="77">
        <v>46059</v>
      </c>
      <c r="R242" s="78" t="s">
        <v>286</v>
      </c>
      <c r="S242" s="36" t="str">
        <f>VLOOKUP(Tabla91116[[#This Row],[CODIGO DEL PRODUCTO]],Tabla797[],2,FALSE)</f>
        <v>CPF 40 AVELLANEDA</v>
      </c>
      <c r="T242" s="37">
        <v>35.880000000000003</v>
      </c>
    </row>
    <row r="243" spans="8:20" x14ac:dyDescent="0.25">
      <c r="H243" s="34">
        <v>17579</v>
      </c>
      <c r="I243" s="34" t="s">
        <v>641</v>
      </c>
      <c r="J243" s="35">
        <v>46100</v>
      </c>
      <c r="K243" s="36" t="s">
        <v>42</v>
      </c>
      <c r="L243" s="39" t="str">
        <f>VLOOKUP(Tabla81015[[#This Row],[CODIGO DEL PRODUCTO]],Tabla797[],2,FALSE)</f>
        <v>ARENA FINA</v>
      </c>
      <c r="M243" s="37">
        <v>3</v>
      </c>
      <c r="N243" s="158"/>
      <c r="O243" s="76">
        <v>152298</v>
      </c>
      <c r="P243" s="76" t="s">
        <v>679</v>
      </c>
      <c r="Q243" s="77">
        <v>46060</v>
      </c>
      <c r="R243" s="78" t="s">
        <v>43</v>
      </c>
      <c r="S243" s="36" t="str">
        <f>VLOOKUP(Tabla91116[[#This Row],[CODIGO DEL PRODUCTO]],Tabla797[],2,FALSE)</f>
        <v>PIEDRA 6-20</v>
      </c>
      <c r="T243" s="37">
        <v>35.82</v>
      </c>
    </row>
    <row r="244" spans="8:20" x14ac:dyDescent="0.25">
      <c r="H244" s="34">
        <v>17602</v>
      </c>
      <c r="I244" s="34" t="s">
        <v>771</v>
      </c>
      <c r="J244" s="35">
        <v>46100</v>
      </c>
      <c r="K244" s="36" t="s">
        <v>42</v>
      </c>
      <c r="L244" s="39" t="str">
        <f>VLOOKUP(Tabla81015[[#This Row],[CODIGO DEL PRODUCTO]],Tabla797[],2,FALSE)</f>
        <v>ARENA FINA</v>
      </c>
      <c r="M244" s="37">
        <v>3</v>
      </c>
      <c r="N244" s="158"/>
      <c r="O244" s="76">
        <v>152300</v>
      </c>
      <c r="P244" s="76" t="s">
        <v>679</v>
      </c>
      <c r="Q244" s="77">
        <v>46060</v>
      </c>
      <c r="R244" s="78" t="s">
        <v>43</v>
      </c>
      <c r="S244" s="36" t="str">
        <f>VLOOKUP(Tabla91116[[#This Row],[CODIGO DEL PRODUCTO]],Tabla797[],2,FALSE)</f>
        <v>PIEDRA 6-20</v>
      </c>
      <c r="T244" s="37">
        <v>34.880000000000003</v>
      </c>
    </row>
    <row r="245" spans="8:20" x14ac:dyDescent="0.25">
      <c r="H245" s="34">
        <v>17610</v>
      </c>
      <c r="I245" s="34" t="s">
        <v>426</v>
      </c>
      <c r="J245" s="35">
        <v>46100</v>
      </c>
      <c r="K245" s="36" t="s">
        <v>42</v>
      </c>
      <c r="L245" s="39" t="str">
        <f>VLOOKUP(Tabla81015[[#This Row],[CODIGO DEL PRODUCTO]],Tabla797[],2,FALSE)</f>
        <v>ARENA FINA</v>
      </c>
      <c r="M245" s="37">
        <v>33.82</v>
      </c>
      <c r="N245" s="158"/>
      <c r="O245" s="76">
        <v>152308</v>
      </c>
      <c r="P245" s="76" t="s">
        <v>679</v>
      </c>
      <c r="Q245" s="77">
        <v>46060</v>
      </c>
      <c r="R245" s="78" t="s">
        <v>43</v>
      </c>
      <c r="S245" s="36" t="str">
        <f>VLOOKUP(Tabla91116[[#This Row],[CODIGO DEL PRODUCTO]],Tabla797[],2,FALSE)</f>
        <v>PIEDRA 6-20</v>
      </c>
      <c r="T245" s="37">
        <v>34.96</v>
      </c>
    </row>
    <row r="246" spans="8:20" x14ac:dyDescent="0.25">
      <c r="H246" s="34">
        <v>17649</v>
      </c>
      <c r="I246" s="34" t="s">
        <v>426</v>
      </c>
      <c r="J246" s="35">
        <v>46101</v>
      </c>
      <c r="K246" s="36" t="s">
        <v>42</v>
      </c>
      <c r="L246" s="39" t="str">
        <f>VLOOKUP(Tabla81015[[#This Row],[CODIGO DEL PRODUCTO]],Tabla797[],2,FALSE)</f>
        <v>ARENA FINA</v>
      </c>
      <c r="M246" s="37">
        <v>35.76</v>
      </c>
      <c r="N246" s="158"/>
      <c r="O246" s="76">
        <v>103366</v>
      </c>
      <c r="P246" s="76" t="s">
        <v>683</v>
      </c>
      <c r="Q246" s="77">
        <v>46062</v>
      </c>
      <c r="R246" s="78" t="s">
        <v>42</v>
      </c>
      <c r="S246" s="36" t="str">
        <f>VLOOKUP(Tabla91116[[#This Row],[CODIGO DEL PRODUCTO]],Tabla797[],2,FALSE)</f>
        <v>ARENA FINA</v>
      </c>
      <c r="T246" s="37">
        <v>35.46</v>
      </c>
    </row>
    <row r="247" spans="8:20" x14ac:dyDescent="0.25">
      <c r="H247" s="34"/>
      <c r="I247" s="34" t="s">
        <v>53</v>
      </c>
      <c r="J247" s="35">
        <v>46097</v>
      </c>
      <c r="K247" s="36" t="s">
        <v>42</v>
      </c>
      <c r="L247" s="39" t="str">
        <f>VLOOKUP(Tabla81015[[#This Row],[CODIGO DEL PRODUCTO]],Tabla797[],2,FALSE)</f>
        <v>ARENA FINA</v>
      </c>
      <c r="M247" s="37">
        <v>524.54999999999995</v>
      </c>
      <c r="N247" s="158"/>
      <c r="O247" s="76">
        <v>103369</v>
      </c>
      <c r="P247" s="76" t="s">
        <v>683</v>
      </c>
      <c r="Q247" s="77">
        <v>46062</v>
      </c>
      <c r="R247" s="78" t="s">
        <v>42</v>
      </c>
      <c r="S247" s="36" t="str">
        <f>VLOOKUP(Tabla91116[[#This Row],[CODIGO DEL PRODUCTO]],Tabla797[],2,FALSE)</f>
        <v>ARENA FINA</v>
      </c>
      <c r="T247" s="37">
        <v>37.44</v>
      </c>
    </row>
    <row r="248" spans="8:20" x14ac:dyDescent="0.25">
      <c r="H248" s="34"/>
      <c r="I248" s="34" t="s">
        <v>53</v>
      </c>
      <c r="J248" s="35">
        <v>46098</v>
      </c>
      <c r="K248" s="36" t="s">
        <v>40</v>
      </c>
      <c r="L248" s="39" t="str">
        <f>VLOOKUP(Tabla81015[[#This Row],[CODIGO DEL PRODUCTO]],Tabla797[],2,FALSE)</f>
        <v>PIEDRA 0-6</v>
      </c>
      <c r="M248" s="37">
        <v>346.94</v>
      </c>
      <c r="N248" s="158"/>
      <c r="O248" s="76">
        <v>103371</v>
      </c>
      <c r="P248" s="76" t="s">
        <v>683</v>
      </c>
      <c r="Q248" s="77">
        <v>46062</v>
      </c>
      <c r="R248" s="78" t="s">
        <v>42</v>
      </c>
      <c r="S248" s="36" t="str">
        <f>VLOOKUP(Tabla91116[[#This Row],[CODIGO DEL PRODUCTO]],Tabla797[],2,FALSE)</f>
        <v>ARENA FINA</v>
      </c>
      <c r="T248" s="37">
        <v>38.36</v>
      </c>
    </row>
    <row r="249" spans="8:20" x14ac:dyDescent="0.25">
      <c r="H249" s="34"/>
      <c r="I249" s="34" t="s">
        <v>53</v>
      </c>
      <c r="J249" s="35">
        <v>46099</v>
      </c>
      <c r="K249" s="36" t="s">
        <v>286</v>
      </c>
      <c r="L249" s="39" t="str">
        <f>VLOOKUP(Tabla81015[[#This Row],[CODIGO DEL PRODUCTO]],Tabla797[],2,FALSE)</f>
        <v>CPF 40 AVELLANEDA</v>
      </c>
      <c r="M249" s="37">
        <v>250.42</v>
      </c>
      <c r="N249" s="158"/>
      <c r="O249" s="76">
        <v>103374</v>
      </c>
      <c r="P249" s="76" t="s">
        <v>683</v>
      </c>
      <c r="Q249" s="77">
        <v>46062</v>
      </c>
      <c r="R249" s="78" t="s">
        <v>42</v>
      </c>
      <c r="S249" s="36" t="str">
        <f>VLOOKUP(Tabla91116[[#This Row],[CODIGO DEL PRODUCTO]],Tabla797[],2,FALSE)</f>
        <v>ARENA FINA</v>
      </c>
      <c r="T249" s="37">
        <v>34.659999999999997</v>
      </c>
    </row>
    <row r="250" spans="8:20" x14ac:dyDescent="0.25">
      <c r="H250" s="34"/>
      <c r="I250" s="34" t="s">
        <v>53</v>
      </c>
      <c r="J250" s="35">
        <v>46099</v>
      </c>
      <c r="K250" s="36" t="s">
        <v>48</v>
      </c>
      <c r="L250" s="39" t="str">
        <f>VLOOKUP(Tabla81015[[#This Row],[CODIGO DEL PRODUCTO]],Tabla797[],2,FALSE)</f>
        <v>PIEDRA 6-12</v>
      </c>
      <c r="M250" s="37">
        <v>47.17</v>
      </c>
      <c r="N250" s="158"/>
      <c r="O250" s="76">
        <v>103376</v>
      </c>
      <c r="P250" s="76" t="s">
        <v>683</v>
      </c>
      <c r="Q250" s="77">
        <v>46062</v>
      </c>
      <c r="R250" s="78" t="s">
        <v>42</v>
      </c>
      <c r="S250" s="36" t="str">
        <f>VLOOKUP(Tabla91116[[#This Row],[CODIGO DEL PRODUCTO]],Tabla797[],2,FALSE)</f>
        <v>ARENA FINA</v>
      </c>
      <c r="T250" s="37">
        <v>40.9</v>
      </c>
    </row>
    <row r="251" spans="8:20" x14ac:dyDescent="0.25">
      <c r="H251" s="34"/>
      <c r="I251" s="34" t="s">
        <v>53</v>
      </c>
      <c r="J251" s="35">
        <v>46100</v>
      </c>
      <c r="K251" s="36" t="s">
        <v>43</v>
      </c>
      <c r="L251" s="39" t="str">
        <f>VLOOKUP(Tabla81015[[#This Row],[CODIGO DEL PRODUCTO]],Tabla797[],2,FALSE)</f>
        <v>PIEDRA 6-20</v>
      </c>
      <c r="M251" s="37">
        <v>675.32</v>
      </c>
      <c r="N251" s="158"/>
      <c r="O251" s="76">
        <v>103377</v>
      </c>
      <c r="P251" s="76" t="s">
        <v>683</v>
      </c>
      <c r="Q251" s="77">
        <v>46062</v>
      </c>
      <c r="R251" s="78" t="s">
        <v>42</v>
      </c>
      <c r="S251" s="36" t="str">
        <f>VLOOKUP(Tabla91116[[#This Row],[CODIGO DEL PRODUCTO]],Tabla797[],2,FALSE)</f>
        <v>ARENA FINA</v>
      </c>
      <c r="T251" s="37">
        <v>39.54</v>
      </c>
    </row>
    <row r="252" spans="8:20" x14ac:dyDescent="0.25">
      <c r="H252" s="34"/>
      <c r="I252" s="34" t="s">
        <v>53</v>
      </c>
      <c r="J252" s="35">
        <v>46101</v>
      </c>
      <c r="K252" s="36" t="s">
        <v>46</v>
      </c>
      <c r="L252" s="39" t="str">
        <f>VLOOKUP(Tabla81015[[#This Row],[CODIGO DEL PRODUCTO]],Tabla797[],2,FALSE)</f>
        <v>PIEDRA 10-30</v>
      </c>
      <c r="M252" s="37">
        <v>4.38</v>
      </c>
      <c r="N252" s="158"/>
      <c r="O252" s="76">
        <v>220155</v>
      </c>
      <c r="P252" s="76" t="s">
        <v>516</v>
      </c>
      <c r="Q252" s="77">
        <v>46062</v>
      </c>
      <c r="R252" s="78" t="s">
        <v>43</v>
      </c>
      <c r="S252" s="36" t="str">
        <f>VLOOKUP(Tabla91116[[#This Row],[CODIGO DEL PRODUCTO]],Tabla797[],2,FALSE)</f>
        <v>PIEDRA 6-20</v>
      </c>
      <c r="T252" s="37">
        <v>35.5</v>
      </c>
    </row>
    <row r="253" spans="8:20" x14ac:dyDescent="0.25">
      <c r="H253" s="34"/>
      <c r="I253" s="34" t="s">
        <v>53</v>
      </c>
      <c r="J253" s="35">
        <v>46102</v>
      </c>
      <c r="K253" s="36" t="s">
        <v>425</v>
      </c>
      <c r="L253" s="39" t="str">
        <f>VLOOKUP(Tabla81015[[#This Row],[CODIGO DEL PRODUCTO]],Tabla797[],2,FALSE)</f>
        <v>W351R</v>
      </c>
      <c r="M253" s="37">
        <v>1.41</v>
      </c>
      <c r="N253" s="158"/>
      <c r="O253" s="76">
        <v>107401</v>
      </c>
      <c r="P253" s="76" t="s">
        <v>684</v>
      </c>
      <c r="Q253" s="77">
        <v>46062</v>
      </c>
      <c r="R253" s="78" t="s">
        <v>43</v>
      </c>
      <c r="S253" s="36" t="str">
        <f>VLOOKUP(Tabla91116[[#This Row],[CODIGO DEL PRODUCTO]],Tabla797[],2,FALSE)</f>
        <v>PIEDRA 6-20</v>
      </c>
      <c r="T253" s="37">
        <v>34.92</v>
      </c>
    </row>
    <row r="254" spans="8:20" x14ac:dyDescent="0.25">
      <c r="H254" s="34">
        <v>17730</v>
      </c>
      <c r="I254" s="34" t="s">
        <v>773</v>
      </c>
      <c r="J254" s="35">
        <v>46107</v>
      </c>
      <c r="K254" s="36" t="s">
        <v>42</v>
      </c>
      <c r="L254" s="39" t="str">
        <f>VLOOKUP(Tabla81015[[#This Row],[CODIGO DEL PRODUCTO]],Tabla797[],2,FALSE)</f>
        <v>ARENA FINA</v>
      </c>
      <c r="M254" s="37">
        <v>2</v>
      </c>
      <c r="N254" s="158"/>
      <c r="O254" s="76">
        <v>107406</v>
      </c>
      <c r="P254" s="76" t="s">
        <v>684</v>
      </c>
      <c r="Q254" s="77">
        <v>46062</v>
      </c>
      <c r="R254" s="78" t="s">
        <v>43</v>
      </c>
      <c r="S254" s="36" t="str">
        <f>VLOOKUP(Tabla91116[[#This Row],[CODIGO DEL PRODUCTO]],Tabla797[],2,FALSE)</f>
        <v>PIEDRA 6-20</v>
      </c>
      <c r="T254" s="37">
        <v>33.78</v>
      </c>
    </row>
    <row r="255" spans="8:20" x14ac:dyDescent="0.25">
      <c r="H255" s="34">
        <v>17735</v>
      </c>
      <c r="I255" s="34" t="s">
        <v>773</v>
      </c>
      <c r="J255" s="35">
        <v>46107</v>
      </c>
      <c r="K255" s="36" t="s">
        <v>42</v>
      </c>
      <c r="L255" s="39" t="str">
        <f>VLOOKUP(Tabla81015[[#This Row],[CODIGO DEL PRODUCTO]],Tabla797[],2,FALSE)</f>
        <v>ARENA FINA</v>
      </c>
      <c r="M255" s="37">
        <v>2</v>
      </c>
      <c r="N255" s="158"/>
      <c r="O255" s="76">
        <v>107416</v>
      </c>
      <c r="P255" s="76" t="s">
        <v>684</v>
      </c>
      <c r="Q255" s="77">
        <v>46062</v>
      </c>
      <c r="R255" s="78" t="s">
        <v>43</v>
      </c>
      <c r="S255" s="36" t="str">
        <f>VLOOKUP(Tabla91116[[#This Row],[CODIGO DEL PRODUCTO]],Tabla797[],2,FALSE)</f>
        <v>PIEDRA 6-20</v>
      </c>
      <c r="T255" s="37">
        <v>34.159999999999997</v>
      </c>
    </row>
    <row r="256" spans="8:20" x14ac:dyDescent="0.25">
      <c r="H256" s="34">
        <v>17739</v>
      </c>
      <c r="I256" s="34" t="s">
        <v>474</v>
      </c>
      <c r="J256" s="35">
        <v>46107</v>
      </c>
      <c r="K256" s="36" t="s">
        <v>42</v>
      </c>
      <c r="L256" s="39" t="str">
        <f>VLOOKUP(Tabla81015[[#This Row],[CODIGO DEL PRODUCTO]],Tabla797[],2,FALSE)</f>
        <v>ARENA FINA</v>
      </c>
      <c r="M256" s="37">
        <v>1</v>
      </c>
      <c r="N256" s="158"/>
      <c r="O256" s="76">
        <v>107417</v>
      </c>
      <c r="P256" s="76" t="s">
        <v>684</v>
      </c>
      <c r="Q256" s="77">
        <v>46062</v>
      </c>
      <c r="R256" s="78" t="s">
        <v>43</v>
      </c>
      <c r="S256" s="36" t="str">
        <f>VLOOKUP(Tabla91116[[#This Row],[CODIGO DEL PRODUCTO]],Tabla797[],2,FALSE)</f>
        <v>PIEDRA 6-20</v>
      </c>
      <c r="T256" s="37">
        <v>34.92</v>
      </c>
    </row>
    <row r="257" spans="8:21" x14ac:dyDescent="0.25">
      <c r="H257" s="34">
        <v>17747</v>
      </c>
      <c r="I257" s="34" t="s">
        <v>773</v>
      </c>
      <c r="J257" s="35">
        <v>46107</v>
      </c>
      <c r="K257" s="36" t="s">
        <v>42</v>
      </c>
      <c r="L257" s="39" t="str">
        <f>VLOOKUP(Tabla81015[[#This Row],[CODIGO DEL PRODUCTO]],Tabla797[],2,FALSE)</f>
        <v>ARENA FINA</v>
      </c>
      <c r="M257" s="37">
        <v>2.5</v>
      </c>
      <c r="N257" s="158"/>
      <c r="O257" s="76">
        <v>107424</v>
      </c>
      <c r="P257" s="76" t="s">
        <v>684</v>
      </c>
      <c r="Q257" s="77">
        <v>46062</v>
      </c>
      <c r="R257" s="78" t="s">
        <v>40</v>
      </c>
      <c r="S257" s="36" t="str">
        <f>VLOOKUP(Tabla91116[[#This Row],[CODIGO DEL PRODUCTO]],Tabla797[],2,FALSE)</f>
        <v>PIEDRA 0-6</v>
      </c>
      <c r="T257" s="37">
        <v>34.94</v>
      </c>
    </row>
    <row r="258" spans="8:21" x14ac:dyDescent="0.25">
      <c r="H258" s="34">
        <v>17751</v>
      </c>
      <c r="I258" s="34" t="s">
        <v>773</v>
      </c>
      <c r="J258" s="35">
        <v>46107</v>
      </c>
      <c r="K258" s="36" t="s">
        <v>42</v>
      </c>
      <c r="L258" s="39" t="str">
        <f>VLOOKUP(Tabla81015[[#This Row],[CODIGO DEL PRODUCTO]],Tabla797[],2,FALSE)</f>
        <v>ARENA FINA</v>
      </c>
      <c r="M258" s="37">
        <v>2.5</v>
      </c>
      <c r="N258" s="158"/>
      <c r="O258" s="76">
        <v>2688793</v>
      </c>
      <c r="P258" s="76" t="s">
        <v>679</v>
      </c>
      <c r="Q258" s="77">
        <v>46062</v>
      </c>
      <c r="R258" s="78" t="s">
        <v>286</v>
      </c>
      <c r="S258" s="36" t="str">
        <f>VLOOKUP(Tabla91116[[#This Row],[CODIGO DEL PRODUCTO]],Tabla797[],2,FALSE)</f>
        <v>CPF 40 AVELLANEDA</v>
      </c>
      <c r="T258" s="37">
        <v>35.619999999999997</v>
      </c>
    </row>
    <row r="259" spans="8:21" x14ac:dyDescent="0.25">
      <c r="H259" s="34">
        <v>17758</v>
      </c>
      <c r="I259" s="34" t="s">
        <v>773</v>
      </c>
      <c r="J259" s="35">
        <v>46107</v>
      </c>
      <c r="K259" s="36" t="s">
        <v>42</v>
      </c>
      <c r="L259" s="39" t="str">
        <f>VLOOKUP(Tabla81015[[#This Row],[CODIGO DEL PRODUCTO]],Tabla797[],2,FALSE)</f>
        <v>ARENA FINA</v>
      </c>
      <c r="M259" s="37">
        <v>2.5</v>
      </c>
      <c r="N259" s="158"/>
      <c r="O259" s="76">
        <v>103381</v>
      </c>
      <c r="P259" s="76" t="s">
        <v>683</v>
      </c>
      <c r="Q259" s="77">
        <v>46063</v>
      </c>
      <c r="R259" s="78" t="s">
        <v>42</v>
      </c>
      <c r="S259" s="36" t="str">
        <f>VLOOKUP(Tabla91116[[#This Row],[CODIGO DEL PRODUCTO]],Tabla797[],2,FALSE)</f>
        <v>ARENA FINA</v>
      </c>
      <c r="T259" s="37">
        <v>34.58</v>
      </c>
    </row>
    <row r="260" spans="8:21" x14ac:dyDescent="0.25">
      <c r="H260" s="34">
        <v>17759</v>
      </c>
      <c r="I260" s="34" t="s">
        <v>741</v>
      </c>
      <c r="J260" s="35">
        <v>46107</v>
      </c>
      <c r="K260" s="36" t="s">
        <v>42</v>
      </c>
      <c r="L260" s="39" t="str">
        <f>VLOOKUP(Tabla81015[[#This Row],[CODIGO DEL PRODUCTO]],Tabla797[],2,FALSE)</f>
        <v>ARENA FINA</v>
      </c>
      <c r="M260" s="37">
        <v>4</v>
      </c>
      <c r="N260" s="158"/>
      <c r="O260" s="76">
        <v>103388</v>
      </c>
      <c r="P260" s="76" t="s">
        <v>683</v>
      </c>
      <c r="Q260" s="77">
        <v>46063</v>
      </c>
      <c r="R260" s="78" t="s">
        <v>42</v>
      </c>
      <c r="S260" s="36" t="str">
        <f>VLOOKUP(Tabla91116[[#This Row],[CODIGO DEL PRODUCTO]],Tabla797[],2,FALSE)</f>
        <v>ARENA FINA</v>
      </c>
      <c r="T260" s="37">
        <v>34.64</v>
      </c>
    </row>
    <row r="261" spans="8:21" x14ac:dyDescent="0.25">
      <c r="H261" s="34"/>
      <c r="I261" s="34" t="s">
        <v>741</v>
      </c>
      <c r="J261" s="35">
        <v>46107</v>
      </c>
      <c r="K261" s="36" t="s">
        <v>43</v>
      </c>
      <c r="L261" s="39" t="str">
        <f>VLOOKUP(Tabla81015[[#This Row],[CODIGO DEL PRODUCTO]],Tabla797[],2,FALSE)</f>
        <v>PIEDRA 6-20</v>
      </c>
      <c r="M261" s="37">
        <v>2</v>
      </c>
      <c r="N261" s="158"/>
      <c r="O261" s="76">
        <v>103391</v>
      </c>
      <c r="P261" s="76" t="s">
        <v>683</v>
      </c>
      <c r="Q261" s="77">
        <v>46063</v>
      </c>
      <c r="R261" s="78" t="s">
        <v>42</v>
      </c>
      <c r="S261" s="36" t="str">
        <f>VLOOKUP(Tabla91116[[#This Row],[CODIGO DEL PRODUCTO]],Tabla797[],2,FALSE)</f>
        <v>ARENA FINA</v>
      </c>
      <c r="T261" s="37">
        <v>36.28</v>
      </c>
    </row>
    <row r="262" spans="8:21" x14ac:dyDescent="0.25">
      <c r="H262" s="34">
        <v>17763</v>
      </c>
      <c r="I262" s="34" t="s">
        <v>773</v>
      </c>
      <c r="J262" s="35">
        <v>46107</v>
      </c>
      <c r="K262" s="36" t="s">
        <v>42</v>
      </c>
      <c r="L262" s="39" t="str">
        <f>VLOOKUP(Tabla81015[[#This Row],[CODIGO DEL PRODUCTO]],Tabla797[],2,FALSE)</f>
        <v>ARENA FINA</v>
      </c>
      <c r="M262" s="37">
        <v>2.5</v>
      </c>
      <c r="N262" s="158"/>
      <c r="O262" s="76">
        <v>220202</v>
      </c>
      <c r="P262" s="76" t="s">
        <v>516</v>
      </c>
      <c r="Q262" s="77">
        <v>46063</v>
      </c>
      <c r="R262" s="78" t="s">
        <v>43</v>
      </c>
      <c r="S262" s="36" t="str">
        <f>VLOOKUP(Tabla91116[[#This Row],[CODIGO DEL PRODUCTO]],Tabla797[],2,FALSE)</f>
        <v>PIEDRA 6-20</v>
      </c>
      <c r="T262" s="37">
        <v>34.78</v>
      </c>
    </row>
    <row r="263" spans="8:21" x14ac:dyDescent="0.25">
      <c r="H263" s="34">
        <v>17765</v>
      </c>
      <c r="I263" s="34" t="s">
        <v>773</v>
      </c>
      <c r="J263" s="35">
        <v>46107</v>
      </c>
      <c r="K263" s="36" t="s">
        <v>42</v>
      </c>
      <c r="L263" s="39" t="str">
        <f>VLOOKUP(Tabla81015[[#This Row],[CODIGO DEL PRODUCTO]],Tabla797[],2,FALSE)</f>
        <v>ARENA FINA</v>
      </c>
      <c r="M263" s="37">
        <v>2.5</v>
      </c>
      <c r="N263" s="158"/>
      <c r="O263" s="76">
        <v>107427</v>
      </c>
      <c r="P263" s="76" t="s">
        <v>684</v>
      </c>
      <c r="Q263" s="77">
        <v>46063</v>
      </c>
      <c r="R263" s="78" t="s">
        <v>43</v>
      </c>
      <c r="S263" s="36" t="str">
        <f>VLOOKUP(Tabla91116[[#This Row],[CODIGO DEL PRODUCTO]],Tabla797[],2,FALSE)</f>
        <v>PIEDRA 6-20</v>
      </c>
      <c r="T263" s="37">
        <v>34.58</v>
      </c>
      <c r="U263" s="7"/>
    </row>
    <row r="264" spans="8:21" x14ac:dyDescent="0.25">
      <c r="H264" s="34">
        <v>17767</v>
      </c>
      <c r="I264" s="34" t="s">
        <v>602</v>
      </c>
      <c r="J264" s="35">
        <v>46107</v>
      </c>
      <c r="K264" s="36" t="s">
        <v>43</v>
      </c>
      <c r="L264" s="39" t="str">
        <f>VLOOKUP(Tabla81015[[#This Row],[CODIGO DEL PRODUCTO]],Tabla797[],2,FALSE)</f>
        <v>PIEDRA 6-20</v>
      </c>
      <c r="M264" s="37">
        <v>1</v>
      </c>
      <c r="N264" s="158"/>
      <c r="O264" s="76">
        <v>107448</v>
      </c>
      <c r="P264" s="76" t="s">
        <v>684</v>
      </c>
      <c r="Q264" s="77">
        <v>46063</v>
      </c>
      <c r="R264" s="78" t="s">
        <v>43</v>
      </c>
      <c r="S264" s="36" t="str">
        <f>VLOOKUP(Tabla91116[[#This Row],[CODIGO DEL PRODUCTO]],Tabla797[],2,FALSE)</f>
        <v>PIEDRA 6-20</v>
      </c>
      <c r="T264" s="37">
        <v>34.64</v>
      </c>
    </row>
    <row r="265" spans="8:21" x14ac:dyDescent="0.25">
      <c r="H265" s="34"/>
      <c r="I265" s="34" t="s">
        <v>602</v>
      </c>
      <c r="J265" s="35">
        <v>46107</v>
      </c>
      <c r="K265" s="36" t="s">
        <v>42</v>
      </c>
      <c r="L265" s="39" t="str">
        <f>VLOOKUP(Tabla81015[[#This Row],[CODIGO DEL PRODUCTO]],Tabla797[],2,FALSE)</f>
        <v>ARENA FINA</v>
      </c>
      <c r="M265" s="37">
        <v>1</v>
      </c>
      <c r="N265" s="158"/>
      <c r="O265" s="76">
        <v>107453</v>
      </c>
      <c r="P265" s="76" t="s">
        <v>684</v>
      </c>
      <c r="Q265" s="77">
        <v>46063</v>
      </c>
      <c r="R265" s="78" t="s">
        <v>40</v>
      </c>
      <c r="S265" s="36" t="str">
        <f>VLOOKUP(Tabla91116[[#This Row],[CODIGO DEL PRODUCTO]],Tabla797[],2,FALSE)</f>
        <v>PIEDRA 0-6</v>
      </c>
      <c r="T265" s="37">
        <v>35.1</v>
      </c>
    </row>
    <row r="266" spans="8:21" x14ac:dyDescent="0.25">
      <c r="H266" s="34">
        <v>17779</v>
      </c>
      <c r="I266" s="34" t="s">
        <v>474</v>
      </c>
      <c r="J266" s="35">
        <v>46108</v>
      </c>
      <c r="K266" s="36" t="s">
        <v>42</v>
      </c>
      <c r="L266" s="39" t="str">
        <f>VLOOKUP(Tabla81015[[#This Row],[CODIGO DEL PRODUCTO]],Tabla797[],2,FALSE)</f>
        <v>ARENA FINA</v>
      </c>
      <c r="M266" s="37">
        <v>2</v>
      </c>
      <c r="N266" s="158"/>
      <c r="O266" s="76">
        <v>152417</v>
      </c>
      <c r="P266" s="76" t="s">
        <v>679</v>
      </c>
      <c r="Q266" s="77">
        <v>46063</v>
      </c>
      <c r="R266" s="78" t="s">
        <v>43</v>
      </c>
      <c r="S266" s="36" t="str">
        <f>VLOOKUP(Tabla91116[[#This Row],[CODIGO DEL PRODUCTO]],Tabla797[],2,FALSE)</f>
        <v>PIEDRA 6-20</v>
      </c>
      <c r="T266" s="37">
        <v>35.380000000000003</v>
      </c>
    </row>
    <row r="267" spans="8:21" x14ac:dyDescent="0.25">
      <c r="H267" s="34">
        <v>17824</v>
      </c>
      <c r="I267" s="34" t="s">
        <v>682</v>
      </c>
      <c r="J267" s="35">
        <v>46111</v>
      </c>
      <c r="K267" s="36" t="s">
        <v>42</v>
      </c>
      <c r="L267" s="39" t="str">
        <f>VLOOKUP(Tabla81015[[#This Row],[CODIGO DEL PRODUCTO]],Tabla797[],2,FALSE)</f>
        <v>ARENA FINA</v>
      </c>
      <c r="M267" s="37">
        <v>2</v>
      </c>
      <c r="N267" s="158"/>
      <c r="O267" s="76">
        <v>2689042</v>
      </c>
      <c r="P267" s="76" t="s">
        <v>679</v>
      </c>
      <c r="Q267" s="77">
        <v>46063</v>
      </c>
      <c r="R267" s="78" t="s">
        <v>286</v>
      </c>
      <c r="S267" s="36" t="str">
        <f>VLOOKUP(Tabla91116[[#This Row],[CODIGO DEL PRODUCTO]],Tabla797[],2,FALSE)</f>
        <v>CPF 40 AVELLANEDA</v>
      </c>
      <c r="T267" s="37">
        <v>35.840000000000003</v>
      </c>
    </row>
    <row r="268" spans="8:21" x14ac:dyDescent="0.25">
      <c r="H268" s="34">
        <v>17849</v>
      </c>
      <c r="I268" s="34" t="s">
        <v>602</v>
      </c>
      <c r="J268" s="35">
        <v>46112</v>
      </c>
      <c r="K268" s="36" t="s">
        <v>42</v>
      </c>
      <c r="L268" s="39" t="str">
        <f>VLOOKUP(Tabla81015[[#This Row],[CODIGO DEL PRODUCTO]],Tabla797[],2,FALSE)</f>
        <v>ARENA FINA</v>
      </c>
      <c r="M268" s="37">
        <v>2</v>
      </c>
      <c r="N268" s="158"/>
      <c r="O268" s="76">
        <v>103395</v>
      </c>
      <c r="P268" s="76" t="s">
        <v>683</v>
      </c>
      <c r="Q268" s="77">
        <v>46064</v>
      </c>
      <c r="R268" s="78" t="s">
        <v>42</v>
      </c>
      <c r="S268" s="36" t="str">
        <f>VLOOKUP(Tabla91116[[#This Row],[CODIGO DEL PRODUCTO]],Tabla797[],2,FALSE)</f>
        <v>ARENA FINA</v>
      </c>
      <c r="T268" s="37">
        <v>34.82</v>
      </c>
    </row>
    <row r="269" spans="8:21" x14ac:dyDescent="0.25">
      <c r="H269" s="34"/>
      <c r="I269" s="34" t="s">
        <v>602</v>
      </c>
      <c r="J269" s="35">
        <v>46112</v>
      </c>
      <c r="K269" s="36" t="s">
        <v>43</v>
      </c>
      <c r="L269" s="39" t="str">
        <f>VLOOKUP(Tabla81015[[#This Row],[CODIGO DEL PRODUCTO]],Tabla797[],2,FALSE)</f>
        <v>PIEDRA 6-20</v>
      </c>
      <c r="M269" s="37">
        <v>3</v>
      </c>
      <c r="N269" s="158"/>
      <c r="O269" s="76">
        <v>103402</v>
      </c>
      <c r="P269" s="76" t="s">
        <v>683</v>
      </c>
      <c r="Q269" s="77">
        <v>46064</v>
      </c>
      <c r="R269" s="78" t="s">
        <v>42</v>
      </c>
      <c r="S269" s="36" t="str">
        <f>VLOOKUP(Tabla91116[[#This Row],[CODIGO DEL PRODUCTO]],Tabla797[],2,FALSE)</f>
        <v>ARENA FINA</v>
      </c>
      <c r="T269" s="37">
        <v>32.880000000000003</v>
      </c>
    </row>
    <row r="270" spans="8:21" x14ac:dyDescent="0.25">
      <c r="H270" s="34">
        <v>17871</v>
      </c>
      <c r="I270" s="34" t="s">
        <v>767</v>
      </c>
      <c r="J270" s="35">
        <v>46112</v>
      </c>
      <c r="K270" s="36" t="s">
        <v>42</v>
      </c>
      <c r="L270" s="39" t="str">
        <f>VLOOKUP(Tabla81015[[#This Row],[CODIGO DEL PRODUCTO]],Tabla797[],2,FALSE)</f>
        <v>ARENA FINA</v>
      </c>
      <c r="M270" s="37">
        <v>2</v>
      </c>
      <c r="N270" s="158"/>
      <c r="O270" s="76">
        <v>103407</v>
      </c>
      <c r="P270" s="76" t="s">
        <v>683</v>
      </c>
      <c r="Q270" s="77">
        <v>46064</v>
      </c>
      <c r="R270" s="78" t="s">
        <v>42</v>
      </c>
      <c r="S270" s="36" t="str">
        <f>VLOOKUP(Tabla91116[[#This Row],[CODIGO DEL PRODUCTO]],Tabla797[],2,FALSE)</f>
        <v>ARENA FINA</v>
      </c>
      <c r="T270" s="37">
        <v>35.340000000000003</v>
      </c>
    </row>
    <row r="271" spans="8:21" x14ac:dyDescent="0.25">
      <c r="H271" s="34"/>
      <c r="I271" s="34" t="s">
        <v>767</v>
      </c>
      <c r="J271" s="35">
        <v>46112</v>
      </c>
      <c r="K271" s="36" t="s">
        <v>43</v>
      </c>
      <c r="L271" s="39" t="str">
        <f>VLOOKUP(Tabla81015[[#This Row],[CODIGO DEL PRODUCTO]],Tabla797[],2,FALSE)</f>
        <v>PIEDRA 6-20</v>
      </c>
      <c r="M271" s="37">
        <v>2</v>
      </c>
      <c r="N271" s="158"/>
      <c r="O271" s="76">
        <v>107458</v>
      </c>
      <c r="P271" s="76" t="s">
        <v>684</v>
      </c>
      <c r="Q271" s="77">
        <v>46064</v>
      </c>
      <c r="R271" s="78" t="s">
        <v>43</v>
      </c>
      <c r="S271" s="36" t="str">
        <f>VLOOKUP(Tabla91116[[#This Row],[CODIGO DEL PRODUCTO]],Tabla797[],2,FALSE)</f>
        <v>PIEDRA 6-20</v>
      </c>
      <c r="T271" s="37">
        <v>34.880000000000003</v>
      </c>
    </row>
    <row r="272" spans="8:21" x14ac:dyDescent="0.25">
      <c r="H272" s="34"/>
      <c r="I272" s="34" t="s">
        <v>53</v>
      </c>
      <c r="J272" s="35">
        <v>46104</v>
      </c>
      <c r="K272" s="36" t="s">
        <v>42</v>
      </c>
      <c r="L272" s="39" t="str">
        <f>VLOOKUP(Tabla81015[[#This Row],[CODIGO DEL PRODUCTO]],Tabla797[],2,FALSE)</f>
        <v>ARENA FINA</v>
      </c>
      <c r="M272" s="37">
        <v>709.4</v>
      </c>
      <c r="N272" s="158"/>
      <c r="O272" s="76">
        <v>107465</v>
      </c>
      <c r="P272" s="76" t="s">
        <v>684</v>
      </c>
      <c r="Q272" s="77">
        <v>46064</v>
      </c>
      <c r="R272" s="78" t="s">
        <v>43</v>
      </c>
      <c r="S272" s="36" t="str">
        <f>VLOOKUP(Tabla91116[[#This Row],[CODIGO DEL PRODUCTO]],Tabla797[],2,FALSE)</f>
        <v>PIEDRA 6-20</v>
      </c>
      <c r="T272" s="37">
        <v>34.92</v>
      </c>
    </row>
    <row r="273" spans="8:23" x14ac:dyDescent="0.25">
      <c r="H273" s="34"/>
      <c r="I273" s="34" t="s">
        <v>53</v>
      </c>
      <c r="J273" s="35">
        <v>46105</v>
      </c>
      <c r="K273" s="36" t="s">
        <v>40</v>
      </c>
      <c r="L273" s="39" t="str">
        <f>VLOOKUP(Tabla81015[[#This Row],[CODIGO DEL PRODUCTO]],Tabla797[],2,FALSE)</f>
        <v>PIEDRA 0-6</v>
      </c>
      <c r="M273" s="37">
        <v>472.62</v>
      </c>
      <c r="N273" s="158"/>
      <c r="O273" s="76">
        <v>107470</v>
      </c>
      <c r="P273" s="76" t="s">
        <v>684</v>
      </c>
      <c r="Q273" s="77">
        <v>46064</v>
      </c>
      <c r="R273" s="78" t="s">
        <v>43</v>
      </c>
      <c r="S273" s="36" t="str">
        <f>VLOOKUP(Tabla91116[[#This Row],[CODIGO DEL PRODUCTO]],Tabla797[],2,FALSE)</f>
        <v>PIEDRA 6-20</v>
      </c>
      <c r="T273" s="37">
        <v>35.24</v>
      </c>
    </row>
    <row r="274" spans="8:23" x14ac:dyDescent="0.25">
      <c r="H274" s="34"/>
      <c r="I274" s="34" t="s">
        <v>53</v>
      </c>
      <c r="J274" s="35">
        <v>46106</v>
      </c>
      <c r="K274" s="36" t="s">
        <v>286</v>
      </c>
      <c r="L274" s="39" t="str">
        <f>VLOOKUP(Tabla81015[[#This Row],[CODIGO DEL PRODUCTO]],Tabla797[],2,FALSE)</f>
        <v>CPF 40 AVELLANEDA</v>
      </c>
      <c r="M274" s="37">
        <v>325.10000000000002</v>
      </c>
      <c r="N274" s="158"/>
      <c r="O274" s="76">
        <v>107481</v>
      </c>
      <c r="P274" s="76" t="s">
        <v>684</v>
      </c>
      <c r="Q274" s="77">
        <v>46064</v>
      </c>
      <c r="R274" s="78" t="s">
        <v>40</v>
      </c>
      <c r="S274" s="36" t="str">
        <f>VLOOKUP(Tabla91116[[#This Row],[CODIGO DEL PRODUCTO]],Tabla797[],2,FALSE)</f>
        <v>PIEDRA 0-6</v>
      </c>
      <c r="T274" s="37">
        <v>35.68</v>
      </c>
    </row>
    <row r="275" spans="8:23" x14ac:dyDescent="0.25">
      <c r="H275" s="34"/>
      <c r="I275" s="34" t="s">
        <v>53</v>
      </c>
      <c r="J275" s="35">
        <v>46107</v>
      </c>
      <c r="K275" s="36" t="s">
        <v>48</v>
      </c>
      <c r="L275" s="39" t="str">
        <f>VLOOKUP(Tabla81015[[#This Row],[CODIGO DEL PRODUCTO]],Tabla797[],2,FALSE)</f>
        <v>PIEDRA 6-12</v>
      </c>
      <c r="M275" s="37">
        <v>75.709999999999994</v>
      </c>
      <c r="N275" s="158"/>
      <c r="O275" s="76">
        <v>2689324</v>
      </c>
      <c r="P275" s="76" t="s">
        <v>679</v>
      </c>
      <c r="Q275" s="77">
        <v>46064</v>
      </c>
      <c r="R275" s="78" t="s">
        <v>286</v>
      </c>
      <c r="S275" s="36" t="str">
        <f>VLOOKUP(Tabla91116[[#This Row],[CODIGO DEL PRODUCTO]],Tabla797[],2,FALSE)</f>
        <v>CPF 40 AVELLANEDA</v>
      </c>
      <c r="T275" s="37">
        <v>35.86</v>
      </c>
    </row>
    <row r="276" spans="8:23" x14ac:dyDescent="0.25">
      <c r="H276" s="34"/>
      <c r="I276" s="34" t="s">
        <v>53</v>
      </c>
      <c r="J276" s="35">
        <v>46108</v>
      </c>
      <c r="K276" s="36" t="s">
        <v>43</v>
      </c>
      <c r="L276" s="39" t="str">
        <f>VLOOKUP(Tabla81015[[#This Row],[CODIGO DEL PRODUCTO]],Tabla797[],2,FALSE)</f>
        <v>PIEDRA 6-20</v>
      </c>
      <c r="M276" s="37">
        <v>920.51</v>
      </c>
      <c r="N276" s="158"/>
      <c r="O276" s="76">
        <v>103412</v>
      </c>
      <c r="P276" s="76" t="s">
        <v>683</v>
      </c>
      <c r="Q276" s="77">
        <v>46065</v>
      </c>
      <c r="R276" s="78" t="s">
        <v>42</v>
      </c>
      <c r="S276" s="36" t="str">
        <f>VLOOKUP(Tabla91116[[#This Row],[CODIGO DEL PRODUCTO]],Tabla797[],2,FALSE)</f>
        <v>ARENA FINA</v>
      </c>
      <c r="T276" s="37">
        <v>33.78</v>
      </c>
      <c r="U276" s="7">
        <v>46065</v>
      </c>
      <c r="V276" t="s">
        <v>727</v>
      </c>
      <c r="W276" t="s">
        <v>728</v>
      </c>
    </row>
    <row r="277" spans="8:23" x14ac:dyDescent="0.25">
      <c r="H277" s="34"/>
      <c r="I277" s="34" t="s">
        <v>53</v>
      </c>
      <c r="J277" s="35">
        <v>46112</v>
      </c>
      <c r="K277" s="36" t="s">
        <v>425</v>
      </c>
      <c r="L277" s="39" t="str">
        <f>VLOOKUP(Tabla81015[[#This Row],[CODIGO DEL PRODUCTO]],Tabla797[],2,FALSE)</f>
        <v>W351R</v>
      </c>
      <c r="M277" s="37">
        <v>1.8</v>
      </c>
      <c r="N277" s="158"/>
      <c r="O277" s="76">
        <v>103415</v>
      </c>
      <c r="P277" s="76" t="s">
        <v>683</v>
      </c>
      <c r="Q277" s="77">
        <v>46065</v>
      </c>
      <c r="R277" s="78" t="s">
        <v>42</v>
      </c>
      <c r="S277" s="36" t="str">
        <f>VLOOKUP(Tabla91116[[#This Row],[CODIGO DEL PRODUCTO]],Tabla797[],2,FALSE)</f>
        <v>ARENA FINA</v>
      </c>
      <c r="T277" s="37">
        <v>36.119999999999997</v>
      </c>
      <c r="U277" s="7">
        <v>46065</v>
      </c>
      <c r="V277" t="s">
        <v>729</v>
      </c>
      <c r="W277" t="s">
        <v>730</v>
      </c>
    </row>
    <row r="278" spans="8:23" x14ac:dyDescent="0.25">
      <c r="H278" s="34">
        <v>17887</v>
      </c>
      <c r="I278" s="34" t="s">
        <v>682</v>
      </c>
      <c r="J278" s="35">
        <v>46113</v>
      </c>
      <c r="K278" s="36" t="s">
        <v>42</v>
      </c>
      <c r="L278" s="39" t="str">
        <f>VLOOKUP(Tabla81015[[#This Row],[CODIGO DEL PRODUCTO]],Tabla797[],2,FALSE)</f>
        <v>ARENA FINA</v>
      </c>
      <c r="M278" s="37">
        <v>4</v>
      </c>
      <c r="N278" s="158"/>
      <c r="O278" s="76">
        <v>103418</v>
      </c>
      <c r="P278" s="76" t="s">
        <v>683</v>
      </c>
      <c r="Q278" s="77">
        <v>46065</v>
      </c>
      <c r="R278" s="78" t="s">
        <v>42</v>
      </c>
      <c r="S278" s="36" t="str">
        <f>VLOOKUP(Tabla91116[[#This Row],[CODIGO DEL PRODUCTO]],Tabla797[],2,FALSE)</f>
        <v>ARENA FINA</v>
      </c>
      <c r="T278" s="37">
        <v>33.74</v>
      </c>
    </row>
    <row r="279" spans="8:23" x14ac:dyDescent="0.25">
      <c r="H279" s="34">
        <v>17901</v>
      </c>
      <c r="I279" s="34" t="s">
        <v>602</v>
      </c>
      <c r="J279" s="35">
        <v>46118</v>
      </c>
      <c r="K279" s="36" t="s">
        <v>42</v>
      </c>
      <c r="L279" s="39" t="str">
        <f>VLOOKUP(Tabla81015[[#This Row],[CODIGO DEL PRODUCTO]],Tabla797[],2,FALSE)</f>
        <v>ARENA FINA</v>
      </c>
      <c r="M279" s="37">
        <v>1</v>
      </c>
      <c r="N279" s="158"/>
      <c r="O279" s="76">
        <v>103421</v>
      </c>
      <c r="P279" s="76" t="s">
        <v>683</v>
      </c>
      <c r="Q279" s="77">
        <v>46065</v>
      </c>
      <c r="R279" s="78" t="s">
        <v>42</v>
      </c>
      <c r="S279" s="36" t="str">
        <f>VLOOKUP(Tabla91116[[#This Row],[CODIGO DEL PRODUCTO]],Tabla797[],2,FALSE)</f>
        <v>ARENA FINA</v>
      </c>
      <c r="T279" s="37">
        <v>37.94</v>
      </c>
    </row>
    <row r="280" spans="8:23" x14ac:dyDescent="0.25">
      <c r="H280" s="34"/>
      <c r="I280" s="34" t="s">
        <v>602</v>
      </c>
      <c r="J280" s="35">
        <v>46118</v>
      </c>
      <c r="K280" s="36" t="s">
        <v>43</v>
      </c>
      <c r="L280" s="39" t="str">
        <f>VLOOKUP(Tabla81015[[#This Row],[CODIGO DEL PRODUCTO]],Tabla797[],2,FALSE)</f>
        <v>PIEDRA 6-20</v>
      </c>
      <c r="M280" s="37">
        <v>3</v>
      </c>
      <c r="N280" s="158"/>
      <c r="O280" s="76">
        <v>103422</v>
      </c>
      <c r="P280" s="76" t="s">
        <v>683</v>
      </c>
      <c r="Q280" s="77">
        <v>46065</v>
      </c>
      <c r="R280" s="78" t="s">
        <v>42</v>
      </c>
      <c r="S280" s="36" t="str">
        <f>VLOOKUP(Tabla91116[[#This Row],[CODIGO DEL PRODUCTO]],Tabla797[],2,FALSE)</f>
        <v>ARENA FINA</v>
      </c>
      <c r="T280" s="37">
        <v>35.32</v>
      </c>
    </row>
    <row r="281" spans="8:23" x14ac:dyDescent="0.25">
      <c r="H281" s="34">
        <v>17902</v>
      </c>
      <c r="I281" s="34" t="s">
        <v>774</v>
      </c>
      <c r="J281" s="35">
        <v>46119</v>
      </c>
      <c r="K281" s="36" t="s">
        <v>42</v>
      </c>
      <c r="L281" s="39" t="str">
        <f>VLOOKUP(Tabla81015[[#This Row],[CODIGO DEL PRODUCTO]],Tabla797[],2,FALSE)</f>
        <v>ARENA FINA</v>
      </c>
      <c r="M281" s="37">
        <v>3</v>
      </c>
      <c r="N281" s="158"/>
      <c r="O281" s="76">
        <v>220317</v>
      </c>
      <c r="P281" s="76" t="s">
        <v>516</v>
      </c>
      <c r="Q281" s="77">
        <v>46065</v>
      </c>
      <c r="R281" s="78" t="s">
        <v>43</v>
      </c>
      <c r="S281" s="36" t="str">
        <f>VLOOKUP(Tabla91116[[#This Row],[CODIGO DEL PRODUCTO]],Tabla797[],2,FALSE)</f>
        <v>PIEDRA 6-20</v>
      </c>
      <c r="T281" s="37">
        <v>35.42</v>
      </c>
    </row>
    <row r="282" spans="8:23" x14ac:dyDescent="0.25">
      <c r="H282" s="34">
        <v>17907</v>
      </c>
      <c r="I282" s="34" t="s">
        <v>741</v>
      </c>
      <c r="J282" s="35">
        <v>46120</v>
      </c>
      <c r="K282" s="36" t="s">
        <v>42</v>
      </c>
      <c r="L282" s="39" t="str">
        <f>VLOOKUP(Tabla81015[[#This Row],[CODIGO DEL PRODUCTO]],Tabla797[],2,FALSE)</f>
        <v>ARENA FINA</v>
      </c>
      <c r="M282" s="37">
        <v>4</v>
      </c>
      <c r="N282" s="158"/>
      <c r="O282" s="76">
        <v>107485</v>
      </c>
      <c r="P282" s="76" t="s">
        <v>684</v>
      </c>
      <c r="Q282" s="77">
        <v>46065</v>
      </c>
      <c r="R282" s="78" t="s">
        <v>43</v>
      </c>
      <c r="S282" s="36" t="str">
        <f>VLOOKUP(Tabla91116[[#This Row],[CODIGO DEL PRODUCTO]],Tabla797[],2,FALSE)</f>
        <v>PIEDRA 6-20</v>
      </c>
      <c r="T282" s="37">
        <v>35.020000000000003</v>
      </c>
    </row>
    <row r="283" spans="8:23" x14ac:dyDescent="0.25">
      <c r="H283" s="34"/>
      <c r="I283" s="34" t="s">
        <v>741</v>
      </c>
      <c r="J283" s="35">
        <v>46120</v>
      </c>
      <c r="K283" s="36" t="s">
        <v>43</v>
      </c>
      <c r="L283" s="39" t="str">
        <f>VLOOKUP(Tabla81015[[#This Row],[CODIGO DEL PRODUCTO]],Tabla797[],2,FALSE)</f>
        <v>PIEDRA 6-20</v>
      </c>
      <c r="M283" s="37">
        <v>1</v>
      </c>
      <c r="N283" s="158"/>
      <c r="O283" s="76">
        <v>107492</v>
      </c>
      <c r="P283" s="76" t="s">
        <v>684</v>
      </c>
      <c r="Q283" s="77">
        <v>46065</v>
      </c>
      <c r="R283" s="78" t="s">
        <v>43</v>
      </c>
      <c r="S283" s="36" t="str">
        <f>VLOOKUP(Tabla91116[[#This Row],[CODIGO DEL PRODUCTO]],Tabla797[],2,FALSE)</f>
        <v>PIEDRA 6-20</v>
      </c>
      <c r="T283" s="37">
        <v>34.46</v>
      </c>
      <c r="U283" s="7"/>
    </row>
    <row r="284" spans="8:23" x14ac:dyDescent="0.25">
      <c r="H284" s="34">
        <v>17924</v>
      </c>
      <c r="I284" s="34" t="s">
        <v>602</v>
      </c>
      <c r="J284" s="35">
        <v>46121</v>
      </c>
      <c r="K284" s="36" t="s">
        <v>43</v>
      </c>
      <c r="L284" s="39" t="str">
        <f>VLOOKUP(Tabla81015[[#This Row],[CODIGO DEL PRODUCTO]],Tabla797[],2,FALSE)</f>
        <v>PIEDRA 6-20</v>
      </c>
      <c r="M284" s="37">
        <v>6</v>
      </c>
      <c r="N284" s="158"/>
      <c r="O284" s="76">
        <v>107506</v>
      </c>
      <c r="P284" s="76" t="s">
        <v>684</v>
      </c>
      <c r="Q284" s="77">
        <v>46065</v>
      </c>
      <c r="R284" s="78" t="s">
        <v>43</v>
      </c>
      <c r="S284" s="36" t="str">
        <f>VLOOKUP(Tabla91116[[#This Row],[CODIGO DEL PRODUCTO]],Tabla797[],2,FALSE)</f>
        <v>PIEDRA 6-20</v>
      </c>
      <c r="T284" s="37">
        <v>35.46</v>
      </c>
    </row>
    <row r="285" spans="8:23" x14ac:dyDescent="0.25">
      <c r="H285" s="34">
        <v>17930</v>
      </c>
      <c r="I285" s="34" t="s">
        <v>426</v>
      </c>
      <c r="J285" s="35">
        <v>46121</v>
      </c>
      <c r="K285" s="36" t="s">
        <v>43</v>
      </c>
      <c r="L285" s="39" t="str">
        <f>VLOOKUP(Tabla81015[[#This Row],[CODIGO DEL PRODUCTO]],Tabla797[],2,FALSE)</f>
        <v>PIEDRA 6-20</v>
      </c>
      <c r="M285" s="37">
        <v>2</v>
      </c>
      <c r="N285" s="158"/>
      <c r="O285" s="76">
        <v>107513</v>
      </c>
      <c r="P285" s="76" t="s">
        <v>684</v>
      </c>
      <c r="Q285" s="77">
        <v>46065</v>
      </c>
      <c r="R285" s="78" t="s">
        <v>40</v>
      </c>
      <c r="S285" s="36" t="str">
        <f>VLOOKUP(Tabla91116[[#This Row],[CODIGO DEL PRODUCTO]],Tabla797[],2,FALSE)</f>
        <v>PIEDRA 0-6</v>
      </c>
      <c r="T285" s="37">
        <v>34.56</v>
      </c>
    </row>
    <row r="286" spans="8:23" x14ac:dyDescent="0.25">
      <c r="H286" s="34"/>
      <c r="I286" s="34" t="s">
        <v>426</v>
      </c>
      <c r="J286" s="35">
        <v>46121</v>
      </c>
      <c r="K286" s="36" t="s">
        <v>42</v>
      </c>
      <c r="L286" s="39" t="str">
        <f>VLOOKUP(Tabla81015[[#This Row],[CODIGO DEL PRODUCTO]],Tabla797[],2,FALSE)</f>
        <v>ARENA FINA</v>
      </c>
      <c r="M286" s="37">
        <v>2</v>
      </c>
      <c r="N286" s="158"/>
      <c r="O286" s="76">
        <v>2689588</v>
      </c>
      <c r="P286" s="76" t="s">
        <v>679</v>
      </c>
      <c r="Q286" s="77">
        <v>46065</v>
      </c>
      <c r="R286" s="78" t="s">
        <v>286</v>
      </c>
      <c r="S286" s="36" t="str">
        <f>VLOOKUP(Tabla91116[[#This Row],[CODIGO DEL PRODUCTO]],Tabla797[],2,FALSE)</f>
        <v>CPF 40 AVELLANEDA</v>
      </c>
      <c r="T286" s="37">
        <v>36.020000000000003</v>
      </c>
    </row>
    <row r="287" spans="8:23" x14ac:dyDescent="0.25">
      <c r="H287" s="34">
        <v>17934</v>
      </c>
      <c r="I287" s="34" t="s">
        <v>513</v>
      </c>
      <c r="J287" s="35">
        <v>46121</v>
      </c>
      <c r="K287" s="36" t="s">
        <v>42</v>
      </c>
      <c r="L287" s="39" t="str">
        <f>VLOOKUP(Tabla81015[[#This Row],[CODIGO DEL PRODUCTO]],Tabla797[],2,FALSE)</f>
        <v>ARENA FINA</v>
      </c>
      <c r="M287" s="37">
        <v>5</v>
      </c>
      <c r="N287" s="158"/>
      <c r="O287" s="76">
        <v>41010</v>
      </c>
      <c r="P287" s="76" t="s">
        <v>449</v>
      </c>
      <c r="Q287" s="77">
        <v>46066</v>
      </c>
      <c r="R287" s="78" t="s">
        <v>425</v>
      </c>
      <c r="S287" s="36" t="str">
        <f>VLOOKUP(Tabla91116[[#This Row],[CODIGO DEL PRODUCTO]],Tabla797[],2,FALSE)</f>
        <v>W351R</v>
      </c>
      <c r="T287" s="37">
        <v>1000</v>
      </c>
    </row>
    <row r="288" spans="8:23" x14ac:dyDescent="0.25">
      <c r="H288" s="34">
        <v>17939</v>
      </c>
      <c r="I288" s="34" t="s">
        <v>184</v>
      </c>
      <c r="J288" s="35">
        <v>46122</v>
      </c>
      <c r="K288" s="36" t="s">
        <v>42</v>
      </c>
      <c r="L288" s="39" t="str">
        <f>VLOOKUP(Tabla81015[[#This Row],[CODIGO DEL PRODUCTO]],Tabla797[],2,FALSE)</f>
        <v>ARENA FINA</v>
      </c>
      <c r="M288" s="37">
        <v>2</v>
      </c>
      <c r="N288" s="158"/>
      <c r="O288" s="76">
        <v>41011</v>
      </c>
      <c r="P288" s="76" t="s">
        <v>449</v>
      </c>
      <c r="Q288" s="77">
        <v>46066</v>
      </c>
      <c r="R288" s="78" t="s">
        <v>481</v>
      </c>
      <c r="S288" s="36" t="str">
        <f>VLOOKUP(Tabla91116[[#This Row],[CODIGO DEL PRODUCTO]],Tabla797[],2,FALSE)</f>
        <v>RDC DRUMS 200 KG</v>
      </c>
      <c r="T288" s="37">
        <v>1</v>
      </c>
    </row>
    <row r="289" spans="8:23" x14ac:dyDescent="0.25">
      <c r="H289" s="34"/>
      <c r="I289" s="34" t="s">
        <v>184</v>
      </c>
      <c r="J289" s="35">
        <v>46122</v>
      </c>
      <c r="K289" s="36" t="s">
        <v>43</v>
      </c>
      <c r="L289" s="39" t="str">
        <f>VLOOKUP(Tabla81015[[#This Row],[CODIGO DEL PRODUCTO]],Tabla797[],2,FALSE)</f>
        <v>PIEDRA 6-20</v>
      </c>
      <c r="M289" s="37">
        <v>2</v>
      </c>
      <c r="N289" s="158"/>
      <c r="O289" s="76">
        <v>103427</v>
      </c>
      <c r="P289" s="76" t="s">
        <v>683</v>
      </c>
      <c r="Q289" s="77">
        <v>46066</v>
      </c>
      <c r="R289" s="78" t="s">
        <v>42</v>
      </c>
      <c r="S289" s="36" t="str">
        <f>VLOOKUP(Tabla91116[[#This Row],[CODIGO DEL PRODUCTO]],Tabla797[],2,FALSE)</f>
        <v>ARENA FINA</v>
      </c>
      <c r="T289" s="37">
        <v>34.6</v>
      </c>
    </row>
    <row r="290" spans="8:23" x14ac:dyDescent="0.25">
      <c r="H290" s="34">
        <v>17940</v>
      </c>
      <c r="I290" s="34" t="s">
        <v>184</v>
      </c>
      <c r="J290" s="35">
        <v>46122</v>
      </c>
      <c r="K290" s="36" t="s">
        <v>42</v>
      </c>
      <c r="L290" s="39" t="str">
        <f>VLOOKUP(Tabla81015[[#This Row],[CODIGO DEL PRODUCTO]],Tabla797[],2,FALSE)</f>
        <v>ARENA FINA</v>
      </c>
      <c r="M290" s="37">
        <v>6</v>
      </c>
      <c r="N290" s="158"/>
      <c r="O290" s="76">
        <v>103433</v>
      </c>
      <c r="P290" s="76" t="s">
        <v>683</v>
      </c>
      <c r="Q290" s="77">
        <v>46066</v>
      </c>
      <c r="R290" s="78" t="s">
        <v>42</v>
      </c>
      <c r="S290" s="36" t="str">
        <f>VLOOKUP(Tabla91116[[#This Row],[CODIGO DEL PRODUCTO]],Tabla797[],2,FALSE)</f>
        <v>ARENA FINA</v>
      </c>
      <c r="T290" s="37">
        <v>34.619999999999997</v>
      </c>
    </row>
    <row r="291" spans="8:23" x14ac:dyDescent="0.25">
      <c r="H291" s="34"/>
      <c r="I291" s="34" t="s">
        <v>184</v>
      </c>
      <c r="J291" s="35">
        <v>46122</v>
      </c>
      <c r="K291" s="36" t="s">
        <v>43</v>
      </c>
      <c r="L291" s="39" t="str">
        <f>VLOOKUP(Tabla81015[[#This Row],[CODIGO DEL PRODUCTO]],Tabla797[],2,FALSE)</f>
        <v>PIEDRA 6-20</v>
      </c>
      <c r="M291" s="37">
        <v>2</v>
      </c>
      <c r="N291" s="158"/>
      <c r="O291" s="76">
        <v>220383</v>
      </c>
      <c r="P291" s="76" t="s">
        <v>516</v>
      </c>
      <c r="Q291" s="77">
        <v>46066</v>
      </c>
      <c r="R291" s="78" t="s">
        <v>43</v>
      </c>
      <c r="S291" s="36" t="str">
        <f>VLOOKUP(Tabla91116[[#This Row],[CODIGO DEL PRODUCTO]],Tabla797[],2,FALSE)</f>
        <v>PIEDRA 6-20</v>
      </c>
      <c r="T291" s="37">
        <v>35.08</v>
      </c>
    </row>
    <row r="292" spans="8:23" x14ac:dyDescent="0.25">
      <c r="H292" s="34">
        <v>17941</v>
      </c>
      <c r="I292" s="34" t="s">
        <v>426</v>
      </c>
      <c r="J292" s="35">
        <v>46122</v>
      </c>
      <c r="K292" s="36" t="s">
        <v>42</v>
      </c>
      <c r="L292" s="39" t="str">
        <f>VLOOKUP(Tabla81015[[#This Row],[CODIGO DEL PRODUCTO]],Tabla797[],2,FALSE)</f>
        <v>ARENA FINA</v>
      </c>
      <c r="M292" s="37">
        <v>2</v>
      </c>
      <c r="N292" s="158"/>
      <c r="O292" s="76">
        <v>107514</v>
      </c>
      <c r="P292" s="76" t="s">
        <v>684</v>
      </c>
      <c r="Q292" s="77">
        <v>46066</v>
      </c>
      <c r="R292" s="78" t="s">
        <v>43</v>
      </c>
      <c r="S292" s="36" t="str">
        <f>VLOOKUP(Tabla91116[[#This Row],[CODIGO DEL PRODUCTO]],Tabla797[],2,FALSE)</f>
        <v>PIEDRA 6-20</v>
      </c>
      <c r="T292" s="37">
        <v>34.08</v>
      </c>
    </row>
    <row r="293" spans="8:23" x14ac:dyDescent="0.25">
      <c r="H293" s="34"/>
      <c r="I293" s="34" t="s">
        <v>513</v>
      </c>
      <c r="J293" s="35">
        <v>46122</v>
      </c>
      <c r="K293" s="36" t="s">
        <v>43</v>
      </c>
      <c r="L293" s="39" t="str">
        <f>VLOOKUP(Tabla81015[[#This Row],[CODIGO DEL PRODUCTO]],Tabla797[],2,FALSE)</f>
        <v>PIEDRA 6-20</v>
      </c>
      <c r="M293" s="37">
        <v>2</v>
      </c>
      <c r="N293" s="158"/>
      <c r="O293" s="76">
        <v>107515</v>
      </c>
      <c r="P293" s="76" t="s">
        <v>684</v>
      </c>
      <c r="Q293" s="77">
        <v>46066</v>
      </c>
      <c r="R293" s="78" t="s">
        <v>43</v>
      </c>
      <c r="S293" s="36" t="str">
        <f>VLOOKUP(Tabla91116[[#This Row],[CODIGO DEL PRODUCTO]],Tabla797[],2,FALSE)</f>
        <v>PIEDRA 6-20</v>
      </c>
      <c r="T293" s="37">
        <v>34.82</v>
      </c>
    </row>
    <row r="294" spans="8:23" x14ac:dyDescent="0.25">
      <c r="H294" s="34">
        <v>17944</v>
      </c>
      <c r="I294" s="34" t="s">
        <v>621</v>
      </c>
      <c r="J294" s="35">
        <v>46122</v>
      </c>
      <c r="K294" s="36" t="s">
        <v>42</v>
      </c>
      <c r="L294" s="39" t="str">
        <f>VLOOKUP(Tabla81015[[#This Row],[CODIGO DEL PRODUCTO]],Tabla797[],2,FALSE)</f>
        <v>ARENA FINA</v>
      </c>
      <c r="M294" s="37">
        <v>5</v>
      </c>
      <c r="N294" s="158"/>
      <c r="O294" s="76">
        <v>107534</v>
      </c>
      <c r="P294" s="76" t="s">
        <v>684</v>
      </c>
      <c r="Q294" s="77">
        <v>46066</v>
      </c>
      <c r="R294" s="78" t="s">
        <v>46</v>
      </c>
      <c r="S294" s="36" t="str">
        <f>VLOOKUP(Tabla91116[[#This Row],[CODIGO DEL PRODUCTO]],Tabla797[],2,FALSE)</f>
        <v>PIEDRA 10-30</v>
      </c>
      <c r="T294" s="37">
        <v>33.94</v>
      </c>
    </row>
    <row r="295" spans="8:23" x14ac:dyDescent="0.25">
      <c r="H295" s="34">
        <v>18009</v>
      </c>
      <c r="I295" s="34" t="s">
        <v>426</v>
      </c>
      <c r="J295" s="35">
        <v>46123</v>
      </c>
      <c r="K295" s="36" t="s">
        <v>42</v>
      </c>
      <c r="L295" s="39" t="str">
        <f>VLOOKUP(Tabla81015[[#This Row],[CODIGO DEL PRODUCTO]],Tabla797[],2,FALSE)</f>
        <v>ARENA FINA</v>
      </c>
      <c r="M295" s="37">
        <v>2</v>
      </c>
      <c r="N295" s="158"/>
      <c r="O295" s="76">
        <v>107536</v>
      </c>
      <c r="P295" s="76" t="s">
        <v>684</v>
      </c>
      <c r="Q295" s="77">
        <v>46066</v>
      </c>
      <c r="R295" s="78" t="s">
        <v>40</v>
      </c>
      <c r="S295" s="36" t="str">
        <f>VLOOKUP(Tabla91116[[#This Row],[CODIGO DEL PRODUCTO]],Tabla797[],2,FALSE)</f>
        <v>PIEDRA 0-6</v>
      </c>
      <c r="T295" s="37">
        <v>35.18</v>
      </c>
    </row>
    <row r="296" spans="8:23" x14ac:dyDescent="0.25">
      <c r="H296" s="34"/>
      <c r="I296" s="34" t="s">
        <v>513</v>
      </c>
      <c r="J296" s="35">
        <v>46123</v>
      </c>
      <c r="K296" s="36" t="s">
        <v>43</v>
      </c>
      <c r="L296" s="39" t="str">
        <f>VLOOKUP(Tabla81015[[#This Row],[CODIGO DEL PRODUCTO]],Tabla797[],2,FALSE)</f>
        <v>PIEDRA 6-20</v>
      </c>
      <c r="M296" s="37">
        <v>2</v>
      </c>
      <c r="N296" s="158"/>
      <c r="O296" s="76">
        <v>152656</v>
      </c>
      <c r="P296" s="76" t="s">
        <v>679</v>
      </c>
      <c r="Q296" s="77">
        <v>46066</v>
      </c>
      <c r="R296" s="78" t="s">
        <v>43</v>
      </c>
      <c r="S296" s="36" t="str">
        <f>VLOOKUP(Tabla91116[[#This Row],[CODIGO DEL PRODUCTO]],Tabla797[],2,FALSE)</f>
        <v>PIEDRA 6-20</v>
      </c>
      <c r="T296" s="37">
        <v>36.28</v>
      </c>
    </row>
    <row r="297" spans="8:23" x14ac:dyDescent="0.25">
      <c r="H297" s="34">
        <v>18026</v>
      </c>
      <c r="I297" s="34" t="s">
        <v>426</v>
      </c>
      <c r="J297" s="35">
        <v>46123</v>
      </c>
      <c r="K297" s="36" t="s">
        <v>43</v>
      </c>
      <c r="L297" s="39" t="str">
        <f>VLOOKUP(Tabla81015[[#This Row],[CODIGO DEL PRODUCTO]],Tabla797[],2,FALSE)</f>
        <v>PIEDRA 6-20</v>
      </c>
      <c r="M297" s="37">
        <v>2</v>
      </c>
      <c r="N297" s="158"/>
      <c r="O297" s="76">
        <v>2689858</v>
      </c>
      <c r="P297" s="76" t="s">
        <v>679</v>
      </c>
      <c r="Q297" s="77">
        <v>46066</v>
      </c>
      <c r="R297" s="78" t="s">
        <v>286</v>
      </c>
      <c r="S297" s="36" t="str">
        <f>VLOOKUP(Tabla91116[[#This Row],[CODIGO DEL PRODUCTO]],Tabla797[],2,FALSE)</f>
        <v>CPF 40 AVELLANEDA</v>
      </c>
      <c r="T297" s="37">
        <v>36.200000000000003</v>
      </c>
    </row>
    <row r="298" spans="8:23" x14ac:dyDescent="0.25">
      <c r="H298" s="34"/>
      <c r="I298" s="34" t="s">
        <v>426</v>
      </c>
      <c r="J298" s="35">
        <v>46123</v>
      </c>
      <c r="K298" s="36" t="s">
        <v>42</v>
      </c>
      <c r="L298" s="39" t="str">
        <f>VLOOKUP(Tabla81015[[#This Row],[CODIGO DEL PRODUCTO]],Tabla797[],2,FALSE)</f>
        <v>ARENA FINA</v>
      </c>
      <c r="M298" s="37">
        <v>2</v>
      </c>
      <c r="N298" s="158"/>
      <c r="O298" s="76">
        <v>107545</v>
      </c>
      <c r="P298" s="76" t="s">
        <v>684</v>
      </c>
      <c r="Q298" s="77">
        <v>46067</v>
      </c>
      <c r="R298" s="78" t="s">
        <v>48</v>
      </c>
      <c r="S298" s="36" t="str">
        <f>VLOOKUP(Tabla91116[[#This Row],[CODIGO DEL PRODUCTO]],Tabla797[],2,FALSE)</f>
        <v>PIEDRA 6-12</v>
      </c>
      <c r="T298" s="37">
        <v>34.42</v>
      </c>
      <c r="U298" s="7">
        <v>46067</v>
      </c>
      <c r="V298" t="s">
        <v>733</v>
      </c>
      <c r="W298" t="s">
        <v>734</v>
      </c>
    </row>
    <row r="299" spans="8:23" x14ac:dyDescent="0.25">
      <c r="H299" s="34"/>
      <c r="I299" s="34" t="s">
        <v>53</v>
      </c>
      <c r="J299" s="35">
        <v>46113</v>
      </c>
      <c r="K299" s="36" t="s">
        <v>42</v>
      </c>
      <c r="L299" s="39" t="str">
        <f>VLOOKUP(Tabla81015[[#This Row],[CODIGO DEL PRODUCTO]],Tabla797[],2,FALSE)</f>
        <v>ARENA FINA</v>
      </c>
      <c r="M299" s="37">
        <v>425.65</v>
      </c>
      <c r="N299" s="158"/>
      <c r="O299" s="76">
        <v>107548</v>
      </c>
      <c r="P299" s="76" t="s">
        <v>684</v>
      </c>
      <c r="Q299" s="77">
        <v>46067</v>
      </c>
      <c r="R299" s="78" t="s">
        <v>43</v>
      </c>
      <c r="S299" s="36" t="str">
        <f>VLOOKUP(Tabla91116[[#This Row],[CODIGO DEL PRODUCTO]],Tabla797[],2,FALSE)</f>
        <v>PIEDRA 6-20</v>
      </c>
      <c r="T299" s="37">
        <v>34.4</v>
      </c>
    </row>
    <row r="300" spans="8:23" x14ac:dyDescent="0.25">
      <c r="H300" s="34"/>
      <c r="I300" s="34" t="s">
        <v>53</v>
      </c>
      <c r="J300" s="35">
        <v>46114</v>
      </c>
      <c r="K300" s="36" t="s">
        <v>40</v>
      </c>
      <c r="L300" s="39" t="str">
        <f>VLOOKUP(Tabla81015[[#This Row],[CODIGO DEL PRODUCTO]],Tabla797[],2,FALSE)</f>
        <v>PIEDRA 0-6</v>
      </c>
      <c r="M300" s="37">
        <v>290.67</v>
      </c>
      <c r="N300" s="158"/>
      <c r="O300" s="76">
        <v>107544</v>
      </c>
      <c r="P300" s="76" t="s">
        <v>684</v>
      </c>
      <c r="Q300" s="77">
        <v>46067</v>
      </c>
      <c r="R300" s="78" t="s">
        <v>43</v>
      </c>
      <c r="S300" s="36" t="str">
        <f>VLOOKUP(Tabla91116[[#This Row],[CODIGO DEL PRODUCTO]],Tabla797[],2,FALSE)</f>
        <v>PIEDRA 6-20</v>
      </c>
      <c r="T300" s="37">
        <v>34.4</v>
      </c>
    </row>
    <row r="301" spans="8:23" x14ac:dyDescent="0.25">
      <c r="H301" s="34"/>
      <c r="I301" s="34" t="s">
        <v>53</v>
      </c>
      <c r="J301" s="35">
        <v>46116</v>
      </c>
      <c r="K301" s="36" t="s">
        <v>286</v>
      </c>
      <c r="L301" s="39" t="str">
        <f>VLOOKUP(Tabla81015[[#This Row],[CODIGO DEL PRODUCTO]],Tabla797[],2,FALSE)</f>
        <v>CPF 40 AVELLANEDA</v>
      </c>
      <c r="M301" s="37">
        <v>200.2</v>
      </c>
      <c r="N301" s="158"/>
      <c r="O301" s="76">
        <v>152718</v>
      </c>
      <c r="P301" s="76" t="s">
        <v>679</v>
      </c>
      <c r="Q301" s="77">
        <v>46067</v>
      </c>
      <c r="R301" s="78" t="s">
        <v>43</v>
      </c>
      <c r="S301" s="36" t="str">
        <f>VLOOKUP(Tabla91116[[#This Row],[CODIGO DEL PRODUCTO]],Tabla797[],2,FALSE)</f>
        <v>PIEDRA 6-20</v>
      </c>
      <c r="T301" s="37">
        <v>35.56</v>
      </c>
    </row>
    <row r="302" spans="8:23" x14ac:dyDescent="0.25">
      <c r="H302" s="34"/>
      <c r="I302" s="34" t="s">
        <v>53</v>
      </c>
      <c r="J302" s="35">
        <v>46119</v>
      </c>
      <c r="K302" s="36" t="s">
        <v>48</v>
      </c>
      <c r="L302" s="39" t="str">
        <f>VLOOKUP(Tabla81015[[#This Row],[CODIGO DEL PRODUCTO]],Tabla797[],2,FALSE)</f>
        <v>PIEDRA 6-12</v>
      </c>
      <c r="M302" s="37">
        <v>88.39</v>
      </c>
      <c r="N302" s="158"/>
      <c r="O302" s="76">
        <v>152722</v>
      </c>
      <c r="P302" s="76" t="s">
        <v>679</v>
      </c>
      <c r="Q302" s="77">
        <v>46067</v>
      </c>
      <c r="R302" s="78" t="s">
        <v>43</v>
      </c>
      <c r="S302" s="36" t="str">
        <f>VLOOKUP(Tabla91116[[#This Row],[CODIGO DEL PRODUCTO]],Tabla797[],2,FALSE)</f>
        <v>PIEDRA 6-20</v>
      </c>
      <c r="T302" s="37">
        <v>34.74</v>
      </c>
    </row>
    <row r="303" spans="8:23" x14ac:dyDescent="0.25">
      <c r="H303" s="34"/>
      <c r="I303" s="34" t="s">
        <v>53</v>
      </c>
      <c r="J303" s="35">
        <v>46121</v>
      </c>
      <c r="K303" s="36" t="s">
        <v>43</v>
      </c>
      <c r="L303" s="39" t="str">
        <f>VLOOKUP(Tabla81015[[#This Row],[CODIGO DEL PRODUCTO]],Tabla797[],2,FALSE)</f>
        <v>PIEDRA 6-20</v>
      </c>
      <c r="M303" s="37">
        <v>502.53</v>
      </c>
      <c r="N303" s="158"/>
      <c r="O303" s="76">
        <v>152737</v>
      </c>
      <c r="P303" s="76" t="s">
        <v>679</v>
      </c>
      <c r="Q303" s="77">
        <v>46067</v>
      </c>
      <c r="R303" s="78" t="s">
        <v>43</v>
      </c>
      <c r="S303" s="36" t="str">
        <f>VLOOKUP(Tabla91116[[#This Row],[CODIGO DEL PRODUCTO]],Tabla797[],2,FALSE)</f>
        <v>PIEDRA 6-20</v>
      </c>
      <c r="T303" s="37">
        <v>35.340000000000003</v>
      </c>
    </row>
    <row r="304" spans="8:23" x14ac:dyDescent="0.25">
      <c r="H304" s="34"/>
      <c r="I304" s="34" t="s">
        <v>53</v>
      </c>
      <c r="J304" s="35">
        <v>46123</v>
      </c>
      <c r="K304" s="36" t="s">
        <v>425</v>
      </c>
      <c r="L304" s="39" t="str">
        <f>VLOOKUP(Tabla81015[[#This Row],[CODIGO DEL PRODUCTO]],Tabla797[],2,FALSE)</f>
        <v>W351R</v>
      </c>
      <c r="M304" s="37">
        <v>9.6999999999999993</v>
      </c>
      <c r="N304" s="158"/>
      <c r="O304" s="76">
        <v>152739</v>
      </c>
      <c r="P304" s="76" t="s">
        <v>679</v>
      </c>
      <c r="Q304" s="77">
        <v>46067</v>
      </c>
      <c r="R304" s="78" t="s">
        <v>43</v>
      </c>
      <c r="S304" s="36" t="str">
        <f>VLOOKUP(Tabla91116[[#This Row],[CODIGO DEL PRODUCTO]],Tabla797[],2,FALSE)</f>
        <v>PIEDRA 6-20</v>
      </c>
      <c r="T304" s="37">
        <v>35.42</v>
      </c>
    </row>
    <row r="305" spans="8:20" x14ac:dyDescent="0.25">
      <c r="H305" s="34">
        <v>18056</v>
      </c>
      <c r="I305" s="34" t="s">
        <v>771</v>
      </c>
      <c r="J305" s="35">
        <v>46125</v>
      </c>
      <c r="K305" s="36" t="s">
        <v>42</v>
      </c>
      <c r="L305" s="39" t="str">
        <f>VLOOKUP(Tabla81015[[#This Row],[CODIGO DEL PRODUCTO]],Tabla797[],2,FALSE)</f>
        <v>ARENA FINA</v>
      </c>
      <c r="M305" s="72">
        <v>1</v>
      </c>
      <c r="N305" s="158"/>
      <c r="O305" s="76">
        <v>2689996</v>
      </c>
      <c r="P305" s="76" t="s">
        <v>679</v>
      </c>
      <c r="Q305" s="77">
        <v>46067</v>
      </c>
      <c r="R305" s="78" t="s">
        <v>286</v>
      </c>
      <c r="S305" s="36" t="str">
        <f>VLOOKUP(Tabla91116[[#This Row],[CODIGO DEL PRODUCTO]],Tabla797[],2,FALSE)</f>
        <v>CPF 40 AVELLANEDA</v>
      </c>
      <c r="T305" s="37">
        <v>36.26</v>
      </c>
    </row>
    <row r="306" spans="8:20" x14ac:dyDescent="0.25">
      <c r="H306" s="34">
        <v>18054</v>
      </c>
      <c r="I306" s="34" t="s">
        <v>621</v>
      </c>
      <c r="J306" s="35">
        <v>46125</v>
      </c>
      <c r="K306" s="36" t="s">
        <v>42</v>
      </c>
      <c r="L306" s="39" t="str">
        <f>VLOOKUP(Tabla81015[[#This Row],[CODIGO DEL PRODUCTO]],Tabla797[],2,FALSE)</f>
        <v>ARENA FINA</v>
      </c>
      <c r="M306" s="72">
        <v>5</v>
      </c>
      <c r="N306" s="158"/>
      <c r="O306" s="76">
        <v>103439</v>
      </c>
      <c r="P306" s="76" t="s">
        <v>683</v>
      </c>
      <c r="Q306" s="77">
        <v>46071</v>
      </c>
      <c r="R306" s="78" t="s">
        <v>42</v>
      </c>
      <c r="S306" s="36" t="str">
        <f>VLOOKUP(Tabla91116[[#This Row],[CODIGO DEL PRODUCTO]],Tabla797[],2,FALSE)</f>
        <v>ARENA FINA</v>
      </c>
      <c r="T306" s="37">
        <v>34.18</v>
      </c>
    </row>
    <row r="307" spans="8:20" x14ac:dyDescent="0.25">
      <c r="H307" s="34">
        <v>18055</v>
      </c>
      <c r="I307" s="34" t="s">
        <v>621</v>
      </c>
      <c r="J307" s="35">
        <v>46125</v>
      </c>
      <c r="K307" s="36" t="s">
        <v>42</v>
      </c>
      <c r="L307" s="39" t="str">
        <f>VLOOKUP(Tabla81015[[#This Row],[CODIGO DEL PRODUCTO]],Tabla797[],2,FALSE)</f>
        <v>ARENA FINA</v>
      </c>
      <c r="M307" s="37">
        <v>5</v>
      </c>
      <c r="N307" s="158"/>
      <c r="O307" s="76">
        <v>103442</v>
      </c>
      <c r="P307" s="76" t="s">
        <v>683</v>
      </c>
      <c r="Q307" s="77">
        <v>46071</v>
      </c>
      <c r="R307" s="78" t="s">
        <v>42</v>
      </c>
      <c r="S307" s="36" t="str">
        <f>VLOOKUP(Tabla91116[[#This Row],[CODIGO DEL PRODUCTO]],Tabla797[],2,FALSE)</f>
        <v>ARENA FINA</v>
      </c>
      <c r="T307" s="37">
        <v>34.9</v>
      </c>
    </row>
    <row r="308" spans="8:20" x14ac:dyDescent="0.25">
      <c r="H308" s="34">
        <v>18092</v>
      </c>
      <c r="I308" s="34" t="s">
        <v>403</v>
      </c>
      <c r="J308" s="35">
        <v>46125</v>
      </c>
      <c r="K308" s="36" t="s">
        <v>42</v>
      </c>
      <c r="L308" s="39" t="str">
        <f>VLOOKUP(Tabla81015[[#This Row],[CODIGO DEL PRODUCTO]],Tabla797[],2,FALSE)</f>
        <v>ARENA FINA</v>
      </c>
      <c r="M308" s="37">
        <v>4</v>
      </c>
      <c r="N308" s="158"/>
      <c r="O308" s="76">
        <v>103443</v>
      </c>
      <c r="P308" s="76" t="s">
        <v>683</v>
      </c>
      <c r="Q308" s="77">
        <v>46071</v>
      </c>
      <c r="R308" s="78" t="s">
        <v>42</v>
      </c>
      <c r="S308" s="36" t="str">
        <f>VLOOKUP(Tabla91116[[#This Row],[CODIGO DEL PRODUCTO]],Tabla797[],2,FALSE)</f>
        <v>ARENA FINA</v>
      </c>
      <c r="T308" s="37">
        <v>37.56</v>
      </c>
    </row>
    <row r="309" spans="8:20" x14ac:dyDescent="0.25">
      <c r="H309" s="34">
        <v>18111</v>
      </c>
      <c r="I309" s="34" t="s">
        <v>682</v>
      </c>
      <c r="J309" s="35">
        <v>46126</v>
      </c>
      <c r="K309" s="36" t="s">
        <v>42</v>
      </c>
      <c r="L309" s="39" t="str">
        <f>VLOOKUP(Tabla81015[[#This Row],[CODIGO DEL PRODUCTO]],Tabla797[],2,FALSE)</f>
        <v>ARENA FINA</v>
      </c>
      <c r="M309" s="37">
        <v>4</v>
      </c>
      <c r="N309" s="158"/>
      <c r="O309" s="76">
        <v>103445</v>
      </c>
      <c r="P309" s="76" t="s">
        <v>683</v>
      </c>
      <c r="Q309" s="77">
        <v>46071</v>
      </c>
      <c r="R309" s="78" t="s">
        <v>42</v>
      </c>
      <c r="S309" s="36" t="str">
        <f>VLOOKUP(Tabla91116[[#This Row],[CODIGO DEL PRODUCTO]],Tabla797[],2,FALSE)</f>
        <v>ARENA FINA</v>
      </c>
      <c r="T309" s="37">
        <v>32.76</v>
      </c>
    </row>
    <row r="310" spans="8:20" x14ac:dyDescent="0.25">
      <c r="H310" s="34">
        <v>18121</v>
      </c>
      <c r="I310" s="34" t="s">
        <v>621</v>
      </c>
      <c r="J310" s="35">
        <v>46126</v>
      </c>
      <c r="K310" s="36" t="s">
        <v>42</v>
      </c>
      <c r="L310" s="39" t="str">
        <f>VLOOKUP(Tabla81015[[#This Row],[CODIGO DEL PRODUCTO]],Tabla797[],2,FALSE)</f>
        <v>ARENA FINA</v>
      </c>
      <c r="M310" s="37">
        <v>5</v>
      </c>
      <c r="N310" s="158"/>
      <c r="O310" s="76">
        <v>103448</v>
      </c>
      <c r="P310" s="76" t="s">
        <v>683</v>
      </c>
      <c r="Q310" s="77">
        <v>46071</v>
      </c>
      <c r="R310" s="78" t="s">
        <v>42</v>
      </c>
      <c r="S310" s="36" t="str">
        <f>VLOOKUP(Tabla91116[[#This Row],[CODIGO DEL PRODUCTO]],Tabla797[],2,FALSE)</f>
        <v>ARENA FINA</v>
      </c>
      <c r="T310" s="37">
        <v>35.840000000000003</v>
      </c>
    </row>
    <row r="311" spans="8:20" x14ac:dyDescent="0.25">
      <c r="H311" s="34">
        <v>18139</v>
      </c>
      <c r="I311" s="34" t="s">
        <v>403</v>
      </c>
      <c r="J311" s="35">
        <v>46126</v>
      </c>
      <c r="K311" s="36" t="s">
        <v>42</v>
      </c>
      <c r="L311" s="39" t="str">
        <f>VLOOKUP(Tabla81015[[#This Row],[CODIGO DEL PRODUCTO]],Tabla797[],2,FALSE)</f>
        <v>ARENA FINA</v>
      </c>
      <c r="M311" s="37">
        <v>4</v>
      </c>
      <c r="N311" s="158"/>
      <c r="O311" s="76">
        <v>103449</v>
      </c>
      <c r="P311" s="76" t="s">
        <v>683</v>
      </c>
      <c r="Q311" s="77">
        <v>46071</v>
      </c>
      <c r="R311" s="78" t="s">
        <v>42</v>
      </c>
      <c r="S311" s="36" t="str">
        <f>VLOOKUP(Tabla91116[[#This Row],[CODIGO DEL PRODUCTO]],Tabla797[],2,FALSE)</f>
        <v>ARENA FINA</v>
      </c>
      <c r="T311" s="37">
        <v>37.54</v>
      </c>
    </row>
    <row r="312" spans="8:20" x14ac:dyDescent="0.25">
      <c r="H312" s="34">
        <v>18158</v>
      </c>
      <c r="I312" s="34" t="s">
        <v>782</v>
      </c>
      <c r="J312" s="35">
        <v>46127</v>
      </c>
      <c r="K312" s="36" t="s">
        <v>42</v>
      </c>
      <c r="L312" s="39" t="str">
        <f>VLOOKUP(Tabla81015[[#This Row],[CODIGO DEL PRODUCTO]],Tabla797[],2,FALSE)</f>
        <v>ARENA FINA</v>
      </c>
      <c r="M312" s="37">
        <v>23.3</v>
      </c>
      <c r="N312" s="158"/>
      <c r="O312" s="76">
        <v>107552</v>
      </c>
      <c r="P312" s="76" t="s">
        <v>684</v>
      </c>
      <c r="Q312" s="77">
        <v>46071</v>
      </c>
      <c r="R312" s="78" t="s">
        <v>43</v>
      </c>
      <c r="S312" s="36" t="str">
        <f>VLOOKUP(Tabla91116[[#This Row],[CODIGO DEL PRODUCTO]],Tabla797[],2,FALSE)</f>
        <v>PIEDRA 6-20</v>
      </c>
      <c r="T312" s="37">
        <v>34</v>
      </c>
    </row>
    <row r="313" spans="8:20" x14ac:dyDescent="0.25">
      <c r="H313" s="34">
        <v>18160</v>
      </c>
      <c r="I313" s="34" t="s">
        <v>782</v>
      </c>
      <c r="J313" s="35">
        <v>46127</v>
      </c>
      <c r="K313" s="36" t="s">
        <v>43</v>
      </c>
      <c r="L313" s="39" t="str">
        <f>VLOOKUP(Tabla81015[[#This Row],[CODIGO DEL PRODUCTO]],Tabla797[],2,FALSE)</f>
        <v>PIEDRA 6-20</v>
      </c>
      <c r="M313" s="37">
        <v>25.38</v>
      </c>
      <c r="N313" s="158"/>
      <c r="O313" s="76">
        <v>107554</v>
      </c>
      <c r="P313" s="76" t="s">
        <v>684</v>
      </c>
      <c r="Q313" s="77">
        <v>46071</v>
      </c>
      <c r="R313" s="78" t="s">
        <v>43</v>
      </c>
      <c r="S313" s="36" t="str">
        <f>VLOOKUP(Tabla91116[[#This Row],[CODIGO DEL PRODUCTO]],Tabla797[],2,FALSE)</f>
        <v>PIEDRA 6-20</v>
      </c>
      <c r="T313" s="37">
        <v>35.299999999999997</v>
      </c>
    </row>
    <row r="314" spans="8:20" x14ac:dyDescent="0.25">
      <c r="H314" s="34">
        <v>18173</v>
      </c>
      <c r="I314" s="34" t="s">
        <v>601</v>
      </c>
      <c r="J314" s="35">
        <v>46127</v>
      </c>
      <c r="K314" s="36" t="s">
        <v>42</v>
      </c>
      <c r="L314" s="39" t="str">
        <f>VLOOKUP(Tabla81015[[#This Row],[CODIGO DEL PRODUCTO]],Tabla797[],2,FALSE)</f>
        <v>ARENA FINA</v>
      </c>
      <c r="M314" s="37">
        <v>4</v>
      </c>
      <c r="N314" s="158"/>
      <c r="O314" s="76">
        <v>107556</v>
      </c>
      <c r="P314" s="76" t="s">
        <v>684</v>
      </c>
      <c r="Q314" s="77">
        <v>46071</v>
      </c>
      <c r="R314" s="78" t="s">
        <v>43</v>
      </c>
      <c r="S314" s="36" t="str">
        <f>VLOOKUP(Tabla91116[[#This Row],[CODIGO DEL PRODUCTO]],Tabla797[],2,FALSE)</f>
        <v>PIEDRA 6-20</v>
      </c>
      <c r="T314" s="37">
        <v>34.72</v>
      </c>
    </row>
    <row r="315" spans="8:20" x14ac:dyDescent="0.25">
      <c r="H315" s="34"/>
      <c r="I315" s="34" t="s">
        <v>601</v>
      </c>
      <c r="J315" s="35">
        <v>46127</v>
      </c>
      <c r="K315" s="36" t="s">
        <v>43</v>
      </c>
      <c r="L315" s="39" t="str">
        <f>VLOOKUP(Tabla81015[[#This Row],[CODIGO DEL PRODUCTO]],Tabla797[],2,FALSE)</f>
        <v>PIEDRA 6-20</v>
      </c>
      <c r="M315" s="37">
        <v>3</v>
      </c>
      <c r="N315" s="158"/>
      <c r="O315" s="76">
        <v>107558</v>
      </c>
      <c r="P315" s="76" t="s">
        <v>684</v>
      </c>
      <c r="Q315" s="77">
        <v>46071</v>
      </c>
      <c r="R315" s="78" t="s">
        <v>48</v>
      </c>
      <c r="S315" s="36" t="str">
        <f>VLOOKUP(Tabla91116[[#This Row],[CODIGO DEL PRODUCTO]],Tabla797[],2,FALSE)</f>
        <v>PIEDRA 6-12</v>
      </c>
      <c r="T315" s="37">
        <v>34.880000000000003</v>
      </c>
    </row>
    <row r="316" spans="8:20" x14ac:dyDescent="0.25">
      <c r="H316" s="34">
        <v>18174</v>
      </c>
      <c r="I316" s="34" t="s">
        <v>741</v>
      </c>
      <c r="J316" s="35">
        <v>46128</v>
      </c>
      <c r="K316" s="36" t="s">
        <v>43</v>
      </c>
      <c r="L316" s="39" t="str">
        <f>VLOOKUP(Tabla81015[[#This Row],[CODIGO DEL PRODUCTO]],Tabla797[],2,FALSE)</f>
        <v>PIEDRA 6-20</v>
      </c>
      <c r="M316" s="37">
        <v>2</v>
      </c>
      <c r="N316" s="158"/>
      <c r="O316" s="76">
        <v>107566</v>
      </c>
      <c r="P316" s="76" t="s">
        <v>684</v>
      </c>
      <c r="Q316" s="77">
        <v>46071</v>
      </c>
      <c r="R316" s="78" t="s">
        <v>40</v>
      </c>
      <c r="S316" s="36" t="str">
        <f>VLOOKUP(Tabla91116[[#This Row],[CODIGO DEL PRODUCTO]],Tabla797[],2,FALSE)</f>
        <v>PIEDRA 0-6</v>
      </c>
      <c r="T316" s="37">
        <v>34.979999999999997</v>
      </c>
    </row>
    <row r="317" spans="8:20" x14ac:dyDescent="0.25">
      <c r="H317" s="34"/>
      <c r="I317" s="34" t="s">
        <v>741</v>
      </c>
      <c r="J317" s="35">
        <v>46128</v>
      </c>
      <c r="K317" s="36" t="s">
        <v>42</v>
      </c>
      <c r="L317" s="39" t="str">
        <f>VLOOKUP(Tabla81015[[#This Row],[CODIGO DEL PRODUCTO]],Tabla797[],2,FALSE)</f>
        <v>ARENA FINA</v>
      </c>
      <c r="M317" s="37">
        <v>3</v>
      </c>
      <c r="N317" s="158"/>
      <c r="O317" s="76">
        <v>107575</v>
      </c>
      <c r="P317" s="76" t="s">
        <v>684</v>
      </c>
      <c r="Q317" s="77">
        <v>46071</v>
      </c>
      <c r="R317" s="78" t="s">
        <v>43</v>
      </c>
      <c r="S317" s="36" t="str">
        <f>VLOOKUP(Tabla91116[[#This Row],[CODIGO DEL PRODUCTO]],Tabla797[],2,FALSE)</f>
        <v>PIEDRA 6-20</v>
      </c>
      <c r="T317" s="37">
        <v>34.64</v>
      </c>
    </row>
    <row r="318" spans="8:20" x14ac:dyDescent="0.25">
      <c r="H318" s="34">
        <v>18187</v>
      </c>
      <c r="I318" s="34" t="s">
        <v>426</v>
      </c>
      <c r="J318" s="35">
        <v>46128</v>
      </c>
      <c r="K318" s="36" t="s">
        <v>42</v>
      </c>
      <c r="L318" s="39" t="str">
        <f>VLOOKUP(Tabla81015[[#This Row],[CODIGO DEL PRODUCTO]],Tabla797[],2,FALSE)</f>
        <v>ARENA FINA</v>
      </c>
      <c r="M318" s="37">
        <v>3</v>
      </c>
      <c r="N318" s="158"/>
      <c r="O318" s="76">
        <v>107576</v>
      </c>
      <c r="P318" s="76" t="s">
        <v>684</v>
      </c>
      <c r="Q318" s="77">
        <v>46071</v>
      </c>
      <c r="R318" s="78" t="s">
        <v>40</v>
      </c>
      <c r="S318" s="36" t="str">
        <f>VLOOKUP(Tabla91116[[#This Row],[CODIGO DEL PRODUCTO]],Tabla797[],2,FALSE)</f>
        <v>PIEDRA 0-6</v>
      </c>
      <c r="T318" s="37">
        <v>34.56</v>
      </c>
    </row>
    <row r="319" spans="8:20" x14ac:dyDescent="0.25">
      <c r="H319" s="34"/>
      <c r="I319" s="34" t="s">
        <v>426</v>
      </c>
      <c r="J319" s="35">
        <v>46128</v>
      </c>
      <c r="K319" s="36" t="s">
        <v>43</v>
      </c>
      <c r="L319" s="39" t="str">
        <f>VLOOKUP(Tabla81015[[#This Row],[CODIGO DEL PRODUCTO]],Tabla797[],2,FALSE)</f>
        <v>PIEDRA 6-20</v>
      </c>
      <c r="M319" s="37">
        <v>3</v>
      </c>
      <c r="N319" s="158"/>
      <c r="O319" s="76">
        <v>2690266</v>
      </c>
      <c r="P319" s="76" t="s">
        <v>679</v>
      </c>
      <c r="Q319" s="77">
        <v>46071</v>
      </c>
      <c r="R319" s="78" t="s">
        <v>286</v>
      </c>
      <c r="S319" s="36" t="str">
        <f>VLOOKUP(Tabla91116[[#This Row],[CODIGO DEL PRODUCTO]],Tabla797[],2,FALSE)</f>
        <v>CPF 40 AVELLANEDA</v>
      </c>
      <c r="T319" s="37">
        <v>36.04</v>
      </c>
    </row>
    <row r="320" spans="8:20" x14ac:dyDescent="0.25">
      <c r="H320" s="34">
        <v>18188</v>
      </c>
      <c r="I320" s="34" t="s">
        <v>403</v>
      </c>
      <c r="J320" s="35">
        <v>46128</v>
      </c>
      <c r="K320" s="36" t="s">
        <v>42</v>
      </c>
      <c r="L320" s="39" t="str">
        <f>VLOOKUP(Tabla81015[[#This Row],[CODIGO DEL PRODUCTO]],Tabla797[],2,FALSE)</f>
        <v>ARENA FINA</v>
      </c>
      <c r="M320" s="37">
        <v>3</v>
      </c>
      <c r="N320" s="158"/>
      <c r="O320" s="76">
        <v>41231</v>
      </c>
      <c r="P320" s="76" t="s">
        <v>449</v>
      </c>
      <c r="Q320" s="77">
        <v>46072</v>
      </c>
      <c r="R320" s="78" t="s">
        <v>425</v>
      </c>
      <c r="S320" s="36" t="str">
        <f>VLOOKUP(Tabla91116[[#This Row],[CODIGO DEL PRODUCTO]],Tabla797[],2,FALSE)</f>
        <v>W351R</v>
      </c>
      <c r="T320" s="37">
        <v>2000</v>
      </c>
    </row>
    <row r="321" spans="8:23" x14ac:dyDescent="0.25">
      <c r="H321" s="34"/>
      <c r="I321" s="34" t="s">
        <v>53</v>
      </c>
      <c r="J321" s="35">
        <v>46125</v>
      </c>
      <c r="K321" s="36" t="s">
        <v>42</v>
      </c>
      <c r="L321" s="39" t="str">
        <f>VLOOKUP(Tabla81015[[#This Row],[CODIGO DEL PRODUCTO]],Tabla797[],2,FALSE)</f>
        <v>ARENA FINA</v>
      </c>
      <c r="M321" s="37">
        <v>547.71</v>
      </c>
      <c r="N321" s="158"/>
      <c r="O321" s="76">
        <v>220455</v>
      </c>
      <c r="P321" s="76" t="s">
        <v>516</v>
      </c>
      <c r="Q321" s="77">
        <v>46072</v>
      </c>
      <c r="R321" s="78" t="s">
        <v>43</v>
      </c>
      <c r="S321" s="36" t="str">
        <f>VLOOKUP(Tabla91116[[#This Row],[CODIGO DEL PRODUCTO]],Tabla797[],2,FALSE)</f>
        <v>PIEDRA 6-20</v>
      </c>
      <c r="T321" s="37">
        <v>36.479999999999997</v>
      </c>
      <c r="U321" s="7">
        <v>46072</v>
      </c>
      <c r="V321" t="s">
        <v>735</v>
      </c>
      <c r="W321" t="s">
        <v>736</v>
      </c>
    </row>
    <row r="322" spans="8:23" x14ac:dyDescent="0.25">
      <c r="H322" s="34"/>
      <c r="I322" s="34" t="s">
        <v>53</v>
      </c>
      <c r="J322" s="35">
        <v>46126</v>
      </c>
      <c r="K322" s="36" t="s">
        <v>40</v>
      </c>
      <c r="L322" s="39" t="str">
        <f>VLOOKUP(Tabla81015[[#This Row],[CODIGO DEL PRODUCTO]],Tabla797[],2,FALSE)</f>
        <v>PIEDRA 0-6</v>
      </c>
      <c r="M322" s="37">
        <v>366.11</v>
      </c>
      <c r="N322" s="158"/>
      <c r="O322" s="76">
        <v>152888</v>
      </c>
      <c r="P322" s="76" t="s">
        <v>679</v>
      </c>
      <c r="Q322" s="77">
        <v>46072</v>
      </c>
      <c r="R322" s="78" t="s">
        <v>43</v>
      </c>
      <c r="S322" s="36" t="str">
        <f>VLOOKUP(Tabla91116[[#This Row],[CODIGO DEL PRODUCTO]],Tabla797[],2,FALSE)</f>
        <v>PIEDRA 6-20</v>
      </c>
      <c r="T322" s="37">
        <v>35.28</v>
      </c>
    </row>
    <row r="323" spans="8:23" x14ac:dyDescent="0.25">
      <c r="H323" s="34"/>
      <c r="I323" s="34" t="s">
        <v>53</v>
      </c>
      <c r="J323" s="35">
        <v>46127</v>
      </c>
      <c r="K323" s="36" t="s">
        <v>286</v>
      </c>
      <c r="L323" s="39" t="str">
        <f>VLOOKUP(Tabla81015[[#This Row],[CODIGO DEL PRODUCTO]],Tabla797[],2,FALSE)</f>
        <v>CPF 40 AVELLANEDA</v>
      </c>
      <c r="M323" s="37">
        <v>259.58999999999997</v>
      </c>
      <c r="N323" s="158"/>
      <c r="O323" s="76">
        <v>103462</v>
      </c>
      <c r="P323" s="76" t="s">
        <v>683</v>
      </c>
      <c r="Q323" s="77">
        <v>46073</v>
      </c>
      <c r="R323" s="78" t="s">
        <v>42</v>
      </c>
      <c r="S323" s="36" t="str">
        <f>VLOOKUP(Tabla91116[[#This Row],[CODIGO DEL PRODUCTO]],Tabla797[],2,FALSE)</f>
        <v>ARENA FINA</v>
      </c>
      <c r="T323" s="37">
        <v>35.22</v>
      </c>
    </row>
    <row r="324" spans="8:23" x14ac:dyDescent="0.25">
      <c r="H324" s="34"/>
      <c r="I324" s="34" t="s">
        <v>53</v>
      </c>
      <c r="J324" s="35">
        <v>46128</v>
      </c>
      <c r="K324" s="36" t="s">
        <v>48</v>
      </c>
      <c r="L324" s="39" t="str">
        <f>VLOOKUP(Tabla81015[[#This Row],[CODIGO DEL PRODUCTO]],Tabla797[],2,FALSE)</f>
        <v>PIEDRA 6-12</v>
      </c>
      <c r="M324" s="37">
        <v>137.72</v>
      </c>
      <c r="N324" s="158"/>
      <c r="O324" s="76">
        <v>103465</v>
      </c>
      <c r="P324" s="76" t="s">
        <v>683</v>
      </c>
      <c r="Q324" s="77">
        <v>46073</v>
      </c>
      <c r="R324" s="78" t="s">
        <v>42</v>
      </c>
      <c r="S324" s="36" t="str">
        <f>VLOOKUP(Tabla91116[[#This Row],[CODIGO DEL PRODUCTO]],Tabla797[],2,FALSE)</f>
        <v>ARENA FINA</v>
      </c>
      <c r="T324" s="37">
        <v>34.96</v>
      </c>
    </row>
    <row r="325" spans="8:23" x14ac:dyDescent="0.25">
      <c r="H325" s="34"/>
      <c r="I325" s="34" t="s">
        <v>53</v>
      </c>
      <c r="J325" s="35">
        <v>46129</v>
      </c>
      <c r="K325" s="36" t="s">
        <v>43</v>
      </c>
      <c r="L325" s="39" t="str">
        <f>VLOOKUP(Tabla81015[[#This Row],[CODIGO DEL PRODUCTO]],Tabla797[],2,FALSE)</f>
        <v>PIEDRA 6-20</v>
      </c>
      <c r="M325" s="37">
        <v>604.22</v>
      </c>
      <c r="N325" s="158"/>
      <c r="O325" s="76">
        <v>107587</v>
      </c>
      <c r="P325" s="76" t="s">
        <v>684</v>
      </c>
      <c r="Q325" s="77">
        <v>46073</v>
      </c>
      <c r="R325" s="78" t="s">
        <v>43</v>
      </c>
      <c r="S325" s="36" t="str">
        <f>VLOOKUP(Tabla91116[[#This Row],[CODIGO DEL PRODUCTO]],Tabla797[],2,FALSE)</f>
        <v>PIEDRA 6-20</v>
      </c>
      <c r="T325" s="37">
        <v>34.5</v>
      </c>
    </row>
    <row r="326" spans="8:23" x14ac:dyDescent="0.25">
      <c r="H326" s="34"/>
      <c r="I326" s="34" t="s">
        <v>53</v>
      </c>
      <c r="J326" s="35">
        <v>46130</v>
      </c>
      <c r="K326" s="36" t="s">
        <v>425</v>
      </c>
      <c r="L326" s="39" t="str">
        <f>VLOOKUP(Tabla81015[[#This Row],[CODIGO DEL PRODUCTO]],Tabla797[],2,FALSE)</f>
        <v>W351R</v>
      </c>
      <c r="M326" s="37">
        <v>1.45</v>
      </c>
      <c r="N326" s="158"/>
      <c r="O326" s="76">
        <v>107589</v>
      </c>
      <c r="P326" s="76" t="s">
        <v>684</v>
      </c>
      <c r="Q326" s="77">
        <v>46073</v>
      </c>
      <c r="R326" s="78" t="s">
        <v>43</v>
      </c>
      <c r="S326" s="36" t="str">
        <f>VLOOKUP(Tabla91116[[#This Row],[CODIGO DEL PRODUCTO]],Tabla797[],2,FALSE)</f>
        <v>PIEDRA 6-20</v>
      </c>
      <c r="T326" s="37">
        <v>34.200000000000003</v>
      </c>
    </row>
    <row r="327" spans="8:23" x14ac:dyDescent="0.25">
      <c r="H327" s="34">
        <v>18266</v>
      </c>
      <c r="I327" s="34" t="s">
        <v>787</v>
      </c>
      <c r="J327" s="35">
        <v>46132</v>
      </c>
      <c r="K327" s="36" t="s">
        <v>46</v>
      </c>
      <c r="L327" s="39" t="str">
        <f>VLOOKUP(Tabla81015[[#This Row],[CODIGO DEL PRODUCTO]],Tabla797[],2,FALSE)</f>
        <v>PIEDRA 10-30</v>
      </c>
      <c r="M327" s="37">
        <v>8</v>
      </c>
      <c r="N327" s="158"/>
      <c r="O327" s="76">
        <v>107601</v>
      </c>
      <c r="P327" s="76" t="s">
        <v>684</v>
      </c>
      <c r="Q327" s="77">
        <v>46073</v>
      </c>
      <c r="R327" s="78" t="s">
        <v>48</v>
      </c>
      <c r="S327" s="36" t="str">
        <f>VLOOKUP(Tabla91116[[#This Row],[CODIGO DEL PRODUCTO]],Tabla797[],2,FALSE)</f>
        <v>PIEDRA 6-12</v>
      </c>
      <c r="T327" s="37">
        <v>34.08</v>
      </c>
    </row>
    <row r="328" spans="8:23" x14ac:dyDescent="0.25">
      <c r="H328" s="34">
        <v>18307</v>
      </c>
      <c r="I328" s="34" t="s">
        <v>682</v>
      </c>
      <c r="J328" s="35">
        <v>46134</v>
      </c>
      <c r="K328" s="36" t="s">
        <v>42</v>
      </c>
      <c r="L328" s="39" t="str">
        <f>VLOOKUP(Tabla81015[[#This Row],[CODIGO DEL PRODUCTO]],Tabla797[],2,FALSE)</f>
        <v>ARENA FINA</v>
      </c>
      <c r="M328" s="37">
        <v>3</v>
      </c>
      <c r="N328" s="158"/>
      <c r="O328" s="76">
        <v>107602</v>
      </c>
      <c r="P328" s="76" t="s">
        <v>684</v>
      </c>
      <c r="Q328" s="77">
        <v>46073</v>
      </c>
      <c r="R328" s="78" t="s">
        <v>43</v>
      </c>
      <c r="S328" s="36" t="str">
        <f>VLOOKUP(Tabla91116[[#This Row],[CODIGO DEL PRODUCTO]],Tabla797[],2,FALSE)</f>
        <v>PIEDRA 6-20</v>
      </c>
      <c r="T328" s="37">
        <v>34.5</v>
      </c>
    </row>
    <row r="329" spans="8:23" x14ac:dyDescent="0.25">
      <c r="H329" s="34"/>
      <c r="I329" s="34" t="s">
        <v>682</v>
      </c>
      <c r="J329" s="35">
        <v>46134</v>
      </c>
      <c r="K329" s="36" t="s">
        <v>43</v>
      </c>
      <c r="L329" s="39" t="str">
        <f>VLOOKUP(Tabla81015[[#This Row],[CODIGO DEL PRODUCTO]],Tabla797[],2,FALSE)</f>
        <v>PIEDRA 6-20</v>
      </c>
      <c r="M329" s="37">
        <v>2</v>
      </c>
      <c r="N329" s="158"/>
      <c r="O329" s="76">
        <v>107604</v>
      </c>
      <c r="P329" s="76" t="s">
        <v>684</v>
      </c>
      <c r="Q329" s="77">
        <v>46073</v>
      </c>
      <c r="R329" s="78" t="s">
        <v>40</v>
      </c>
      <c r="S329" s="36" t="str">
        <f>VLOOKUP(Tabla91116[[#This Row],[CODIGO DEL PRODUCTO]],Tabla797[],2,FALSE)</f>
        <v>PIEDRA 0-6</v>
      </c>
      <c r="T329" s="37">
        <v>35.56</v>
      </c>
    </row>
    <row r="330" spans="8:23" x14ac:dyDescent="0.25">
      <c r="H330" s="34">
        <v>18352</v>
      </c>
      <c r="I330" s="34" t="s">
        <v>426</v>
      </c>
      <c r="J330" s="35">
        <v>46135</v>
      </c>
      <c r="K330" s="36" t="s">
        <v>42</v>
      </c>
      <c r="L330" s="39" t="str">
        <f>VLOOKUP(Tabla81015[[#This Row],[CODIGO DEL PRODUCTO]],Tabla797[],2,FALSE)</f>
        <v>ARENA FINA</v>
      </c>
      <c r="M330" s="37">
        <v>17.079999999999998</v>
      </c>
      <c r="N330" s="158"/>
      <c r="O330" s="76">
        <v>152897</v>
      </c>
      <c r="P330" s="76" t="s">
        <v>679</v>
      </c>
      <c r="Q330" s="77">
        <v>46073</v>
      </c>
      <c r="R330" s="78" t="s">
        <v>43</v>
      </c>
      <c r="S330" s="36" t="str">
        <f>VLOOKUP(Tabla91116[[#This Row],[CODIGO DEL PRODUCTO]],Tabla797[],2,FALSE)</f>
        <v>PIEDRA 6-20</v>
      </c>
      <c r="T330" s="37">
        <v>36.5</v>
      </c>
    </row>
    <row r="331" spans="8:23" x14ac:dyDescent="0.25">
      <c r="H331" s="34">
        <v>18357</v>
      </c>
      <c r="I331" s="34" t="s">
        <v>426</v>
      </c>
      <c r="J331" s="35">
        <v>46135</v>
      </c>
      <c r="K331" s="36" t="s">
        <v>43</v>
      </c>
      <c r="L331" s="39" t="str">
        <f>VLOOKUP(Tabla81015[[#This Row],[CODIGO DEL PRODUCTO]],Tabla797[],2,FALSE)</f>
        <v>PIEDRA 6-20</v>
      </c>
      <c r="M331" s="37">
        <v>16.399999999999999</v>
      </c>
      <c r="N331" s="158"/>
      <c r="O331" s="76">
        <v>2690788</v>
      </c>
      <c r="P331" s="76" t="s">
        <v>679</v>
      </c>
      <c r="Q331" s="77">
        <v>46073</v>
      </c>
      <c r="R331" s="78" t="s">
        <v>286</v>
      </c>
      <c r="S331" s="36" t="str">
        <f>VLOOKUP(Tabla91116[[#This Row],[CODIGO DEL PRODUCTO]],Tabla797[],2,FALSE)</f>
        <v>CPF 40 AVELLANEDA</v>
      </c>
      <c r="T331" s="37">
        <v>35.979999999999997</v>
      </c>
    </row>
    <row r="332" spans="8:23" x14ac:dyDescent="0.25">
      <c r="H332" s="34">
        <v>18362</v>
      </c>
      <c r="I332" s="34" t="s">
        <v>513</v>
      </c>
      <c r="J332" s="35">
        <v>46135</v>
      </c>
      <c r="K332" s="36" t="s">
        <v>42</v>
      </c>
      <c r="L332" s="39" t="str">
        <f>VLOOKUP(Tabla81015[[#This Row],[CODIGO DEL PRODUCTO]],Tabla797[],2,FALSE)</f>
        <v>ARENA FINA</v>
      </c>
      <c r="M332" s="37">
        <v>20.36</v>
      </c>
      <c r="N332" s="158"/>
      <c r="O332" s="76">
        <v>103473</v>
      </c>
      <c r="P332" s="76" t="s">
        <v>683</v>
      </c>
      <c r="Q332" s="77">
        <v>46074</v>
      </c>
      <c r="R332" s="78" t="s">
        <v>42</v>
      </c>
      <c r="S332" s="36" t="str">
        <f>VLOOKUP(Tabla91116[[#This Row],[CODIGO DEL PRODUCTO]],Tabla797[],2,FALSE)</f>
        <v>ARENA FINA</v>
      </c>
      <c r="T332" s="37">
        <v>34.78</v>
      </c>
      <c r="U332" s="7"/>
    </row>
    <row r="333" spans="8:23" x14ac:dyDescent="0.25">
      <c r="H333" s="34">
        <v>18371</v>
      </c>
      <c r="I333" s="34" t="s">
        <v>602</v>
      </c>
      <c r="J333" s="35">
        <v>46135</v>
      </c>
      <c r="K333" s="36" t="s">
        <v>42</v>
      </c>
      <c r="L333" s="39" t="str">
        <f>VLOOKUP(Tabla81015[[#This Row],[CODIGO DEL PRODUCTO]],Tabla797[],2,FALSE)</f>
        <v>ARENA FINA</v>
      </c>
      <c r="M333" s="37">
        <v>2</v>
      </c>
      <c r="N333" s="158"/>
      <c r="O333" s="76">
        <v>107608</v>
      </c>
      <c r="P333" s="76" t="s">
        <v>684</v>
      </c>
      <c r="Q333" s="77">
        <v>46074</v>
      </c>
      <c r="R333" s="78" t="s">
        <v>48</v>
      </c>
      <c r="S333" s="36" t="str">
        <f>VLOOKUP(Tabla91116[[#This Row],[CODIGO DEL PRODUCTO]],Tabla797[],2,FALSE)</f>
        <v>PIEDRA 6-12</v>
      </c>
      <c r="T333" s="37">
        <v>35.520000000000003</v>
      </c>
    </row>
    <row r="334" spans="8:23" x14ac:dyDescent="0.25">
      <c r="H334" s="34">
        <v>18372</v>
      </c>
      <c r="I334" s="34" t="s">
        <v>403</v>
      </c>
      <c r="J334" s="35">
        <v>46135</v>
      </c>
      <c r="K334" s="36" t="s">
        <v>42</v>
      </c>
      <c r="L334" s="39" t="str">
        <f>VLOOKUP(Tabla81015[[#This Row],[CODIGO DEL PRODUCTO]],Tabla797[],2,FALSE)</f>
        <v>ARENA FINA</v>
      </c>
      <c r="M334" s="37">
        <v>3</v>
      </c>
      <c r="N334" s="158"/>
      <c r="O334" s="76">
        <v>107611</v>
      </c>
      <c r="P334" s="76" t="s">
        <v>684</v>
      </c>
      <c r="Q334" s="77">
        <v>46074</v>
      </c>
      <c r="R334" s="78" t="s">
        <v>43</v>
      </c>
      <c r="S334" s="36" t="str">
        <f>VLOOKUP(Tabla91116[[#This Row],[CODIGO DEL PRODUCTO]],Tabla797[],2,FALSE)</f>
        <v>PIEDRA 6-20</v>
      </c>
      <c r="T334" s="37">
        <v>34.76</v>
      </c>
    </row>
    <row r="335" spans="8:23" x14ac:dyDescent="0.25">
      <c r="H335" s="34"/>
      <c r="I335" s="34" t="s">
        <v>53</v>
      </c>
      <c r="J335" s="35">
        <v>46132</v>
      </c>
      <c r="K335" s="36" t="s">
        <v>42</v>
      </c>
      <c r="L335" s="39" t="str">
        <f>VLOOKUP(Tabla81015[[#This Row],[CODIGO DEL PRODUCTO]],Tabla797[],2,FALSE)</f>
        <v>ARENA FINA</v>
      </c>
      <c r="M335" s="37">
        <v>728.1</v>
      </c>
      <c r="N335" s="158"/>
      <c r="O335" s="76">
        <v>153029</v>
      </c>
      <c r="P335" s="76" t="s">
        <v>679</v>
      </c>
      <c r="Q335" s="77">
        <v>46074</v>
      </c>
      <c r="R335" s="78" t="s">
        <v>43</v>
      </c>
      <c r="S335" s="36" t="str">
        <f>VLOOKUP(Tabla91116[[#This Row],[CODIGO DEL PRODUCTO]],Tabla797[],2,FALSE)</f>
        <v>PIEDRA 6-20</v>
      </c>
      <c r="T335" s="37">
        <v>34.6</v>
      </c>
    </row>
    <row r="336" spans="8:23" x14ac:dyDescent="0.25">
      <c r="H336" s="34"/>
      <c r="I336" s="34" t="s">
        <v>53</v>
      </c>
      <c r="J336" s="35">
        <v>46133</v>
      </c>
      <c r="K336" s="36" t="s">
        <v>40</v>
      </c>
      <c r="L336" s="39" t="str">
        <f>VLOOKUP(Tabla81015[[#This Row],[CODIGO DEL PRODUCTO]],Tabla797[],2,FALSE)</f>
        <v>PIEDRA 0-6</v>
      </c>
      <c r="M336" s="37">
        <v>478.92</v>
      </c>
      <c r="N336" s="158"/>
      <c r="O336" s="76">
        <v>2690893</v>
      </c>
      <c r="P336" s="76" t="s">
        <v>679</v>
      </c>
      <c r="Q336" s="77">
        <v>46074</v>
      </c>
      <c r="R336" s="78" t="s">
        <v>286</v>
      </c>
      <c r="S336" s="36" t="str">
        <f>VLOOKUP(Tabla91116[[#This Row],[CODIGO DEL PRODUCTO]],Tabla797[],2,FALSE)</f>
        <v>CPF 40 AVELLANEDA</v>
      </c>
      <c r="T336" s="37">
        <v>36.14</v>
      </c>
    </row>
    <row r="337" spans="8:23" x14ac:dyDescent="0.25">
      <c r="H337" s="34"/>
      <c r="I337" s="34" t="s">
        <v>53</v>
      </c>
      <c r="J337" s="35">
        <v>46134</v>
      </c>
      <c r="K337" s="36" t="s">
        <v>286</v>
      </c>
      <c r="L337" s="39" t="str">
        <f>VLOOKUP(Tabla81015[[#This Row],[CODIGO DEL PRODUCTO]],Tabla797[],2,FALSE)</f>
        <v>CPF 40 AVELLANEDA</v>
      </c>
      <c r="M337" s="37">
        <v>349.96</v>
      </c>
      <c r="N337" s="158"/>
      <c r="O337" s="76">
        <v>2690915</v>
      </c>
      <c r="P337" s="76" t="s">
        <v>679</v>
      </c>
      <c r="Q337" s="77">
        <v>46074</v>
      </c>
      <c r="R337" s="78" t="s">
        <v>286</v>
      </c>
      <c r="S337" s="36" t="str">
        <f>VLOOKUP(Tabla91116[[#This Row],[CODIGO DEL PRODUCTO]],Tabla797[],2,FALSE)</f>
        <v>CPF 40 AVELLANEDA</v>
      </c>
      <c r="T337" s="37">
        <v>36.64</v>
      </c>
    </row>
    <row r="338" spans="8:23" x14ac:dyDescent="0.25">
      <c r="H338" s="34"/>
      <c r="I338" s="34" t="s">
        <v>53</v>
      </c>
      <c r="J338" s="35">
        <v>46135</v>
      </c>
      <c r="K338" s="36" t="s">
        <v>48</v>
      </c>
      <c r="L338" s="39" t="str">
        <f>VLOOKUP(Tabla81015[[#This Row],[CODIGO DEL PRODUCTO]],Tabla797[],2,FALSE)</f>
        <v>PIEDRA 6-12</v>
      </c>
      <c r="M338" s="37">
        <v>108.53</v>
      </c>
      <c r="N338" s="158"/>
      <c r="O338" s="76">
        <v>103482</v>
      </c>
      <c r="P338" s="76" t="s">
        <v>683</v>
      </c>
      <c r="Q338" s="77">
        <v>46076</v>
      </c>
      <c r="R338" s="78" t="s">
        <v>42</v>
      </c>
      <c r="S338" s="36" t="str">
        <f>VLOOKUP(Tabla91116[[#This Row],[CODIGO DEL PRODUCTO]],Tabla797[],2,FALSE)</f>
        <v>ARENA FINA</v>
      </c>
      <c r="T338" s="37">
        <v>35.119999999999997</v>
      </c>
      <c r="U338" s="7">
        <v>46076</v>
      </c>
      <c r="V338" t="s">
        <v>737</v>
      </c>
      <c r="W338" t="s">
        <v>738</v>
      </c>
    </row>
    <row r="339" spans="8:23" x14ac:dyDescent="0.25">
      <c r="H339" s="34"/>
      <c r="I339" s="34" t="s">
        <v>53</v>
      </c>
      <c r="J339" s="35">
        <v>46136</v>
      </c>
      <c r="K339" s="36" t="s">
        <v>43</v>
      </c>
      <c r="L339" s="39" t="str">
        <f>VLOOKUP(Tabla81015[[#This Row],[CODIGO DEL PRODUCTO]],Tabla797[],2,FALSE)</f>
        <v>PIEDRA 6-20</v>
      </c>
      <c r="M339" s="37">
        <v>918.23</v>
      </c>
      <c r="N339" s="158"/>
      <c r="O339" s="76">
        <v>103483</v>
      </c>
      <c r="P339" s="76" t="s">
        <v>683</v>
      </c>
      <c r="Q339" s="77">
        <v>46076</v>
      </c>
      <c r="R339" s="78" t="s">
        <v>42</v>
      </c>
      <c r="S339" s="36" t="str">
        <f>VLOOKUP(Tabla91116[[#This Row],[CODIGO DEL PRODUCTO]],Tabla797[],2,FALSE)</f>
        <v>ARENA FINA</v>
      </c>
      <c r="T339" s="37">
        <v>39.520000000000003</v>
      </c>
    </row>
    <row r="340" spans="8:23" x14ac:dyDescent="0.25">
      <c r="H340" s="34"/>
      <c r="I340" s="34" t="s">
        <v>53</v>
      </c>
      <c r="J340" s="35">
        <v>46137</v>
      </c>
      <c r="K340" s="36" t="s">
        <v>46</v>
      </c>
      <c r="L340" s="39" t="str">
        <f>VLOOKUP(Tabla81015[[#This Row],[CODIGO DEL PRODUCTO]],Tabla797[],2,FALSE)</f>
        <v>PIEDRA 10-30</v>
      </c>
      <c r="M340" s="37">
        <v>4.55</v>
      </c>
      <c r="N340" s="158"/>
      <c r="O340" s="76">
        <v>103485</v>
      </c>
      <c r="P340" s="76" t="s">
        <v>683</v>
      </c>
      <c r="Q340" s="77">
        <v>46076</v>
      </c>
      <c r="R340" s="78" t="s">
        <v>42</v>
      </c>
      <c r="S340" s="36" t="str">
        <f>VLOOKUP(Tabla91116[[#This Row],[CODIGO DEL PRODUCTO]],Tabla797[],2,FALSE)</f>
        <v>ARENA FINA</v>
      </c>
      <c r="T340" s="37">
        <v>34.44</v>
      </c>
    </row>
    <row r="341" spans="8:23" x14ac:dyDescent="0.25">
      <c r="H341" s="34"/>
      <c r="I341" s="34" t="s">
        <v>53</v>
      </c>
      <c r="J341" s="35">
        <v>46137</v>
      </c>
      <c r="K341" s="36" t="s">
        <v>425</v>
      </c>
      <c r="L341" s="39" t="str">
        <f>VLOOKUP(Tabla81015[[#This Row],[CODIGO DEL PRODUCTO]],Tabla797[],2,FALSE)</f>
        <v>W351R</v>
      </c>
      <c r="M341" s="37">
        <v>1.99</v>
      </c>
      <c r="N341" s="158"/>
      <c r="O341" s="76">
        <v>103486</v>
      </c>
      <c r="P341" s="76" t="s">
        <v>683</v>
      </c>
      <c r="Q341" s="77">
        <v>46076</v>
      </c>
      <c r="R341" s="78" t="s">
        <v>42</v>
      </c>
      <c r="S341" s="36" t="str">
        <f>VLOOKUP(Tabla91116[[#This Row],[CODIGO DEL PRODUCTO]],Tabla797[],2,FALSE)</f>
        <v>ARENA FINA</v>
      </c>
      <c r="T341" s="37">
        <v>35.42</v>
      </c>
    </row>
    <row r="342" spans="8:23" x14ac:dyDescent="0.25">
      <c r="H342" s="34">
        <v>18465</v>
      </c>
      <c r="I342" s="34" t="s">
        <v>790</v>
      </c>
      <c r="J342" s="35">
        <v>46139</v>
      </c>
      <c r="K342" s="36" t="s">
        <v>468</v>
      </c>
      <c r="L342" s="39" t="str">
        <f>VLOOKUP(Tabla81015[[#This Row],[CODIGO DEL PRODUCTO]],Tabla797[],2,FALSE)</f>
        <v>ESTABILIZADO 0-100 X TN</v>
      </c>
      <c r="M342" s="37">
        <v>28.48</v>
      </c>
      <c r="N342" s="158"/>
      <c r="O342" s="76">
        <v>103487</v>
      </c>
      <c r="P342" s="76" t="s">
        <v>683</v>
      </c>
      <c r="Q342" s="77">
        <v>46076</v>
      </c>
      <c r="R342" s="78" t="s">
        <v>42</v>
      </c>
      <c r="S342" s="36" t="str">
        <f>VLOOKUP(Tabla91116[[#This Row],[CODIGO DEL PRODUCTO]],Tabla797[],2,FALSE)</f>
        <v>ARENA FINA</v>
      </c>
      <c r="T342" s="37">
        <v>35.94</v>
      </c>
    </row>
    <row r="343" spans="8:23" x14ac:dyDescent="0.25">
      <c r="H343" s="34">
        <v>18466</v>
      </c>
      <c r="I343" s="34" t="s">
        <v>474</v>
      </c>
      <c r="J343" s="35">
        <v>46139</v>
      </c>
      <c r="K343" s="36" t="s">
        <v>43</v>
      </c>
      <c r="L343" s="39" t="str">
        <f>VLOOKUP(Tabla81015[[#This Row],[CODIGO DEL PRODUCTO]],Tabla797[],2,FALSE)</f>
        <v>PIEDRA 6-20</v>
      </c>
      <c r="M343" s="72">
        <v>8</v>
      </c>
      <c r="N343" s="158"/>
      <c r="O343" s="76">
        <v>107616</v>
      </c>
      <c r="P343" s="76" t="s">
        <v>684</v>
      </c>
      <c r="Q343" s="77">
        <v>46076</v>
      </c>
      <c r="R343" s="78" t="s">
        <v>43</v>
      </c>
      <c r="S343" s="36" t="str">
        <f>VLOOKUP(Tabla91116[[#This Row],[CODIGO DEL PRODUCTO]],Tabla797[],2,FALSE)</f>
        <v>PIEDRA 6-20</v>
      </c>
      <c r="T343" s="37">
        <v>34.659999999999997</v>
      </c>
    </row>
    <row r="344" spans="8:23" x14ac:dyDescent="0.25">
      <c r="H344" s="34">
        <v>18467</v>
      </c>
      <c r="I344" s="34" t="s">
        <v>474</v>
      </c>
      <c r="J344" s="35">
        <v>46139</v>
      </c>
      <c r="K344" s="36" t="s">
        <v>42</v>
      </c>
      <c r="L344" s="39" t="str">
        <f>VLOOKUP(Tabla81015[[#This Row],[CODIGO DEL PRODUCTO]],Tabla797[],2,FALSE)</f>
        <v>ARENA FINA</v>
      </c>
      <c r="M344" s="37">
        <v>8</v>
      </c>
      <c r="N344" s="158"/>
      <c r="O344" s="76">
        <v>107620</v>
      </c>
      <c r="P344" s="76" t="s">
        <v>684</v>
      </c>
      <c r="Q344" s="77">
        <v>46076</v>
      </c>
      <c r="R344" s="78" t="s">
        <v>40</v>
      </c>
      <c r="S344" s="36" t="str">
        <f>VLOOKUP(Tabla91116[[#This Row],[CODIGO DEL PRODUCTO]],Tabla797[],2,FALSE)</f>
        <v>PIEDRA 0-6</v>
      </c>
      <c r="T344" s="37">
        <v>34.42</v>
      </c>
    </row>
    <row r="345" spans="8:23" x14ac:dyDescent="0.25">
      <c r="H345" s="34">
        <v>18496</v>
      </c>
      <c r="I345" s="34" t="s">
        <v>790</v>
      </c>
      <c r="J345" s="35">
        <v>46139</v>
      </c>
      <c r="K345" s="36" t="s">
        <v>468</v>
      </c>
      <c r="L345" s="39" t="str">
        <f>VLOOKUP(Tabla81015[[#This Row],[CODIGO DEL PRODUCTO]],Tabla797[],2,FALSE)</f>
        <v>ESTABILIZADO 0-100 X TN</v>
      </c>
      <c r="M345" s="37">
        <v>30.64</v>
      </c>
      <c r="N345" s="158"/>
      <c r="O345" s="76">
        <v>208977</v>
      </c>
      <c r="P345" s="76" t="s">
        <v>739</v>
      </c>
      <c r="Q345" s="77">
        <v>46076</v>
      </c>
      <c r="R345" s="78" t="s">
        <v>43</v>
      </c>
      <c r="S345" s="36" t="str">
        <f>VLOOKUP(Tabla91116[[#This Row],[CODIGO DEL PRODUCTO]],Tabla797[],2,FALSE)</f>
        <v>PIEDRA 6-20</v>
      </c>
      <c r="T345" s="37">
        <v>35.299999999999997</v>
      </c>
    </row>
    <row r="346" spans="8:23" x14ac:dyDescent="0.25">
      <c r="H346" s="34">
        <v>18513</v>
      </c>
      <c r="I346" s="34" t="s">
        <v>790</v>
      </c>
      <c r="J346" s="35">
        <v>46140</v>
      </c>
      <c r="K346" s="36" t="s">
        <v>468</v>
      </c>
      <c r="L346" s="39" t="str">
        <f>VLOOKUP(Tabla81015[[#This Row],[CODIGO DEL PRODUCTO]],Tabla797[],2,FALSE)</f>
        <v>ESTABILIZADO 0-100 X TN</v>
      </c>
      <c r="M346" s="37">
        <v>31.8</v>
      </c>
      <c r="N346" s="158"/>
      <c r="O346" s="76">
        <v>2691268</v>
      </c>
      <c r="P346" s="76" t="s">
        <v>679</v>
      </c>
      <c r="Q346" s="77">
        <v>46076</v>
      </c>
      <c r="R346" s="78" t="s">
        <v>286</v>
      </c>
      <c r="S346" s="36" t="str">
        <f>VLOOKUP(Tabla91116[[#This Row],[CODIGO DEL PRODUCTO]],Tabla797[],2,FALSE)</f>
        <v>CPF 40 AVELLANEDA</v>
      </c>
      <c r="T346" s="37">
        <v>35.619999999999997</v>
      </c>
    </row>
    <row r="347" spans="8:23" x14ac:dyDescent="0.25">
      <c r="H347" s="34">
        <v>18544</v>
      </c>
      <c r="I347" s="34" t="s">
        <v>791</v>
      </c>
      <c r="J347" s="35">
        <v>46140</v>
      </c>
      <c r="K347" s="36" t="s">
        <v>40</v>
      </c>
      <c r="L347" s="39" t="str">
        <f>VLOOKUP(Tabla81015[[#This Row],[CODIGO DEL PRODUCTO]],Tabla797[],2,FALSE)</f>
        <v>PIEDRA 0-6</v>
      </c>
      <c r="M347" s="37">
        <v>1</v>
      </c>
      <c r="N347" s="158"/>
      <c r="O347" s="76">
        <v>2691307</v>
      </c>
      <c r="P347" s="76" t="s">
        <v>679</v>
      </c>
      <c r="Q347" s="77">
        <v>46076</v>
      </c>
      <c r="R347" s="78" t="s">
        <v>286</v>
      </c>
      <c r="S347" s="36" t="str">
        <f>VLOOKUP(Tabla91116[[#This Row],[CODIGO DEL PRODUCTO]],Tabla797[],2,FALSE)</f>
        <v>CPF 40 AVELLANEDA</v>
      </c>
      <c r="T347" s="37">
        <v>36.299999999999997</v>
      </c>
    </row>
    <row r="348" spans="8:23" x14ac:dyDescent="0.25">
      <c r="H348" s="34">
        <v>18546</v>
      </c>
      <c r="I348" s="34" t="s">
        <v>790</v>
      </c>
      <c r="J348" s="35">
        <v>46140</v>
      </c>
      <c r="K348" s="36" t="s">
        <v>468</v>
      </c>
      <c r="L348" s="39" t="str">
        <f>VLOOKUP(Tabla81015[[#This Row],[CODIGO DEL PRODUCTO]],Tabla797[],2,FALSE)</f>
        <v>ESTABILIZADO 0-100 X TN</v>
      </c>
      <c r="M348" s="37">
        <v>31.02</v>
      </c>
      <c r="N348" s="158"/>
      <c r="O348" s="76">
        <v>41522</v>
      </c>
      <c r="P348" s="76" t="s">
        <v>449</v>
      </c>
      <c r="Q348" s="77">
        <v>46076</v>
      </c>
      <c r="R348" s="78" t="s">
        <v>425</v>
      </c>
      <c r="S348" s="36" t="str">
        <f>VLOOKUP(Tabla91116[[#This Row],[CODIGO DEL PRODUCTO]],Tabla797[],2,FALSE)</f>
        <v>W351R</v>
      </c>
      <c r="T348" s="37">
        <v>1000</v>
      </c>
    </row>
    <row r="349" spans="8:23" x14ac:dyDescent="0.25">
      <c r="H349" s="34">
        <v>18564</v>
      </c>
      <c r="I349" s="34" t="s">
        <v>426</v>
      </c>
      <c r="J349" s="35">
        <v>46141</v>
      </c>
      <c r="K349" s="36" t="s">
        <v>42</v>
      </c>
      <c r="L349" s="39" t="str">
        <f>VLOOKUP(Tabla81015[[#This Row],[CODIGO DEL PRODUCTO]],Tabla797[],2,FALSE)</f>
        <v>ARENA FINA</v>
      </c>
      <c r="M349" s="37">
        <v>4</v>
      </c>
      <c r="N349" s="158"/>
      <c r="O349" s="76">
        <v>103492</v>
      </c>
      <c r="P349" s="76" t="s">
        <v>683</v>
      </c>
      <c r="Q349" s="77">
        <v>46077</v>
      </c>
      <c r="R349" s="78" t="s">
        <v>42</v>
      </c>
      <c r="S349" s="36" t="str">
        <f>VLOOKUP(Tabla91116[[#This Row],[CODIGO DEL PRODUCTO]],Tabla797[],2,FALSE)</f>
        <v>ARENA FINA</v>
      </c>
      <c r="T349" s="37">
        <v>36.58</v>
      </c>
    </row>
    <row r="350" spans="8:23" x14ac:dyDescent="0.25">
      <c r="H350" s="34"/>
      <c r="I350" s="34" t="s">
        <v>513</v>
      </c>
      <c r="J350" s="35">
        <v>46141</v>
      </c>
      <c r="K350" s="36" t="s">
        <v>43</v>
      </c>
      <c r="L350" s="39" t="str">
        <f>VLOOKUP(Tabla81015[[#This Row],[CODIGO DEL PRODUCTO]],Tabla797[],2,FALSE)</f>
        <v>PIEDRA 6-20</v>
      </c>
      <c r="M350" s="37">
        <v>4</v>
      </c>
      <c r="N350" s="158"/>
      <c r="O350" s="76">
        <v>103501</v>
      </c>
      <c r="P350" s="76" t="s">
        <v>683</v>
      </c>
      <c r="Q350" s="77">
        <v>46077</v>
      </c>
      <c r="R350" s="78" t="s">
        <v>42</v>
      </c>
      <c r="S350" s="36" t="str">
        <f>VLOOKUP(Tabla91116[[#This Row],[CODIGO DEL PRODUCTO]],Tabla797[],2,FALSE)</f>
        <v>ARENA FINA</v>
      </c>
      <c r="T350" s="37">
        <v>35.42</v>
      </c>
    </row>
    <row r="351" spans="8:23" x14ac:dyDescent="0.25">
      <c r="H351" s="34">
        <v>18566</v>
      </c>
      <c r="I351" s="34" t="s">
        <v>426</v>
      </c>
      <c r="J351" s="35">
        <v>46141</v>
      </c>
      <c r="K351" s="36" t="s">
        <v>42</v>
      </c>
      <c r="L351" s="39" t="str">
        <f>VLOOKUP(Tabla81015[[#This Row],[CODIGO DEL PRODUCTO]],Tabla797[],2,FALSE)</f>
        <v>ARENA FINA</v>
      </c>
      <c r="M351" s="37">
        <v>3</v>
      </c>
      <c r="N351" s="158"/>
      <c r="O351" s="76">
        <v>103502</v>
      </c>
      <c r="P351" s="76" t="s">
        <v>683</v>
      </c>
      <c r="Q351" s="77">
        <v>46077</v>
      </c>
      <c r="R351" s="78" t="s">
        <v>42</v>
      </c>
      <c r="S351" s="36" t="str">
        <f>VLOOKUP(Tabla91116[[#This Row],[CODIGO DEL PRODUCTO]],Tabla797[],2,FALSE)</f>
        <v>ARENA FINA</v>
      </c>
      <c r="T351" s="37">
        <v>40.44</v>
      </c>
    </row>
    <row r="352" spans="8:23" x14ac:dyDescent="0.25">
      <c r="H352" s="34">
        <v>18570</v>
      </c>
      <c r="I352" s="34" t="s">
        <v>790</v>
      </c>
      <c r="J352" s="35">
        <v>46141</v>
      </c>
      <c r="K352" s="36" t="s">
        <v>468</v>
      </c>
      <c r="L352" s="39" t="str">
        <f>VLOOKUP(Tabla81015[[#This Row],[CODIGO DEL PRODUCTO]],Tabla797[],2,FALSE)</f>
        <v>ESTABILIZADO 0-100 X TN</v>
      </c>
      <c r="M352" s="37">
        <v>29.86</v>
      </c>
      <c r="N352" s="158"/>
      <c r="O352" s="76">
        <v>209999</v>
      </c>
      <c r="P352" s="76" t="s">
        <v>739</v>
      </c>
      <c r="Q352" s="77">
        <v>46077</v>
      </c>
      <c r="R352" s="78" t="s">
        <v>43</v>
      </c>
      <c r="S352" s="36" t="str">
        <f>VLOOKUP(Tabla91116[[#This Row],[CODIGO DEL PRODUCTO]],Tabla797[],2,FALSE)</f>
        <v>PIEDRA 6-20</v>
      </c>
      <c r="T352" s="37">
        <v>35.119999999999997</v>
      </c>
    </row>
    <row r="353" spans="8:20" x14ac:dyDescent="0.25">
      <c r="H353" s="34">
        <v>18589</v>
      </c>
      <c r="I353" s="34" t="s">
        <v>790</v>
      </c>
      <c r="J353" s="35">
        <v>46141</v>
      </c>
      <c r="K353" s="36" t="s">
        <v>468</v>
      </c>
      <c r="L353" s="39" t="str">
        <f>VLOOKUP(Tabla81015[[#This Row],[CODIGO DEL PRODUCTO]],Tabla797[],2,FALSE)</f>
        <v>ESTABILIZADO 0-100 X TN</v>
      </c>
      <c r="M353" s="37">
        <v>33.56</v>
      </c>
      <c r="N353" s="158"/>
      <c r="O353" s="76">
        <v>107637</v>
      </c>
      <c r="P353" s="76" t="s">
        <v>684</v>
      </c>
      <c r="Q353" s="77">
        <v>46077</v>
      </c>
      <c r="R353" s="78" t="s">
        <v>48</v>
      </c>
      <c r="S353" s="36" t="str">
        <f>VLOOKUP(Tabla91116[[#This Row],[CODIGO DEL PRODUCTO]],Tabla797[],2,FALSE)</f>
        <v>PIEDRA 6-12</v>
      </c>
      <c r="T353" s="37">
        <v>34.82</v>
      </c>
    </row>
    <row r="354" spans="8:20" x14ac:dyDescent="0.25">
      <c r="H354" s="34">
        <v>18595</v>
      </c>
      <c r="I354" s="34" t="s">
        <v>602</v>
      </c>
      <c r="J354" s="35">
        <v>46142</v>
      </c>
      <c r="K354" s="36" t="s">
        <v>42</v>
      </c>
      <c r="L354" s="39" t="str">
        <f>VLOOKUP(Tabla81015[[#This Row],[CODIGO DEL PRODUCTO]],Tabla797[],2,FALSE)</f>
        <v>ARENA FINA</v>
      </c>
      <c r="M354" s="37">
        <v>3</v>
      </c>
      <c r="N354" s="158"/>
      <c r="O354" s="76">
        <v>107641</v>
      </c>
      <c r="P354" s="76" t="s">
        <v>684</v>
      </c>
      <c r="Q354" s="77">
        <v>46077</v>
      </c>
      <c r="R354" s="78" t="s">
        <v>43</v>
      </c>
      <c r="S354" s="36" t="str">
        <f>VLOOKUP(Tabla91116[[#This Row],[CODIGO DEL PRODUCTO]],Tabla797[],2,FALSE)</f>
        <v>PIEDRA 6-20</v>
      </c>
      <c r="T354" s="37">
        <v>34.08</v>
      </c>
    </row>
    <row r="355" spans="8:20" x14ac:dyDescent="0.25">
      <c r="H355" s="34">
        <v>18614</v>
      </c>
      <c r="I355" s="34" t="s">
        <v>790</v>
      </c>
      <c r="J355" s="35">
        <v>46142</v>
      </c>
      <c r="K355" s="36" t="s">
        <v>468</v>
      </c>
      <c r="L355" s="39" t="str">
        <f>VLOOKUP(Tabla81015[[#This Row],[CODIGO DEL PRODUCTO]],Tabla797[],2,FALSE)</f>
        <v>ESTABILIZADO 0-100 X TN</v>
      </c>
      <c r="M355" s="37">
        <v>33.24</v>
      </c>
      <c r="N355" s="158"/>
      <c r="O355" s="76">
        <v>107650</v>
      </c>
      <c r="P355" s="76" t="s">
        <v>684</v>
      </c>
      <c r="Q355" s="77">
        <v>46077</v>
      </c>
      <c r="R355" s="78" t="s">
        <v>43</v>
      </c>
      <c r="S355" s="36" t="str">
        <f>VLOOKUP(Tabla91116[[#This Row],[CODIGO DEL PRODUCTO]],Tabla797[],2,FALSE)</f>
        <v>PIEDRA 6-20</v>
      </c>
      <c r="T355" s="37">
        <v>35.26</v>
      </c>
    </row>
    <row r="356" spans="8:20" x14ac:dyDescent="0.25">
      <c r="H356" s="34">
        <v>18639</v>
      </c>
      <c r="I356" s="34" t="s">
        <v>790</v>
      </c>
      <c r="J356" s="35">
        <v>46142</v>
      </c>
      <c r="K356" s="36" t="s">
        <v>468</v>
      </c>
      <c r="L356" s="39" t="str">
        <f>VLOOKUP(Tabla81015[[#This Row],[CODIGO DEL PRODUCTO]],Tabla797[],2,FALSE)</f>
        <v>ESTABILIZADO 0-100 X TN</v>
      </c>
      <c r="M356" s="37">
        <v>33.4</v>
      </c>
      <c r="N356" s="158"/>
      <c r="O356" s="76">
        <v>107664</v>
      </c>
      <c r="P356" s="76" t="s">
        <v>684</v>
      </c>
      <c r="Q356" s="77">
        <v>46077</v>
      </c>
      <c r="R356" s="78" t="s">
        <v>40</v>
      </c>
      <c r="S356" s="36" t="str">
        <f>VLOOKUP(Tabla91116[[#This Row],[CODIGO DEL PRODUCTO]],Tabla797[],2,FALSE)</f>
        <v>PIEDRA 0-6</v>
      </c>
      <c r="T356" s="37">
        <v>35.14</v>
      </c>
    </row>
    <row r="357" spans="8:20" x14ac:dyDescent="0.25">
      <c r="H357" s="34">
        <v>18667</v>
      </c>
      <c r="I357" s="34" t="s">
        <v>790</v>
      </c>
      <c r="J357" s="35">
        <v>46146</v>
      </c>
      <c r="K357" s="36" t="s">
        <v>468</v>
      </c>
      <c r="L357" s="39" t="str">
        <f>VLOOKUP(Tabla81015[[#This Row],[CODIGO DEL PRODUCTO]],Tabla797[],2,FALSE)</f>
        <v>ESTABILIZADO 0-100 X TN</v>
      </c>
      <c r="M357" s="37">
        <v>32.78</v>
      </c>
      <c r="N357" s="158"/>
      <c r="O357" s="76">
        <v>107670</v>
      </c>
      <c r="P357" s="76" t="s">
        <v>684</v>
      </c>
      <c r="Q357" s="77">
        <v>46077</v>
      </c>
      <c r="R357" s="78" t="s">
        <v>48</v>
      </c>
      <c r="S357" s="36" t="str">
        <f>VLOOKUP(Tabla91116[[#This Row],[CODIGO DEL PRODUCTO]],Tabla797[],2,FALSE)</f>
        <v>PIEDRA 6-12</v>
      </c>
      <c r="T357" s="37">
        <v>34.82</v>
      </c>
    </row>
    <row r="358" spans="8:20" x14ac:dyDescent="0.25">
      <c r="H358" s="34">
        <v>18668</v>
      </c>
      <c r="I358" s="34" t="s">
        <v>790</v>
      </c>
      <c r="J358" s="35">
        <v>46146</v>
      </c>
      <c r="K358" s="36" t="s">
        <v>468</v>
      </c>
      <c r="L358" s="39" t="str">
        <f>VLOOKUP(Tabla81015[[#This Row],[CODIGO DEL PRODUCTO]],Tabla797[],2,FALSE)</f>
        <v>ESTABILIZADO 0-100 X TN</v>
      </c>
      <c r="M358" s="37">
        <v>33.06</v>
      </c>
      <c r="N358" s="158"/>
      <c r="O358" s="76">
        <v>2691544</v>
      </c>
      <c r="P358" s="76" t="s">
        <v>679</v>
      </c>
      <c r="Q358" s="77">
        <v>46077</v>
      </c>
      <c r="R358" s="78" t="s">
        <v>286</v>
      </c>
      <c r="S358" s="36" t="str">
        <f>VLOOKUP(Tabla91116[[#This Row],[CODIGO DEL PRODUCTO]],Tabla797[],2,FALSE)</f>
        <v>CPF 40 AVELLANEDA</v>
      </c>
      <c r="T358" s="37">
        <v>36.28</v>
      </c>
    </row>
    <row r="359" spans="8:20" x14ac:dyDescent="0.25">
      <c r="H359" s="34"/>
      <c r="I359" s="34" t="s">
        <v>53</v>
      </c>
      <c r="J359" s="35">
        <v>46139</v>
      </c>
      <c r="K359" s="36" t="s">
        <v>42</v>
      </c>
      <c r="L359" s="39" t="str">
        <f>VLOOKUP(Tabla81015[[#This Row],[CODIGO DEL PRODUCTO]],Tabla797[],2,FALSE)</f>
        <v>ARENA FINA</v>
      </c>
      <c r="M359" s="37">
        <v>588.75</v>
      </c>
      <c r="N359" s="158"/>
      <c r="O359" s="76">
        <v>2691549</v>
      </c>
      <c r="P359" s="76" t="s">
        <v>679</v>
      </c>
      <c r="Q359" s="77">
        <v>46077</v>
      </c>
      <c r="R359" s="78" t="s">
        <v>286</v>
      </c>
      <c r="S359" s="36" t="str">
        <f>VLOOKUP(Tabla91116[[#This Row],[CODIGO DEL PRODUCTO]],Tabla797[],2,FALSE)</f>
        <v>CPF 40 AVELLANEDA</v>
      </c>
      <c r="T359" s="37">
        <v>33.14</v>
      </c>
    </row>
    <row r="360" spans="8:20" x14ac:dyDescent="0.25">
      <c r="H360" s="34"/>
      <c r="I360" s="34" t="s">
        <v>53</v>
      </c>
      <c r="J360" s="35">
        <v>46140</v>
      </c>
      <c r="K360" s="36" t="s">
        <v>40</v>
      </c>
      <c r="L360" s="39" t="str">
        <f>VLOOKUP(Tabla81015[[#This Row],[CODIGO DEL PRODUCTO]],Tabla797[],2,FALSE)</f>
        <v>PIEDRA 0-6</v>
      </c>
      <c r="M360" s="37">
        <v>385.81</v>
      </c>
      <c r="N360" s="158"/>
      <c r="O360" s="76">
        <v>103513</v>
      </c>
      <c r="P360" s="76" t="s">
        <v>683</v>
      </c>
      <c r="Q360" s="77">
        <v>46078</v>
      </c>
      <c r="R360" s="78" t="s">
        <v>42</v>
      </c>
      <c r="S360" s="36" t="str">
        <f>VLOOKUP(Tabla91116[[#This Row],[CODIGO DEL PRODUCTO]],Tabla797[],2,FALSE)</f>
        <v>ARENA FINA</v>
      </c>
      <c r="T360" s="37">
        <v>36.18</v>
      </c>
    </row>
    <row r="361" spans="8:20" x14ac:dyDescent="0.25">
      <c r="H361" s="34"/>
      <c r="I361" s="34" t="s">
        <v>53</v>
      </c>
      <c r="J361" s="35">
        <v>46141</v>
      </c>
      <c r="K361" s="36" t="s">
        <v>286</v>
      </c>
      <c r="L361" s="39" t="str">
        <f>VLOOKUP(Tabla81015[[#This Row],[CODIGO DEL PRODUCTO]],Tabla797[],2,FALSE)</f>
        <v>CPF 40 AVELLANEDA</v>
      </c>
      <c r="M361" s="37">
        <v>274.5</v>
      </c>
      <c r="N361" s="158"/>
      <c r="O361" s="76">
        <v>103524</v>
      </c>
      <c r="P361" s="76" t="s">
        <v>683</v>
      </c>
      <c r="Q361" s="77">
        <v>46078</v>
      </c>
      <c r="R361" s="78" t="s">
        <v>42</v>
      </c>
      <c r="S361" s="36" t="str">
        <f>VLOOKUP(Tabla91116[[#This Row],[CODIGO DEL PRODUCTO]],Tabla797[],2,FALSE)</f>
        <v>ARENA FINA</v>
      </c>
      <c r="T361" s="37">
        <v>35.4</v>
      </c>
    </row>
    <row r="362" spans="8:20" x14ac:dyDescent="0.25">
      <c r="H362" s="34"/>
      <c r="I362" s="34" t="s">
        <v>53</v>
      </c>
      <c r="J362" s="35">
        <v>46142</v>
      </c>
      <c r="K362" s="36" t="s">
        <v>48</v>
      </c>
      <c r="L362" s="39" t="str">
        <f>VLOOKUP(Tabla81015[[#This Row],[CODIGO DEL PRODUCTO]],Tabla797[],2,FALSE)</f>
        <v>PIEDRA 6-12</v>
      </c>
      <c r="M362" s="37">
        <v>83.1</v>
      </c>
      <c r="N362" s="158"/>
      <c r="O362" s="76">
        <v>103528</v>
      </c>
      <c r="P362" s="76" t="s">
        <v>683</v>
      </c>
      <c r="Q362" s="77">
        <v>46078</v>
      </c>
      <c r="R362" s="78" t="s">
        <v>42</v>
      </c>
      <c r="S362" s="36" t="str">
        <f>VLOOKUP(Tabla91116[[#This Row],[CODIGO DEL PRODUCTO]],Tabla797[],2,FALSE)</f>
        <v>ARENA FINA</v>
      </c>
      <c r="T362" s="37">
        <v>37.799999999999997</v>
      </c>
    </row>
    <row r="363" spans="8:20" x14ac:dyDescent="0.25">
      <c r="H363" s="34"/>
      <c r="I363" s="34" t="s">
        <v>53</v>
      </c>
      <c r="J363" s="35">
        <v>46143</v>
      </c>
      <c r="K363" s="36" t="s">
        <v>43</v>
      </c>
      <c r="L363" s="39" t="str">
        <f>VLOOKUP(Tabla81015[[#This Row],[CODIGO DEL PRODUCTO]],Tabla797[],2,FALSE)</f>
        <v>PIEDRA 6-20</v>
      </c>
      <c r="M363" s="37">
        <v>742.65</v>
      </c>
      <c r="N363" s="158"/>
      <c r="O363" s="76">
        <v>107625</v>
      </c>
      <c r="P363" s="76" t="s">
        <v>684</v>
      </c>
      <c r="Q363" s="77">
        <v>46078</v>
      </c>
      <c r="R363" s="78" t="s">
        <v>43</v>
      </c>
      <c r="S363" s="36" t="str">
        <f>VLOOKUP(Tabla91116[[#This Row],[CODIGO DEL PRODUCTO]],Tabla797[],2,FALSE)</f>
        <v>PIEDRA 6-20</v>
      </c>
      <c r="T363" s="37">
        <v>34.96</v>
      </c>
    </row>
    <row r="364" spans="8:20" x14ac:dyDescent="0.25">
      <c r="H364" s="34"/>
      <c r="I364" s="34" t="s">
        <v>53</v>
      </c>
      <c r="J364" s="35">
        <v>46144</v>
      </c>
      <c r="K364" s="36" t="s">
        <v>425</v>
      </c>
      <c r="L364" s="39" t="str">
        <f>VLOOKUP(Tabla81015[[#This Row],[CODIGO DEL PRODUCTO]],Tabla797[],2,FALSE)</f>
        <v>W351R</v>
      </c>
      <c r="M364" s="37">
        <v>1.55</v>
      </c>
      <c r="N364" s="158"/>
      <c r="O364" s="76">
        <v>107677</v>
      </c>
      <c r="P364" s="76" t="s">
        <v>684</v>
      </c>
      <c r="Q364" s="77">
        <v>46078</v>
      </c>
      <c r="R364" s="78" t="s">
        <v>43</v>
      </c>
      <c r="S364" s="36" t="str">
        <f>VLOOKUP(Tabla91116[[#This Row],[CODIGO DEL PRODUCTO]],Tabla797[],2,FALSE)</f>
        <v>PIEDRA 6-20</v>
      </c>
      <c r="T364" s="37">
        <v>34.619999999999997</v>
      </c>
    </row>
    <row r="365" spans="8:20" x14ac:dyDescent="0.25">
      <c r="H365" s="34">
        <v>18673</v>
      </c>
      <c r="I365" s="34" t="s">
        <v>790</v>
      </c>
      <c r="J365" s="35">
        <v>46146</v>
      </c>
      <c r="K365" s="36" t="s">
        <v>468</v>
      </c>
      <c r="L365" s="39" t="str">
        <f>VLOOKUP(Tabla81015[[#This Row],[CODIGO DEL PRODUCTO]],Tabla797[],2,FALSE)</f>
        <v>ESTABILIZADO 0-100 X TN</v>
      </c>
      <c r="M365" s="37">
        <v>31.72</v>
      </c>
      <c r="N365" s="158"/>
      <c r="O365" s="76">
        <v>107681</v>
      </c>
      <c r="P365" s="76" t="s">
        <v>684</v>
      </c>
      <c r="Q365" s="77">
        <v>46078</v>
      </c>
      <c r="R365" s="78" t="s">
        <v>48</v>
      </c>
      <c r="S365" s="36" t="str">
        <f>VLOOKUP(Tabla91116[[#This Row],[CODIGO DEL PRODUCTO]],Tabla797[],2,FALSE)</f>
        <v>PIEDRA 6-12</v>
      </c>
      <c r="T365" s="37">
        <v>34.479999999999997</v>
      </c>
    </row>
    <row r="366" spans="8:20" x14ac:dyDescent="0.25">
      <c r="H366" s="34">
        <v>18685</v>
      </c>
      <c r="I366" s="34" t="s">
        <v>790</v>
      </c>
      <c r="J366" s="35">
        <v>46146</v>
      </c>
      <c r="K366" s="36" t="s">
        <v>468</v>
      </c>
      <c r="L366" s="39" t="str">
        <f>VLOOKUP(Tabla81015[[#This Row],[CODIGO DEL PRODUCTO]],Tabla797[],2,FALSE)</f>
        <v>ESTABILIZADO 0-100 X TN</v>
      </c>
      <c r="M366" s="37">
        <v>19.760000000000002</v>
      </c>
      <c r="N366" s="158"/>
      <c r="O366" s="76">
        <v>107686</v>
      </c>
      <c r="P366" s="76" t="s">
        <v>684</v>
      </c>
      <c r="Q366" s="77">
        <v>46078</v>
      </c>
      <c r="R366" s="78" t="s">
        <v>43</v>
      </c>
      <c r="S366" s="36" t="str">
        <f>VLOOKUP(Tabla91116[[#This Row],[CODIGO DEL PRODUCTO]],Tabla797[],2,FALSE)</f>
        <v>PIEDRA 6-20</v>
      </c>
      <c r="T366" s="37">
        <v>34.659999999999997</v>
      </c>
    </row>
    <row r="367" spans="8:20" x14ac:dyDescent="0.25">
      <c r="H367" s="34">
        <v>18686</v>
      </c>
      <c r="I367" s="34" t="s">
        <v>790</v>
      </c>
      <c r="J367" s="35">
        <v>46146</v>
      </c>
      <c r="K367" s="36" t="s">
        <v>468</v>
      </c>
      <c r="L367" s="39" t="str">
        <f>VLOOKUP(Tabla81015[[#This Row],[CODIGO DEL PRODUCTO]],Tabla797[],2,FALSE)</f>
        <v>ESTABILIZADO 0-100 X TN</v>
      </c>
      <c r="M367" s="37">
        <v>21.94</v>
      </c>
      <c r="N367" s="158"/>
      <c r="O367" s="76">
        <v>107703</v>
      </c>
      <c r="P367" s="76" t="s">
        <v>684</v>
      </c>
      <c r="Q367" s="77">
        <v>46078</v>
      </c>
      <c r="R367" s="78" t="s">
        <v>40</v>
      </c>
      <c r="S367" s="36" t="str">
        <f>VLOOKUP(Tabla91116[[#This Row],[CODIGO DEL PRODUCTO]],Tabla797[],2,FALSE)</f>
        <v>PIEDRA 0-6</v>
      </c>
      <c r="T367" s="37">
        <v>34.74</v>
      </c>
    </row>
    <row r="368" spans="8:20" x14ac:dyDescent="0.25">
      <c r="H368" s="34">
        <v>18691</v>
      </c>
      <c r="I368" s="34" t="s">
        <v>792</v>
      </c>
      <c r="J368" s="35">
        <v>46146</v>
      </c>
      <c r="K368" s="36" t="s">
        <v>42</v>
      </c>
      <c r="L368" s="39" t="str">
        <f>VLOOKUP(Tabla81015[[#This Row],[CODIGO DEL PRODUCTO]],Tabla797[],2,FALSE)</f>
        <v>ARENA FINA</v>
      </c>
      <c r="M368" s="37">
        <v>7</v>
      </c>
      <c r="N368" s="158"/>
      <c r="O368" s="76">
        <v>153266</v>
      </c>
      <c r="P368" s="76" t="s">
        <v>679</v>
      </c>
      <c r="Q368" s="77">
        <v>46078</v>
      </c>
      <c r="R368" s="78" t="s">
        <v>43</v>
      </c>
      <c r="S368" s="36" t="str">
        <f>VLOOKUP(Tabla91116[[#This Row],[CODIGO DEL PRODUCTO]],Tabla797[],2,FALSE)</f>
        <v>PIEDRA 6-20</v>
      </c>
      <c r="T368" s="37">
        <v>35.92</v>
      </c>
    </row>
    <row r="369" spans="7:20" x14ac:dyDescent="0.25">
      <c r="H369" s="34">
        <v>18692</v>
      </c>
      <c r="I369" s="34" t="s">
        <v>792</v>
      </c>
      <c r="J369" s="35">
        <v>46146</v>
      </c>
      <c r="K369" s="36" t="s">
        <v>43</v>
      </c>
      <c r="L369" s="39" t="str">
        <f>VLOOKUP(Tabla81015[[#This Row],[CODIGO DEL PRODUCTO]],Tabla797[],2,FALSE)</f>
        <v>PIEDRA 6-20</v>
      </c>
      <c r="M369" s="37">
        <v>8</v>
      </c>
      <c r="N369" s="158"/>
      <c r="O369" s="76">
        <v>2691866</v>
      </c>
      <c r="P369" s="76" t="s">
        <v>679</v>
      </c>
      <c r="Q369" s="77">
        <v>46078</v>
      </c>
      <c r="R369" s="78" t="s">
        <v>286</v>
      </c>
      <c r="S369" s="36" t="str">
        <f>VLOOKUP(Tabla91116[[#This Row],[CODIGO DEL PRODUCTO]],Tabla797[],2,FALSE)</f>
        <v>CPF 40 AVELLANEDA</v>
      </c>
      <c r="T369" s="37">
        <v>36.1</v>
      </c>
    </row>
    <row r="370" spans="7:20" x14ac:dyDescent="0.25">
      <c r="H370" s="34">
        <v>18711</v>
      </c>
      <c r="I370" s="34" t="s">
        <v>790</v>
      </c>
      <c r="J370" s="35">
        <v>46146</v>
      </c>
      <c r="K370" s="36" t="s">
        <v>468</v>
      </c>
      <c r="L370" s="39" t="str">
        <f>VLOOKUP(Tabla81015[[#This Row],[CODIGO DEL PRODUCTO]],Tabla797[],2,FALSE)</f>
        <v>ESTABILIZADO 0-100 X TN</v>
      </c>
      <c r="M370" s="37">
        <v>31.78</v>
      </c>
      <c r="N370" s="158"/>
      <c r="O370" s="76">
        <v>2691899</v>
      </c>
      <c r="P370" s="76" t="s">
        <v>679</v>
      </c>
      <c r="Q370" s="77">
        <v>46078</v>
      </c>
      <c r="R370" s="78" t="s">
        <v>286</v>
      </c>
      <c r="S370" s="36" t="str">
        <f>VLOOKUP(Tabla91116[[#This Row],[CODIGO DEL PRODUCTO]],Tabla797[],2,FALSE)</f>
        <v>CPF 40 AVELLANEDA</v>
      </c>
      <c r="T370" s="37">
        <v>36.340000000000003</v>
      </c>
    </row>
    <row r="371" spans="7:20" x14ac:dyDescent="0.25">
      <c r="H371" s="34">
        <v>18713</v>
      </c>
      <c r="I371" s="34" t="s">
        <v>793</v>
      </c>
      <c r="J371" s="35">
        <v>46146</v>
      </c>
      <c r="K371" s="36" t="s">
        <v>42</v>
      </c>
      <c r="L371" s="39" t="str">
        <f>VLOOKUP(Tabla81015[[#This Row],[CODIGO DEL PRODUCTO]],Tabla797[],2,FALSE)</f>
        <v>ARENA FINA</v>
      </c>
      <c r="M371" s="37">
        <v>3</v>
      </c>
      <c r="N371" s="158"/>
      <c r="O371" s="76">
        <v>103534</v>
      </c>
      <c r="P371" s="76" t="s">
        <v>683</v>
      </c>
      <c r="Q371" s="77">
        <v>46079</v>
      </c>
      <c r="R371" s="78" t="s">
        <v>42</v>
      </c>
      <c r="S371" s="36" t="str">
        <f>VLOOKUP(Tabla91116[[#This Row],[CODIGO DEL PRODUCTO]],Tabla797[],2,FALSE)</f>
        <v>ARENA FINA</v>
      </c>
      <c r="T371" s="37">
        <v>35.94</v>
      </c>
    </row>
    <row r="372" spans="7:20" x14ac:dyDescent="0.25">
      <c r="H372" s="34">
        <v>18714</v>
      </c>
      <c r="I372" s="34" t="s">
        <v>793</v>
      </c>
      <c r="J372" s="35">
        <v>46146</v>
      </c>
      <c r="K372" s="36" t="s">
        <v>43</v>
      </c>
      <c r="L372" s="39" t="str">
        <f>VLOOKUP(Tabla81015[[#This Row],[CODIGO DEL PRODUCTO]],Tabla797[],2,FALSE)</f>
        <v>PIEDRA 6-20</v>
      </c>
      <c r="M372" s="37">
        <v>1</v>
      </c>
      <c r="N372" s="158"/>
      <c r="O372" s="76">
        <v>103545</v>
      </c>
      <c r="P372" s="76" t="s">
        <v>683</v>
      </c>
      <c r="Q372" s="77">
        <v>46079</v>
      </c>
      <c r="R372" s="78" t="s">
        <v>42</v>
      </c>
      <c r="S372" s="36" t="str">
        <f>VLOOKUP(Tabla91116[[#This Row],[CODIGO DEL PRODUCTO]],Tabla797[],2,FALSE)</f>
        <v>ARENA FINA</v>
      </c>
      <c r="T372" s="37">
        <v>34.18</v>
      </c>
    </row>
    <row r="373" spans="7:20" x14ac:dyDescent="0.25">
      <c r="H373" s="34">
        <v>18722</v>
      </c>
      <c r="I373" s="34" t="s">
        <v>790</v>
      </c>
      <c r="J373" s="35">
        <v>46147</v>
      </c>
      <c r="K373" s="36" t="s">
        <v>468</v>
      </c>
      <c r="L373" s="39" t="str">
        <f>VLOOKUP(Tabla81015[[#This Row],[CODIGO DEL PRODUCTO]],Tabla797[],2,FALSE)</f>
        <v>ESTABILIZADO 0-100 X TN</v>
      </c>
      <c r="M373" s="37">
        <v>23.14</v>
      </c>
      <c r="N373" s="158"/>
      <c r="O373" s="76">
        <v>107707</v>
      </c>
      <c r="P373" s="76" t="s">
        <v>684</v>
      </c>
      <c r="Q373" s="77">
        <v>46079</v>
      </c>
      <c r="R373" s="78" t="s">
        <v>48</v>
      </c>
      <c r="S373" s="36" t="str">
        <f>VLOOKUP(Tabla91116[[#This Row],[CODIGO DEL PRODUCTO]],Tabla797[],2,FALSE)</f>
        <v>PIEDRA 6-12</v>
      </c>
      <c r="T373" s="37">
        <v>34.5</v>
      </c>
    </row>
    <row r="374" spans="7:20" x14ac:dyDescent="0.25">
      <c r="H374" s="34">
        <v>18733</v>
      </c>
      <c r="I374" s="34" t="s">
        <v>790</v>
      </c>
      <c r="J374" s="35">
        <v>46147</v>
      </c>
      <c r="K374" s="36" t="s">
        <v>468</v>
      </c>
      <c r="L374" s="39" t="str">
        <f>VLOOKUP(Tabla81015[[#This Row],[CODIGO DEL PRODUCTO]],Tabla797[],2,FALSE)</f>
        <v>ESTABILIZADO 0-100 X TN</v>
      </c>
      <c r="M374" s="37">
        <v>26.1</v>
      </c>
      <c r="N374" s="158"/>
      <c r="O374" s="76">
        <v>107709</v>
      </c>
      <c r="P374" s="76" t="s">
        <v>684</v>
      </c>
      <c r="Q374" s="77">
        <v>46079</v>
      </c>
      <c r="R374" s="78" t="s">
        <v>43</v>
      </c>
      <c r="S374" s="36" t="str">
        <f>VLOOKUP(Tabla91116[[#This Row],[CODIGO DEL PRODUCTO]],Tabla797[],2,FALSE)</f>
        <v>PIEDRA 6-20</v>
      </c>
      <c r="T374" s="37">
        <v>33.799999999999997</v>
      </c>
    </row>
    <row r="375" spans="7:20" x14ac:dyDescent="0.25">
      <c r="H375" s="34">
        <v>18735</v>
      </c>
      <c r="I375" s="34" t="s">
        <v>790</v>
      </c>
      <c r="J375" s="35">
        <v>46147</v>
      </c>
      <c r="K375" s="36" t="s">
        <v>468</v>
      </c>
      <c r="L375" s="39" t="str">
        <f>VLOOKUP(Tabla81015[[#This Row],[CODIGO DEL PRODUCTO]],Tabla797[],2,FALSE)</f>
        <v>ESTABILIZADO 0-100 X TN</v>
      </c>
      <c r="M375" s="37">
        <v>31.28</v>
      </c>
      <c r="N375" s="158"/>
      <c r="O375" s="76">
        <v>107716</v>
      </c>
      <c r="P375" s="76" t="s">
        <v>684</v>
      </c>
      <c r="Q375" s="77">
        <v>46079</v>
      </c>
      <c r="R375" s="78" t="s">
        <v>43</v>
      </c>
      <c r="S375" s="36" t="str">
        <f>VLOOKUP(Tabla91116[[#This Row],[CODIGO DEL PRODUCTO]],Tabla797[],2,FALSE)</f>
        <v>PIEDRA 6-20</v>
      </c>
      <c r="T375" s="37">
        <v>34.700000000000003</v>
      </c>
    </row>
    <row r="376" spans="7:20" x14ac:dyDescent="0.25">
      <c r="H376" s="34">
        <v>18750</v>
      </c>
      <c r="I376" s="34" t="s">
        <v>790</v>
      </c>
      <c r="J376" s="35">
        <v>46147</v>
      </c>
      <c r="K376" s="36" t="s">
        <v>468</v>
      </c>
      <c r="L376" s="39" t="str">
        <f>VLOOKUP(Tabla81015[[#This Row],[CODIGO DEL PRODUCTO]],Tabla797[],2,FALSE)</f>
        <v>ESTABILIZADO 0-100 X TN</v>
      </c>
      <c r="M376" s="37">
        <v>22.98</v>
      </c>
      <c r="N376" s="158"/>
      <c r="O376" s="76">
        <v>107734</v>
      </c>
      <c r="P376" s="76" t="s">
        <v>684</v>
      </c>
      <c r="Q376" s="77">
        <v>46079</v>
      </c>
      <c r="R376" s="78" t="s">
        <v>40</v>
      </c>
      <c r="S376" s="36" t="str">
        <f>VLOOKUP(Tabla91116[[#This Row],[CODIGO DEL PRODUCTO]],Tabla797[],2,FALSE)</f>
        <v>PIEDRA 0-6</v>
      </c>
      <c r="T376" s="37">
        <v>34.619999999999997</v>
      </c>
    </row>
    <row r="377" spans="7:20" x14ac:dyDescent="0.25">
      <c r="G377" t="s">
        <v>124</v>
      </c>
      <c r="H377" s="34">
        <v>18767</v>
      </c>
      <c r="I377" s="34" t="s">
        <v>790</v>
      </c>
      <c r="J377" s="35">
        <v>46147</v>
      </c>
      <c r="K377" s="36" t="s">
        <v>468</v>
      </c>
      <c r="L377" s="39" t="str">
        <f>VLOOKUP(Tabla81015[[#This Row],[CODIGO DEL PRODUCTO]],Tabla797[],2,FALSE)</f>
        <v>ESTABILIZADO 0-100 X TN</v>
      </c>
      <c r="M377" s="37">
        <v>30.98</v>
      </c>
      <c r="N377" s="158"/>
      <c r="O377" s="76">
        <v>2692163</v>
      </c>
      <c r="P377" s="76" t="s">
        <v>679</v>
      </c>
      <c r="Q377" s="77">
        <v>46079</v>
      </c>
      <c r="R377" s="78" t="s">
        <v>286</v>
      </c>
      <c r="S377" s="36" t="str">
        <f>VLOOKUP(Tabla91116[[#This Row],[CODIGO DEL PRODUCTO]],Tabla797[],2,FALSE)</f>
        <v>CPF 40 AVELLANEDA</v>
      </c>
      <c r="T377" s="37">
        <v>35.92</v>
      </c>
    </row>
    <row r="378" spans="7:20" x14ac:dyDescent="0.25">
      <c r="H378" s="34">
        <v>18796</v>
      </c>
      <c r="I378" s="34" t="s">
        <v>790</v>
      </c>
      <c r="J378" s="35">
        <v>46148</v>
      </c>
      <c r="K378" s="36" t="s">
        <v>468</v>
      </c>
      <c r="L378" s="39" t="str">
        <f>VLOOKUP(Tabla81015[[#This Row],[CODIGO DEL PRODUCTO]],Tabla797[],2,FALSE)</f>
        <v>ESTABILIZADO 0-100 X TN</v>
      </c>
      <c r="M378" s="37">
        <v>32.340000000000003</v>
      </c>
      <c r="N378" s="158"/>
      <c r="O378" s="76">
        <v>103553</v>
      </c>
      <c r="P378" s="76" t="s">
        <v>683</v>
      </c>
      <c r="Q378" s="77">
        <v>46080</v>
      </c>
      <c r="R378" s="78" t="s">
        <v>42</v>
      </c>
      <c r="S378" s="36" t="str">
        <f>VLOOKUP(Tabla91116[[#This Row],[CODIGO DEL PRODUCTO]],Tabla797[],2,FALSE)</f>
        <v>ARENA FINA</v>
      </c>
      <c r="T378" s="37">
        <v>34.56</v>
      </c>
    </row>
    <row r="379" spans="7:20" x14ac:dyDescent="0.25">
      <c r="H379" s="34">
        <v>18801</v>
      </c>
      <c r="I379" s="34" t="s">
        <v>794</v>
      </c>
      <c r="J379" s="35">
        <v>46148</v>
      </c>
      <c r="K379" s="36" t="s">
        <v>42</v>
      </c>
      <c r="L379" s="39" t="str">
        <f>VLOOKUP(Tabla81015[[#This Row],[CODIGO DEL PRODUCTO]],Tabla797[],2,FALSE)</f>
        <v>ARENA FINA</v>
      </c>
      <c r="M379" s="37">
        <v>2</v>
      </c>
      <c r="N379" s="158"/>
      <c r="O379" s="76">
        <v>103557</v>
      </c>
      <c r="P379" s="76" t="s">
        <v>683</v>
      </c>
      <c r="Q379" s="77">
        <v>46080</v>
      </c>
      <c r="R379" s="78" t="s">
        <v>42</v>
      </c>
      <c r="S379" s="36" t="str">
        <f>VLOOKUP(Tabla91116[[#This Row],[CODIGO DEL PRODUCTO]],Tabla797[],2,FALSE)</f>
        <v>ARENA FINA</v>
      </c>
      <c r="T379" s="37">
        <v>37.64</v>
      </c>
    </row>
    <row r="380" spans="7:20" x14ac:dyDescent="0.25">
      <c r="H380" s="34">
        <v>18804</v>
      </c>
      <c r="I380" s="34" t="s">
        <v>795</v>
      </c>
      <c r="J380" s="35">
        <v>46148</v>
      </c>
      <c r="K380" s="36" t="s">
        <v>42</v>
      </c>
      <c r="L380" s="39" t="str">
        <f>VLOOKUP(Tabla81015[[#This Row],[CODIGO DEL PRODUCTO]],Tabla797[],2,FALSE)</f>
        <v>ARENA FINA</v>
      </c>
      <c r="M380" s="37">
        <v>3</v>
      </c>
      <c r="N380" s="158"/>
      <c r="O380" s="76">
        <v>103561</v>
      </c>
      <c r="P380" s="76" t="s">
        <v>683</v>
      </c>
      <c r="Q380" s="77">
        <v>46080</v>
      </c>
      <c r="R380" s="78" t="s">
        <v>42</v>
      </c>
      <c r="S380" s="36" t="str">
        <f>VLOOKUP(Tabla91116[[#This Row],[CODIGO DEL PRODUCTO]],Tabla797[],2,FALSE)</f>
        <v>ARENA FINA</v>
      </c>
      <c r="T380" s="37">
        <v>36.299999999999997</v>
      </c>
    </row>
    <row r="381" spans="7:20" x14ac:dyDescent="0.25">
      <c r="H381" s="34"/>
      <c r="I381" s="34" t="s">
        <v>795</v>
      </c>
      <c r="J381" s="35">
        <v>46148</v>
      </c>
      <c r="K381" s="36" t="s">
        <v>43</v>
      </c>
      <c r="L381" s="39" t="str">
        <f>VLOOKUP(Tabla81015[[#This Row],[CODIGO DEL PRODUCTO]],Tabla797[],2,FALSE)</f>
        <v>PIEDRA 6-20</v>
      </c>
      <c r="M381" s="37">
        <v>1</v>
      </c>
      <c r="N381" s="158"/>
      <c r="O381" s="76">
        <v>103564</v>
      </c>
      <c r="P381" s="76" t="s">
        <v>683</v>
      </c>
      <c r="Q381" s="77">
        <v>46080</v>
      </c>
      <c r="R381" s="78" t="s">
        <v>42</v>
      </c>
      <c r="S381" s="36" t="str">
        <f>VLOOKUP(Tabla91116[[#This Row],[CODIGO DEL PRODUCTO]],Tabla797[],2,FALSE)</f>
        <v>ARENA FINA</v>
      </c>
      <c r="T381" s="37">
        <v>35.200000000000003</v>
      </c>
    </row>
    <row r="382" spans="7:20" x14ac:dyDescent="0.25">
      <c r="H382" s="34">
        <v>18829</v>
      </c>
      <c r="I382" s="34" t="s">
        <v>790</v>
      </c>
      <c r="J382" s="35">
        <v>46148</v>
      </c>
      <c r="K382" s="36" t="s">
        <v>468</v>
      </c>
      <c r="L382" s="39" t="str">
        <f>VLOOKUP(Tabla81015[[#This Row],[CODIGO DEL PRODUCTO]],Tabla797[],2,FALSE)</f>
        <v>ESTABILIZADO 0-100 X TN</v>
      </c>
      <c r="M382" s="37">
        <v>30.92</v>
      </c>
      <c r="N382" s="158"/>
      <c r="O382" s="76">
        <v>103565</v>
      </c>
      <c r="P382" s="76" t="s">
        <v>683</v>
      </c>
      <c r="Q382" s="77">
        <v>46080</v>
      </c>
      <c r="R382" s="78" t="s">
        <v>42</v>
      </c>
      <c r="S382" s="36" t="str">
        <f>VLOOKUP(Tabla91116[[#This Row],[CODIGO DEL PRODUCTO]],Tabla797[],2,FALSE)</f>
        <v>ARENA FINA</v>
      </c>
      <c r="T382" s="37">
        <v>38.56</v>
      </c>
    </row>
    <row r="383" spans="7:20" x14ac:dyDescent="0.25">
      <c r="H383" s="34">
        <v>26461</v>
      </c>
      <c r="I383" s="34" t="s">
        <v>790</v>
      </c>
      <c r="J383" s="35">
        <v>46148</v>
      </c>
      <c r="K383" s="36" t="s">
        <v>372</v>
      </c>
      <c r="L383" s="39" t="str">
        <f>VLOOKUP(Tabla81015[[#This Row],[CODIGO DEL PRODUCTO]],Tabla797[],2,FALSE)</f>
        <v xml:space="preserve">ESTABILIZADO GRANULOMETRICO 0/20 </v>
      </c>
      <c r="M383" s="37">
        <v>30.92</v>
      </c>
      <c r="N383" s="158"/>
      <c r="O383" s="76">
        <v>107739</v>
      </c>
      <c r="P383" s="76" t="s">
        <v>684</v>
      </c>
      <c r="Q383" s="77">
        <v>46080</v>
      </c>
      <c r="R383" s="78" t="s">
        <v>43</v>
      </c>
      <c r="S383" s="36" t="str">
        <f>VLOOKUP(Tabla91116[[#This Row],[CODIGO DEL PRODUCTO]],Tabla797[],2,FALSE)</f>
        <v>PIEDRA 6-20</v>
      </c>
      <c r="T383" s="37">
        <v>33.94</v>
      </c>
    </row>
    <row r="384" spans="7:20" x14ac:dyDescent="0.25">
      <c r="H384" s="34">
        <v>26419</v>
      </c>
      <c r="I384" s="34" t="s">
        <v>790</v>
      </c>
      <c r="J384" s="35">
        <v>46148</v>
      </c>
      <c r="K384" s="36" t="s">
        <v>372</v>
      </c>
      <c r="L384" s="39" t="str">
        <f>VLOOKUP(Tabla81015[[#This Row],[CODIGO DEL PRODUCTO]],Tabla797[],2,FALSE)</f>
        <v xml:space="preserve">ESTABILIZADO GRANULOMETRICO 0/20 </v>
      </c>
      <c r="M384" s="37">
        <v>32.340000000000003</v>
      </c>
      <c r="N384" s="158"/>
      <c r="O384" s="76">
        <v>107741</v>
      </c>
      <c r="P384" s="76" t="s">
        <v>684</v>
      </c>
      <c r="Q384" s="77">
        <v>46080</v>
      </c>
      <c r="R384" s="78" t="s">
        <v>48</v>
      </c>
      <c r="S384" s="36" t="str">
        <f>VLOOKUP(Tabla91116[[#This Row],[CODIGO DEL PRODUCTO]],Tabla797[],2,FALSE)</f>
        <v>PIEDRA 6-12</v>
      </c>
      <c r="T384" s="37">
        <v>34.56</v>
      </c>
    </row>
    <row r="385" spans="8:23" x14ac:dyDescent="0.25">
      <c r="H385" s="34">
        <v>18836</v>
      </c>
      <c r="I385" s="34" t="s">
        <v>312</v>
      </c>
      <c r="J385" s="35">
        <v>46149</v>
      </c>
      <c r="K385" s="36" t="s">
        <v>42</v>
      </c>
      <c r="L385" s="39" t="str">
        <f>VLOOKUP(Tabla81015[[#This Row],[CODIGO DEL PRODUCTO]],Tabla797[],2,FALSE)</f>
        <v>ARENA FINA</v>
      </c>
      <c r="M385" s="37">
        <v>2</v>
      </c>
      <c r="N385" s="158"/>
      <c r="O385" s="76">
        <v>107747</v>
      </c>
      <c r="P385" s="76" t="s">
        <v>684</v>
      </c>
      <c r="Q385" s="77">
        <v>46080</v>
      </c>
      <c r="R385" s="78" t="s">
        <v>43</v>
      </c>
      <c r="S385" s="36" t="str">
        <f>VLOOKUP(Tabla91116[[#This Row],[CODIGO DEL PRODUCTO]],Tabla797[],2,FALSE)</f>
        <v>PIEDRA 6-20</v>
      </c>
      <c r="T385" s="37">
        <v>34.659999999999997</v>
      </c>
    </row>
    <row r="386" spans="8:23" x14ac:dyDescent="0.25">
      <c r="H386" s="34"/>
      <c r="I386" s="34" t="s">
        <v>312</v>
      </c>
      <c r="J386" s="35">
        <v>46149</v>
      </c>
      <c r="K386" s="36" t="s">
        <v>43</v>
      </c>
      <c r="L386" s="39" t="str">
        <f>VLOOKUP(Tabla81015[[#This Row],[CODIGO DEL PRODUCTO]],Tabla797[],2,FALSE)</f>
        <v>PIEDRA 6-20</v>
      </c>
      <c r="M386" s="37">
        <v>2</v>
      </c>
      <c r="N386" s="158"/>
      <c r="O386" s="76">
        <v>107761</v>
      </c>
      <c r="P386" s="76" t="s">
        <v>684</v>
      </c>
      <c r="Q386" s="77">
        <v>46080</v>
      </c>
      <c r="R386" s="78" t="s">
        <v>40</v>
      </c>
      <c r="S386" s="36" t="str">
        <f>VLOOKUP(Tabla91116[[#This Row],[CODIGO DEL PRODUCTO]],Tabla797[],2,FALSE)</f>
        <v>PIEDRA 0-6</v>
      </c>
      <c r="T386" s="37">
        <v>35.74</v>
      </c>
    </row>
    <row r="387" spans="8:23" x14ac:dyDescent="0.25">
      <c r="H387" s="34">
        <v>18848</v>
      </c>
      <c r="I387" s="34" t="s">
        <v>682</v>
      </c>
      <c r="J387" s="35">
        <v>46149</v>
      </c>
      <c r="K387" s="36" t="s">
        <v>42</v>
      </c>
      <c r="L387" s="39" t="str">
        <f>VLOOKUP(Tabla81015[[#This Row],[CODIGO DEL PRODUCTO]],Tabla797[],2,FALSE)</f>
        <v>ARENA FINA</v>
      </c>
      <c r="M387" s="37">
        <v>3</v>
      </c>
      <c r="N387" s="158"/>
      <c r="O387" s="76">
        <v>2692451</v>
      </c>
      <c r="P387" s="76" t="s">
        <v>679</v>
      </c>
      <c r="Q387" s="77">
        <v>46080</v>
      </c>
      <c r="R387" s="78" t="s">
        <v>286</v>
      </c>
      <c r="S387" s="36" t="str">
        <f>VLOOKUP(Tabla91116[[#This Row],[CODIGO DEL PRODUCTO]],Tabla797[],2,FALSE)</f>
        <v>CPF 40 AVELLANEDA</v>
      </c>
      <c r="T387" s="37">
        <v>35.94</v>
      </c>
    </row>
    <row r="388" spans="8:23" x14ac:dyDescent="0.25">
      <c r="H388" s="34">
        <v>18864</v>
      </c>
      <c r="I388" s="34" t="s">
        <v>601</v>
      </c>
      <c r="J388" s="35">
        <v>46150</v>
      </c>
      <c r="K388" s="36" t="s">
        <v>42</v>
      </c>
      <c r="L388" s="39" t="str">
        <f>VLOOKUP(Tabla81015[[#This Row],[CODIGO DEL PRODUCTO]],Tabla797[],2,FALSE)</f>
        <v>ARENA FINA</v>
      </c>
      <c r="M388" s="37">
        <v>5</v>
      </c>
      <c r="N388" s="158"/>
      <c r="O388" s="76">
        <v>2692473</v>
      </c>
      <c r="P388" s="76" t="s">
        <v>679</v>
      </c>
      <c r="Q388" s="77">
        <v>46080</v>
      </c>
      <c r="R388" s="78" t="s">
        <v>286</v>
      </c>
      <c r="S388" s="36" t="str">
        <f>VLOOKUP(Tabla91116[[#This Row],[CODIGO DEL PRODUCTO]],Tabla797[],2,FALSE)</f>
        <v>CPF 40 AVELLANEDA</v>
      </c>
      <c r="T388" s="37">
        <v>36.159999999999997</v>
      </c>
    </row>
    <row r="389" spans="8:23" x14ac:dyDescent="0.25">
      <c r="H389" s="34"/>
      <c r="I389" s="34" t="s">
        <v>601</v>
      </c>
      <c r="J389" s="35">
        <v>46150</v>
      </c>
      <c r="K389" s="36" t="s">
        <v>43</v>
      </c>
      <c r="L389" s="39" t="str">
        <f>VLOOKUP(Tabla81015[[#This Row],[CODIGO DEL PRODUCTO]],Tabla797[],2,FALSE)</f>
        <v>PIEDRA 6-20</v>
      </c>
      <c r="M389" s="37">
        <v>1</v>
      </c>
      <c r="N389" s="158"/>
      <c r="O389" s="76">
        <v>107768</v>
      </c>
      <c r="P389" s="76" t="s">
        <v>684</v>
      </c>
      <c r="Q389" s="77">
        <v>46081</v>
      </c>
      <c r="R389" s="78" t="s">
        <v>48</v>
      </c>
      <c r="S389" s="36" t="str">
        <f>VLOOKUP(Tabla91116[[#This Row],[CODIGO DEL PRODUCTO]],Tabla797[],2,FALSE)</f>
        <v>PIEDRA 6-12</v>
      </c>
      <c r="T389" s="37">
        <v>34.96</v>
      </c>
    </row>
    <row r="390" spans="8:23" x14ac:dyDescent="0.25">
      <c r="H390" s="34">
        <v>18895</v>
      </c>
      <c r="I390" s="34" t="s">
        <v>790</v>
      </c>
      <c r="J390" s="35">
        <v>46150</v>
      </c>
      <c r="K390" s="36" t="s">
        <v>468</v>
      </c>
      <c r="L390" s="39" t="str">
        <f>VLOOKUP(Tabla81015[[#This Row],[CODIGO DEL PRODUCTO]],Tabla797[],2,FALSE)</f>
        <v>ESTABILIZADO 0-100 X TN</v>
      </c>
      <c r="M390" s="37">
        <v>32.619999999999997</v>
      </c>
      <c r="N390" s="158"/>
      <c r="O390" s="76">
        <v>2692597</v>
      </c>
      <c r="P390" s="76" t="s">
        <v>679</v>
      </c>
      <c r="Q390" s="77">
        <v>46081</v>
      </c>
      <c r="R390" s="78" t="s">
        <v>286</v>
      </c>
      <c r="S390" s="36" t="str">
        <f>VLOOKUP(Tabla91116[[#This Row],[CODIGO DEL PRODUCTO]],Tabla797[],2,FALSE)</f>
        <v>CPF 40 AVELLANEDA</v>
      </c>
      <c r="T390" s="37">
        <v>35.56</v>
      </c>
    </row>
    <row r="391" spans="8:23" x14ac:dyDescent="0.25">
      <c r="H391" s="34">
        <v>18897</v>
      </c>
      <c r="I391" s="34" t="s">
        <v>790</v>
      </c>
      <c r="J391" s="35">
        <v>46151</v>
      </c>
      <c r="K391" s="36" t="s">
        <v>468</v>
      </c>
      <c r="L391" s="39" t="str">
        <f>VLOOKUP(Tabla81015[[#This Row],[CODIGO DEL PRODUCTO]],Tabla797[],2,FALSE)</f>
        <v>ESTABILIZADO 0-100 X TN</v>
      </c>
      <c r="M391" s="37">
        <v>30.82</v>
      </c>
      <c r="N391" s="158"/>
      <c r="O391" s="76">
        <v>2692636</v>
      </c>
      <c r="P391" s="76" t="s">
        <v>679</v>
      </c>
      <c r="Q391" s="77">
        <v>46081</v>
      </c>
      <c r="R391" s="78" t="s">
        <v>286</v>
      </c>
      <c r="S391" s="36" t="str">
        <f>VLOOKUP(Tabla91116[[#This Row],[CODIGO DEL PRODUCTO]],Tabla797[],2,FALSE)</f>
        <v>CPF 40 AVELLANEDA</v>
      </c>
      <c r="T391" s="37">
        <v>36.54</v>
      </c>
      <c r="U391" s="7">
        <v>46083</v>
      </c>
      <c r="V391" t="s">
        <v>744</v>
      </c>
      <c r="W391" t="s">
        <v>745</v>
      </c>
    </row>
    <row r="392" spans="8:23" x14ac:dyDescent="0.25">
      <c r="H392" s="34">
        <v>18910</v>
      </c>
      <c r="I392" s="34" t="s">
        <v>790</v>
      </c>
      <c r="J392" s="35">
        <v>46153</v>
      </c>
      <c r="K392" s="36" t="s">
        <v>468</v>
      </c>
      <c r="L392" s="39" t="str">
        <f>VLOOKUP(Tabla81015[[#This Row],[CODIGO DEL PRODUCTO]],Tabla797[],2,FALSE)</f>
        <v>ESTABILIZADO 0-100 X TN</v>
      </c>
      <c r="M392" s="37">
        <v>28.9</v>
      </c>
      <c r="N392" s="158"/>
      <c r="O392" s="76">
        <v>41910</v>
      </c>
      <c r="P392" s="76" t="s">
        <v>449</v>
      </c>
      <c r="Q392" s="77">
        <v>46081</v>
      </c>
      <c r="R392" s="78" t="s">
        <v>425</v>
      </c>
      <c r="S392" s="36" t="str">
        <f>VLOOKUP(Tabla91116[[#This Row],[CODIGO DEL PRODUCTO]],Tabla797[],2,FALSE)</f>
        <v>W351R</v>
      </c>
      <c r="T392" s="37">
        <v>1000</v>
      </c>
    </row>
    <row r="393" spans="8:23" x14ac:dyDescent="0.25">
      <c r="H393" s="34">
        <v>18913</v>
      </c>
      <c r="I393" s="34" t="s">
        <v>621</v>
      </c>
      <c r="J393" s="35">
        <v>46153</v>
      </c>
      <c r="K393" s="36" t="s">
        <v>42</v>
      </c>
      <c r="L393" s="39" t="str">
        <f>VLOOKUP(Tabla81015[[#This Row],[CODIGO DEL PRODUCTO]],Tabla797[],2,FALSE)</f>
        <v>ARENA FINA</v>
      </c>
      <c r="M393" s="37">
        <v>5</v>
      </c>
      <c r="N393" s="158"/>
      <c r="O393" s="76">
        <v>103574</v>
      </c>
      <c r="P393" s="76" t="s">
        <v>683</v>
      </c>
      <c r="Q393" s="77">
        <v>46083</v>
      </c>
      <c r="R393" s="78" t="s">
        <v>42</v>
      </c>
      <c r="S393" s="36" t="str">
        <f>VLOOKUP(Tabla91116[[#This Row],[CODIGO DEL PRODUCTO]],Tabla797[],2,FALSE)</f>
        <v>ARENA FINA</v>
      </c>
      <c r="T393" s="37">
        <v>35.18</v>
      </c>
    </row>
    <row r="394" spans="8:23" x14ac:dyDescent="0.25">
      <c r="H394" s="34">
        <v>18914</v>
      </c>
      <c r="I394" s="34" t="s">
        <v>621</v>
      </c>
      <c r="J394" s="35">
        <v>46153</v>
      </c>
      <c r="K394" s="36" t="s">
        <v>42</v>
      </c>
      <c r="L394" s="39" t="str">
        <f>VLOOKUP(Tabla81015[[#This Row],[CODIGO DEL PRODUCTO]],Tabla797[],2,FALSE)</f>
        <v>ARENA FINA</v>
      </c>
      <c r="M394" s="37">
        <v>5</v>
      </c>
      <c r="N394" s="158"/>
      <c r="O394" s="76">
        <v>103575</v>
      </c>
      <c r="P394" s="76" t="s">
        <v>683</v>
      </c>
      <c r="Q394" s="77">
        <v>46083</v>
      </c>
      <c r="R394" s="78" t="s">
        <v>42</v>
      </c>
      <c r="S394" s="36" t="str">
        <f>VLOOKUP(Tabla91116[[#This Row],[CODIGO DEL PRODUCTO]],Tabla797[],2,FALSE)</f>
        <v>ARENA FINA</v>
      </c>
      <c r="T394" s="37">
        <v>34.659999999999997</v>
      </c>
    </row>
    <row r="395" spans="8:23" x14ac:dyDescent="0.25">
      <c r="H395" s="34">
        <v>18915</v>
      </c>
      <c r="I395" s="34" t="s">
        <v>621</v>
      </c>
      <c r="J395" s="35">
        <v>46153</v>
      </c>
      <c r="K395" s="36" t="s">
        <v>42</v>
      </c>
      <c r="L395" s="39" t="str">
        <f>VLOOKUP(Tabla81015[[#This Row],[CODIGO DEL PRODUCTO]],Tabla797[],2,FALSE)</f>
        <v>ARENA FINA</v>
      </c>
      <c r="M395" s="37">
        <v>5</v>
      </c>
      <c r="N395" s="158"/>
      <c r="O395" s="76">
        <v>103579</v>
      </c>
      <c r="P395" s="76" t="s">
        <v>683</v>
      </c>
      <c r="Q395" s="77">
        <v>46083</v>
      </c>
      <c r="R395" s="78" t="s">
        <v>42</v>
      </c>
      <c r="S395" s="36" t="str">
        <f>VLOOKUP(Tabla91116[[#This Row],[CODIGO DEL PRODUCTO]],Tabla797[],2,FALSE)</f>
        <v>ARENA FINA</v>
      </c>
      <c r="T395" s="37">
        <v>37.56</v>
      </c>
    </row>
    <row r="396" spans="8:23" x14ac:dyDescent="0.25">
      <c r="H396" s="34">
        <v>19021</v>
      </c>
      <c r="I396" s="34" t="s">
        <v>790</v>
      </c>
      <c r="J396" s="35">
        <v>46155</v>
      </c>
      <c r="K396" s="36" t="s">
        <v>468</v>
      </c>
      <c r="L396" s="39" t="str">
        <f>VLOOKUP(Tabla81015[[#This Row],[CODIGO DEL PRODUCTO]],Tabla797[],2,FALSE)</f>
        <v>ESTABILIZADO 0-100 X TN</v>
      </c>
      <c r="M396" s="37">
        <v>29</v>
      </c>
      <c r="N396" s="158"/>
      <c r="O396" s="76">
        <v>103580</v>
      </c>
      <c r="P396" s="76" t="s">
        <v>683</v>
      </c>
      <c r="Q396" s="77">
        <v>46083</v>
      </c>
      <c r="R396" s="78" t="s">
        <v>42</v>
      </c>
      <c r="S396" s="36" t="str">
        <f>VLOOKUP(Tabla91116[[#This Row],[CODIGO DEL PRODUCTO]],Tabla797[],2,FALSE)</f>
        <v>ARENA FINA</v>
      </c>
      <c r="T396" s="37">
        <v>36.119999999999997</v>
      </c>
    </row>
    <row r="397" spans="8:23" x14ac:dyDescent="0.25">
      <c r="H397" s="34">
        <v>18922</v>
      </c>
      <c r="I397" s="34" t="s">
        <v>743</v>
      </c>
      <c r="J397" s="35">
        <v>46153</v>
      </c>
      <c r="K397" s="36" t="s">
        <v>468</v>
      </c>
      <c r="L397" s="39" t="str">
        <f>VLOOKUP(Tabla81015[[#This Row],[CODIGO DEL PRODUCTO]],Tabla797[],2,FALSE)</f>
        <v>ESTABILIZADO 0-100 X TN</v>
      </c>
      <c r="M397" s="37">
        <v>23.72</v>
      </c>
      <c r="N397" s="158"/>
      <c r="O397" s="76">
        <v>103583</v>
      </c>
      <c r="P397" s="76" t="s">
        <v>683</v>
      </c>
      <c r="Q397" s="77">
        <v>46083</v>
      </c>
      <c r="R397" s="78" t="s">
        <v>42</v>
      </c>
      <c r="S397" s="36" t="str">
        <f>VLOOKUP(Tabla91116[[#This Row],[CODIGO DEL PRODUCTO]],Tabla797[],2,FALSE)</f>
        <v>ARENA FINA</v>
      </c>
      <c r="T397" s="37">
        <v>33.700000000000003</v>
      </c>
    </row>
    <row r="398" spans="8:23" x14ac:dyDescent="0.25">
      <c r="H398" s="34">
        <v>18939</v>
      </c>
      <c r="I398" s="34" t="s">
        <v>790</v>
      </c>
      <c r="J398" s="35">
        <v>46153</v>
      </c>
      <c r="K398" s="36" t="s">
        <v>468</v>
      </c>
      <c r="L398" s="39" t="str">
        <f>VLOOKUP(Tabla81015[[#This Row],[CODIGO DEL PRODUCTO]],Tabla797[],2,FALSE)</f>
        <v>ESTABILIZADO 0-100 X TN</v>
      </c>
      <c r="M398" s="37">
        <v>30.02</v>
      </c>
      <c r="N398" s="158"/>
      <c r="O398" s="76">
        <v>103585</v>
      </c>
      <c r="P398" s="76" t="s">
        <v>683</v>
      </c>
      <c r="Q398" s="77">
        <v>46083</v>
      </c>
      <c r="R398" s="78" t="s">
        <v>42</v>
      </c>
      <c r="S398" s="36" t="str">
        <f>VLOOKUP(Tabla91116[[#This Row],[CODIGO DEL PRODUCTO]],Tabla797[],2,FALSE)</f>
        <v>ARENA FINA</v>
      </c>
      <c r="T398" s="37">
        <v>34.380000000000003</v>
      </c>
    </row>
    <row r="399" spans="8:23" x14ac:dyDescent="0.25">
      <c r="H399" s="34">
        <v>18943</v>
      </c>
      <c r="I399" s="34" t="s">
        <v>802</v>
      </c>
      <c r="J399" s="35">
        <v>46154</v>
      </c>
      <c r="K399" s="36" t="s">
        <v>42</v>
      </c>
      <c r="L399" s="39" t="str">
        <f>VLOOKUP(Tabla81015[[#This Row],[CODIGO DEL PRODUCTO]],Tabla797[],2,FALSE)</f>
        <v>ARENA FINA</v>
      </c>
      <c r="M399" s="37">
        <v>5</v>
      </c>
      <c r="N399" s="158"/>
      <c r="O399" s="76">
        <v>103587</v>
      </c>
      <c r="P399" s="76" t="s">
        <v>683</v>
      </c>
      <c r="Q399" s="77">
        <v>46083</v>
      </c>
      <c r="R399" s="78" t="s">
        <v>42</v>
      </c>
      <c r="S399" s="36" t="str">
        <f>VLOOKUP(Tabla91116[[#This Row],[CODIGO DEL PRODUCTO]],Tabla797[],2,FALSE)</f>
        <v>ARENA FINA</v>
      </c>
      <c r="T399" s="37">
        <v>37.520000000000003</v>
      </c>
    </row>
    <row r="400" spans="8:23" x14ac:dyDescent="0.25">
      <c r="H400" s="34">
        <v>18954</v>
      </c>
      <c r="I400" s="34" t="s">
        <v>790</v>
      </c>
      <c r="J400" s="35">
        <v>46154</v>
      </c>
      <c r="K400" s="36" t="s">
        <v>468</v>
      </c>
      <c r="L400" s="39" t="str">
        <f>VLOOKUP(Tabla81015[[#This Row],[CODIGO DEL PRODUCTO]],Tabla797[],2,FALSE)</f>
        <v>ESTABILIZADO 0-100 X TN</v>
      </c>
      <c r="M400" s="37">
        <v>28.6</v>
      </c>
      <c r="N400" s="158"/>
      <c r="O400" s="76">
        <v>107804</v>
      </c>
      <c r="P400" s="76" t="s">
        <v>684</v>
      </c>
      <c r="Q400" s="77">
        <v>46083</v>
      </c>
      <c r="R400" s="78" t="s">
        <v>43</v>
      </c>
      <c r="S400" s="36" t="str">
        <f>VLOOKUP(Tabla91116[[#This Row],[CODIGO DEL PRODUCTO]],Tabla797[],2,FALSE)</f>
        <v>PIEDRA 6-20</v>
      </c>
      <c r="T400" s="37">
        <v>35.74</v>
      </c>
    </row>
    <row r="401" spans="8:23" x14ac:dyDescent="0.25">
      <c r="H401" s="34">
        <v>18974</v>
      </c>
      <c r="I401" s="34" t="s">
        <v>743</v>
      </c>
      <c r="J401" s="35">
        <v>46154</v>
      </c>
      <c r="K401" s="36" t="s">
        <v>372</v>
      </c>
      <c r="L401" s="39" t="str">
        <f>VLOOKUP(Tabla81015[[#This Row],[CODIGO DEL PRODUCTO]],Tabla797[],2,FALSE)</f>
        <v xml:space="preserve">ESTABILIZADO GRANULOMETRICO 0/20 </v>
      </c>
      <c r="M401" s="37">
        <v>7</v>
      </c>
      <c r="N401" s="158"/>
      <c r="O401" s="76">
        <v>107805</v>
      </c>
      <c r="P401" s="76" t="s">
        <v>684</v>
      </c>
      <c r="Q401" s="77">
        <v>46083</v>
      </c>
      <c r="R401" s="78" t="s">
        <v>40</v>
      </c>
      <c r="S401" s="36" t="str">
        <f>VLOOKUP(Tabla91116[[#This Row],[CODIGO DEL PRODUCTO]],Tabla797[],2,FALSE)</f>
        <v>PIEDRA 0-6</v>
      </c>
      <c r="T401" s="37">
        <v>35.119999999999997</v>
      </c>
    </row>
    <row r="402" spans="8:23" x14ac:dyDescent="0.25">
      <c r="H402" s="34">
        <v>18997</v>
      </c>
      <c r="I402" s="34" t="s">
        <v>803</v>
      </c>
      <c r="J402" s="35">
        <v>46154</v>
      </c>
      <c r="K402" s="36" t="s">
        <v>42</v>
      </c>
      <c r="L402" s="39" t="str">
        <f>VLOOKUP(Tabla81015[[#This Row],[CODIGO DEL PRODUCTO]],Tabla797[],2,FALSE)</f>
        <v>ARENA FINA</v>
      </c>
      <c r="M402" s="37">
        <v>7</v>
      </c>
      <c r="N402" s="158"/>
      <c r="O402" s="76">
        <v>2692965</v>
      </c>
      <c r="P402" s="76" t="s">
        <v>679</v>
      </c>
      <c r="Q402" s="77">
        <v>46083</v>
      </c>
      <c r="R402" s="78" t="s">
        <v>286</v>
      </c>
      <c r="S402" s="36" t="str">
        <f>VLOOKUP(Tabla91116[[#This Row],[CODIGO DEL PRODUCTO]],Tabla797[],2,FALSE)</f>
        <v>CPF 40 AVELLANEDA</v>
      </c>
      <c r="T402" s="37">
        <v>36</v>
      </c>
    </row>
    <row r="403" spans="8:23" x14ac:dyDescent="0.25">
      <c r="H403" s="34">
        <v>19005</v>
      </c>
      <c r="I403" s="34" t="s">
        <v>602</v>
      </c>
      <c r="J403" s="35">
        <v>46154</v>
      </c>
      <c r="K403" s="36" t="s">
        <v>42</v>
      </c>
      <c r="L403" s="39" t="str">
        <f>VLOOKUP(Tabla81015[[#This Row],[CODIGO DEL PRODUCTO]],Tabla797[],2,FALSE)</f>
        <v>ARENA FINA</v>
      </c>
      <c r="M403" s="37">
        <v>2</v>
      </c>
      <c r="N403" s="158"/>
      <c r="O403" s="76">
        <v>103593</v>
      </c>
      <c r="P403" s="76" t="s">
        <v>683</v>
      </c>
      <c r="Q403" s="77">
        <v>46084</v>
      </c>
      <c r="R403" s="78" t="s">
        <v>42</v>
      </c>
      <c r="S403" s="36" t="str">
        <f>VLOOKUP(Tabla91116[[#This Row],[CODIGO DEL PRODUCTO]],Tabla797[],2,FALSE)</f>
        <v>ARENA FINA</v>
      </c>
      <c r="T403" s="37">
        <v>35.72</v>
      </c>
    </row>
    <row r="404" spans="8:23" x14ac:dyDescent="0.25">
      <c r="H404" s="34">
        <v>19046</v>
      </c>
      <c r="I404" s="34" t="s">
        <v>790</v>
      </c>
      <c r="J404" s="35">
        <v>46155</v>
      </c>
      <c r="K404" s="36" t="s">
        <v>468</v>
      </c>
      <c r="L404" s="39" t="str">
        <f>VLOOKUP(Tabla81015[[#This Row],[CODIGO DEL PRODUCTO]],Tabla797[],2,FALSE)</f>
        <v>ESTABILIZADO 0-100 X TN</v>
      </c>
      <c r="M404" s="37">
        <v>22.36</v>
      </c>
      <c r="N404" s="158"/>
      <c r="O404" s="76">
        <v>103595</v>
      </c>
      <c r="P404" s="76" t="s">
        <v>683</v>
      </c>
      <c r="Q404" s="77">
        <v>46084</v>
      </c>
      <c r="R404" s="78" t="s">
        <v>42</v>
      </c>
      <c r="S404" s="36" t="str">
        <f>VLOOKUP(Tabla91116[[#This Row],[CODIGO DEL PRODUCTO]],Tabla797[],2,FALSE)</f>
        <v>ARENA FINA</v>
      </c>
      <c r="T404" s="37">
        <v>35.5</v>
      </c>
    </row>
    <row r="405" spans="8:23" x14ac:dyDescent="0.25">
      <c r="H405" s="34">
        <v>19048</v>
      </c>
      <c r="I405" s="34" t="s">
        <v>474</v>
      </c>
      <c r="J405" s="35">
        <v>46155</v>
      </c>
      <c r="K405" s="36" t="s">
        <v>42</v>
      </c>
      <c r="L405" s="39" t="str">
        <f>VLOOKUP(Tabla81015[[#This Row],[CODIGO DEL PRODUCTO]],Tabla797[],2,FALSE)</f>
        <v>ARENA FINA</v>
      </c>
      <c r="M405" s="37">
        <v>6</v>
      </c>
      <c r="N405" s="158"/>
      <c r="O405" s="76">
        <v>103603</v>
      </c>
      <c r="P405" s="76" t="s">
        <v>683</v>
      </c>
      <c r="Q405" s="77">
        <v>46084</v>
      </c>
      <c r="R405" s="78" t="s">
        <v>42</v>
      </c>
      <c r="S405" s="36" t="str">
        <f>VLOOKUP(Tabla91116[[#This Row],[CODIGO DEL PRODUCTO]],Tabla797[],2,FALSE)</f>
        <v>ARENA FINA</v>
      </c>
      <c r="T405" s="37">
        <v>34.74</v>
      </c>
    </row>
    <row r="406" spans="8:23" x14ac:dyDescent="0.25">
      <c r="H406" s="34">
        <v>19050</v>
      </c>
      <c r="I406" s="34" t="s">
        <v>790</v>
      </c>
      <c r="J406" s="35">
        <v>46155</v>
      </c>
      <c r="K406" s="36" t="s">
        <v>468</v>
      </c>
      <c r="L406" s="39" t="str">
        <f>VLOOKUP(Tabla81015[[#This Row],[CODIGO DEL PRODUCTO]],Tabla797[],2,FALSE)</f>
        <v>ESTABILIZADO 0-100 X TN</v>
      </c>
      <c r="M406" s="37">
        <v>18.86</v>
      </c>
      <c r="N406" s="158"/>
      <c r="O406" s="76">
        <v>103604</v>
      </c>
      <c r="P406" s="76" t="s">
        <v>683</v>
      </c>
      <c r="Q406" s="77">
        <v>46084</v>
      </c>
      <c r="R406" s="78" t="s">
        <v>42</v>
      </c>
      <c r="S406" s="36" t="str">
        <f>VLOOKUP(Tabla91116[[#This Row],[CODIGO DEL PRODUCTO]],Tabla797[],2,FALSE)</f>
        <v>ARENA FINA</v>
      </c>
      <c r="T406" s="37">
        <v>36.72</v>
      </c>
    </row>
    <row r="407" spans="8:23" x14ac:dyDescent="0.25">
      <c r="H407" s="34">
        <v>19053</v>
      </c>
      <c r="I407" s="34" t="s">
        <v>790</v>
      </c>
      <c r="J407" s="35">
        <v>46155</v>
      </c>
      <c r="K407" s="36" t="s">
        <v>468</v>
      </c>
      <c r="L407" s="39" t="str">
        <f>VLOOKUP(Tabla81015[[#This Row],[CODIGO DEL PRODUCTO]],Tabla797[],2,FALSE)</f>
        <v>ESTABILIZADO 0-100 X TN</v>
      </c>
      <c r="M407" s="37">
        <v>28.1</v>
      </c>
      <c r="N407" s="158"/>
      <c r="O407" s="76">
        <v>103607</v>
      </c>
      <c r="P407" s="76" t="s">
        <v>683</v>
      </c>
      <c r="Q407" s="77">
        <v>46084</v>
      </c>
      <c r="R407" s="78" t="s">
        <v>42</v>
      </c>
      <c r="S407" s="36" t="str">
        <f>VLOOKUP(Tabla91116[[#This Row],[CODIGO DEL PRODUCTO]],Tabla797[],2,FALSE)</f>
        <v>ARENA FINA</v>
      </c>
      <c r="T407" s="37">
        <v>37.659999999999997</v>
      </c>
    </row>
    <row r="408" spans="8:23" x14ac:dyDescent="0.25">
      <c r="H408" s="34">
        <v>19091</v>
      </c>
      <c r="I408" s="34" t="s">
        <v>790</v>
      </c>
      <c r="J408" s="35">
        <v>46156</v>
      </c>
      <c r="K408" s="36" t="s">
        <v>468</v>
      </c>
      <c r="L408" s="39" t="str">
        <f>VLOOKUP(Tabla81015[[#This Row],[CODIGO DEL PRODUCTO]],Tabla797[],2,FALSE)</f>
        <v>ESTABILIZADO 0-100 X TN</v>
      </c>
      <c r="M408" s="37">
        <v>27.56</v>
      </c>
      <c r="N408" s="158"/>
      <c r="O408" s="76">
        <v>107806</v>
      </c>
      <c r="P408" s="76" t="s">
        <v>684</v>
      </c>
      <c r="Q408" s="77">
        <v>46084</v>
      </c>
      <c r="R408" s="78" t="s">
        <v>40</v>
      </c>
      <c r="S408" s="36" t="str">
        <f>VLOOKUP(Tabla91116[[#This Row],[CODIGO DEL PRODUCTO]],Tabla797[],2,FALSE)</f>
        <v>PIEDRA 0-6</v>
      </c>
      <c r="T408" s="37">
        <v>34.94</v>
      </c>
    </row>
    <row r="409" spans="8:23" x14ac:dyDescent="0.25">
      <c r="H409" s="34">
        <v>19132</v>
      </c>
      <c r="I409" s="34" t="s">
        <v>790</v>
      </c>
      <c r="J409" s="35">
        <v>46156</v>
      </c>
      <c r="K409" s="36" t="s">
        <v>468</v>
      </c>
      <c r="L409" s="39" t="str">
        <f>VLOOKUP(Tabla81015[[#This Row],[CODIGO DEL PRODUCTO]],Tabla797[],2,FALSE)</f>
        <v>ESTABILIZADO 0-100 X TN</v>
      </c>
      <c r="M409" s="37">
        <v>29.64</v>
      </c>
      <c r="N409" s="158"/>
      <c r="O409" s="76">
        <v>107809</v>
      </c>
      <c r="P409" s="76" t="s">
        <v>684</v>
      </c>
      <c r="Q409" s="77">
        <v>46084</v>
      </c>
      <c r="R409" s="78" t="s">
        <v>48</v>
      </c>
      <c r="S409" s="36" t="str">
        <f>VLOOKUP(Tabla91116[[#This Row],[CODIGO DEL PRODUCTO]],Tabla797[],2,FALSE)</f>
        <v>PIEDRA 6-12</v>
      </c>
      <c r="T409" s="37">
        <v>35.08</v>
      </c>
    </row>
    <row r="410" spans="8:23" x14ac:dyDescent="0.25">
      <c r="H410" s="34">
        <v>19136</v>
      </c>
      <c r="I410" s="34" t="s">
        <v>790</v>
      </c>
      <c r="J410" s="35">
        <v>46156</v>
      </c>
      <c r="K410" s="36" t="s">
        <v>468</v>
      </c>
      <c r="L410" s="39" t="str">
        <f>VLOOKUP(Tabla81015[[#This Row],[CODIGO DEL PRODUCTO]],Tabla797[],2,FALSE)</f>
        <v>ESTABILIZADO 0-100 X TN</v>
      </c>
      <c r="M410" s="37">
        <v>22.8</v>
      </c>
      <c r="N410" s="158"/>
      <c r="O410" s="76">
        <v>107821</v>
      </c>
      <c r="P410" s="76" t="s">
        <v>684</v>
      </c>
      <c r="Q410" s="77">
        <v>46084</v>
      </c>
      <c r="R410" s="78" t="s">
        <v>40</v>
      </c>
      <c r="S410" s="36" t="str">
        <f>VLOOKUP(Tabla91116[[#This Row],[CODIGO DEL PRODUCTO]],Tabla797[],2,FALSE)</f>
        <v>PIEDRA 0-6</v>
      </c>
      <c r="T410" s="37">
        <v>34.36</v>
      </c>
    </row>
    <row r="411" spans="8:23" x14ac:dyDescent="0.25">
      <c r="H411" s="34"/>
      <c r="I411" s="34" t="s">
        <v>53</v>
      </c>
      <c r="J411" s="35">
        <v>46146</v>
      </c>
      <c r="K411" s="36" t="s">
        <v>42</v>
      </c>
      <c r="L411" s="39" t="str">
        <f>VLOOKUP(Tabla81015[[#This Row],[CODIGO DEL PRODUCTO]],Tabla797[],2,FALSE)</f>
        <v>ARENA FINA</v>
      </c>
      <c r="M411" s="37">
        <v>671.92</v>
      </c>
      <c r="N411" s="158"/>
      <c r="O411" s="76">
        <v>107825</v>
      </c>
      <c r="P411" s="76" t="s">
        <v>684</v>
      </c>
      <c r="Q411" s="77">
        <v>46084</v>
      </c>
      <c r="R411" s="78" t="s">
        <v>40</v>
      </c>
      <c r="S411" s="36" t="str">
        <f>VLOOKUP(Tabla91116[[#This Row],[CODIGO DEL PRODUCTO]],Tabla797[],2,FALSE)</f>
        <v>PIEDRA 0-6</v>
      </c>
      <c r="T411" s="37">
        <v>33.86</v>
      </c>
    </row>
    <row r="412" spans="8:23" x14ac:dyDescent="0.25">
      <c r="H412" s="34"/>
      <c r="I412" s="34" t="s">
        <v>53</v>
      </c>
      <c r="J412" s="35">
        <v>46147</v>
      </c>
      <c r="K412" s="36" t="s">
        <v>40</v>
      </c>
      <c r="L412" s="39" t="str">
        <f>VLOOKUP(Tabla81015[[#This Row],[CODIGO DEL PRODUCTO]],Tabla797[],2,FALSE)</f>
        <v>PIEDRA 0-6</v>
      </c>
      <c r="M412" s="37">
        <v>446.01</v>
      </c>
      <c r="N412" s="158"/>
      <c r="O412" s="76">
        <v>107841</v>
      </c>
      <c r="P412" s="76" t="s">
        <v>684</v>
      </c>
      <c r="Q412" s="77">
        <v>46084</v>
      </c>
      <c r="R412" s="78" t="s">
        <v>43</v>
      </c>
      <c r="S412" s="36" t="str">
        <f>VLOOKUP(Tabla91116[[#This Row],[CODIGO DEL PRODUCTO]],Tabla797[],2,FALSE)</f>
        <v>PIEDRA 6-20</v>
      </c>
      <c r="T412" s="37">
        <v>35.119999999999997</v>
      </c>
    </row>
    <row r="413" spans="8:23" x14ac:dyDescent="0.25">
      <c r="H413" s="34"/>
      <c r="I413" s="34" t="s">
        <v>53</v>
      </c>
      <c r="J413" s="35">
        <v>46148</v>
      </c>
      <c r="K413" s="36" t="s">
        <v>286</v>
      </c>
      <c r="L413" s="39" t="str">
        <f>VLOOKUP(Tabla81015[[#This Row],[CODIGO DEL PRODUCTO]],Tabla797[],2,FALSE)</f>
        <v>CPF 40 AVELLANEDA</v>
      </c>
      <c r="M413" s="37">
        <v>323.18</v>
      </c>
      <c r="N413" s="158"/>
      <c r="O413" s="76">
        <v>2693195</v>
      </c>
      <c r="P413" s="76" t="s">
        <v>679</v>
      </c>
      <c r="Q413" s="77">
        <v>46084</v>
      </c>
      <c r="R413" s="78" t="s">
        <v>286</v>
      </c>
      <c r="S413" s="36" t="str">
        <f>VLOOKUP(Tabla91116[[#This Row],[CODIGO DEL PRODUCTO]],Tabla797[],2,FALSE)</f>
        <v>CPF 40 AVELLANEDA</v>
      </c>
      <c r="T413" s="37">
        <v>36.340000000000003</v>
      </c>
      <c r="U413" s="7">
        <v>46085</v>
      </c>
      <c r="V413" t="s">
        <v>747</v>
      </c>
      <c r="W413" t="s">
        <v>748</v>
      </c>
    </row>
    <row r="414" spans="8:23" x14ac:dyDescent="0.25">
      <c r="H414" s="34"/>
      <c r="I414" s="34" t="s">
        <v>53</v>
      </c>
      <c r="J414" s="35">
        <v>46149</v>
      </c>
      <c r="K414" s="36" t="s">
        <v>48</v>
      </c>
      <c r="L414" s="39" t="str">
        <f>VLOOKUP(Tabla81015[[#This Row],[CODIGO DEL PRODUCTO]],Tabla797[],2,FALSE)</f>
        <v>PIEDRA 6-12</v>
      </c>
      <c r="M414" s="37">
        <v>72.78</v>
      </c>
      <c r="N414" s="158"/>
      <c r="O414" s="76">
        <v>103609</v>
      </c>
      <c r="P414" s="76" t="s">
        <v>683</v>
      </c>
      <c r="Q414" s="77">
        <v>46085</v>
      </c>
      <c r="R414" s="78" t="s">
        <v>42</v>
      </c>
      <c r="S414" s="36" t="str">
        <f>VLOOKUP(Tabla91116[[#This Row],[CODIGO DEL PRODUCTO]],Tabla797[],2,FALSE)</f>
        <v>ARENA FINA</v>
      </c>
      <c r="T414" s="37">
        <v>36.1</v>
      </c>
    </row>
    <row r="415" spans="8:23" x14ac:dyDescent="0.25">
      <c r="H415" s="34"/>
      <c r="I415" s="34" t="s">
        <v>53</v>
      </c>
      <c r="J415" s="35">
        <v>46150</v>
      </c>
      <c r="K415" s="36" t="s">
        <v>43</v>
      </c>
      <c r="L415" s="39" t="str">
        <f>VLOOKUP(Tabla81015[[#This Row],[CODIGO DEL PRODUCTO]],Tabla797[],2,FALSE)</f>
        <v>PIEDRA 6-20</v>
      </c>
      <c r="M415" s="37">
        <v>874.64</v>
      </c>
      <c r="N415" s="158"/>
      <c r="O415" s="76">
        <v>103610</v>
      </c>
      <c r="P415" s="76" t="s">
        <v>683</v>
      </c>
      <c r="Q415" s="77">
        <v>46085</v>
      </c>
      <c r="R415" s="78" t="s">
        <v>42</v>
      </c>
      <c r="S415" s="36" t="str">
        <f>VLOOKUP(Tabla91116[[#This Row],[CODIGO DEL PRODUCTO]],Tabla797[],2,FALSE)</f>
        <v>ARENA FINA</v>
      </c>
      <c r="T415" s="37">
        <v>34.86</v>
      </c>
    </row>
    <row r="416" spans="8:23" x14ac:dyDescent="0.25">
      <c r="H416" s="34"/>
      <c r="I416" s="34" t="s">
        <v>53</v>
      </c>
      <c r="J416" s="35">
        <v>46151</v>
      </c>
      <c r="K416" s="36" t="s">
        <v>425</v>
      </c>
      <c r="L416" s="39" t="str">
        <f>VLOOKUP(Tabla81015[[#This Row],[CODIGO DEL PRODUCTO]],Tabla797[],2,FALSE)</f>
        <v>W351R</v>
      </c>
      <c r="M416" s="37">
        <v>1.94</v>
      </c>
      <c r="N416" s="158"/>
      <c r="O416" s="76">
        <v>103616</v>
      </c>
      <c r="P416" s="76" t="s">
        <v>683</v>
      </c>
      <c r="Q416" s="77">
        <v>46085</v>
      </c>
      <c r="R416" s="78" t="s">
        <v>42</v>
      </c>
      <c r="S416" s="36" t="str">
        <f>VLOOKUP(Tabla91116[[#This Row],[CODIGO DEL PRODUCTO]],Tabla797[],2,FALSE)</f>
        <v>ARENA FINA</v>
      </c>
      <c r="T416" s="37">
        <v>35.18</v>
      </c>
    </row>
    <row r="417" spans="8:20" x14ac:dyDescent="0.25">
      <c r="H417" s="34">
        <v>19154</v>
      </c>
      <c r="I417" s="34" t="s">
        <v>534</v>
      </c>
      <c r="J417" s="35">
        <v>46157</v>
      </c>
      <c r="K417" s="36" t="s">
        <v>42</v>
      </c>
      <c r="L417" s="39" t="str">
        <f>VLOOKUP(Tabla81015[[#This Row],[CODIGO DEL PRODUCTO]],Tabla797[],2,FALSE)</f>
        <v>ARENA FINA</v>
      </c>
      <c r="M417" s="37">
        <v>2</v>
      </c>
      <c r="N417" s="158"/>
      <c r="O417" s="76">
        <v>103619</v>
      </c>
      <c r="P417" s="76" t="s">
        <v>683</v>
      </c>
      <c r="Q417" s="77">
        <v>46085</v>
      </c>
      <c r="R417" s="78" t="s">
        <v>42</v>
      </c>
      <c r="S417" s="36" t="str">
        <f>VLOOKUP(Tabla91116[[#This Row],[CODIGO DEL PRODUCTO]],Tabla797[],2,FALSE)</f>
        <v>ARENA FINA</v>
      </c>
      <c r="T417" s="37">
        <v>37.64</v>
      </c>
    </row>
    <row r="418" spans="8:20" x14ac:dyDescent="0.25">
      <c r="H418" s="34"/>
      <c r="I418" s="34" t="s">
        <v>534</v>
      </c>
      <c r="J418" s="35">
        <v>46157</v>
      </c>
      <c r="K418" s="36" t="s">
        <v>43</v>
      </c>
      <c r="L418" s="39" t="str">
        <f>VLOOKUP(Tabla81015[[#This Row],[CODIGO DEL PRODUCTO]],Tabla797[],2,FALSE)</f>
        <v>PIEDRA 6-20</v>
      </c>
      <c r="M418" s="37">
        <v>4</v>
      </c>
      <c r="N418" s="158"/>
      <c r="O418" s="76">
        <v>107844</v>
      </c>
      <c r="P418" s="76" t="s">
        <v>684</v>
      </c>
      <c r="Q418" s="77">
        <v>46085</v>
      </c>
      <c r="R418" s="78" t="s">
        <v>48</v>
      </c>
      <c r="S418" s="36" t="str">
        <f>VLOOKUP(Tabla91116[[#This Row],[CODIGO DEL PRODUCTO]],Tabla797[],2,FALSE)</f>
        <v>PIEDRA 6-12</v>
      </c>
      <c r="T418" s="37">
        <v>35.06</v>
      </c>
    </row>
    <row r="419" spans="8:20" x14ac:dyDescent="0.25">
      <c r="H419" s="34">
        <v>19175</v>
      </c>
      <c r="I419" s="34" t="s">
        <v>790</v>
      </c>
      <c r="J419" s="35">
        <v>46157</v>
      </c>
      <c r="K419" s="36" t="s">
        <v>468</v>
      </c>
      <c r="L419" s="39" t="str">
        <f>VLOOKUP(Tabla81015[[#This Row],[CODIGO DEL PRODUCTO]],Tabla797[],2,FALSE)</f>
        <v>ESTABILIZADO 0-100 X TN</v>
      </c>
      <c r="M419" s="37">
        <v>30.1</v>
      </c>
      <c r="N419" s="158"/>
      <c r="O419" s="76">
        <v>107854</v>
      </c>
      <c r="P419" s="76" t="s">
        <v>684</v>
      </c>
      <c r="Q419" s="77">
        <v>46085</v>
      </c>
      <c r="R419" s="78" t="s">
        <v>40</v>
      </c>
      <c r="S419" s="36" t="str">
        <f>VLOOKUP(Tabla91116[[#This Row],[CODIGO DEL PRODUCTO]],Tabla797[],2,FALSE)</f>
        <v>PIEDRA 0-6</v>
      </c>
      <c r="T419" s="37">
        <v>34.159999999999997</v>
      </c>
    </row>
    <row r="420" spans="8:20" x14ac:dyDescent="0.25">
      <c r="H420" s="34">
        <v>19195</v>
      </c>
      <c r="I420" s="34" t="s">
        <v>474</v>
      </c>
      <c r="J420" s="35">
        <v>46157</v>
      </c>
      <c r="K420" s="36" t="s">
        <v>43</v>
      </c>
      <c r="L420" s="39" t="str">
        <f>VLOOKUP(Tabla81015[[#This Row],[CODIGO DEL PRODUCTO]],Tabla797[],2,FALSE)</f>
        <v>PIEDRA 6-20</v>
      </c>
      <c r="M420" s="37">
        <v>25.06</v>
      </c>
      <c r="N420" s="158"/>
      <c r="O420" s="76">
        <v>107868</v>
      </c>
      <c r="P420" s="76" t="s">
        <v>684</v>
      </c>
      <c r="Q420" s="77">
        <v>46085</v>
      </c>
      <c r="R420" s="78" t="s">
        <v>40</v>
      </c>
      <c r="S420" s="36" t="str">
        <f>VLOOKUP(Tabla91116[[#This Row],[CODIGO DEL PRODUCTO]],Tabla797[],2,FALSE)</f>
        <v>PIEDRA 0-6</v>
      </c>
      <c r="T420" s="37">
        <v>34.78</v>
      </c>
    </row>
    <row r="421" spans="8:20" x14ac:dyDescent="0.25">
      <c r="H421" s="34">
        <v>19198</v>
      </c>
      <c r="I421" s="34" t="s">
        <v>790</v>
      </c>
      <c r="J421" s="35">
        <v>46157</v>
      </c>
      <c r="K421" s="36" t="s">
        <v>468</v>
      </c>
      <c r="L421" s="39" t="str">
        <f>VLOOKUP(Tabla81015[[#This Row],[CODIGO DEL PRODUCTO]],Tabla797[],2,FALSE)</f>
        <v>ESTABILIZADO 0-100 X TN</v>
      </c>
      <c r="M421" s="37">
        <v>31.68</v>
      </c>
      <c r="N421" s="158"/>
      <c r="O421" s="76">
        <v>107873</v>
      </c>
      <c r="P421" s="76" t="s">
        <v>684</v>
      </c>
      <c r="Q421" s="77">
        <v>46085</v>
      </c>
      <c r="R421" s="78" t="s">
        <v>43</v>
      </c>
      <c r="S421" s="36" t="str">
        <f>VLOOKUP(Tabla91116[[#This Row],[CODIGO DEL PRODUCTO]],Tabla797[],2,FALSE)</f>
        <v>PIEDRA 6-20</v>
      </c>
      <c r="T421" s="37">
        <v>35.56</v>
      </c>
    </row>
    <row r="422" spans="8:20" x14ac:dyDescent="0.25">
      <c r="H422" s="34">
        <v>19212</v>
      </c>
      <c r="I422" s="34" t="s">
        <v>790</v>
      </c>
      <c r="J422" s="35">
        <v>46158</v>
      </c>
      <c r="K422" s="36" t="s">
        <v>468</v>
      </c>
      <c r="L422" s="39" t="str">
        <f>VLOOKUP(Tabla81015[[#This Row],[CODIGO DEL PRODUCTO]],Tabla797[],2,FALSE)</f>
        <v>ESTABILIZADO 0-100 X TN</v>
      </c>
      <c r="M422" s="37">
        <v>24.84</v>
      </c>
      <c r="N422" s="158"/>
      <c r="O422" s="76">
        <v>2693550</v>
      </c>
      <c r="P422" s="76" t="s">
        <v>679</v>
      </c>
      <c r="Q422" s="77">
        <v>46085</v>
      </c>
      <c r="R422" s="78" t="s">
        <v>286</v>
      </c>
      <c r="S422" s="36" t="str">
        <f>VLOOKUP(Tabla91116[[#This Row],[CODIGO DEL PRODUCTO]],Tabla797[],2,FALSE)</f>
        <v>CPF 40 AVELLANEDA</v>
      </c>
      <c r="T422" s="37">
        <v>36.26</v>
      </c>
    </row>
    <row r="423" spans="8:20" x14ac:dyDescent="0.25">
      <c r="H423" s="34">
        <v>19213</v>
      </c>
      <c r="I423" s="34" t="s">
        <v>790</v>
      </c>
      <c r="J423" s="35">
        <v>46158</v>
      </c>
      <c r="K423" s="36" t="s">
        <v>468</v>
      </c>
      <c r="L423" s="39" t="str">
        <f>VLOOKUP(Tabla81015[[#This Row],[CODIGO DEL PRODUCTO]],Tabla797[],2,FALSE)</f>
        <v>ESTABILIZADO 0-100 X TN</v>
      </c>
      <c r="M423" s="37">
        <v>24.98</v>
      </c>
      <c r="N423" s="158"/>
      <c r="O423" s="76">
        <v>103620</v>
      </c>
      <c r="P423" s="76" t="s">
        <v>683</v>
      </c>
      <c r="Q423" s="77">
        <v>46086</v>
      </c>
      <c r="R423" s="78" t="s">
        <v>42</v>
      </c>
      <c r="S423" s="36" t="str">
        <f>VLOOKUP(Tabla91116[[#This Row],[CODIGO DEL PRODUCTO]],Tabla797[],2,FALSE)</f>
        <v>ARENA FINA</v>
      </c>
      <c r="T423" s="37">
        <v>37.18</v>
      </c>
    </row>
    <row r="424" spans="8:20" x14ac:dyDescent="0.25">
      <c r="H424" s="34">
        <v>19215</v>
      </c>
      <c r="I424" s="34" t="s">
        <v>790</v>
      </c>
      <c r="J424" s="35">
        <v>46158</v>
      </c>
      <c r="K424" s="36" t="s">
        <v>468</v>
      </c>
      <c r="L424" s="39" t="str">
        <f>VLOOKUP(Tabla81015[[#This Row],[CODIGO DEL PRODUCTO]],Tabla797[],2,FALSE)</f>
        <v>ESTABILIZADO 0-100 X TN</v>
      </c>
      <c r="M424" s="37">
        <v>33.32</v>
      </c>
      <c r="N424" s="158"/>
      <c r="O424" s="76">
        <v>103623</v>
      </c>
      <c r="P424" s="76" t="s">
        <v>683</v>
      </c>
      <c r="Q424" s="77">
        <v>46086</v>
      </c>
      <c r="R424" s="78" t="s">
        <v>42</v>
      </c>
      <c r="S424" s="36" t="str">
        <f>VLOOKUP(Tabla91116[[#This Row],[CODIGO DEL PRODUCTO]],Tabla797[],2,FALSE)</f>
        <v>ARENA FINA</v>
      </c>
      <c r="T424" s="37">
        <v>35.479999999999997</v>
      </c>
    </row>
    <row r="425" spans="8:20" x14ac:dyDescent="0.25">
      <c r="H425" s="34">
        <v>19219</v>
      </c>
      <c r="I425" s="34" t="s">
        <v>790</v>
      </c>
      <c r="J425" s="35">
        <v>46158</v>
      </c>
      <c r="K425" s="36" t="s">
        <v>468</v>
      </c>
      <c r="L425" s="39" t="str">
        <f>VLOOKUP(Tabla81015[[#This Row],[CODIGO DEL PRODUCTO]],Tabla797[],2,FALSE)</f>
        <v>ESTABILIZADO 0-100 X TN</v>
      </c>
      <c r="M425" s="37">
        <v>18.72</v>
      </c>
      <c r="N425" s="158"/>
      <c r="O425" s="76">
        <v>103628</v>
      </c>
      <c r="P425" s="76" t="s">
        <v>683</v>
      </c>
      <c r="Q425" s="77">
        <v>46086</v>
      </c>
      <c r="R425" s="78" t="s">
        <v>42</v>
      </c>
      <c r="S425" s="36" t="str">
        <f>VLOOKUP(Tabla91116[[#This Row],[CODIGO DEL PRODUCTO]],Tabla797[],2,FALSE)</f>
        <v>ARENA FINA</v>
      </c>
      <c r="T425" s="37">
        <v>36.479999999999997</v>
      </c>
    </row>
    <row r="426" spans="8:20" x14ac:dyDescent="0.25">
      <c r="H426" s="34">
        <v>19224</v>
      </c>
      <c r="I426" s="34" t="s">
        <v>804</v>
      </c>
      <c r="J426" s="35">
        <v>46160</v>
      </c>
      <c r="K426" s="36" t="s">
        <v>42</v>
      </c>
      <c r="L426" s="39" t="str">
        <f>VLOOKUP(Tabla81015[[#This Row],[CODIGO DEL PRODUCTO]],Tabla797[],2,FALSE)</f>
        <v>ARENA FINA</v>
      </c>
      <c r="M426" s="37">
        <v>4</v>
      </c>
      <c r="N426" s="158"/>
      <c r="O426" s="76">
        <v>103629</v>
      </c>
      <c r="P426" s="76" t="s">
        <v>683</v>
      </c>
      <c r="Q426" s="77">
        <v>46086</v>
      </c>
      <c r="R426" s="78" t="s">
        <v>42</v>
      </c>
      <c r="S426" s="36" t="str">
        <f>VLOOKUP(Tabla91116[[#This Row],[CODIGO DEL PRODUCTO]],Tabla797[],2,FALSE)</f>
        <v>ARENA FINA</v>
      </c>
      <c r="T426" s="37">
        <v>35.82</v>
      </c>
    </row>
    <row r="427" spans="8:20" x14ac:dyDescent="0.25">
      <c r="H427" s="34"/>
      <c r="I427" s="34" t="s">
        <v>804</v>
      </c>
      <c r="J427" s="35">
        <v>46160</v>
      </c>
      <c r="K427" s="36" t="s">
        <v>43</v>
      </c>
      <c r="L427" s="39" t="str">
        <f>VLOOKUP(Tabla81015[[#This Row],[CODIGO DEL PRODUCTO]],Tabla797[],2,FALSE)</f>
        <v>PIEDRA 6-20</v>
      </c>
      <c r="M427" s="37">
        <v>2</v>
      </c>
      <c r="N427" s="158"/>
      <c r="O427" s="76">
        <v>103631</v>
      </c>
      <c r="P427" s="76" t="s">
        <v>683</v>
      </c>
      <c r="Q427" s="77">
        <v>46086</v>
      </c>
      <c r="R427" s="78" t="s">
        <v>42</v>
      </c>
      <c r="S427" s="36" t="str">
        <f>VLOOKUP(Tabla91116[[#This Row],[CODIGO DEL PRODUCTO]],Tabla797[],2,FALSE)</f>
        <v>ARENA FINA</v>
      </c>
      <c r="T427" s="37">
        <v>36.92</v>
      </c>
    </row>
    <row r="428" spans="8:20" x14ac:dyDescent="0.25">
      <c r="H428" s="34">
        <v>19226</v>
      </c>
      <c r="I428" s="34" t="s">
        <v>790</v>
      </c>
      <c r="J428" s="35">
        <v>46160</v>
      </c>
      <c r="K428" s="36" t="s">
        <v>468</v>
      </c>
      <c r="L428" s="39" t="str">
        <f>VLOOKUP(Tabla81015[[#This Row],[CODIGO DEL PRODUCTO]],Tabla797[],2,FALSE)</f>
        <v>ESTABILIZADO 0-100 X TN</v>
      </c>
      <c r="M428" s="37">
        <v>22.54</v>
      </c>
      <c r="N428" s="158"/>
      <c r="O428" s="76">
        <v>107874</v>
      </c>
      <c r="P428" s="76" t="s">
        <v>684</v>
      </c>
      <c r="Q428" s="77">
        <v>46086</v>
      </c>
      <c r="R428" s="78" t="s">
        <v>48</v>
      </c>
      <c r="S428" s="36" t="str">
        <f>VLOOKUP(Tabla91116[[#This Row],[CODIGO DEL PRODUCTO]],Tabla797[],2,FALSE)</f>
        <v>PIEDRA 6-12</v>
      </c>
      <c r="T428" s="37">
        <v>35.44</v>
      </c>
    </row>
    <row r="429" spans="8:20" x14ac:dyDescent="0.25">
      <c r="H429" s="34">
        <v>19229</v>
      </c>
      <c r="I429" s="34" t="s">
        <v>790</v>
      </c>
      <c r="J429" s="35">
        <v>46160</v>
      </c>
      <c r="K429" s="36" t="s">
        <v>468</v>
      </c>
      <c r="L429" s="39" t="str">
        <f>VLOOKUP(Tabla81015[[#This Row],[CODIGO DEL PRODUCTO]],Tabla797[],2,FALSE)</f>
        <v>ESTABILIZADO 0-100 X TN</v>
      </c>
      <c r="M429" s="37">
        <v>21.46</v>
      </c>
      <c r="N429" s="158"/>
      <c r="O429" s="76">
        <v>107891</v>
      </c>
      <c r="P429" s="76" t="s">
        <v>684</v>
      </c>
      <c r="Q429" s="77">
        <v>46086</v>
      </c>
      <c r="R429" s="78" t="s">
        <v>40</v>
      </c>
      <c r="S429" s="36" t="str">
        <f>VLOOKUP(Tabla91116[[#This Row],[CODIGO DEL PRODUCTO]],Tabla797[],2,FALSE)</f>
        <v>PIEDRA 0-6</v>
      </c>
      <c r="T429" s="37">
        <v>35.04</v>
      </c>
    </row>
    <row r="430" spans="8:20" x14ac:dyDescent="0.25">
      <c r="H430" s="34">
        <v>19234</v>
      </c>
      <c r="I430" s="34" t="s">
        <v>790</v>
      </c>
      <c r="J430" s="35">
        <v>46160</v>
      </c>
      <c r="K430" s="36" t="s">
        <v>468</v>
      </c>
      <c r="L430" s="39" t="str">
        <f>VLOOKUP(Tabla81015[[#This Row],[CODIGO DEL PRODUCTO]],Tabla797[],2,FALSE)</f>
        <v>ESTABILIZADO 0-100 X TN</v>
      </c>
      <c r="M430" s="37">
        <v>31.1</v>
      </c>
      <c r="N430" s="158"/>
      <c r="O430" s="76">
        <v>107903</v>
      </c>
      <c r="P430" s="76" t="s">
        <v>684</v>
      </c>
      <c r="Q430" s="77">
        <v>46086</v>
      </c>
      <c r="R430" s="78" t="s">
        <v>43</v>
      </c>
      <c r="S430" s="36" t="str">
        <f>VLOOKUP(Tabla91116[[#This Row],[CODIGO DEL PRODUCTO]],Tabla797[],2,FALSE)</f>
        <v>PIEDRA 6-20</v>
      </c>
      <c r="T430" s="37">
        <v>35.880000000000003</v>
      </c>
    </row>
    <row r="431" spans="8:20" x14ac:dyDescent="0.25">
      <c r="H431" s="34">
        <v>19253</v>
      </c>
      <c r="I431" s="34" t="s">
        <v>790</v>
      </c>
      <c r="J431" s="35">
        <v>46160</v>
      </c>
      <c r="K431" s="36" t="s">
        <v>468</v>
      </c>
      <c r="L431" s="39" t="str">
        <f>VLOOKUP(Tabla81015[[#This Row],[CODIGO DEL PRODUCTO]],Tabla797[],2,FALSE)</f>
        <v>ESTABILIZADO 0-100 X TN</v>
      </c>
      <c r="M431" s="37">
        <v>24.18</v>
      </c>
      <c r="N431" s="158"/>
      <c r="O431" s="76">
        <v>107904</v>
      </c>
      <c r="P431" s="76" t="s">
        <v>684</v>
      </c>
      <c r="Q431" s="77">
        <v>46086</v>
      </c>
      <c r="R431" s="78" t="s">
        <v>40</v>
      </c>
      <c r="S431" s="36" t="str">
        <f>VLOOKUP(Tabla91116[[#This Row],[CODIGO DEL PRODUCTO]],Tabla797[],2,FALSE)</f>
        <v>PIEDRA 0-6</v>
      </c>
      <c r="T431" s="37">
        <v>34.96</v>
      </c>
    </row>
    <row r="432" spans="8:20" x14ac:dyDescent="0.25">
      <c r="H432" s="34">
        <v>19260</v>
      </c>
      <c r="I432" s="34" t="s">
        <v>790</v>
      </c>
      <c r="J432" s="35">
        <v>46160</v>
      </c>
      <c r="K432" s="36" t="s">
        <v>468</v>
      </c>
      <c r="L432" s="39" t="str">
        <f>VLOOKUP(Tabla81015[[#This Row],[CODIGO DEL PRODUCTO]],Tabla797[],2,FALSE)</f>
        <v>ESTABILIZADO 0-100 X TN</v>
      </c>
      <c r="M432" s="37">
        <v>22.18</v>
      </c>
      <c r="N432" s="158"/>
      <c r="O432" s="76">
        <v>2693868</v>
      </c>
      <c r="P432" s="76" t="s">
        <v>679</v>
      </c>
      <c r="Q432" s="77">
        <v>46086</v>
      </c>
      <c r="R432" s="78" t="s">
        <v>286</v>
      </c>
      <c r="S432" s="36" t="str">
        <f>VLOOKUP(Tabla91116[[#This Row],[CODIGO DEL PRODUCTO]],Tabla797[],2,FALSE)</f>
        <v>CPF 40 AVELLANEDA</v>
      </c>
      <c r="T432" s="37">
        <v>35.520000000000003</v>
      </c>
    </row>
    <row r="433" spans="8:23" x14ac:dyDescent="0.25">
      <c r="H433" s="34">
        <v>19270</v>
      </c>
      <c r="I433" s="34" t="s">
        <v>805</v>
      </c>
      <c r="J433" s="35">
        <v>46160</v>
      </c>
      <c r="K433" s="36" t="s">
        <v>43</v>
      </c>
      <c r="L433" s="39" t="str">
        <f>VLOOKUP(Tabla81015[[#This Row],[CODIGO DEL PRODUCTO]],Tabla797[],2,FALSE)</f>
        <v>PIEDRA 6-20</v>
      </c>
      <c r="M433" s="37">
        <v>4</v>
      </c>
      <c r="N433" s="158"/>
      <c r="O433" s="76">
        <v>103635</v>
      </c>
      <c r="P433" s="76" t="s">
        <v>683</v>
      </c>
      <c r="Q433" s="77">
        <v>46087</v>
      </c>
      <c r="R433" s="78" t="s">
        <v>42</v>
      </c>
      <c r="S433" s="36" t="str">
        <f>VLOOKUP(Tabla91116[[#This Row],[CODIGO DEL PRODUCTO]],Tabla797[],2,FALSE)</f>
        <v>ARENA FINA</v>
      </c>
      <c r="T433" s="37">
        <v>35.799999999999997</v>
      </c>
      <c r="U433" s="7">
        <v>46087</v>
      </c>
      <c r="V433" t="s">
        <v>761</v>
      </c>
      <c r="W433" t="s">
        <v>762</v>
      </c>
    </row>
    <row r="434" spans="8:23" x14ac:dyDescent="0.25">
      <c r="H434" s="34"/>
      <c r="I434" s="34" t="s">
        <v>805</v>
      </c>
      <c r="J434" s="35">
        <v>46160</v>
      </c>
      <c r="K434" s="36" t="s">
        <v>42</v>
      </c>
      <c r="L434" s="39" t="str">
        <f>VLOOKUP(Tabla81015[[#This Row],[CODIGO DEL PRODUCTO]],Tabla797[],2,FALSE)</f>
        <v>ARENA FINA</v>
      </c>
      <c r="M434" s="37">
        <v>1</v>
      </c>
      <c r="N434" s="158"/>
      <c r="O434" s="76">
        <v>103636</v>
      </c>
      <c r="P434" s="76" t="s">
        <v>683</v>
      </c>
      <c r="Q434" s="77">
        <v>46087</v>
      </c>
      <c r="R434" s="78" t="s">
        <v>42</v>
      </c>
      <c r="S434" s="36" t="str">
        <f>VLOOKUP(Tabla91116[[#This Row],[CODIGO DEL PRODUCTO]],Tabla797[],2,FALSE)</f>
        <v>ARENA FINA</v>
      </c>
      <c r="T434" s="37">
        <v>36.700000000000003</v>
      </c>
    </row>
    <row r="435" spans="8:23" x14ac:dyDescent="0.25">
      <c r="H435" s="34">
        <v>19273</v>
      </c>
      <c r="I435" s="34" t="s">
        <v>790</v>
      </c>
      <c r="J435" s="35">
        <v>46160</v>
      </c>
      <c r="K435" s="36" t="s">
        <v>468</v>
      </c>
      <c r="L435" s="39" t="str">
        <f>VLOOKUP(Tabla81015[[#This Row],[CODIGO DEL PRODUCTO]],Tabla797[],2,FALSE)</f>
        <v>ESTABILIZADO 0-100 X TN</v>
      </c>
      <c r="M435" s="37">
        <v>31.7</v>
      </c>
      <c r="N435" s="158"/>
      <c r="O435" s="76">
        <v>103640</v>
      </c>
      <c r="P435" s="76" t="s">
        <v>683</v>
      </c>
      <c r="Q435" s="77">
        <v>46087</v>
      </c>
      <c r="R435" s="78" t="s">
        <v>42</v>
      </c>
      <c r="S435" s="36" t="str">
        <f>VLOOKUP(Tabla91116[[#This Row],[CODIGO DEL PRODUCTO]],Tabla797[],2,FALSE)</f>
        <v>ARENA FINA</v>
      </c>
      <c r="T435" s="37">
        <v>39.1</v>
      </c>
    </row>
    <row r="436" spans="8:23" x14ac:dyDescent="0.25">
      <c r="H436" s="34">
        <v>19293</v>
      </c>
      <c r="I436" s="34" t="s">
        <v>790</v>
      </c>
      <c r="J436" s="35">
        <v>46161</v>
      </c>
      <c r="K436" s="36" t="s">
        <v>468</v>
      </c>
      <c r="L436" s="39" t="str">
        <f>VLOOKUP(Tabla81015[[#This Row],[CODIGO DEL PRODUCTO]],Tabla797[],2,FALSE)</f>
        <v>ESTABILIZADO 0-100 X TN</v>
      </c>
      <c r="M436" s="37">
        <v>23.94</v>
      </c>
      <c r="N436" s="158"/>
      <c r="O436" s="76">
        <v>103641</v>
      </c>
      <c r="P436" s="76" t="s">
        <v>683</v>
      </c>
      <c r="Q436" s="77">
        <v>46087</v>
      </c>
      <c r="R436" s="78" t="s">
        <v>42</v>
      </c>
      <c r="S436" s="36" t="str">
        <f>VLOOKUP(Tabla91116[[#This Row],[CODIGO DEL PRODUCTO]],Tabla797[],2,FALSE)</f>
        <v>ARENA FINA</v>
      </c>
      <c r="T436" s="37">
        <v>35.799999999999997</v>
      </c>
    </row>
    <row r="437" spans="8:23" x14ac:dyDescent="0.25">
      <c r="H437" s="34">
        <v>19323</v>
      </c>
      <c r="I437" s="34" t="s">
        <v>602</v>
      </c>
      <c r="J437" s="35">
        <v>46161</v>
      </c>
      <c r="K437" s="36" t="s">
        <v>42</v>
      </c>
      <c r="L437" s="39" t="str">
        <f>VLOOKUP(Tabla81015[[#This Row],[CODIGO DEL PRODUCTO]],Tabla797[],2,FALSE)</f>
        <v>ARENA FINA</v>
      </c>
      <c r="M437" s="37">
        <v>2</v>
      </c>
      <c r="N437" s="158"/>
      <c r="O437" s="76">
        <v>103643</v>
      </c>
      <c r="P437" s="76" t="s">
        <v>683</v>
      </c>
      <c r="Q437" s="77">
        <v>46087</v>
      </c>
      <c r="R437" s="78" t="s">
        <v>42</v>
      </c>
      <c r="S437" s="36" t="str">
        <f>VLOOKUP(Tabla91116[[#This Row],[CODIGO DEL PRODUCTO]],Tabla797[],2,FALSE)</f>
        <v>ARENA FINA</v>
      </c>
      <c r="T437" s="37">
        <v>35.9</v>
      </c>
    </row>
    <row r="438" spans="8:23" x14ac:dyDescent="0.25">
      <c r="H438" s="34">
        <v>19325</v>
      </c>
      <c r="I438" s="34" t="s">
        <v>682</v>
      </c>
      <c r="J438" s="35">
        <v>46161</v>
      </c>
      <c r="K438" s="36" t="s">
        <v>42</v>
      </c>
      <c r="L438" s="39" t="str">
        <f>VLOOKUP(Tabla81015[[#This Row],[CODIGO DEL PRODUCTO]],Tabla797[],2,FALSE)</f>
        <v>ARENA FINA</v>
      </c>
      <c r="M438" s="37">
        <v>5</v>
      </c>
      <c r="N438" s="158"/>
      <c r="O438" s="76">
        <v>103644</v>
      </c>
      <c r="P438" s="76" t="s">
        <v>683</v>
      </c>
      <c r="Q438" s="77">
        <v>46087</v>
      </c>
      <c r="R438" s="78" t="s">
        <v>42</v>
      </c>
      <c r="S438" s="36" t="str">
        <f>VLOOKUP(Tabla91116[[#This Row],[CODIGO DEL PRODUCTO]],Tabla797[],2,FALSE)</f>
        <v>ARENA FINA</v>
      </c>
      <c r="T438" s="37">
        <v>37.42</v>
      </c>
    </row>
    <row r="439" spans="8:23" x14ac:dyDescent="0.25">
      <c r="H439" s="34">
        <v>19326</v>
      </c>
      <c r="I439" s="34" t="s">
        <v>790</v>
      </c>
      <c r="J439" s="35">
        <v>46161</v>
      </c>
      <c r="K439" s="36" t="s">
        <v>468</v>
      </c>
      <c r="L439" s="39" t="str">
        <f>VLOOKUP(Tabla81015[[#This Row],[CODIGO DEL PRODUCTO]],Tabla797[],2,FALSE)</f>
        <v>ESTABILIZADO 0-100 X TN</v>
      </c>
      <c r="M439" s="37">
        <v>22.62</v>
      </c>
      <c r="N439" s="158"/>
      <c r="O439" s="76">
        <v>103647</v>
      </c>
      <c r="P439" s="76" t="s">
        <v>683</v>
      </c>
      <c r="Q439" s="77">
        <v>46087</v>
      </c>
      <c r="R439" s="78" t="s">
        <v>42</v>
      </c>
      <c r="S439" s="36" t="str">
        <f>VLOOKUP(Tabla91116[[#This Row],[CODIGO DEL PRODUCTO]],Tabla797[],2,FALSE)</f>
        <v>ARENA FINA</v>
      </c>
      <c r="T439" s="37">
        <v>38.119999999999997</v>
      </c>
    </row>
    <row r="440" spans="8:23" x14ac:dyDescent="0.25">
      <c r="H440" s="34">
        <v>19328</v>
      </c>
      <c r="I440" s="34" t="s">
        <v>794</v>
      </c>
      <c r="J440" s="35">
        <v>46161</v>
      </c>
      <c r="K440" s="36" t="s">
        <v>42</v>
      </c>
      <c r="L440" s="39" t="str">
        <f>VLOOKUP(Tabla81015[[#This Row],[CODIGO DEL PRODUCTO]],Tabla797[],2,FALSE)</f>
        <v>ARENA FINA</v>
      </c>
      <c r="M440" s="37">
        <v>4</v>
      </c>
      <c r="N440" s="158"/>
      <c r="O440" s="76">
        <v>103648</v>
      </c>
      <c r="P440" s="76" t="s">
        <v>683</v>
      </c>
      <c r="Q440" s="77">
        <v>46087</v>
      </c>
      <c r="R440" s="78" t="s">
        <v>42</v>
      </c>
      <c r="S440" s="36" t="str">
        <f>VLOOKUP(Tabla91116[[#This Row],[CODIGO DEL PRODUCTO]],Tabla797[],2,FALSE)</f>
        <v>ARENA FINA</v>
      </c>
      <c r="T440" s="37">
        <v>38.26</v>
      </c>
    </row>
    <row r="441" spans="8:23" x14ac:dyDescent="0.25">
      <c r="H441" s="34">
        <v>19346</v>
      </c>
      <c r="I441" s="34" t="s">
        <v>790</v>
      </c>
      <c r="J441" s="35">
        <v>46162</v>
      </c>
      <c r="K441" s="36" t="s">
        <v>468</v>
      </c>
      <c r="L441" s="39" t="str">
        <f>VLOOKUP(Tabla81015[[#This Row],[CODIGO DEL PRODUCTO]],Tabla797[],2,FALSE)</f>
        <v>ESTABILIZADO 0-100 X TN</v>
      </c>
      <c r="M441" s="37">
        <v>25.22</v>
      </c>
      <c r="N441" s="158"/>
      <c r="O441" s="76">
        <v>107908</v>
      </c>
      <c r="P441" s="76" t="s">
        <v>684</v>
      </c>
      <c r="Q441" s="77">
        <v>46087</v>
      </c>
      <c r="R441" s="78" t="s">
        <v>48</v>
      </c>
      <c r="S441" s="36" t="str">
        <f>VLOOKUP(Tabla91116[[#This Row],[CODIGO DEL PRODUCTO]],Tabla797[],2,FALSE)</f>
        <v>PIEDRA 6-12</v>
      </c>
      <c r="T441" s="37">
        <v>34.86</v>
      </c>
    </row>
    <row r="442" spans="8:23" x14ac:dyDescent="0.25">
      <c r="H442" s="34">
        <v>19348</v>
      </c>
      <c r="I442" s="34" t="s">
        <v>790</v>
      </c>
      <c r="J442" s="35">
        <v>46162</v>
      </c>
      <c r="K442" s="36" t="s">
        <v>468</v>
      </c>
      <c r="L442" s="39" t="str">
        <f>VLOOKUP(Tabla81015[[#This Row],[CODIGO DEL PRODUCTO]],Tabla797[],2,FALSE)</f>
        <v>ESTABILIZADO 0-100 X TN</v>
      </c>
      <c r="M442" s="37">
        <v>31.16</v>
      </c>
      <c r="N442" s="158"/>
      <c r="O442" s="76">
        <v>107918</v>
      </c>
      <c r="P442" s="76" t="s">
        <v>684</v>
      </c>
      <c r="Q442" s="77">
        <v>46087</v>
      </c>
      <c r="R442" s="78" t="s">
        <v>43</v>
      </c>
      <c r="S442" s="36" t="str">
        <f>VLOOKUP(Tabla91116[[#This Row],[CODIGO DEL PRODUCTO]],Tabla797[],2,FALSE)</f>
        <v>PIEDRA 6-20</v>
      </c>
      <c r="T442" s="37">
        <v>35.18</v>
      </c>
    </row>
    <row r="443" spans="8:23" x14ac:dyDescent="0.25">
      <c r="H443" s="34">
        <v>19364</v>
      </c>
      <c r="I443" s="34" t="s">
        <v>790</v>
      </c>
      <c r="J443" s="35">
        <v>46162</v>
      </c>
      <c r="K443" s="36" t="s">
        <v>468</v>
      </c>
      <c r="L443" s="39" t="str">
        <f>VLOOKUP(Tabla81015[[#This Row],[CODIGO DEL PRODUCTO]],Tabla797[],2,FALSE)</f>
        <v>ESTABILIZADO 0-100 X TN</v>
      </c>
      <c r="M443" s="37">
        <v>23.82</v>
      </c>
      <c r="N443" s="158"/>
      <c r="O443" s="76">
        <v>107925</v>
      </c>
      <c r="P443" s="76" t="s">
        <v>684</v>
      </c>
      <c r="Q443" s="77">
        <v>46087</v>
      </c>
      <c r="R443" s="78" t="s">
        <v>40</v>
      </c>
      <c r="S443" s="36" t="str">
        <f>VLOOKUP(Tabla91116[[#This Row],[CODIGO DEL PRODUCTO]],Tabla797[],2,FALSE)</f>
        <v>PIEDRA 0-6</v>
      </c>
      <c r="T443" s="37">
        <v>33.92</v>
      </c>
    </row>
    <row r="444" spans="8:23" x14ac:dyDescent="0.25">
      <c r="H444" s="34">
        <v>19373</v>
      </c>
      <c r="I444" s="34" t="s">
        <v>495</v>
      </c>
      <c r="J444" s="35">
        <v>46162</v>
      </c>
      <c r="K444" s="36" t="s">
        <v>42</v>
      </c>
      <c r="L444" s="39" t="str">
        <f>VLOOKUP(Tabla81015[[#This Row],[CODIGO DEL PRODUCTO]],Tabla797[],2,FALSE)</f>
        <v>ARENA FINA</v>
      </c>
      <c r="M444" s="37">
        <v>27.46</v>
      </c>
      <c r="N444" s="158"/>
      <c r="O444" s="76">
        <v>107933</v>
      </c>
      <c r="P444" s="76" t="s">
        <v>684</v>
      </c>
      <c r="Q444" s="77">
        <v>46087</v>
      </c>
      <c r="R444" s="78" t="s">
        <v>43</v>
      </c>
      <c r="S444" s="36" t="str">
        <f>VLOOKUP(Tabla91116[[#This Row],[CODIGO DEL PRODUCTO]],Tabla797[],2,FALSE)</f>
        <v>PIEDRA 6-20</v>
      </c>
      <c r="T444" s="37">
        <v>34.92</v>
      </c>
    </row>
    <row r="445" spans="8:23" x14ac:dyDescent="0.25">
      <c r="H445" s="34">
        <v>19379</v>
      </c>
      <c r="I445" s="34" t="s">
        <v>790</v>
      </c>
      <c r="J445" s="35">
        <v>46162</v>
      </c>
      <c r="K445" s="36" t="s">
        <v>468</v>
      </c>
      <c r="L445" s="39" t="str">
        <f>VLOOKUP(Tabla81015[[#This Row],[CODIGO DEL PRODUCTO]],Tabla797[],2,FALSE)</f>
        <v>ESTABILIZADO 0-100 X TN</v>
      </c>
      <c r="M445" s="37">
        <v>31.08</v>
      </c>
      <c r="N445" s="158"/>
      <c r="O445" s="76">
        <v>153916</v>
      </c>
      <c r="P445" s="76" t="s">
        <v>679</v>
      </c>
      <c r="Q445" s="77">
        <v>46087</v>
      </c>
      <c r="R445" s="78" t="s">
        <v>43</v>
      </c>
      <c r="S445" s="36" t="str">
        <f>VLOOKUP(Tabla91116[[#This Row],[CODIGO DEL PRODUCTO]],Tabla797[],2,FALSE)</f>
        <v>PIEDRA 6-20</v>
      </c>
      <c r="T445" s="37">
        <v>35.46</v>
      </c>
    </row>
    <row r="446" spans="8:23" x14ac:dyDescent="0.25">
      <c r="H446" s="34">
        <v>19384</v>
      </c>
      <c r="I446" s="34" t="s">
        <v>790</v>
      </c>
      <c r="J446" s="35">
        <v>46162</v>
      </c>
      <c r="K446" s="36" t="s">
        <v>468</v>
      </c>
      <c r="L446" s="39" t="str">
        <f>VLOOKUP(Tabla81015[[#This Row],[CODIGO DEL PRODUCTO]],Tabla797[],2,FALSE)</f>
        <v>ESTABILIZADO 0-100 X TN</v>
      </c>
      <c r="M446" s="37">
        <v>26.64</v>
      </c>
      <c r="N446" s="158"/>
      <c r="O446" s="76">
        <v>153917</v>
      </c>
      <c r="P446" s="76" t="s">
        <v>679</v>
      </c>
      <c r="Q446" s="77">
        <v>46087</v>
      </c>
      <c r="R446" s="78" t="s">
        <v>43</v>
      </c>
      <c r="S446" s="36" t="str">
        <f>VLOOKUP(Tabla91116[[#This Row],[CODIGO DEL PRODUCTO]],Tabla797[],2,FALSE)</f>
        <v>PIEDRA 6-20</v>
      </c>
      <c r="T446" s="37">
        <v>35.26</v>
      </c>
    </row>
    <row r="447" spans="8:23" x14ac:dyDescent="0.25">
      <c r="H447" s="34"/>
      <c r="I447" s="34" t="s">
        <v>53</v>
      </c>
      <c r="J447" s="35">
        <v>46153</v>
      </c>
      <c r="K447" s="36" t="s">
        <v>42</v>
      </c>
      <c r="L447" s="39" t="str">
        <f>VLOOKUP(Tabla81015[[#This Row],[CODIGO DEL PRODUCTO]],Tabla797[],2,FALSE)</f>
        <v>ARENA FINA</v>
      </c>
      <c r="M447" s="37">
        <v>957.46</v>
      </c>
      <c r="N447" s="158"/>
      <c r="O447" s="76">
        <v>2694124</v>
      </c>
      <c r="P447" s="76" t="s">
        <v>679</v>
      </c>
      <c r="Q447" s="77">
        <v>46087</v>
      </c>
      <c r="R447" s="78" t="s">
        <v>286</v>
      </c>
      <c r="S447" s="36" t="str">
        <f>VLOOKUP(Tabla91116[[#This Row],[CODIGO DEL PRODUCTO]],Tabla797[],2,FALSE)</f>
        <v>CPF 40 AVELLANEDA</v>
      </c>
      <c r="T447" s="37">
        <v>35.74</v>
      </c>
    </row>
    <row r="448" spans="8:23" x14ac:dyDescent="0.25">
      <c r="H448" s="34"/>
      <c r="I448" s="34" t="s">
        <v>53</v>
      </c>
      <c r="J448" s="35">
        <v>46154</v>
      </c>
      <c r="K448" s="36" t="s">
        <v>40</v>
      </c>
      <c r="L448" s="39" t="str">
        <f>VLOOKUP(Tabla81015[[#This Row],[CODIGO DEL PRODUCTO]],Tabla797[],2,FALSE)</f>
        <v>PIEDRA 0-6</v>
      </c>
      <c r="M448" s="37">
        <v>634.79999999999995</v>
      </c>
      <c r="N448" s="158"/>
      <c r="O448" s="76">
        <v>103652</v>
      </c>
      <c r="P448" s="76" t="s">
        <v>683</v>
      </c>
      <c r="Q448" s="77">
        <v>46088</v>
      </c>
      <c r="R448" s="78" t="s">
        <v>42</v>
      </c>
      <c r="S448" s="36" t="str">
        <f>VLOOKUP(Tabla91116[[#This Row],[CODIGO DEL PRODUCTO]],Tabla797[],2,FALSE)</f>
        <v>ARENA FINA</v>
      </c>
      <c r="T448" s="37">
        <v>37.36</v>
      </c>
      <c r="U448" s="7">
        <v>46088</v>
      </c>
      <c r="V448" t="s">
        <v>763</v>
      </c>
      <c r="W448" t="s">
        <v>764</v>
      </c>
    </row>
    <row r="449" spans="8:23" x14ac:dyDescent="0.25">
      <c r="H449" s="34"/>
      <c r="I449" s="34" t="s">
        <v>53</v>
      </c>
      <c r="J449" s="35">
        <v>46155</v>
      </c>
      <c r="K449" s="36" t="s">
        <v>286</v>
      </c>
      <c r="L449" s="39" t="str">
        <f>VLOOKUP(Tabla81015[[#This Row],[CODIGO DEL PRODUCTO]],Tabla797[],2,FALSE)</f>
        <v>CPF 40 AVELLANEDA</v>
      </c>
      <c r="M449" s="37">
        <v>457.68</v>
      </c>
      <c r="N449" s="158"/>
      <c r="O449" s="76">
        <v>107939</v>
      </c>
      <c r="P449" s="76" t="s">
        <v>684</v>
      </c>
      <c r="Q449" s="77">
        <v>46088</v>
      </c>
      <c r="R449" s="78" t="s">
        <v>43</v>
      </c>
      <c r="S449" s="36" t="str">
        <f>VLOOKUP(Tabla91116[[#This Row],[CODIGO DEL PRODUCTO]],Tabla797[],2,FALSE)</f>
        <v>PIEDRA 6-20</v>
      </c>
      <c r="T449" s="37">
        <v>36</v>
      </c>
      <c r="U449" s="7">
        <v>46088</v>
      </c>
      <c r="V449" t="s">
        <v>765</v>
      </c>
      <c r="W449" t="s">
        <v>766</v>
      </c>
    </row>
    <row r="450" spans="8:23" x14ac:dyDescent="0.25">
      <c r="H450" s="34"/>
      <c r="I450" s="34" t="s">
        <v>53</v>
      </c>
      <c r="J450" s="35">
        <v>46156</v>
      </c>
      <c r="K450" s="36" t="s">
        <v>48</v>
      </c>
      <c r="L450" s="39" t="str">
        <f>VLOOKUP(Tabla81015[[#This Row],[CODIGO DEL PRODUCTO]],Tabla797[],2,FALSE)</f>
        <v>PIEDRA 6-12</v>
      </c>
      <c r="M450" s="37">
        <v>87.62</v>
      </c>
      <c r="N450" s="158"/>
      <c r="O450" s="76">
        <v>107942</v>
      </c>
      <c r="P450" s="76" t="s">
        <v>684</v>
      </c>
      <c r="Q450" s="77">
        <v>46088</v>
      </c>
      <c r="R450" s="78" t="s">
        <v>40</v>
      </c>
      <c r="S450" s="36" t="str">
        <f>VLOOKUP(Tabla91116[[#This Row],[CODIGO DEL PRODUCTO]],Tabla797[],2,FALSE)</f>
        <v>PIEDRA 0-6</v>
      </c>
      <c r="T450" s="37">
        <v>35.880000000000003</v>
      </c>
    </row>
    <row r="451" spans="8:23" x14ac:dyDescent="0.25">
      <c r="H451" s="34"/>
      <c r="I451" s="34" t="s">
        <v>53</v>
      </c>
      <c r="J451" s="35">
        <v>46157</v>
      </c>
      <c r="K451" s="36" t="s">
        <v>43</v>
      </c>
      <c r="L451" s="39" t="str">
        <f>VLOOKUP(Tabla81015[[#This Row],[CODIGO DEL PRODUCTO]],Tabla797[],2,FALSE)</f>
        <v>PIEDRA 6-20</v>
      </c>
      <c r="M451" s="37">
        <v>1274.8399999999999</v>
      </c>
      <c r="N451" s="158"/>
      <c r="O451" s="76">
        <v>153946</v>
      </c>
      <c r="P451" s="76" t="s">
        <v>679</v>
      </c>
      <c r="Q451" s="77">
        <v>46088</v>
      </c>
      <c r="R451" s="78" t="s">
        <v>43</v>
      </c>
      <c r="S451" s="36" t="str">
        <f>VLOOKUP(Tabla91116[[#This Row],[CODIGO DEL PRODUCTO]],Tabla797[],2,FALSE)</f>
        <v>PIEDRA 6-20</v>
      </c>
      <c r="T451" s="37">
        <v>35.72</v>
      </c>
    </row>
    <row r="452" spans="8:23" x14ac:dyDescent="0.25">
      <c r="H452" s="34"/>
      <c r="I452" s="34" t="s">
        <v>53</v>
      </c>
      <c r="J452" s="35">
        <v>46158</v>
      </c>
      <c r="K452" s="36" t="s">
        <v>425</v>
      </c>
      <c r="L452" s="39" t="str">
        <f>VLOOKUP(Tabla81015[[#This Row],[CODIGO DEL PRODUCTO]],Tabla797[],2,FALSE)</f>
        <v>W351R</v>
      </c>
      <c r="M452" s="37">
        <v>2.48</v>
      </c>
      <c r="N452" s="158"/>
      <c r="O452" s="76">
        <v>2694231</v>
      </c>
      <c r="P452" s="76" t="s">
        <v>679</v>
      </c>
      <c r="Q452" s="77">
        <v>46088</v>
      </c>
      <c r="R452" s="78" t="s">
        <v>286</v>
      </c>
      <c r="S452" s="36" t="str">
        <f>VLOOKUP(Tabla91116[[#This Row],[CODIGO DEL PRODUCTO]],Tabla797[],2,FALSE)</f>
        <v>CPF 40 AVELLANEDA</v>
      </c>
      <c r="T452" s="37">
        <v>35.86</v>
      </c>
    </row>
    <row r="453" spans="8:23" x14ac:dyDescent="0.25">
      <c r="H453" s="34">
        <v>19388</v>
      </c>
      <c r="I453" s="34" t="s">
        <v>790</v>
      </c>
      <c r="J453" s="35">
        <v>46163</v>
      </c>
      <c r="K453" s="36" t="s">
        <v>468</v>
      </c>
      <c r="L453" s="39" t="str">
        <f>VLOOKUP(Tabla81015[[#This Row],[CODIGO DEL PRODUCTO]],Tabla797[],2,FALSE)</f>
        <v>ESTABILIZADO 0-100 X TN</v>
      </c>
      <c r="M453" s="37">
        <v>23.1</v>
      </c>
      <c r="N453" s="158"/>
      <c r="O453" s="76">
        <v>103653</v>
      </c>
      <c r="P453" s="76" t="s">
        <v>683</v>
      </c>
      <c r="Q453" s="77">
        <v>46090</v>
      </c>
      <c r="R453" s="78" t="s">
        <v>42</v>
      </c>
      <c r="S453" s="36" t="str">
        <f>VLOOKUP(Tabla91116[[#This Row],[CODIGO DEL PRODUCTO]],Tabla797[],2,FALSE)</f>
        <v>ARENA FINA</v>
      </c>
      <c r="T453" s="37">
        <v>35.64</v>
      </c>
    </row>
    <row r="454" spans="8:23" x14ac:dyDescent="0.25">
      <c r="H454" s="34">
        <v>19389</v>
      </c>
      <c r="I454" s="34" t="s">
        <v>621</v>
      </c>
      <c r="J454" s="35">
        <v>46163</v>
      </c>
      <c r="K454" s="36" t="s">
        <v>43</v>
      </c>
      <c r="L454" s="39" t="str">
        <f>VLOOKUP(Tabla81015[[#This Row],[CODIGO DEL PRODUCTO]],Tabla797[],2,FALSE)</f>
        <v>PIEDRA 6-20</v>
      </c>
      <c r="M454" s="37">
        <v>4</v>
      </c>
      <c r="N454" s="158"/>
      <c r="O454" s="76">
        <v>103658</v>
      </c>
      <c r="P454" s="76" t="s">
        <v>683</v>
      </c>
      <c r="Q454" s="77">
        <v>46090</v>
      </c>
      <c r="R454" s="78" t="s">
        <v>42</v>
      </c>
      <c r="S454" s="36" t="str">
        <f>VLOOKUP(Tabla91116[[#This Row],[CODIGO DEL PRODUCTO]],Tabla797[],2,FALSE)</f>
        <v>ARENA FINA</v>
      </c>
      <c r="T454" s="37">
        <v>39.74</v>
      </c>
    </row>
    <row r="455" spans="8:23" x14ac:dyDescent="0.25">
      <c r="H455" s="34">
        <v>19401</v>
      </c>
      <c r="I455" s="34" t="s">
        <v>806</v>
      </c>
      <c r="J455" s="35">
        <v>46163</v>
      </c>
      <c r="K455" s="36" t="s">
        <v>42</v>
      </c>
      <c r="L455" s="39" t="str">
        <f>VLOOKUP(Tabla81015[[#This Row],[CODIGO DEL PRODUCTO]],Tabla797[],2,FALSE)</f>
        <v>ARENA FINA</v>
      </c>
      <c r="M455" s="37">
        <v>4</v>
      </c>
      <c r="N455" s="158"/>
      <c r="O455" s="76">
        <v>103659</v>
      </c>
      <c r="P455" s="76" t="s">
        <v>683</v>
      </c>
      <c r="Q455" s="77">
        <v>46090</v>
      </c>
      <c r="R455" s="78" t="s">
        <v>42</v>
      </c>
      <c r="S455" s="36" t="str">
        <f>VLOOKUP(Tabla91116[[#This Row],[CODIGO DEL PRODUCTO]],Tabla797[],2,FALSE)</f>
        <v>ARENA FINA</v>
      </c>
      <c r="T455" s="37">
        <v>37.74</v>
      </c>
    </row>
    <row r="456" spans="8:23" x14ac:dyDescent="0.25">
      <c r="H456" s="34"/>
      <c r="I456" s="34" t="s">
        <v>806</v>
      </c>
      <c r="J456" s="35">
        <v>46163</v>
      </c>
      <c r="K456" s="36" t="s">
        <v>43</v>
      </c>
      <c r="L456" s="39" t="str">
        <f>VLOOKUP(Tabla81015[[#This Row],[CODIGO DEL PRODUCTO]],Tabla797[],2,FALSE)</f>
        <v>PIEDRA 6-20</v>
      </c>
      <c r="M456" s="37">
        <v>2</v>
      </c>
      <c r="N456" s="158"/>
      <c r="O456" s="76">
        <v>103663</v>
      </c>
      <c r="P456" s="76" t="s">
        <v>683</v>
      </c>
      <c r="Q456" s="77">
        <v>46090</v>
      </c>
      <c r="R456" s="78" t="s">
        <v>42</v>
      </c>
      <c r="S456" s="36" t="str">
        <f>VLOOKUP(Tabla91116[[#This Row],[CODIGO DEL PRODUCTO]],Tabla797[],2,FALSE)</f>
        <v>ARENA FINA</v>
      </c>
      <c r="T456" s="37">
        <v>36.020000000000003</v>
      </c>
    </row>
    <row r="457" spans="8:23" x14ac:dyDescent="0.25">
      <c r="H457" s="34">
        <v>19406</v>
      </c>
      <c r="I457" s="34" t="s">
        <v>790</v>
      </c>
      <c r="J457" s="35">
        <v>46163</v>
      </c>
      <c r="K457" s="36" t="s">
        <v>468</v>
      </c>
      <c r="L457" s="39" t="str">
        <f>VLOOKUP(Tabla81015[[#This Row],[CODIGO DEL PRODUCTO]],Tabla797[],2,FALSE)</f>
        <v>ESTABILIZADO 0-100 X TN</v>
      </c>
      <c r="M457" s="37">
        <v>31.16</v>
      </c>
      <c r="N457" s="158"/>
      <c r="O457" s="76">
        <v>103664</v>
      </c>
      <c r="P457" s="76" t="s">
        <v>683</v>
      </c>
      <c r="Q457" s="77">
        <v>46090</v>
      </c>
      <c r="R457" s="78" t="s">
        <v>42</v>
      </c>
      <c r="S457" s="36" t="str">
        <f>VLOOKUP(Tabla91116[[#This Row],[CODIGO DEL PRODUCTO]],Tabla797[],2,FALSE)</f>
        <v>ARENA FINA</v>
      </c>
      <c r="T457" s="37">
        <v>36.520000000000003</v>
      </c>
    </row>
    <row r="458" spans="8:23" x14ac:dyDescent="0.25">
      <c r="H458" s="34">
        <v>19411</v>
      </c>
      <c r="I458" s="34" t="s">
        <v>790</v>
      </c>
      <c r="J458" s="35">
        <v>46163</v>
      </c>
      <c r="K458" s="36" t="s">
        <v>468</v>
      </c>
      <c r="L458" s="39" t="str">
        <f>VLOOKUP(Tabla81015[[#This Row],[CODIGO DEL PRODUCTO]],Tabla797[],2,FALSE)</f>
        <v>ESTABILIZADO 0-100 X TN</v>
      </c>
      <c r="M458" s="37">
        <v>22.54</v>
      </c>
      <c r="N458" s="158"/>
      <c r="O458" s="76">
        <v>103667</v>
      </c>
      <c r="P458" s="76" t="s">
        <v>683</v>
      </c>
      <c r="Q458" s="77">
        <v>46090</v>
      </c>
      <c r="R458" s="78" t="s">
        <v>42</v>
      </c>
      <c r="S458" s="36" t="str">
        <f>VLOOKUP(Tabla91116[[#This Row],[CODIGO DEL PRODUCTO]],Tabla797[],2,FALSE)</f>
        <v>ARENA FINA</v>
      </c>
      <c r="T458" s="37">
        <v>38.72</v>
      </c>
    </row>
    <row r="459" spans="8:23" x14ac:dyDescent="0.25">
      <c r="H459" s="34">
        <v>19417</v>
      </c>
      <c r="I459" s="34" t="s">
        <v>807</v>
      </c>
      <c r="J459" s="35">
        <v>46163</v>
      </c>
      <c r="K459" s="36" t="s">
        <v>468</v>
      </c>
      <c r="L459" s="39" t="str">
        <f>VLOOKUP(Tabla81015[[#This Row],[CODIGO DEL PRODUCTO]],Tabla797[],2,FALSE)</f>
        <v>ESTABILIZADO 0-100 X TN</v>
      </c>
      <c r="M459" s="37">
        <v>24.46</v>
      </c>
      <c r="N459" s="158"/>
      <c r="O459" s="76">
        <v>103668</v>
      </c>
      <c r="P459" s="76" t="s">
        <v>683</v>
      </c>
      <c r="Q459" s="77">
        <v>46090</v>
      </c>
      <c r="R459" s="78" t="s">
        <v>42</v>
      </c>
      <c r="S459" s="36" t="str">
        <f>VLOOKUP(Tabla91116[[#This Row],[CODIGO DEL PRODUCTO]],Tabla797[],2,FALSE)</f>
        <v>ARENA FINA</v>
      </c>
      <c r="T459" s="37">
        <v>38.44</v>
      </c>
    </row>
    <row r="460" spans="8:23" x14ac:dyDescent="0.25">
      <c r="H460" s="34">
        <v>19427</v>
      </c>
      <c r="I460" s="34" t="s">
        <v>790</v>
      </c>
      <c r="J460" s="35">
        <v>46163</v>
      </c>
      <c r="K460" s="36" t="s">
        <v>468</v>
      </c>
      <c r="L460" s="39" t="str">
        <f>VLOOKUP(Tabla81015[[#This Row],[CODIGO DEL PRODUCTO]],Tabla797[],2,FALSE)</f>
        <v>ESTABILIZADO 0-100 X TN</v>
      </c>
      <c r="M460" s="37">
        <v>31.6</v>
      </c>
      <c r="N460" s="158"/>
      <c r="O460" s="76">
        <v>107961</v>
      </c>
      <c r="P460" s="76" t="s">
        <v>684</v>
      </c>
      <c r="Q460" s="77">
        <v>46090</v>
      </c>
      <c r="R460" s="78" t="s">
        <v>43</v>
      </c>
      <c r="S460" s="36" t="str">
        <f>VLOOKUP(Tabla91116[[#This Row],[CODIGO DEL PRODUCTO]],Tabla797[],2,FALSE)</f>
        <v>PIEDRA 6-20</v>
      </c>
      <c r="T460" s="37">
        <v>35.22</v>
      </c>
    </row>
    <row r="461" spans="8:23" x14ac:dyDescent="0.25">
      <c r="H461" s="34">
        <v>19432</v>
      </c>
      <c r="I461" s="34" t="s">
        <v>621</v>
      </c>
      <c r="J461" s="35">
        <v>46164</v>
      </c>
      <c r="K461" s="36" t="s">
        <v>42</v>
      </c>
      <c r="L461" s="39" t="str">
        <f>VLOOKUP(Tabla81015[[#This Row],[CODIGO DEL PRODUCTO]],Tabla797[],2,FALSE)</f>
        <v>ARENA FINA</v>
      </c>
      <c r="M461" s="37">
        <v>5</v>
      </c>
      <c r="N461" s="158"/>
      <c r="O461" s="76">
        <v>107966</v>
      </c>
      <c r="P461" s="76" t="s">
        <v>684</v>
      </c>
      <c r="Q461" s="77">
        <v>46090</v>
      </c>
      <c r="R461" s="78" t="s">
        <v>48</v>
      </c>
      <c r="S461" s="36" t="str">
        <f>VLOOKUP(Tabla91116[[#This Row],[CODIGO DEL PRODUCTO]],Tabla797[],2,FALSE)</f>
        <v>PIEDRA 6-12</v>
      </c>
      <c r="T461" s="37">
        <v>35.78</v>
      </c>
    </row>
    <row r="462" spans="8:23" x14ac:dyDescent="0.25">
      <c r="H462" s="34">
        <v>19433</v>
      </c>
      <c r="I462" s="34" t="s">
        <v>621</v>
      </c>
      <c r="J462" s="35">
        <v>46164</v>
      </c>
      <c r="K462" s="36" t="s">
        <v>43</v>
      </c>
      <c r="L462" s="39" t="str">
        <f>VLOOKUP(Tabla81015[[#This Row],[CODIGO DEL PRODUCTO]],Tabla797[],2,FALSE)</f>
        <v>PIEDRA 6-20</v>
      </c>
      <c r="M462" s="37">
        <v>5</v>
      </c>
      <c r="N462" s="158"/>
      <c r="O462" s="76">
        <v>107967</v>
      </c>
      <c r="P462" s="76" t="s">
        <v>684</v>
      </c>
      <c r="Q462" s="77">
        <v>46090</v>
      </c>
      <c r="R462" s="78" t="s">
        <v>40</v>
      </c>
      <c r="S462" s="36" t="str">
        <f>VLOOKUP(Tabla91116[[#This Row],[CODIGO DEL PRODUCTO]],Tabla797[],2,FALSE)</f>
        <v>PIEDRA 0-6</v>
      </c>
      <c r="T462" s="37">
        <v>34.799999999999997</v>
      </c>
    </row>
    <row r="463" spans="8:23" x14ac:dyDescent="0.25">
      <c r="H463" s="34">
        <v>19437</v>
      </c>
      <c r="I463" s="34" t="s">
        <v>790</v>
      </c>
      <c r="J463" s="35">
        <v>46164</v>
      </c>
      <c r="K463" s="36" t="s">
        <v>468</v>
      </c>
      <c r="L463" s="39" t="str">
        <f>VLOOKUP(Tabla81015[[#This Row],[CODIGO DEL PRODUCTO]],Tabla797[],2,FALSE)</f>
        <v>ESTABILIZADO 0-100 X TN</v>
      </c>
      <c r="M463" s="37">
        <v>21.88</v>
      </c>
      <c r="N463" s="158"/>
      <c r="O463" s="76">
        <v>154049</v>
      </c>
      <c r="P463" s="76" t="s">
        <v>679</v>
      </c>
      <c r="Q463" s="77">
        <v>46090</v>
      </c>
      <c r="R463" s="78" t="s">
        <v>43</v>
      </c>
      <c r="S463" s="36" t="str">
        <f>VLOOKUP(Tabla91116[[#This Row],[CODIGO DEL PRODUCTO]],Tabla797[],2,FALSE)</f>
        <v>PIEDRA 6-20</v>
      </c>
      <c r="T463" s="37">
        <v>35.880000000000003</v>
      </c>
    </row>
    <row r="464" spans="8:23" x14ac:dyDescent="0.25">
      <c r="H464" s="34">
        <v>19442</v>
      </c>
      <c r="I464" s="34" t="s">
        <v>804</v>
      </c>
      <c r="J464" s="35">
        <v>46164</v>
      </c>
      <c r="K464" s="36" t="s">
        <v>468</v>
      </c>
      <c r="L464" s="39" t="str">
        <f>VLOOKUP(Tabla81015[[#This Row],[CODIGO DEL PRODUCTO]],Tabla797[],2,FALSE)</f>
        <v>ESTABILIZADO 0-100 X TN</v>
      </c>
      <c r="M464" s="37">
        <v>21.18</v>
      </c>
      <c r="N464" s="158"/>
      <c r="O464" s="76">
        <v>2694574</v>
      </c>
      <c r="P464" s="76" t="s">
        <v>679</v>
      </c>
      <c r="Q464" s="77">
        <v>46090</v>
      </c>
      <c r="R464" s="78" t="s">
        <v>286</v>
      </c>
      <c r="S464" s="36" t="str">
        <f>VLOOKUP(Tabla91116[[#This Row],[CODIGO DEL PRODUCTO]],Tabla797[],2,FALSE)</f>
        <v>CPF 40 AVELLANEDA</v>
      </c>
      <c r="T464" s="37">
        <v>35.86</v>
      </c>
    </row>
    <row r="465" spans="8:21" x14ac:dyDescent="0.25">
      <c r="H465" s="34">
        <v>19449</v>
      </c>
      <c r="I465" s="34" t="s">
        <v>790</v>
      </c>
      <c r="J465" s="35">
        <v>46164</v>
      </c>
      <c r="K465" s="36" t="s">
        <v>468</v>
      </c>
      <c r="L465" s="39" t="str">
        <f>VLOOKUP(Tabla81015[[#This Row],[CODIGO DEL PRODUCTO]],Tabla797[],2,FALSE)</f>
        <v>ESTABILIZADO 0-100 X TN</v>
      </c>
      <c r="M465" s="37">
        <v>33.200000000000003</v>
      </c>
      <c r="N465" s="158"/>
      <c r="O465" s="76">
        <v>103671</v>
      </c>
      <c r="P465" s="76" t="s">
        <v>683</v>
      </c>
      <c r="Q465" s="77">
        <v>46091</v>
      </c>
      <c r="R465" s="78" t="s">
        <v>42</v>
      </c>
      <c r="S465" s="36" t="str">
        <f>VLOOKUP(Tabla91116[[#This Row],[CODIGO DEL PRODUCTO]],Tabla797[],2,FALSE)</f>
        <v>ARENA FINA</v>
      </c>
      <c r="T465" s="37">
        <v>36.78</v>
      </c>
    </row>
    <row r="466" spans="8:21" x14ac:dyDescent="0.25">
      <c r="H466" s="34">
        <v>19480</v>
      </c>
      <c r="I466" s="34" t="s">
        <v>790</v>
      </c>
      <c r="J466" s="35">
        <v>46164</v>
      </c>
      <c r="K466" s="36" t="s">
        <v>468</v>
      </c>
      <c r="L466" s="39" t="str">
        <f>VLOOKUP(Tabla81015[[#This Row],[CODIGO DEL PRODUCTO]],Tabla797[],2,FALSE)</f>
        <v>ESTABILIZADO 0-100 X TN</v>
      </c>
      <c r="M466" s="37">
        <v>30.52</v>
      </c>
      <c r="N466" s="158"/>
      <c r="O466" s="76">
        <v>103672</v>
      </c>
      <c r="P466" s="76" t="s">
        <v>683</v>
      </c>
      <c r="Q466" s="77">
        <v>46091</v>
      </c>
      <c r="R466" s="78" t="s">
        <v>42</v>
      </c>
      <c r="S466" s="36" t="str">
        <f>VLOOKUP(Tabla91116[[#This Row],[CODIGO DEL PRODUCTO]],Tabla797[],2,FALSE)</f>
        <v>ARENA FINA</v>
      </c>
      <c r="T466" s="37">
        <v>37.86</v>
      </c>
    </row>
    <row r="467" spans="8:21" x14ac:dyDescent="0.25">
      <c r="H467" s="34">
        <v>19482</v>
      </c>
      <c r="I467" s="34" t="s">
        <v>790</v>
      </c>
      <c r="J467" s="35">
        <v>46164</v>
      </c>
      <c r="K467" s="36" t="s">
        <v>468</v>
      </c>
      <c r="L467" s="39" t="str">
        <f>VLOOKUP(Tabla81015[[#This Row],[CODIGO DEL PRODUCTO]],Tabla797[],2,FALSE)</f>
        <v>ESTABILIZADO 0-100 X TN</v>
      </c>
      <c r="M467" s="37">
        <v>23.64</v>
      </c>
      <c r="N467" s="158"/>
      <c r="O467" s="76">
        <v>103680</v>
      </c>
      <c r="P467" s="76" t="s">
        <v>683</v>
      </c>
      <c r="Q467" s="77">
        <v>46091</v>
      </c>
      <c r="R467" s="78" t="s">
        <v>42</v>
      </c>
      <c r="S467" s="36" t="str">
        <f>VLOOKUP(Tabla91116[[#This Row],[CODIGO DEL PRODUCTO]],Tabla797[],2,FALSE)</f>
        <v>ARENA FINA</v>
      </c>
      <c r="T467" s="37">
        <v>34.86</v>
      </c>
    </row>
    <row r="468" spans="8:21" x14ac:dyDescent="0.25">
      <c r="H468" s="34">
        <v>19505</v>
      </c>
      <c r="I468" s="34" t="s">
        <v>790</v>
      </c>
      <c r="J468" s="35">
        <v>46165</v>
      </c>
      <c r="K468" s="36" t="s">
        <v>468</v>
      </c>
      <c r="L468" s="39" t="str">
        <f>VLOOKUP(Tabla81015[[#This Row],[CODIGO DEL PRODUCTO]],Tabla797[],2,FALSE)</f>
        <v>ESTABILIZADO 0-100 X TN</v>
      </c>
      <c r="M468" s="37">
        <v>32.9</v>
      </c>
      <c r="N468" s="158"/>
      <c r="O468" s="76">
        <v>103681</v>
      </c>
      <c r="P468" s="76" t="s">
        <v>683</v>
      </c>
      <c r="Q468" s="77">
        <v>46091</v>
      </c>
      <c r="R468" s="78" t="s">
        <v>42</v>
      </c>
      <c r="S468" s="36" t="str">
        <f>VLOOKUP(Tabla91116[[#This Row],[CODIGO DEL PRODUCTO]],Tabla797[],2,FALSE)</f>
        <v>ARENA FINA</v>
      </c>
      <c r="T468" s="37">
        <v>38.9</v>
      </c>
    </row>
    <row r="469" spans="8:21" x14ac:dyDescent="0.25">
      <c r="H469" s="34"/>
      <c r="I469" s="34" t="s">
        <v>53</v>
      </c>
      <c r="J469" s="35">
        <v>46160</v>
      </c>
      <c r="K469" s="36" t="s">
        <v>42</v>
      </c>
      <c r="L469" s="39" t="str">
        <f>VLOOKUP(Tabla81015[[#This Row],[CODIGO DEL PRODUCTO]],Tabla797[],2,FALSE)</f>
        <v>ARENA FINA</v>
      </c>
      <c r="M469" s="37">
        <v>981.82</v>
      </c>
      <c r="N469" s="158"/>
      <c r="O469" s="76">
        <v>107995</v>
      </c>
      <c r="P469" s="76" t="s">
        <v>684</v>
      </c>
      <c r="Q469" s="77">
        <v>46091</v>
      </c>
      <c r="R469" s="78" t="s">
        <v>43</v>
      </c>
      <c r="S469" s="36" t="str">
        <f>VLOOKUP(Tabla91116[[#This Row],[CODIGO DEL PRODUCTO]],Tabla797[],2,FALSE)</f>
        <v>PIEDRA 6-20</v>
      </c>
      <c r="T469" s="37">
        <v>35.78</v>
      </c>
    </row>
    <row r="470" spans="8:21" x14ac:dyDescent="0.25">
      <c r="H470" s="34"/>
      <c r="I470" s="34" t="s">
        <v>53</v>
      </c>
      <c r="J470" s="35">
        <v>46161</v>
      </c>
      <c r="K470" s="36" t="s">
        <v>40</v>
      </c>
      <c r="L470" s="39" t="str">
        <f>VLOOKUP(Tabla81015[[#This Row],[CODIGO DEL PRODUCTO]],Tabla797[],2,FALSE)</f>
        <v>PIEDRA 0-6</v>
      </c>
      <c r="M470" s="37">
        <v>658.4</v>
      </c>
      <c r="N470" s="158"/>
      <c r="O470" s="76">
        <v>2694817</v>
      </c>
      <c r="P470" s="76" t="s">
        <v>679</v>
      </c>
      <c r="Q470" s="77">
        <v>46091</v>
      </c>
      <c r="R470" s="78" t="s">
        <v>286</v>
      </c>
      <c r="S470" s="36" t="str">
        <f>VLOOKUP(Tabla91116[[#This Row],[CODIGO DEL PRODUCTO]],Tabla797[],2,FALSE)</f>
        <v>CPF 40 AVELLANEDA</v>
      </c>
      <c r="T470" s="37">
        <v>36.1</v>
      </c>
    </row>
    <row r="471" spans="8:21" x14ac:dyDescent="0.25">
      <c r="H471" s="34"/>
      <c r="I471" s="34" t="s">
        <v>53</v>
      </c>
      <c r="J471" s="35">
        <v>46162</v>
      </c>
      <c r="K471" s="36" t="s">
        <v>286</v>
      </c>
      <c r="L471" s="39" t="str">
        <f>VLOOKUP(Tabla81015[[#This Row],[CODIGO DEL PRODUCTO]],Tabla797[],2,FALSE)</f>
        <v>CPF 40 AVELLANEDA</v>
      </c>
      <c r="M471" s="37">
        <v>458.99</v>
      </c>
      <c r="N471" s="158"/>
      <c r="O471" s="76">
        <v>103689</v>
      </c>
      <c r="P471" s="76" t="s">
        <v>683</v>
      </c>
      <c r="Q471" s="77">
        <v>46092</v>
      </c>
      <c r="R471" s="78" t="s">
        <v>42</v>
      </c>
      <c r="S471" s="36" t="str">
        <f>VLOOKUP(Tabla91116[[#This Row],[CODIGO DEL PRODUCTO]],Tabla797[],2,FALSE)</f>
        <v>ARENA FINA</v>
      </c>
      <c r="T471" s="37">
        <v>36.74</v>
      </c>
    </row>
    <row r="472" spans="8:21" x14ac:dyDescent="0.25">
      <c r="H472" s="34"/>
      <c r="I472" s="34" t="s">
        <v>53</v>
      </c>
      <c r="J472" s="35">
        <v>46163</v>
      </c>
      <c r="K472" s="36" t="s">
        <v>48</v>
      </c>
      <c r="L472" s="39" t="str">
        <f>VLOOKUP(Tabla81015[[#This Row],[CODIGO DEL PRODUCTO]],Tabla797[],2,FALSE)</f>
        <v>PIEDRA 6-12</v>
      </c>
      <c r="M472" s="37">
        <v>42.7</v>
      </c>
      <c r="N472" s="158"/>
      <c r="O472" s="76">
        <v>103690</v>
      </c>
      <c r="P472" s="76" t="s">
        <v>683</v>
      </c>
      <c r="Q472" s="77">
        <v>46092</v>
      </c>
      <c r="R472" s="78" t="s">
        <v>42</v>
      </c>
      <c r="S472" s="36" t="str">
        <f>VLOOKUP(Tabla91116[[#This Row],[CODIGO DEL PRODUCTO]],Tabla797[],2,FALSE)</f>
        <v>ARENA FINA</v>
      </c>
      <c r="T472" s="37">
        <v>36.04</v>
      </c>
    </row>
    <row r="473" spans="8:21" x14ac:dyDescent="0.25">
      <c r="H473" s="34"/>
      <c r="I473" s="34" t="s">
        <v>53</v>
      </c>
      <c r="J473" s="35">
        <v>46164</v>
      </c>
      <c r="K473" s="36" t="s">
        <v>43</v>
      </c>
      <c r="L473" s="39" t="str">
        <f>VLOOKUP(Tabla81015[[#This Row],[CODIGO DEL PRODUCTO]],Tabla797[],2,FALSE)</f>
        <v>PIEDRA 6-20</v>
      </c>
      <c r="M473" s="37">
        <v>1363.4</v>
      </c>
      <c r="N473" s="158"/>
      <c r="O473" s="76">
        <v>103695</v>
      </c>
      <c r="P473" s="76" t="s">
        <v>683</v>
      </c>
      <c r="Q473" s="77">
        <v>46092</v>
      </c>
      <c r="R473" s="78" t="s">
        <v>42</v>
      </c>
      <c r="S473" s="36" t="str">
        <f>VLOOKUP(Tabla91116[[#This Row],[CODIGO DEL PRODUCTO]],Tabla797[],2,FALSE)</f>
        <v>ARENA FINA</v>
      </c>
      <c r="T473" s="37">
        <v>35.08</v>
      </c>
    </row>
    <row r="474" spans="8:21" x14ac:dyDescent="0.25">
      <c r="H474" s="34"/>
      <c r="I474" s="34" t="s">
        <v>53</v>
      </c>
      <c r="J474" s="35">
        <v>46165</v>
      </c>
      <c r="K474" s="36" t="s">
        <v>425</v>
      </c>
      <c r="L474" s="39" t="str">
        <f>VLOOKUP(Tabla81015[[#This Row],[CODIGO DEL PRODUCTO]],Tabla797[],2,FALSE)</f>
        <v>W351R</v>
      </c>
      <c r="M474" s="37">
        <v>2.38</v>
      </c>
      <c r="N474" s="158"/>
      <c r="O474" s="76">
        <v>103696</v>
      </c>
      <c r="P474" s="76" t="s">
        <v>683</v>
      </c>
      <c r="Q474" s="77">
        <v>46092</v>
      </c>
      <c r="R474" s="78" t="s">
        <v>42</v>
      </c>
      <c r="S474" s="36" t="str">
        <f>VLOOKUP(Tabla91116[[#This Row],[CODIGO DEL PRODUCTO]],Tabla797[],2,FALSE)</f>
        <v>ARENA FINA</v>
      </c>
      <c r="T474" s="37">
        <v>37.520000000000003</v>
      </c>
    </row>
    <row r="475" spans="8:21" x14ac:dyDescent="0.25">
      <c r="H475" s="34">
        <v>19520</v>
      </c>
      <c r="I475" s="34" t="s">
        <v>513</v>
      </c>
      <c r="J475" s="35">
        <v>46168</v>
      </c>
      <c r="K475" s="36" t="s">
        <v>468</v>
      </c>
      <c r="L475" s="39" t="str">
        <f>VLOOKUP(Tabla81015[[#This Row],[CODIGO DEL PRODUCTO]],Tabla797[],2,FALSE)</f>
        <v>ESTABILIZADO 0-100 X TN</v>
      </c>
      <c r="M475" s="37">
        <v>22.32</v>
      </c>
      <c r="N475" s="158"/>
      <c r="O475" s="76">
        <v>108012</v>
      </c>
      <c r="P475" s="76" t="s">
        <v>684</v>
      </c>
      <c r="Q475" s="77">
        <v>46092</v>
      </c>
      <c r="R475" s="78" t="s">
        <v>40</v>
      </c>
      <c r="S475" s="36" t="str">
        <f>VLOOKUP(Tabla91116[[#This Row],[CODIGO DEL PRODUCTO]],Tabla797[],2,FALSE)</f>
        <v>PIEDRA 0-6</v>
      </c>
      <c r="T475" s="37">
        <v>35.979999999999997</v>
      </c>
    </row>
    <row r="476" spans="8:21" x14ac:dyDescent="0.25">
      <c r="H476" s="34">
        <v>19522</v>
      </c>
      <c r="I476" s="34" t="s">
        <v>426</v>
      </c>
      <c r="J476" s="35">
        <v>46168</v>
      </c>
      <c r="K476" s="36" t="s">
        <v>42</v>
      </c>
      <c r="L476" s="39" t="str">
        <f>VLOOKUP(Tabla81015[[#This Row],[CODIGO DEL PRODUCTO]],Tabla797[],2,FALSE)</f>
        <v>ARENA FINA</v>
      </c>
      <c r="M476" s="37">
        <v>4</v>
      </c>
      <c r="N476" s="158"/>
      <c r="O476" s="76">
        <v>108013</v>
      </c>
      <c r="P476" s="76" t="s">
        <v>684</v>
      </c>
      <c r="Q476" s="77">
        <v>46092</v>
      </c>
      <c r="R476" s="78" t="s">
        <v>43</v>
      </c>
      <c r="S476" s="36" t="str">
        <f>VLOOKUP(Tabla91116[[#This Row],[CODIGO DEL PRODUCTO]],Tabla797[],2,FALSE)</f>
        <v>PIEDRA 6-20</v>
      </c>
      <c r="T476" s="37">
        <v>35.200000000000003</v>
      </c>
      <c r="U476" s="7"/>
    </row>
    <row r="477" spans="8:21" x14ac:dyDescent="0.25">
      <c r="H477" s="34">
        <v>19525</v>
      </c>
      <c r="I477" s="34" t="s">
        <v>426</v>
      </c>
      <c r="J477" s="35">
        <v>46168</v>
      </c>
      <c r="K477" s="36" t="s">
        <v>42</v>
      </c>
      <c r="L477" s="39" t="str">
        <f>VLOOKUP(Tabla81015[[#This Row],[CODIGO DEL PRODUCTO]],Tabla797[],2,FALSE)</f>
        <v>ARENA FINA</v>
      </c>
      <c r="M477" s="37">
        <v>5</v>
      </c>
      <c r="N477" s="158"/>
      <c r="O477" s="76">
        <v>108027</v>
      </c>
      <c r="P477" s="76" t="s">
        <v>684</v>
      </c>
      <c r="Q477" s="77">
        <v>46092</v>
      </c>
      <c r="R477" s="78" t="s">
        <v>40</v>
      </c>
      <c r="S477" s="36" t="str">
        <f>VLOOKUP(Tabla91116[[#This Row],[CODIGO DEL PRODUCTO]],Tabla797[],2,FALSE)</f>
        <v>PIEDRA 0-6</v>
      </c>
      <c r="T477" s="37">
        <v>35.840000000000003</v>
      </c>
    </row>
    <row r="478" spans="8:21" x14ac:dyDescent="0.25">
      <c r="H478" s="34">
        <v>19539</v>
      </c>
      <c r="I478" s="34" t="s">
        <v>513</v>
      </c>
      <c r="J478" s="35">
        <v>46168</v>
      </c>
      <c r="K478" s="36" t="s">
        <v>468</v>
      </c>
      <c r="L478" s="39" t="str">
        <f>VLOOKUP(Tabla81015[[#This Row],[CODIGO DEL PRODUCTO]],Tabla797[],2,FALSE)</f>
        <v>ESTABILIZADO 0-100 X TN</v>
      </c>
      <c r="M478" s="37">
        <v>29.94</v>
      </c>
      <c r="N478" s="158"/>
      <c r="O478" s="76">
        <v>2695148</v>
      </c>
      <c r="P478" s="76" t="s">
        <v>679</v>
      </c>
      <c r="Q478" s="77">
        <v>46092</v>
      </c>
      <c r="R478" s="78" t="s">
        <v>286</v>
      </c>
      <c r="S478" s="36" t="str">
        <f>VLOOKUP(Tabla91116[[#This Row],[CODIGO DEL PRODUCTO]],Tabla797[],2,FALSE)</f>
        <v>CPF 40 AVELLANEDA</v>
      </c>
      <c r="T478" s="37">
        <v>35.96</v>
      </c>
    </row>
    <row r="479" spans="8:21" x14ac:dyDescent="0.25">
      <c r="H479" s="34">
        <v>19560</v>
      </c>
      <c r="I479" s="34" t="s">
        <v>426</v>
      </c>
      <c r="J479" s="35">
        <v>46168</v>
      </c>
      <c r="K479" s="36" t="s">
        <v>468</v>
      </c>
      <c r="L479" s="39" t="str">
        <f>VLOOKUP(Tabla81015[[#This Row],[CODIGO DEL PRODUCTO]],Tabla797[],2,FALSE)</f>
        <v>ESTABILIZADO 0-100 X TN</v>
      </c>
      <c r="M479" s="37">
        <v>33.44</v>
      </c>
      <c r="N479" s="158"/>
      <c r="O479" s="76">
        <v>103703</v>
      </c>
      <c r="P479" s="76" t="s">
        <v>683</v>
      </c>
      <c r="Q479" s="77">
        <v>46093</v>
      </c>
      <c r="R479" s="78" t="s">
        <v>42</v>
      </c>
      <c r="S479" s="36" t="str">
        <f>VLOOKUP(Tabla91116[[#This Row],[CODIGO DEL PRODUCTO]],Tabla797[],2,FALSE)</f>
        <v>ARENA FINA</v>
      </c>
      <c r="T479" s="37">
        <v>34.880000000000003</v>
      </c>
    </row>
    <row r="480" spans="8:21" x14ac:dyDescent="0.25">
      <c r="H480" s="34">
        <v>19570</v>
      </c>
      <c r="I480" s="34" t="s">
        <v>602</v>
      </c>
      <c r="J480" s="35">
        <v>46169</v>
      </c>
      <c r="K480" s="36" t="s">
        <v>43</v>
      </c>
      <c r="L480" s="39" t="str">
        <f>VLOOKUP(Tabla81015[[#This Row],[CODIGO DEL PRODUCTO]],Tabla797[],2,FALSE)</f>
        <v>PIEDRA 6-20</v>
      </c>
      <c r="M480" s="37">
        <v>3</v>
      </c>
      <c r="N480" s="158"/>
      <c r="O480" s="76">
        <v>103705</v>
      </c>
      <c r="P480" s="76" t="s">
        <v>683</v>
      </c>
      <c r="Q480" s="77">
        <v>46093</v>
      </c>
      <c r="R480" s="78" t="s">
        <v>42</v>
      </c>
      <c r="S480" s="36" t="str">
        <f>VLOOKUP(Tabla91116[[#This Row],[CODIGO DEL PRODUCTO]],Tabla797[],2,FALSE)</f>
        <v>ARENA FINA</v>
      </c>
      <c r="T480" s="37">
        <v>35.6</v>
      </c>
    </row>
    <row r="481" spans="8:21" x14ac:dyDescent="0.25">
      <c r="H481" s="34">
        <v>19575</v>
      </c>
      <c r="I481" s="34" t="s">
        <v>790</v>
      </c>
      <c r="J481" s="35">
        <v>46169</v>
      </c>
      <c r="K481" s="36" t="s">
        <v>468</v>
      </c>
      <c r="L481" s="39" t="str">
        <f>VLOOKUP(Tabla81015[[#This Row],[CODIGO DEL PRODUCTO]],Tabla797[],2,FALSE)</f>
        <v>ESTABILIZADO 0-100 X TN</v>
      </c>
      <c r="M481" s="37">
        <v>31.14</v>
      </c>
      <c r="N481" s="158"/>
      <c r="O481" s="76">
        <v>103710</v>
      </c>
      <c r="P481" s="76" t="s">
        <v>683</v>
      </c>
      <c r="Q481" s="77">
        <v>46093</v>
      </c>
      <c r="R481" s="78" t="s">
        <v>42</v>
      </c>
      <c r="S481" s="36" t="str">
        <f>VLOOKUP(Tabla91116[[#This Row],[CODIGO DEL PRODUCTO]],Tabla797[],2,FALSE)</f>
        <v>ARENA FINA</v>
      </c>
      <c r="T481" s="37">
        <v>36.979999999999997</v>
      </c>
    </row>
    <row r="482" spans="8:21" x14ac:dyDescent="0.25">
      <c r="H482" s="34">
        <v>19581</v>
      </c>
      <c r="I482" s="34" t="s">
        <v>790</v>
      </c>
      <c r="J482" s="35">
        <v>46169</v>
      </c>
      <c r="K482" s="36" t="s">
        <v>468</v>
      </c>
      <c r="L482" s="39" t="str">
        <f>VLOOKUP(Tabla81015[[#This Row],[CODIGO DEL PRODUCTO]],Tabla797[],2,FALSE)</f>
        <v>ESTABILIZADO 0-100 X TN</v>
      </c>
      <c r="M482" s="37">
        <v>23.16</v>
      </c>
      <c r="N482" s="158"/>
      <c r="O482" s="76">
        <v>103711</v>
      </c>
      <c r="P482" s="76" t="s">
        <v>683</v>
      </c>
      <c r="Q482" s="77">
        <v>46093</v>
      </c>
      <c r="R482" s="78" t="s">
        <v>42</v>
      </c>
      <c r="S482" s="36" t="str">
        <f>VLOOKUP(Tabla91116[[#This Row],[CODIGO DEL PRODUCTO]],Tabla797[],2,FALSE)</f>
        <v>ARENA FINA</v>
      </c>
      <c r="T482" s="37">
        <v>34.78</v>
      </c>
    </row>
    <row r="483" spans="8:21" x14ac:dyDescent="0.25">
      <c r="H483" s="34">
        <v>19559</v>
      </c>
      <c r="I483" s="34" t="s">
        <v>790</v>
      </c>
      <c r="J483" s="35">
        <v>46169</v>
      </c>
      <c r="K483" s="36" t="s">
        <v>468</v>
      </c>
      <c r="L483" s="39" t="str">
        <f>VLOOKUP(Tabla81015[[#This Row],[CODIGO DEL PRODUCTO]],Tabla797[],2,FALSE)</f>
        <v>ESTABILIZADO 0-100 X TN</v>
      </c>
      <c r="M483" s="37">
        <v>26.66</v>
      </c>
      <c r="N483" s="158"/>
      <c r="O483" s="76">
        <v>103714</v>
      </c>
      <c r="P483" s="76" t="s">
        <v>683</v>
      </c>
      <c r="Q483" s="77">
        <v>46093</v>
      </c>
      <c r="R483" s="78" t="s">
        <v>42</v>
      </c>
      <c r="S483" s="36" t="str">
        <f>VLOOKUP(Tabla91116[[#This Row],[CODIGO DEL PRODUCTO]],Tabla797[],2,FALSE)</f>
        <v>ARENA FINA</v>
      </c>
      <c r="T483" s="37">
        <v>38.58</v>
      </c>
    </row>
    <row r="484" spans="8:21" x14ac:dyDescent="0.25">
      <c r="H484" s="34">
        <v>19600</v>
      </c>
      <c r="I484" s="34" t="s">
        <v>804</v>
      </c>
      <c r="J484" s="35">
        <v>46169</v>
      </c>
      <c r="K484" s="36" t="s">
        <v>468</v>
      </c>
      <c r="L484" s="39" t="str">
        <f>VLOOKUP(Tabla81015[[#This Row],[CODIGO DEL PRODUCTO]],Tabla797[],2,FALSE)</f>
        <v>ESTABILIZADO 0-100 X TN</v>
      </c>
      <c r="M484" s="37">
        <v>33.4</v>
      </c>
      <c r="N484" s="158"/>
      <c r="O484" s="76">
        <v>108051</v>
      </c>
      <c r="P484" s="76" t="s">
        <v>684</v>
      </c>
      <c r="Q484" s="77">
        <v>46093</v>
      </c>
      <c r="R484" s="78" t="s">
        <v>40</v>
      </c>
      <c r="S484" s="36" t="str">
        <f>VLOOKUP(Tabla91116[[#This Row],[CODIGO DEL PRODUCTO]],Tabla797[],2,FALSE)</f>
        <v>PIEDRA 0-6</v>
      </c>
      <c r="T484" s="37">
        <v>35.200000000000003</v>
      </c>
      <c r="U484" s="7"/>
    </row>
    <row r="485" spans="8:21" x14ac:dyDescent="0.25">
      <c r="H485" s="34">
        <v>19606</v>
      </c>
      <c r="I485" s="34" t="s">
        <v>794</v>
      </c>
      <c r="J485" s="35">
        <v>46170</v>
      </c>
      <c r="K485" s="36" t="s">
        <v>42</v>
      </c>
      <c r="L485" s="39" t="str">
        <f>VLOOKUP(Tabla81015[[#This Row],[CODIGO DEL PRODUCTO]],Tabla797[],2,FALSE)</f>
        <v>ARENA FINA</v>
      </c>
      <c r="M485" s="37">
        <v>2</v>
      </c>
      <c r="N485" s="158"/>
      <c r="O485" s="76">
        <v>2695423</v>
      </c>
      <c r="P485" s="76" t="s">
        <v>679</v>
      </c>
      <c r="Q485" s="77">
        <v>46093</v>
      </c>
      <c r="R485" s="78" t="s">
        <v>286</v>
      </c>
      <c r="S485" s="36" t="str">
        <f>VLOOKUP(Tabla91116[[#This Row],[CODIGO DEL PRODUCTO]],Tabla797[],2,FALSE)</f>
        <v>CPF 40 AVELLANEDA</v>
      </c>
      <c r="T485" s="37">
        <v>35.799999999999997</v>
      </c>
    </row>
    <row r="486" spans="8:21" x14ac:dyDescent="0.25">
      <c r="H486" s="34">
        <v>19607</v>
      </c>
      <c r="I486" s="34" t="s">
        <v>312</v>
      </c>
      <c r="J486" s="35">
        <v>46170</v>
      </c>
      <c r="K486" s="36" t="s">
        <v>42</v>
      </c>
      <c r="L486" s="39" t="str">
        <f>VLOOKUP(Tabla81015[[#This Row],[CODIGO DEL PRODUCTO]],Tabla797[],2,FALSE)</f>
        <v>ARENA FINA</v>
      </c>
      <c r="M486" s="37">
        <v>3</v>
      </c>
      <c r="N486" s="158"/>
      <c r="O486" s="76">
        <v>2695503</v>
      </c>
      <c r="P486" s="76" t="s">
        <v>679</v>
      </c>
      <c r="Q486" s="77">
        <v>46093</v>
      </c>
      <c r="R486" s="78" t="s">
        <v>286</v>
      </c>
      <c r="S486" s="36" t="str">
        <f>VLOOKUP(Tabla91116[[#This Row],[CODIGO DEL PRODUCTO]],Tabla797[],2,FALSE)</f>
        <v>CPF 40 AVELLANEDA</v>
      </c>
      <c r="T486" s="37">
        <v>35.92</v>
      </c>
    </row>
    <row r="487" spans="8:21" x14ac:dyDescent="0.25">
      <c r="H487" s="34">
        <v>19615</v>
      </c>
      <c r="I487" s="34" t="s">
        <v>790</v>
      </c>
      <c r="J487" s="35">
        <v>46170</v>
      </c>
      <c r="K487" s="36" t="s">
        <v>468</v>
      </c>
      <c r="L487" s="39" t="str">
        <f>VLOOKUP(Tabla81015[[#This Row],[CODIGO DEL PRODUCTO]],Tabla797[],2,FALSE)</f>
        <v>ESTABILIZADO 0-100 X TN</v>
      </c>
      <c r="M487" s="37">
        <v>32.799999999999997</v>
      </c>
      <c r="N487" s="158"/>
      <c r="O487" s="76">
        <v>103720</v>
      </c>
      <c r="P487" s="76" t="s">
        <v>683</v>
      </c>
      <c r="Q487" s="77">
        <v>46094</v>
      </c>
      <c r="R487" s="78" t="s">
        <v>42</v>
      </c>
      <c r="S487" s="36" t="str">
        <f>VLOOKUP(Tabla91116[[#This Row],[CODIGO DEL PRODUCTO]],Tabla797[],2,FALSE)</f>
        <v>ARENA FINA</v>
      </c>
      <c r="T487" s="37">
        <v>35.68</v>
      </c>
    </row>
    <row r="488" spans="8:21" x14ac:dyDescent="0.25">
      <c r="H488" s="34">
        <v>19616</v>
      </c>
      <c r="I488" s="34" t="s">
        <v>790</v>
      </c>
      <c r="J488" s="35">
        <v>46170</v>
      </c>
      <c r="K488" s="36" t="s">
        <v>468</v>
      </c>
      <c r="L488" s="39" t="str">
        <f>VLOOKUP(Tabla81015[[#This Row],[CODIGO DEL PRODUCTO]],Tabla797[],2,FALSE)</f>
        <v>ESTABILIZADO 0-100 X TN</v>
      </c>
      <c r="M488" s="37">
        <v>29.1</v>
      </c>
      <c r="N488" s="158"/>
      <c r="O488" s="76">
        <v>103721</v>
      </c>
      <c r="P488" s="76" t="s">
        <v>683</v>
      </c>
      <c r="Q488" s="77">
        <v>46094</v>
      </c>
      <c r="R488" s="78" t="s">
        <v>42</v>
      </c>
      <c r="S488" s="36" t="str">
        <f>VLOOKUP(Tabla91116[[#This Row],[CODIGO DEL PRODUCTO]],Tabla797[],2,FALSE)</f>
        <v>ARENA FINA</v>
      </c>
      <c r="T488" s="37">
        <v>37.08</v>
      </c>
    </row>
    <row r="489" spans="8:21" x14ac:dyDescent="0.25">
      <c r="H489" s="34">
        <v>19627</v>
      </c>
      <c r="I489" s="34" t="s">
        <v>790</v>
      </c>
      <c r="J489" s="35">
        <v>46170</v>
      </c>
      <c r="K489" s="36" t="s">
        <v>468</v>
      </c>
      <c r="L489" s="39" t="str">
        <f>VLOOKUP(Tabla81015[[#This Row],[CODIGO DEL PRODUCTO]],Tabla797[],2,FALSE)</f>
        <v>ESTABILIZADO 0-100 X TN</v>
      </c>
      <c r="M489" s="37">
        <v>21.16</v>
      </c>
      <c r="N489" s="158"/>
      <c r="O489" s="76">
        <v>103726</v>
      </c>
      <c r="P489" s="76" t="s">
        <v>683</v>
      </c>
      <c r="Q489" s="77">
        <v>46094</v>
      </c>
      <c r="R489" s="78" t="s">
        <v>42</v>
      </c>
      <c r="S489" s="36" t="str">
        <f>VLOOKUP(Tabla91116[[#This Row],[CODIGO DEL PRODUCTO]],Tabla797[],2,FALSE)</f>
        <v>ARENA FINA</v>
      </c>
      <c r="T489" s="37">
        <v>36.9</v>
      </c>
    </row>
    <row r="490" spans="8:21" x14ac:dyDescent="0.25">
      <c r="H490" s="34">
        <v>19628</v>
      </c>
      <c r="I490" s="34" t="s">
        <v>790</v>
      </c>
      <c r="J490" s="35">
        <v>46170</v>
      </c>
      <c r="K490" s="36" t="s">
        <v>468</v>
      </c>
      <c r="L490" s="39" t="str">
        <f>VLOOKUP(Tabla81015[[#This Row],[CODIGO DEL PRODUCTO]],Tabla797[],2,FALSE)</f>
        <v>ESTABILIZADO 0-100 X TN</v>
      </c>
      <c r="M490" s="37">
        <v>25.34</v>
      </c>
      <c r="N490" s="158"/>
      <c r="O490" s="76">
        <v>103727</v>
      </c>
      <c r="P490" s="76" t="s">
        <v>683</v>
      </c>
      <c r="Q490" s="77">
        <v>46094</v>
      </c>
      <c r="R490" s="78" t="s">
        <v>42</v>
      </c>
      <c r="S490" s="36" t="str">
        <f>VLOOKUP(Tabla91116[[#This Row],[CODIGO DEL PRODUCTO]],Tabla797[],2,FALSE)</f>
        <v>ARENA FINA</v>
      </c>
      <c r="T490" s="37">
        <v>34.76</v>
      </c>
    </row>
    <row r="491" spans="8:21" x14ac:dyDescent="0.25">
      <c r="H491" s="34">
        <v>19657</v>
      </c>
      <c r="I491" s="34" t="s">
        <v>790</v>
      </c>
      <c r="J491" s="35">
        <v>46170</v>
      </c>
      <c r="K491" s="36" t="s">
        <v>468</v>
      </c>
      <c r="L491" s="39" t="str">
        <f>VLOOKUP(Tabla81015[[#This Row],[CODIGO DEL PRODUCTO]],Tabla797[],2,FALSE)</f>
        <v>ESTABILIZADO 0-100 X TN</v>
      </c>
      <c r="M491" s="37">
        <v>31.8</v>
      </c>
      <c r="N491" s="158"/>
      <c r="O491" s="76">
        <v>108071</v>
      </c>
      <c r="P491" s="76" t="s">
        <v>684</v>
      </c>
      <c r="Q491" s="77">
        <v>46094</v>
      </c>
      <c r="R491" s="78" t="s">
        <v>40</v>
      </c>
      <c r="S491" s="36" t="str">
        <f>VLOOKUP(Tabla91116[[#This Row],[CODIGO DEL PRODUCTO]],Tabla797[],2,FALSE)</f>
        <v>PIEDRA 0-6</v>
      </c>
      <c r="T491" s="37">
        <v>35.479999999999997</v>
      </c>
    </row>
    <row r="492" spans="8:21" x14ac:dyDescent="0.25">
      <c r="H492" s="34">
        <v>19658</v>
      </c>
      <c r="I492" s="34" t="s">
        <v>790</v>
      </c>
      <c r="J492" s="35">
        <v>46170</v>
      </c>
      <c r="K492" s="36" t="s">
        <v>468</v>
      </c>
      <c r="L492" s="39" t="str">
        <f>VLOOKUP(Tabla81015[[#This Row],[CODIGO DEL PRODUCTO]],Tabla797[],2,FALSE)</f>
        <v>ESTABILIZADO 0-100 X TN</v>
      </c>
      <c r="M492" s="37">
        <v>21.5</v>
      </c>
      <c r="N492" s="158"/>
      <c r="O492" s="76">
        <v>108086</v>
      </c>
      <c r="P492" s="76" t="s">
        <v>684</v>
      </c>
      <c r="Q492" s="77">
        <v>46094</v>
      </c>
      <c r="R492" s="78" t="s">
        <v>40</v>
      </c>
      <c r="S492" s="36" t="str">
        <f>VLOOKUP(Tabla91116[[#This Row],[CODIGO DEL PRODUCTO]],Tabla797[],2,FALSE)</f>
        <v>PIEDRA 0-6</v>
      </c>
      <c r="T492" s="37">
        <v>36.04</v>
      </c>
    </row>
    <row r="493" spans="8:21" x14ac:dyDescent="0.25">
      <c r="H493" s="34">
        <v>19660</v>
      </c>
      <c r="I493" s="34" t="s">
        <v>790</v>
      </c>
      <c r="J493" s="35">
        <v>46170</v>
      </c>
      <c r="K493" s="36" t="s">
        <v>468</v>
      </c>
      <c r="L493" s="39" t="str">
        <f>VLOOKUP(Tabla81015[[#This Row],[CODIGO DEL PRODUCTO]],Tabla797[],2,FALSE)</f>
        <v>ESTABILIZADO 0-100 X TN</v>
      </c>
      <c r="M493" s="37">
        <v>26.24</v>
      </c>
      <c r="N493" s="158"/>
      <c r="O493" s="76">
        <v>108094</v>
      </c>
      <c r="P493" s="76" t="s">
        <v>684</v>
      </c>
      <c r="Q493" s="77">
        <v>46094</v>
      </c>
      <c r="R493" s="78" t="s">
        <v>48</v>
      </c>
      <c r="S493" s="36" t="str">
        <f>VLOOKUP(Tabla91116[[#This Row],[CODIGO DEL PRODUCTO]],Tabla797[],2,FALSE)</f>
        <v>PIEDRA 6-12</v>
      </c>
      <c r="T493" s="37">
        <v>35.82</v>
      </c>
    </row>
    <row r="494" spans="8:21" x14ac:dyDescent="0.25">
      <c r="H494" s="34">
        <v>19679</v>
      </c>
      <c r="I494" s="34" t="s">
        <v>312</v>
      </c>
      <c r="J494" s="35">
        <v>46171</v>
      </c>
      <c r="K494" s="36" t="s">
        <v>42</v>
      </c>
      <c r="L494" s="39" t="str">
        <f>VLOOKUP(Tabla81015[[#This Row],[CODIGO DEL PRODUCTO]],Tabla797[],2,FALSE)</f>
        <v>ARENA FINA</v>
      </c>
      <c r="M494" s="37">
        <v>2</v>
      </c>
      <c r="N494" s="158"/>
      <c r="O494" s="76">
        <v>2695621</v>
      </c>
      <c r="P494" s="76" t="s">
        <v>679</v>
      </c>
      <c r="Q494" s="77">
        <v>46094</v>
      </c>
      <c r="R494" s="78" t="s">
        <v>286</v>
      </c>
      <c r="S494" s="36" t="str">
        <f>VLOOKUP(Tabla91116[[#This Row],[CODIGO DEL PRODUCTO]],Tabla797[],2,FALSE)</f>
        <v>CPF 40 AVELLANEDA</v>
      </c>
      <c r="T494" s="37">
        <v>35.92</v>
      </c>
    </row>
    <row r="495" spans="8:21" x14ac:dyDescent="0.25">
      <c r="H495" s="34"/>
      <c r="I495" s="34" t="s">
        <v>312</v>
      </c>
      <c r="J495" s="35">
        <v>46171</v>
      </c>
      <c r="K495" s="36" t="s">
        <v>40</v>
      </c>
      <c r="L495" s="39" t="str">
        <f>VLOOKUP(Tabla81015[[#This Row],[CODIGO DEL PRODUCTO]],Tabla797[],2,FALSE)</f>
        <v>PIEDRA 0-6</v>
      </c>
      <c r="M495" s="37">
        <v>1</v>
      </c>
      <c r="N495" s="158"/>
      <c r="O495" s="76">
        <v>2695752</v>
      </c>
      <c r="P495" s="76" t="s">
        <v>679</v>
      </c>
      <c r="Q495" s="77">
        <v>46094</v>
      </c>
      <c r="R495" s="78" t="s">
        <v>286</v>
      </c>
      <c r="S495" s="36" t="str">
        <f>VLOOKUP(Tabla91116[[#This Row],[CODIGO DEL PRODUCTO]],Tabla797[],2,FALSE)</f>
        <v>CPF 40 AVELLANEDA</v>
      </c>
      <c r="T495" s="37">
        <v>36.1</v>
      </c>
    </row>
    <row r="496" spans="8:21" x14ac:dyDescent="0.25">
      <c r="H496" s="34">
        <v>19682</v>
      </c>
      <c r="I496" s="34" t="s">
        <v>790</v>
      </c>
      <c r="J496" s="35">
        <v>46171</v>
      </c>
      <c r="K496" s="36" t="s">
        <v>468</v>
      </c>
      <c r="L496" s="39" t="str">
        <f>VLOOKUP(Tabla81015[[#This Row],[CODIGO DEL PRODUCTO]],Tabla797[],2,FALSE)</f>
        <v>ESTABILIZADO 0-100 X TN</v>
      </c>
      <c r="M496" s="37">
        <v>32.119999999999997</v>
      </c>
      <c r="N496" s="158"/>
      <c r="O496" s="76">
        <v>42595</v>
      </c>
      <c r="P496" s="76" t="s">
        <v>449</v>
      </c>
      <c r="Q496" s="77">
        <v>46094</v>
      </c>
      <c r="R496" s="78" t="s">
        <v>450</v>
      </c>
      <c r="S496" s="36" t="str">
        <f>VLOOKUP(Tabla91116[[#This Row],[CODIGO DEL PRODUCTO]],Tabla797[],2,FALSE)</f>
        <v>W500R</v>
      </c>
      <c r="T496" s="37">
        <v>1</v>
      </c>
    </row>
    <row r="497" spans="8:23" x14ac:dyDescent="0.25">
      <c r="H497" s="34">
        <v>19710</v>
      </c>
      <c r="I497" s="34" t="s">
        <v>790</v>
      </c>
      <c r="J497" s="35">
        <v>46171</v>
      </c>
      <c r="K497" s="36" t="s">
        <v>468</v>
      </c>
      <c r="L497" s="39" t="str">
        <f>VLOOKUP(Tabla81015[[#This Row],[CODIGO DEL PRODUCTO]],Tabla797[],2,FALSE)</f>
        <v>ESTABILIZADO 0-100 X TN</v>
      </c>
      <c r="M497" s="37">
        <v>22.92</v>
      </c>
      <c r="N497" s="158"/>
      <c r="O497" s="76">
        <v>103734</v>
      </c>
      <c r="P497" s="76" t="s">
        <v>683</v>
      </c>
      <c r="Q497" s="77">
        <v>46095</v>
      </c>
      <c r="R497" s="78" t="s">
        <v>42</v>
      </c>
      <c r="S497" s="36" t="str">
        <f>VLOOKUP(Tabla91116[[#This Row],[CODIGO DEL PRODUCTO]],Tabla797[],2,FALSE)</f>
        <v>ARENA FINA</v>
      </c>
      <c r="T497" s="37">
        <v>36.46</v>
      </c>
    </row>
    <row r="498" spans="8:23" x14ac:dyDescent="0.25">
      <c r="H498" s="34">
        <v>19717</v>
      </c>
      <c r="I498" s="34" t="s">
        <v>790</v>
      </c>
      <c r="J498" s="35">
        <v>46171</v>
      </c>
      <c r="K498" s="36" t="s">
        <v>468</v>
      </c>
      <c r="L498" s="39" t="str">
        <f>VLOOKUP(Tabla81015[[#This Row],[CODIGO DEL PRODUCTO]],Tabla797[],2,FALSE)</f>
        <v>ESTABILIZADO 0-100 X TN</v>
      </c>
      <c r="M498" s="37">
        <v>25.42</v>
      </c>
      <c r="N498" s="158"/>
      <c r="O498" s="76">
        <v>108100</v>
      </c>
      <c r="P498" s="76" t="s">
        <v>684</v>
      </c>
      <c r="Q498" s="77">
        <v>46095</v>
      </c>
      <c r="R498" s="78" t="s">
        <v>40</v>
      </c>
      <c r="S498" s="36" t="str">
        <f>VLOOKUP(Tabla91116[[#This Row],[CODIGO DEL PRODUCTO]],Tabla797[],2,FALSE)</f>
        <v>PIEDRA 0-6</v>
      </c>
      <c r="T498" s="37">
        <v>35.18</v>
      </c>
    </row>
    <row r="499" spans="8:23" x14ac:dyDescent="0.25">
      <c r="H499" s="34">
        <v>19758</v>
      </c>
      <c r="I499" s="34" t="s">
        <v>790</v>
      </c>
      <c r="J499" s="35">
        <v>46172</v>
      </c>
      <c r="K499" s="36" t="s">
        <v>468</v>
      </c>
      <c r="L499" s="39" t="str">
        <f>VLOOKUP(Tabla81015[[#This Row],[CODIGO DEL PRODUCTO]],Tabla797[],2,FALSE)</f>
        <v>ESTABILIZADO 0-100 X TN</v>
      </c>
      <c r="M499" s="37">
        <v>33.96</v>
      </c>
      <c r="N499" s="158"/>
      <c r="O499" s="76">
        <v>108102</v>
      </c>
      <c r="P499" s="76" t="s">
        <v>684</v>
      </c>
      <c r="Q499" s="77">
        <v>46095</v>
      </c>
      <c r="R499" s="78" t="s">
        <v>40</v>
      </c>
      <c r="S499" s="36" t="str">
        <f>VLOOKUP(Tabla91116[[#This Row],[CODIGO DEL PRODUCTO]],Tabla797[],2,FALSE)</f>
        <v>PIEDRA 0-6</v>
      </c>
      <c r="T499" s="37">
        <v>34.64</v>
      </c>
    </row>
    <row r="500" spans="8:23" x14ac:dyDescent="0.25">
      <c r="H500" s="34"/>
      <c r="I500" s="34" t="s">
        <v>53</v>
      </c>
      <c r="J500" s="35">
        <v>46167</v>
      </c>
      <c r="K500" s="36" t="s">
        <v>42</v>
      </c>
      <c r="L500" s="39" t="str">
        <f>VLOOKUP(Tabla81015[[#This Row],[CODIGO DEL PRODUCTO]],Tabla797[],2,FALSE)</f>
        <v>ARENA FINA</v>
      </c>
      <c r="M500" s="37">
        <v>863.78</v>
      </c>
      <c r="N500" s="158"/>
      <c r="O500" s="76">
        <v>154428</v>
      </c>
      <c r="P500" s="76" t="s">
        <v>679</v>
      </c>
      <c r="Q500" s="77">
        <v>46095</v>
      </c>
      <c r="R500" s="78" t="s">
        <v>43</v>
      </c>
      <c r="S500" s="36" t="str">
        <f>VLOOKUP(Tabla91116[[#This Row],[CODIGO DEL PRODUCTO]],Tabla797[],2,FALSE)</f>
        <v>PIEDRA 6-20</v>
      </c>
      <c r="T500" s="37">
        <v>35.340000000000003</v>
      </c>
    </row>
    <row r="501" spans="8:23" x14ac:dyDescent="0.25">
      <c r="H501" s="34"/>
      <c r="I501" s="34" t="s">
        <v>53</v>
      </c>
      <c r="J501" s="35">
        <v>46168</v>
      </c>
      <c r="K501" s="36" t="s">
        <v>40</v>
      </c>
      <c r="L501" s="39" t="str">
        <f>VLOOKUP(Tabla81015[[#This Row],[CODIGO DEL PRODUCTO]],Tabla797[],2,FALSE)</f>
        <v>PIEDRA 0-6</v>
      </c>
      <c r="M501" s="37">
        <v>584.86</v>
      </c>
      <c r="N501" s="158"/>
      <c r="O501" s="76">
        <v>2695871</v>
      </c>
      <c r="P501" s="76" t="s">
        <v>679</v>
      </c>
      <c r="Q501" s="77">
        <v>46095</v>
      </c>
      <c r="R501" s="78" t="s">
        <v>286</v>
      </c>
      <c r="S501" s="36" t="str">
        <f>VLOOKUP(Tabla91116[[#This Row],[CODIGO DEL PRODUCTO]],Tabla797[],2,FALSE)</f>
        <v>CPF 40 AVELLANEDA</v>
      </c>
      <c r="T501" s="37">
        <v>35.78</v>
      </c>
    </row>
    <row r="502" spans="8:23" x14ac:dyDescent="0.25">
      <c r="H502" s="34"/>
      <c r="I502" s="34" t="s">
        <v>53</v>
      </c>
      <c r="J502" s="35">
        <v>46169</v>
      </c>
      <c r="K502" s="36" t="s">
        <v>286</v>
      </c>
      <c r="L502" s="39" t="str">
        <f>VLOOKUP(Tabla81015[[#This Row],[CODIGO DEL PRODUCTO]],Tabla797[],2,FALSE)</f>
        <v>CPF 40 AVELLANEDA</v>
      </c>
      <c r="M502" s="37">
        <v>426.3</v>
      </c>
      <c r="N502" s="158"/>
      <c r="O502" s="76">
        <v>2695923</v>
      </c>
      <c r="P502" s="76" t="s">
        <v>679</v>
      </c>
      <c r="Q502" s="77">
        <v>46095</v>
      </c>
      <c r="R502" s="78" t="s">
        <v>286</v>
      </c>
      <c r="S502" s="36" t="str">
        <f>VLOOKUP(Tabla91116[[#This Row],[CODIGO DEL PRODUCTO]],Tabla797[],2,FALSE)</f>
        <v>CPF 40 AVELLANEDA</v>
      </c>
      <c r="T502" s="37">
        <v>36.26</v>
      </c>
      <c r="U502" s="7">
        <v>46097</v>
      </c>
      <c r="V502" t="s">
        <v>769</v>
      </c>
      <c r="W502" t="s">
        <v>770</v>
      </c>
    </row>
    <row r="503" spans="8:23" x14ac:dyDescent="0.25">
      <c r="H503" s="34"/>
      <c r="I503" s="34" t="s">
        <v>53</v>
      </c>
      <c r="J503" s="35">
        <v>46170</v>
      </c>
      <c r="K503" s="36" t="s">
        <v>48</v>
      </c>
      <c r="L503" s="39" t="str">
        <f>VLOOKUP(Tabla81015[[#This Row],[CODIGO DEL PRODUCTO]],Tabla797[],2,FALSE)</f>
        <v>PIEDRA 6-12</v>
      </c>
      <c r="M503" s="37">
        <v>40</v>
      </c>
      <c r="N503" s="158"/>
      <c r="O503" s="76">
        <v>103738</v>
      </c>
      <c r="P503" s="76" t="s">
        <v>683</v>
      </c>
      <c r="Q503" s="77">
        <v>46097</v>
      </c>
      <c r="R503" s="78" t="s">
        <v>42</v>
      </c>
      <c r="S503" s="36" t="str">
        <f>VLOOKUP(Tabla91116[[#This Row],[CODIGO DEL PRODUCTO]],Tabla797[],2,FALSE)</f>
        <v>ARENA FINA</v>
      </c>
      <c r="T503" s="37">
        <v>36.42</v>
      </c>
    </row>
    <row r="504" spans="8:23" x14ac:dyDescent="0.25">
      <c r="H504" s="34"/>
      <c r="I504" s="34" t="s">
        <v>53</v>
      </c>
      <c r="J504" s="35">
        <v>46171</v>
      </c>
      <c r="K504" s="36" t="s">
        <v>43</v>
      </c>
      <c r="L504" s="39" t="str">
        <f>VLOOKUP(Tabla81015[[#This Row],[CODIGO DEL PRODUCTO]],Tabla797[],2,FALSE)</f>
        <v>PIEDRA 6-20</v>
      </c>
      <c r="M504" s="37">
        <v>1140</v>
      </c>
      <c r="N504" s="158"/>
      <c r="O504" s="76">
        <v>103743</v>
      </c>
      <c r="P504" s="76" t="s">
        <v>683</v>
      </c>
      <c r="Q504" s="77">
        <v>46097</v>
      </c>
      <c r="R504" s="78" t="s">
        <v>42</v>
      </c>
      <c r="S504" s="36" t="str">
        <f>VLOOKUP(Tabla91116[[#This Row],[CODIGO DEL PRODUCTO]],Tabla797[],2,FALSE)</f>
        <v>ARENA FINA</v>
      </c>
      <c r="T504" s="37">
        <v>37.799999999999997</v>
      </c>
    </row>
    <row r="505" spans="8:23" x14ac:dyDescent="0.25">
      <c r="H505" s="34"/>
      <c r="I505" s="34" t="s">
        <v>53</v>
      </c>
      <c r="J505" s="35">
        <v>46172</v>
      </c>
      <c r="K505" s="36" t="s">
        <v>46</v>
      </c>
      <c r="L505" s="39" t="str">
        <f>VLOOKUP(Tabla81015[[#This Row],[CODIGO DEL PRODUCTO]],Tabla797[],2,FALSE)</f>
        <v>PIEDRA 10-30</v>
      </c>
      <c r="M505" s="37">
        <v>128.21</v>
      </c>
      <c r="N505" s="158"/>
      <c r="O505" s="76">
        <v>103747</v>
      </c>
      <c r="P505" s="76" t="s">
        <v>683</v>
      </c>
      <c r="Q505" s="77">
        <v>46097</v>
      </c>
      <c r="R505" s="78" t="s">
        <v>42</v>
      </c>
      <c r="S505" s="36" t="str">
        <f>VLOOKUP(Tabla91116[[#This Row],[CODIGO DEL PRODUCTO]],Tabla797[],2,FALSE)</f>
        <v>ARENA FINA</v>
      </c>
      <c r="T505" s="37">
        <v>36.340000000000003</v>
      </c>
    </row>
    <row r="506" spans="8:23" x14ac:dyDescent="0.25">
      <c r="H506" s="34"/>
      <c r="I506" s="34" t="s">
        <v>53</v>
      </c>
      <c r="J506" s="35">
        <v>46173</v>
      </c>
      <c r="K506" s="36" t="s">
        <v>425</v>
      </c>
      <c r="L506" s="39" t="str">
        <f>VLOOKUP(Tabla81015[[#This Row],[CODIGO DEL PRODUCTO]],Tabla797[],2,FALSE)</f>
        <v>W351R</v>
      </c>
      <c r="M506" s="37">
        <v>2.31</v>
      </c>
      <c r="N506" s="158"/>
      <c r="O506" s="76">
        <v>103748</v>
      </c>
      <c r="P506" s="76" t="s">
        <v>683</v>
      </c>
      <c r="Q506" s="77">
        <v>46097</v>
      </c>
      <c r="R506" s="78" t="s">
        <v>42</v>
      </c>
      <c r="S506" s="36" t="str">
        <f>VLOOKUP(Tabla91116[[#This Row],[CODIGO DEL PRODUCTO]],Tabla797[],2,FALSE)</f>
        <v>ARENA FINA</v>
      </c>
      <c r="T506" s="37">
        <v>35.4</v>
      </c>
    </row>
    <row r="507" spans="8:23" x14ac:dyDescent="0.25">
      <c r="H507" s="34">
        <v>19771</v>
      </c>
      <c r="I507" s="34" t="s">
        <v>790</v>
      </c>
      <c r="J507" s="35">
        <v>46174</v>
      </c>
      <c r="K507" s="36" t="s">
        <v>468</v>
      </c>
      <c r="L507" s="39" t="str">
        <f>VLOOKUP(Tabla81015[[#This Row],[CODIGO DEL PRODUCTO]],Tabla797[],2,FALSE)</f>
        <v>ESTABILIZADO 0-100 X TN</v>
      </c>
      <c r="M507" s="37">
        <v>33.18</v>
      </c>
      <c r="N507" s="158"/>
      <c r="O507" s="76">
        <v>103753</v>
      </c>
      <c r="P507" s="76" t="s">
        <v>683</v>
      </c>
      <c r="Q507" s="77">
        <v>46097</v>
      </c>
      <c r="R507" s="78" t="s">
        <v>42</v>
      </c>
      <c r="S507" s="36" t="str">
        <f>VLOOKUP(Tabla91116[[#This Row],[CODIGO DEL PRODUCTO]],Tabla797[],2,FALSE)</f>
        <v>ARENA FINA</v>
      </c>
      <c r="T507" s="37">
        <v>35.58</v>
      </c>
    </row>
    <row r="508" spans="8:23" x14ac:dyDescent="0.25">
      <c r="H508" s="34">
        <v>19813</v>
      </c>
      <c r="I508" s="34" t="s">
        <v>790</v>
      </c>
      <c r="J508" s="35">
        <v>46175</v>
      </c>
      <c r="K508" s="36" t="s">
        <v>468</v>
      </c>
      <c r="L508" s="39" t="str">
        <f>VLOOKUP(Tabla81015[[#This Row],[CODIGO DEL PRODUCTO]],Tabla797[],2,FALSE)</f>
        <v>ESTABILIZADO 0-100 X TN</v>
      </c>
      <c r="M508" s="37">
        <v>19.420000000000002</v>
      </c>
      <c r="N508" s="158"/>
      <c r="O508" s="76">
        <v>108114</v>
      </c>
      <c r="P508" s="76" t="s">
        <v>684</v>
      </c>
      <c r="Q508" s="77">
        <v>46097</v>
      </c>
      <c r="R508" s="78" t="s">
        <v>48</v>
      </c>
      <c r="S508" s="36" t="str">
        <f>VLOOKUP(Tabla91116[[#This Row],[CODIGO DEL PRODUCTO]],Tabla797[],2,FALSE)</f>
        <v>PIEDRA 6-12</v>
      </c>
      <c r="T508" s="37">
        <v>35.56</v>
      </c>
    </row>
    <row r="509" spans="8:23" x14ac:dyDescent="0.25">
      <c r="H509" s="34">
        <v>19815</v>
      </c>
      <c r="I509" s="34" t="s">
        <v>403</v>
      </c>
      <c r="J509" s="35">
        <v>46175</v>
      </c>
      <c r="K509" s="36" t="s">
        <v>42</v>
      </c>
      <c r="L509" s="39" t="str">
        <f>VLOOKUP(Tabla81015[[#This Row],[CODIGO DEL PRODUCTO]],Tabla797[],2,FALSE)</f>
        <v>ARENA FINA</v>
      </c>
      <c r="M509" s="37">
        <v>3</v>
      </c>
      <c r="N509" s="158"/>
      <c r="O509" s="76">
        <v>108123</v>
      </c>
      <c r="P509" s="76" t="s">
        <v>684</v>
      </c>
      <c r="Q509" s="77">
        <v>46097</v>
      </c>
      <c r="R509" s="78" t="s">
        <v>40</v>
      </c>
      <c r="S509" s="36" t="str">
        <f>VLOOKUP(Tabla91116[[#This Row],[CODIGO DEL PRODUCTO]],Tabla797[],2,FALSE)</f>
        <v>PIEDRA 0-6</v>
      </c>
      <c r="T509" s="37">
        <v>33.840000000000003</v>
      </c>
    </row>
    <row r="510" spans="8:23" x14ac:dyDescent="0.25">
      <c r="H510" s="34">
        <v>19838</v>
      </c>
      <c r="I510" s="34" t="s">
        <v>808</v>
      </c>
      <c r="J510" s="35">
        <v>46175</v>
      </c>
      <c r="K510" s="36" t="s">
        <v>43</v>
      </c>
      <c r="L510" s="39" t="str">
        <f>VLOOKUP(Tabla81015[[#This Row],[CODIGO DEL PRODUCTO]],Tabla797[],2,FALSE)</f>
        <v>PIEDRA 6-20</v>
      </c>
      <c r="M510" s="37">
        <v>7</v>
      </c>
      <c r="N510" s="158"/>
      <c r="O510" s="76">
        <v>108130</v>
      </c>
      <c r="P510" s="76" t="s">
        <v>684</v>
      </c>
      <c r="Q510" s="77">
        <v>46097</v>
      </c>
      <c r="R510" s="78" t="s">
        <v>40</v>
      </c>
      <c r="S510" s="36" t="str">
        <f>VLOOKUP(Tabla91116[[#This Row],[CODIGO DEL PRODUCTO]],Tabla797[],2,FALSE)</f>
        <v>PIEDRA 0-6</v>
      </c>
      <c r="T510" s="37">
        <v>35.24</v>
      </c>
    </row>
    <row r="511" spans="8:23" x14ac:dyDescent="0.25">
      <c r="H511" s="34">
        <v>19873</v>
      </c>
      <c r="I511" s="34" t="s">
        <v>474</v>
      </c>
      <c r="J511" s="35">
        <v>46176</v>
      </c>
      <c r="K511" s="36" t="s">
        <v>42</v>
      </c>
      <c r="L511" s="39" t="str">
        <f>VLOOKUP(Tabla81015[[#This Row],[CODIGO DEL PRODUCTO]],Tabla797[],2,FALSE)</f>
        <v>ARENA FINA</v>
      </c>
      <c r="M511" s="37">
        <v>5</v>
      </c>
      <c r="N511" s="158"/>
      <c r="O511" s="76">
        <v>108134</v>
      </c>
      <c r="P511" s="76" t="s">
        <v>684</v>
      </c>
      <c r="Q511" s="77">
        <v>46097</v>
      </c>
      <c r="R511" s="78" t="s">
        <v>40</v>
      </c>
      <c r="S511" s="36" t="str">
        <f>VLOOKUP(Tabla91116[[#This Row],[CODIGO DEL PRODUCTO]],Tabla797[],2,FALSE)</f>
        <v>PIEDRA 0-6</v>
      </c>
      <c r="T511" s="37">
        <v>35.299999999999997</v>
      </c>
    </row>
    <row r="512" spans="8:23" x14ac:dyDescent="0.25">
      <c r="H512" s="34">
        <v>19874</v>
      </c>
      <c r="I512" s="34" t="s">
        <v>534</v>
      </c>
      <c r="J512" s="35">
        <v>46176</v>
      </c>
      <c r="K512" s="36" t="s">
        <v>42</v>
      </c>
      <c r="L512" s="39" t="str">
        <f>VLOOKUP(Tabla81015[[#This Row],[CODIGO DEL PRODUCTO]],Tabla797[],2,FALSE)</f>
        <v>ARENA FINA</v>
      </c>
      <c r="M512" s="37">
        <v>5</v>
      </c>
      <c r="N512" s="158"/>
      <c r="O512" s="76">
        <v>108139</v>
      </c>
      <c r="P512" s="76" t="s">
        <v>684</v>
      </c>
      <c r="Q512" s="77">
        <v>46097</v>
      </c>
      <c r="R512" s="78" t="s">
        <v>43</v>
      </c>
      <c r="S512" s="36" t="str">
        <f>VLOOKUP(Tabla91116[[#This Row],[CODIGO DEL PRODUCTO]],Tabla797[],2,FALSE)</f>
        <v>PIEDRA 6-20</v>
      </c>
      <c r="T512" s="37">
        <v>34.58</v>
      </c>
    </row>
    <row r="513" spans="8:21" x14ac:dyDescent="0.25">
      <c r="H513" s="34">
        <v>19885</v>
      </c>
      <c r="I513" s="34" t="s">
        <v>790</v>
      </c>
      <c r="J513" s="35">
        <v>46176</v>
      </c>
      <c r="K513" s="36" t="s">
        <v>468</v>
      </c>
      <c r="L513" s="39" t="str">
        <f>VLOOKUP(Tabla81015[[#This Row],[CODIGO DEL PRODUCTO]],Tabla797[],2,FALSE)</f>
        <v>ESTABILIZADO 0-100 X TN</v>
      </c>
      <c r="M513" s="37">
        <v>34.479999999999997</v>
      </c>
      <c r="N513" s="158"/>
      <c r="O513" s="76">
        <v>154487</v>
      </c>
      <c r="P513" s="76" t="s">
        <v>679</v>
      </c>
      <c r="Q513" s="77">
        <v>46097</v>
      </c>
      <c r="R513" s="78" t="s">
        <v>43</v>
      </c>
      <c r="S513" s="36" t="str">
        <f>VLOOKUP(Tabla91116[[#This Row],[CODIGO DEL PRODUCTO]],Tabla797[],2,FALSE)</f>
        <v>PIEDRA 6-20</v>
      </c>
      <c r="T513" s="37">
        <v>36.22</v>
      </c>
    </row>
    <row r="514" spans="8:21" x14ac:dyDescent="0.25">
      <c r="H514" s="34">
        <v>19889</v>
      </c>
      <c r="I514" s="34" t="s">
        <v>782</v>
      </c>
      <c r="J514" s="35">
        <v>46177</v>
      </c>
      <c r="K514" s="36" t="s">
        <v>468</v>
      </c>
      <c r="L514" s="39" t="str">
        <f>VLOOKUP(Tabla81015[[#This Row],[CODIGO DEL PRODUCTO]],Tabla797[],2,FALSE)</f>
        <v>ESTABILIZADO 0-100 X TN</v>
      </c>
      <c r="M514" s="37">
        <v>24.8</v>
      </c>
      <c r="N514" s="158"/>
      <c r="O514" s="76">
        <v>2696281</v>
      </c>
      <c r="P514" s="76" t="s">
        <v>679</v>
      </c>
      <c r="Q514" s="77">
        <v>46097</v>
      </c>
      <c r="R514" s="78" t="s">
        <v>286</v>
      </c>
      <c r="S514" s="36" t="str">
        <f>VLOOKUP(Tabla91116[[#This Row],[CODIGO DEL PRODUCTO]],Tabla797[],2,FALSE)</f>
        <v>CPF 40 AVELLANEDA</v>
      </c>
      <c r="T514" s="37">
        <v>35.94</v>
      </c>
    </row>
    <row r="515" spans="8:21" x14ac:dyDescent="0.25">
      <c r="H515" s="34">
        <v>19896</v>
      </c>
      <c r="I515" s="34" t="s">
        <v>790</v>
      </c>
      <c r="J515" s="35">
        <v>46177</v>
      </c>
      <c r="K515" s="36" t="s">
        <v>468</v>
      </c>
      <c r="L515" s="39" t="str">
        <f>VLOOKUP(Tabla81015[[#This Row],[CODIGO DEL PRODUCTO]],Tabla797[],2,FALSE)</f>
        <v>ESTABILIZADO 0-100 X TN</v>
      </c>
      <c r="M515" s="37">
        <v>25.34</v>
      </c>
      <c r="N515" s="158"/>
      <c r="O515" s="76">
        <v>2696330</v>
      </c>
      <c r="P515" s="76" t="s">
        <v>679</v>
      </c>
      <c r="Q515" s="77">
        <v>46097</v>
      </c>
      <c r="R515" s="78" t="s">
        <v>286</v>
      </c>
      <c r="S515" s="36" t="str">
        <f>VLOOKUP(Tabla91116[[#This Row],[CODIGO DEL PRODUCTO]],Tabla797[],2,FALSE)</f>
        <v>CPF 40 AVELLANEDA</v>
      </c>
      <c r="T515" s="37">
        <v>36.14</v>
      </c>
    </row>
    <row r="516" spans="8:21" x14ac:dyDescent="0.25">
      <c r="H516" s="34">
        <v>19901</v>
      </c>
      <c r="I516" s="34" t="s">
        <v>790</v>
      </c>
      <c r="J516" s="35">
        <v>46177</v>
      </c>
      <c r="K516" s="36" t="s">
        <v>468</v>
      </c>
      <c r="L516" s="39" t="str">
        <f>VLOOKUP(Tabla81015[[#This Row],[CODIGO DEL PRODUCTO]],Tabla797[],2,FALSE)</f>
        <v>ESTABILIZADO 0-100 X TN</v>
      </c>
      <c r="M516" s="37">
        <v>32.479999999999997</v>
      </c>
      <c r="N516" s="158"/>
      <c r="O516" s="76">
        <v>103760</v>
      </c>
      <c r="P516" s="76" t="s">
        <v>683</v>
      </c>
      <c r="Q516" s="77">
        <v>46098</v>
      </c>
      <c r="R516" s="78" t="s">
        <v>42</v>
      </c>
      <c r="S516" s="36" t="str">
        <f>VLOOKUP(Tabla91116[[#This Row],[CODIGO DEL PRODUCTO]],Tabla797[],2,FALSE)</f>
        <v>ARENA FINA</v>
      </c>
      <c r="T516" s="37">
        <v>34.54</v>
      </c>
    </row>
    <row r="517" spans="8:21" x14ac:dyDescent="0.25">
      <c r="H517" s="34">
        <v>19914</v>
      </c>
      <c r="I517" s="34" t="s">
        <v>782</v>
      </c>
      <c r="J517" s="35">
        <v>46177</v>
      </c>
      <c r="K517" s="36" t="s">
        <v>43</v>
      </c>
      <c r="L517" s="39" t="str">
        <f>VLOOKUP(Tabla81015[[#This Row],[CODIGO DEL PRODUCTO]],Tabla797[],2,FALSE)</f>
        <v>PIEDRA 6-20</v>
      </c>
      <c r="M517" s="37">
        <v>26.44</v>
      </c>
      <c r="N517" s="158"/>
      <c r="O517" s="76">
        <v>103761</v>
      </c>
      <c r="P517" s="76" t="s">
        <v>683</v>
      </c>
      <c r="Q517" s="77">
        <v>46098</v>
      </c>
      <c r="R517" s="78" t="s">
        <v>42</v>
      </c>
      <c r="S517" s="36" t="str">
        <f>VLOOKUP(Tabla91116[[#This Row],[CODIGO DEL PRODUCTO]],Tabla797[],2,FALSE)</f>
        <v>ARENA FINA</v>
      </c>
      <c r="T517" s="37">
        <v>37</v>
      </c>
    </row>
    <row r="518" spans="8:21" x14ac:dyDescent="0.25">
      <c r="H518" s="34">
        <v>19943</v>
      </c>
      <c r="I518" s="34" t="s">
        <v>809</v>
      </c>
      <c r="J518" s="35">
        <v>46177</v>
      </c>
      <c r="K518" s="36" t="s">
        <v>42</v>
      </c>
      <c r="L518" s="39" t="str">
        <f>VLOOKUP(Tabla81015[[#This Row],[CODIGO DEL PRODUCTO]],Tabla797[],2,FALSE)</f>
        <v>ARENA FINA</v>
      </c>
      <c r="M518" s="37">
        <v>7</v>
      </c>
      <c r="N518" s="158"/>
      <c r="O518" s="76">
        <v>103763</v>
      </c>
      <c r="P518" s="76" t="s">
        <v>683</v>
      </c>
      <c r="Q518" s="77">
        <v>46098</v>
      </c>
      <c r="R518" s="78" t="s">
        <v>42</v>
      </c>
      <c r="S518" s="36" t="str">
        <f>VLOOKUP(Tabla91116[[#This Row],[CODIGO DEL PRODUCTO]],Tabla797[],2,FALSE)</f>
        <v>ARENA FINA</v>
      </c>
      <c r="T518" s="37">
        <v>38.6</v>
      </c>
      <c r="U518" s="7"/>
    </row>
    <row r="519" spans="8:21" x14ac:dyDescent="0.25">
      <c r="H519" s="34">
        <v>19950</v>
      </c>
      <c r="I519" s="34" t="s">
        <v>794</v>
      </c>
      <c r="J519" s="35">
        <v>46178</v>
      </c>
      <c r="K519" s="36" t="s">
        <v>42</v>
      </c>
      <c r="L519" s="39" t="str">
        <f>VLOOKUP(Tabla81015[[#This Row],[CODIGO DEL PRODUCTO]],Tabla797[],2,FALSE)</f>
        <v>ARENA FINA</v>
      </c>
      <c r="M519" s="37">
        <v>3</v>
      </c>
      <c r="N519" s="158"/>
      <c r="O519" s="76">
        <v>103766</v>
      </c>
      <c r="P519" s="76" t="s">
        <v>683</v>
      </c>
      <c r="Q519" s="77">
        <v>46098</v>
      </c>
      <c r="R519" s="78" t="s">
        <v>42</v>
      </c>
      <c r="S519" s="36" t="str">
        <f>VLOOKUP(Tabla91116[[#This Row],[CODIGO DEL PRODUCTO]],Tabla797[],2,FALSE)</f>
        <v>ARENA FINA</v>
      </c>
      <c r="T519" s="37">
        <v>34.700000000000003</v>
      </c>
    </row>
    <row r="520" spans="8:21" x14ac:dyDescent="0.25">
      <c r="H520" s="34"/>
      <c r="I520" s="34" t="s">
        <v>794</v>
      </c>
      <c r="J520" s="35">
        <v>46178</v>
      </c>
      <c r="K520" s="36" t="s">
        <v>43</v>
      </c>
      <c r="L520" s="39" t="str">
        <f>VLOOKUP(Tabla81015[[#This Row],[CODIGO DEL PRODUCTO]],Tabla797[],2,FALSE)</f>
        <v>PIEDRA 6-20</v>
      </c>
      <c r="M520" s="37">
        <v>3</v>
      </c>
      <c r="N520" s="158"/>
      <c r="O520" s="76">
        <v>103767</v>
      </c>
      <c r="P520" s="76" t="s">
        <v>683</v>
      </c>
      <c r="Q520" s="77">
        <v>46098</v>
      </c>
      <c r="R520" s="78" t="s">
        <v>42</v>
      </c>
      <c r="S520" s="36" t="str">
        <f>VLOOKUP(Tabla91116[[#This Row],[CODIGO DEL PRODUCTO]],Tabla797[],2,FALSE)</f>
        <v>ARENA FINA</v>
      </c>
      <c r="T520" s="37">
        <v>37.74</v>
      </c>
    </row>
    <row r="521" spans="8:21" x14ac:dyDescent="0.25">
      <c r="H521" s="34">
        <v>19953</v>
      </c>
      <c r="I521" s="34" t="s">
        <v>790</v>
      </c>
      <c r="J521" s="35">
        <v>46178</v>
      </c>
      <c r="K521" s="36" t="s">
        <v>468</v>
      </c>
      <c r="L521" s="39" t="str">
        <f>VLOOKUP(Tabla81015[[#This Row],[CODIGO DEL PRODUCTO]],Tabla797[],2,FALSE)</f>
        <v>ESTABILIZADO 0-100 X TN</v>
      </c>
      <c r="M521" s="37">
        <v>33.78</v>
      </c>
      <c r="N521" s="158"/>
      <c r="O521" s="76">
        <v>103769</v>
      </c>
      <c r="P521" s="76" t="s">
        <v>683</v>
      </c>
      <c r="Q521" s="77">
        <v>46098</v>
      </c>
      <c r="R521" s="78" t="s">
        <v>42</v>
      </c>
      <c r="S521" s="36" t="str">
        <f>VLOOKUP(Tabla91116[[#This Row],[CODIGO DEL PRODUCTO]],Tabla797[],2,FALSE)</f>
        <v>ARENA FINA</v>
      </c>
      <c r="T521" s="37">
        <v>37.299999999999997</v>
      </c>
    </row>
    <row r="522" spans="8:21" x14ac:dyDescent="0.25">
      <c r="H522" s="34">
        <v>19988</v>
      </c>
      <c r="I522" s="34" t="s">
        <v>790</v>
      </c>
      <c r="J522" s="35">
        <v>46178</v>
      </c>
      <c r="K522" s="36" t="s">
        <v>468</v>
      </c>
      <c r="L522" s="39" t="str">
        <f>VLOOKUP(Tabla81015[[#This Row],[CODIGO DEL PRODUCTO]],Tabla797[],2,FALSE)</f>
        <v>ESTABILIZADO 0-100 X TN</v>
      </c>
      <c r="M522" s="37">
        <v>34.24</v>
      </c>
      <c r="N522" s="158"/>
      <c r="O522" s="76">
        <v>103770</v>
      </c>
      <c r="P522" s="76" t="s">
        <v>683</v>
      </c>
      <c r="Q522" s="77">
        <v>46098</v>
      </c>
      <c r="R522" s="78" t="s">
        <v>42</v>
      </c>
      <c r="S522" s="36" t="str">
        <f>VLOOKUP(Tabla91116[[#This Row],[CODIGO DEL PRODUCTO]],Tabla797[],2,FALSE)</f>
        <v>ARENA FINA</v>
      </c>
      <c r="T522" s="37">
        <v>37.96</v>
      </c>
    </row>
    <row r="523" spans="8:21" x14ac:dyDescent="0.25">
      <c r="H523" s="34">
        <v>20000</v>
      </c>
      <c r="I523" s="34" t="s">
        <v>703</v>
      </c>
      <c r="J523" s="35">
        <v>46179</v>
      </c>
      <c r="K523" s="36" t="s">
        <v>42</v>
      </c>
      <c r="L523" s="39" t="str">
        <f>VLOOKUP(Tabla81015[[#This Row],[CODIGO DEL PRODUCTO]],Tabla797[],2,FALSE)</f>
        <v>ARENA FINA</v>
      </c>
      <c r="M523" s="37">
        <v>2</v>
      </c>
      <c r="N523" s="158"/>
      <c r="O523" s="76">
        <v>108146</v>
      </c>
      <c r="P523" s="76" t="s">
        <v>684</v>
      </c>
      <c r="Q523" s="77">
        <v>46098</v>
      </c>
      <c r="R523" s="78" t="s">
        <v>40</v>
      </c>
      <c r="S523" s="36" t="str">
        <f>VLOOKUP(Tabla91116[[#This Row],[CODIGO DEL PRODUCTO]],Tabla797[],2,FALSE)</f>
        <v>PIEDRA 0-6</v>
      </c>
      <c r="T523" s="37">
        <v>34.92</v>
      </c>
    </row>
    <row r="524" spans="8:21" x14ac:dyDescent="0.25">
      <c r="H524" s="34">
        <v>20001</v>
      </c>
      <c r="I524" s="34" t="s">
        <v>312</v>
      </c>
      <c r="J524" s="35">
        <v>46179</v>
      </c>
      <c r="K524" s="36" t="s">
        <v>42</v>
      </c>
      <c r="L524" s="39" t="str">
        <f>VLOOKUP(Tabla81015[[#This Row],[CODIGO DEL PRODUCTO]],Tabla797[],2,FALSE)</f>
        <v>ARENA FINA</v>
      </c>
      <c r="M524" s="37">
        <v>1</v>
      </c>
      <c r="N524" s="158"/>
      <c r="O524" s="76">
        <v>108155</v>
      </c>
      <c r="P524" s="76" t="s">
        <v>684</v>
      </c>
      <c r="Q524" s="77">
        <v>46098</v>
      </c>
      <c r="R524" s="78" t="s">
        <v>40</v>
      </c>
      <c r="S524" s="36" t="str">
        <f>VLOOKUP(Tabla91116[[#This Row],[CODIGO DEL PRODUCTO]],Tabla797[],2,FALSE)</f>
        <v>PIEDRA 0-6</v>
      </c>
      <c r="T524" s="37">
        <v>34.96</v>
      </c>
    </row>
    <row r="525" spans="8:21" x14ac:dyDescent="0.25">
      <c r="H525" s="34"/>
      <c r="I525" s="34" t="s">
        <v>312</v>
      </c>
      <c r="J525" s="35">
        <v>46179</v>
      </c>
      <c r="K525" s="36" t="s">
        <v>40</v>
      </c>
      <c r="L525" s="39" t="str">
        <f>VLOOKUP(Tabla81015[[#This Row],[CODIGO DEL PRODUCTO]],Tabla797[],2,FALSE)</f>
        <v>PIEDRA 0-6</v>
      </c>
      <c r="M525" s="37">
        <v>1</v>
      </c>
      <c r="N525" s="158"/>
      <c r="O525" s="76">
        <v>108174</v>
      </c>
      <c r="P525" s="76" t="s">
        <v>684</v>
      </c>
      <c r="Q525" s="77">
        <v>46098</v>
      </c>
      <c r="R525" s="78" t="s">
        <v>40</v>
      </c>
      <c r="S525" s="36" t="str">
        <f>VLOOKUP(Tabla91116[[#This Row],[CODIGO DEL PRODUCTO]],Tabla797[],2,FALSE)</f>
        <v>PIEDRA 0-6</v>
      </c>
      <c r="T525" s="37">
        <v>35.6</v>
      </c>
    </row>
    <row r="526" spans="8:21" x14ac:dyDescent="0.25">
      <c r="H526" s="34">
        <v>20010</v>
      </c>
      <c r="I526" s="34" t="s">
        <v>790</v>
      </c>
      <c r="J526" s="35">
        <v>46179</v>
      </c>
      <c r="K526" s="36" t="s">
        <v>468</v>
      </c>
      <c r="L526" s="39" t="str">
        <f>VLOOKUP(Tabla81015[[#This Row],[CODIGO DEL PRODUCTO]],Tabla797[],2,FALSE)</f>
        <v>ESTABILIZADO 0-100 X TN</v>
      </c>
      <c r="M526" s="37">
        <v>34.159999999999997</v>
      </c>
      <c r="N526" s="158"/>
      <c r="O526" s="76">
        <v>108181</v>
      </c>
      <c r="P526" s="76" t="s">
        <v>684</v>
      </c>
      <c r="Q526" s="77">
        <v>46098</v>
      </c>
      <c r="R526" s="78" t="s">
        <v>43</v>
      </c>
      <c r="S526" s="36" t="str">
        <f>VLOOKUP(Tabla91116[[#This Row],[CODIGO DEL PRODUCTO]],Tabla797[],2,FALSE)</f>
        <v>PIEDRA 6-20</v>
      </c>
      <c r="T526" s="37">
        <v>34.46</v>
      </c>
    </row>
    <row r="527" spans="8:21" x14ac:dyDescent="0.25">
      <c r="H527" s="34"/>
      <c r="I527" s="34" t="s">
        <v>53</v>
      </c>
      <c r="J527" s="35">
        <v>46174</v>
      </c>
      <c r="K527" s="36" t="s">
        <v>42</v>
      </c>
      <c r="L527" s="39" t="str">
        <f>VLOOKUP(Tabla81015[[#This Row],[CODIGO DEL PRODUCTO]],Tabla797[],2,FALSE)</f>
        <v>ARENA FINA</v>
      </c>
      <c r="M527" s="37">
        <v>818.44</v>
      </c>
      <c r="N527" s="158"/>
      <c r="O527" s="76">
        <v>2696522</v>
      </c>
      <c r="P527" s="76" t="s">
        <v>679</v>
      </c>
      <c r="Q527" s="77">
        <v>46098</v>
      </c>
      <c r="R527" s="78" t="s">
        <v>286</v>
      </c>
      <c r="S527" s="36" t="str">
        <f>VLOOKUP(Tabla91116[[#This Row],[CODIGO DEL PRODUCTO]],Tabla797[],2,FALSE)</f>
        <v>CPF 40 AVELLANEDA</v>
      </c>
      <c r="T527" s="37">
        <v>35.28</v>
      </c>
    </row>
    <row r="528" spans="8:21" x14ac:dyDescent="0.25">
      <c r="H528" s="34"/>
      <c r="I528" s="34" t="s">
        <v>53</v>
      </c>
      <c r="J528" s="35">
        <v>46175</v>
      </c>
      <c r="K528" s="36" t="s">
        <v>40</v>
      </c>
      <c r="L528" s="39" t="str">
        <f>VLOOKUP(Tabla81015[[#This Row],[CODIGO DEL PRODUCTO]],Tabla797[],2,FALSE)</f>
        <v>PIEDRA 0-6</v>
      </c>
      <c r="M528" s="37">
        <v>536.24</v>
      </c>
      <c r="N528" s="158"/>
      <c r="O528" s="76">
        <v>2696562</v>
      </c>
      <c r="P528" s="76" t="s">
        <v>679</v>
      </c>
      <c r="Q528" s="77">
        <v>46098</v>
      </c>
      <c r="R528" s="78" t="s">
        <v>286</v>
      </c>
      <c r="S528" s="36" t="str">
        <f>VLOOKUP(Tabla91116[[#This Row],[CODIGO DEL PRODUCTO]],Tabla797[],2,FALSE)</f>
        <v>CPF 40 AVELLANEDA</v>
      </c>
      <c r="T528" s="37">
        <v>36.14</v>
      </c>
    </row>
    <row r="529" spans="8:20" x14ac:dyDescent="0.25">
      <c r="H529" s="34"/>
      <c r="I529" s="34" t="s">
        <v>53</v>
      </c>
      <c r="J529" s="35">
        <v>46176</v>
      </c>
      <c r="K529" s="36" t="s">
        <v>286</v>
      </c>
      <c r="L529" s="39" t="str">
        <f>VLOOKUP(Tabla81015[[#This Row],[CODIGO DEL PRODUCTO]],Tabla797[],2,FALSE)</f>
        <v>CPF 40 AVELLANEDA</v>
      </c>
      <c r="M529" s="37">
        <v>380.29</v>
      </c>
      <c r="N529" s="158"/>
      <c r="O529" s="76">
        <v>103773</v>
      </c>
      <c r="P529" s="76" t="s">
        <v>683</v>
      </c>
      <c r="Q529" s="77">
        <v>46099</v>
      </c>
      <c r="R529" s="78" t="s">
        <v>42</v>
      </c>
      <c r="S529" s="36" t="str">
        <f>VLOOKUP(Tabla91116[[#This Row],[CODIGO DEL PRODUCTO]],Tabla797[],2,FALSE)</f>
        <v>ARENA FINA</v>
      </c>
      <c r="T529" s="37">
        <v>36.380000000000003</v>
      </c>
    </row>
    <row r="530" spans="8:20" x14ac:dyDescent="0.25">
      <c r="H530" s="34"/>
      <c r="I530" s="34" t="s">
        <v>53</v>
      </c>
      <c r="J530" s="35">
        <v>46177</v>
      </c>
      <c r="K530" s="36" t="s">
        <v>48</v>
      </c>
      <c r="L530" s="39" t="str">
        <f>VLOOKUP(Tabla81015[[#This Row],[CODIGO DEL PRODUCTO]],Tabla797[],2,FALSE)</f>
        <v>PIEDRA 6-12</v>
      </c>
      <c r="M530" s="37">
        <v>65.680000000000007</v>
      </c>
      <c r="N530" s="158"/>
      <c r="O530" s="76">
        <v>103778</v>
      </c>
      <c r="P530" s="76" t="s">
        <v>683</v>
      </c>
      <c r="Q530" s="77">
        <v>46099</v>
      </c>
      <c r="R530" s="78" t="s">
        <v>42</v>
      </c>
      <c r="S530" s="36" t="str">
        <f>VLOOKUP(Tabla91116[[#This Row],[CODIGO DEL PRODUCTO]],Tabla797[],2,FALSE)</f>
        <v>ARENA FINA</v>
      </c>
      <c r="T530" s="37">
        <v>35.659999999999997</v>
      </c>
    </row>
    <row r="531" spans="8:20" x14ac:dyDescent="0.25">
      <c r="H531" s="34"/>
      <c r="I531" s="34" t="s">
        <v>53</v>
      </c>
      <c r="J531" s="35">
        <v>46178</v>
      </c>
      <c r="K531" s="36" t="s">
        <v>43</v>
      </c>
      <c r="L531" s="39" t="str">
        <f>VLOOKUP(Tabla81015[[#This Row],[CODIGO DEL PRODUCTO]],Tabla797[],2,FALSE)</f>
        <v>PIEDRA 6-20</v>
      </c>
      <c r="M531" s="37">
        <v>1031.0899999999999</v>
      </c>
      <c r="N531" s="158"/>
      <c r="O531" s="76">
        <v>103782</v>
      </c>
      <c r="P531" s="76" t="s">
        <v>683</v>
      </c>
      <c r="Q531" s="77">
        <v>46099</v>
      </c>
      <c r="R531" s="78" t="s">
        <v>42</v>
      </c>
      <c r="S531" s="36" t="str">
        <f>VLOOKUP(Tabla91116[[#This Row],[CODIGO DEL PRODUCTO]],Tabla797[],2,FALSE)</f>
        <v>ARENA FINA</v>
      </c>
      <c r="T531" s="37">
        <v>36.1</v>
      </c>
    </row>
    <row r="532" spans="8:20" x14ac:dyDescent="0.25">
      <c r="H532" s="34"/>
      <c r="I532" s="34" t="s">
        <v>53</v>
      </c>
      <c r="J532" s="35">
        <v>46179</v>
      </c>
      <c r="K532" s="36" t="s">
        <v>425</v>
      </c>
      <c r="L532" s="39" t="str">
        <f>VLOOKUP(Tabla81015[[#This Row],[CODIGO DEL PRODUCTO]],Tabla797[],2,FALSE)</f>
        <v>W351R</v>
      </c>
      <c r="M532" s="37">
        <v>2.0699999999999998</v>
      </c>
      <c r="N532" s="158"/>
      <c r="O532" s="76">
        <v>103783</v>
      </c>
      <c r="P532" s="76" t="s">
        <v>683</v>
      </c>
      <c r="Q532" s="77">
        <v>46099</v>
      </c>
      <c r="R532" s="78" t="s">
        <v>42</v>
      </c>
      <c r="S532" s="36" t="str">
        <f>VLOOKUP(Tabla91116[[#This Row],[CODIGO DEL PRODUCTO]],Tabla797[],2,FALSE)</f>
        <v>ARENA FINA</v>
      </c>
      <c r="T532" s="37">
        <v>37.340000000000003</v>
      </c>
    </row>
    <row r="533" spans="8:20" x14ac:dyDescent="0.25">
      <c r="H533" s="34">
        <v>20039</v>
      </c>
      <c r="I533" s="34" t="s">
        <v>816</v>
      </c>
      <c r="J533" s="35">
        <v>46183</v>
      </c>
      <c r="K533" s="36" t="s">
        <v>468</v>
      </c>
      <c r="L533" s="39" t="str">
        <f>VLOOKUP(Tabla81015[[#This Row],[CODIGO DEL PRODUCTO]],Tabla797[],2,FALSE)</f>
        <v>ESTABILIZADO 0-100 X TN</v>
      </c>
      <c r="M533" s="37">
        <v>1</v>
      </c>
      <c r="N533" s="158"/>
      <c r="O533" s="76">
        <v>103785</v>
      </c>
      <c r="P533" s="76" t="s">
        <v>683</v>
      </c>
      <c r="Q533" s="77">
        <v>46099</v>
      </c>
      <c r="R533" s="78" t="s">
        <v>42</v>
      </c>
      <c r="S533" s="36" t="str">
        <f>VLOOKUP(Tabla91116[[#This Row],[CODIGO DEL PRODUCTO]],Tabla797[],2,FALSE)</f>
        <v>ARENA FINA</v>
      </c>
      <c r="T533" s="72">
        <v>37.340000000000003</v>
      </c>
    </row>
    <row r="534" spans="8:20" x14ac:dyDescent="0.25">
      <c r="H534" s="34">
        <v>20047</v>
      </c>
      <c r="I534" s="34" t="s">
        <v>790</v>
      </c>
      <c r="J534" s="35">
        <v>46183</v>
      </c>
      <c r="K534" s="36" t="s">
        <v>468</v>
      </c>
      <c r="L534" s="39" t="str">
        <f>VLOOKUP(Tabla81015[[#This Row],[CODIGO DEL PRODUCTO]],Tabla797[],2,FALSE)</f>
        <v>ESTABILIZADO 0-100 X TN</v>
      </c>
      <c r="M534" s="37">
        <v>24.78</v>
      </c>
      <c r="N534" s="158"/>
      <c r="O534" s="76">
        <v>108194</v>
      </c>
      <c r="P534" s="76" t="s">
        <v>684</v>
      </c>
      <c r="Q534" s="77">
        <v>46099</v>
      </c>
      <c r="R534" s="78" t="s">
        <v>40</v>
      </c>
      <c r="S534" s="36" t="str">
        <f>VLOOKUP(Tabla91116[[#This Row],[CODIGO DEL PRODUCTO]],Tabla797[],2,FALSE)</f>
        <v>PIEDRA 0-6</v>
      </c>
      <c r="T534" s="72">
        <v>34.840000000000003</v>
      </c>
    </row>
    <row r="535" spans="8:20" x14ac:dyDescent="0.25">
      <c r="H535" s="34">
        <v>20049</v>
      </c>
      <c r="I535" s="34" t="s">
        <v>790</v>
      </c>
      <c r="J535" s="35">
        <v>46183</v>
      </c>
      <c r="K535" s="36" t="s">
        <v>468</v>
      </c>
      <c r="L535" s="39" t="str">
        <f>VLOOKUP(Tabla81015[[#This Row],[CODIGO DEL PRODUCTO]],Tabla797[],2,FALSE)</f>
        <v>ESTABILIZADO 0-100 X TN</v>
      </c>
      <c r="M535" s="37">
        <v>20</v>
      </c>
      <c r="N535" s="158"/>
      <c r="O535" s="76">
        <v>108200</v>
      </c>
      <c r="P535" s="76" t="s">
        <v>684</v>
      </c>
      <c r="Q535" s="77">
        <v>46099</v>
      </c>
      <c r="R535" s="78" t="s">
        <v>40</v>
      </c>
      <c r="S535" s="36" t="str">
        <f>VLOOKUP(Tabla91116[[#This Row],[CODIGO DEL PRODUCTO]],Tabla797[],2,FALSE)</f>
        <v>PIEDRA 0-6</v>
      </c>
      <c r="T535" s="37">
        <v>35.1</v>
      </c>
    </row>
    <row r="536" spans="8:20" x14ac:dyDescent="0.25">
      <c r="H536" s="34">
        <v>18963</v>
      </c>
      <c r="I536" s="34" t="s">
        <v>474</v>
      </c>
      <c r="J536" s="35">
        <v>46154</v>
      </c>
      <c r="K536" s="36" t="s">
        <v>43</v>
      </c>
      <c r="L536" s="39" t="str">
        <f>VLOOKUP(Tabla81015[[#This Row],[CODIGO DEL PRODUCTO]],Tabla797[],2,FALSE)</f>
        <v>PIEDRA 6-20</v>
      </c>
      <c r="M536" s="37">
        <v>20.66</v>
      </c>
      <c r="N536" s="158"/>
      <c r="O536" s="76">
        <v>108201</v>
      </c>
      <c r="P536" s="76" t="s">
        <v>684</v>
      </c>
      <c r="Q536" s="77">
        <v>46099</v>
      </c>
      <c r="R536" s="78" t="s">
        <v>40</v>
      </c>
      <c r="S536" s="36" t="str">
        <f>VLOOKUP(Tabla91116[[#This Row],[CODIGO DEL PRODUCTO]],Tabla797[],2,FALSE)</f>
        <v>PIEDRA 0-6</v>
      </c>
      <c r="T536" s="37">
        <v>34.82</v>
      </c>
    </row>
    <row r="537" spans="8:20" x14ac:dyDescent="0.25">
      <c r="H537" s="34">
        <v>18980</v>
      </c>
      <c r="I537" s="34" t="s">
        <v>474</v>
      </c>
      <c r="J537" s="35">
        <v>46154</v>
      </c>
      <c r="K537" s="36" t="s">
        <v>42</v>
      </c>
      <c r="L537" s="39" t="str">
        <f>VLOOKUP(Tabla81015[[#This Row],[CODIGO DEL PRODUCTO]],Tabla797[],2,FALSE)</f>
        <v>ARENA FINA</v>
      </c>
      <c r="M537" s="37">
        <v>18.399999999999999</v>
      </c>
      <c r="N537" s="158"/>
      <c r="O537" s="76">
        <v>108203</v>
      </c>
      <c r="P537" s="76" t="s">
        <v>684</v>
      </c>
      <c r="Q537" s="77">
        <v>46099</v>
      </c>
      <c r="R537" s="78" t="s">
        <v>40</v>
      </c>
      <c r="S537" s="36" t="str">
        <f>VLOOKUP(Tabla91116[[#This Row],[CODIGO DEL PRODUCTO]],Tabla797[],2,FALSE)</f>
        <v>PIEDRA 0-6</v>
      </c>
      <c r="T537" s="37">
        <v>35.299999999999997</v>
      </c>
    </row>
    <row r="538" spans="8:20" x14ac:dyDescent="0.25">
      <c r="H538" s="34">
        <v>19187</v>
      </c>
      <c r="I538" s="34" t="s">
        <v>474</v>
      </c>
      <c r="J538" s="35">
        <v>46157</v>
      </c>
      <c r="K538" s="36" t="s">
        <v>42</v>
      </c>
      <c r="L538" s="39" t="str">
        <f>VLOOKUP(Tabla81015[[#This Row],[CODIGO DEL PRODUCTO]],Tabla797[],2,FALSE)</f>
        <v>ARENA FINA</v>
      </c>
      <c r="M538" s="37">
        <v>19.64</v>
      </c>
      <c r="N538" s="158"/>
      <c r="O538" s="76">
        <v>108211</v>
      </c>
      <c r="P538" s="76" t="s">
        <v>684</v>
      </c>
      <c r="Q538" s="77">
        <v>46099</v>
      </c>
      <c r="R538" s="78" t="s">
        <v>43</v>
      </c>
      <c r="S538" s="36" t="str">
        <f>VLOOKUP(Tabla91116[[#This Row],[CODIGO DEL PRODUCTO]],Tabla797[],2,FALSE)</f>
        <v>PIEDRA 6-20</v>
      </c>
      <c r="T538" s="37">
        <v>35.74</v>
      </c>
    </row>
    <row r="539" spans="8:20" x14ac:dyDescent="0.25">
      <c r="H539" s="34">
        <v>19707</v>
      </c>
      <c r="I539" s="34" t="s">
        <v>790</v>
      </c>
      <c r="J539" s="35">
        <v>46171</v>
      </c>
      <c r="K539" s="36" t="s">
        <v>468</v>
      </c>
      <c r="L539" s="39" t="str">
        <f>VLOOKUP(Tabla81015[[#This Row],[CODIGO DEL PRODUCTO]],Tabla797[],2,FALSE)</f>
        <v>ESTABILIZADO 0-100 X TN</v>
      </c>
      <c r="M539" s="37">
        <v>22.02</v>
      </c>
      <c r="N539" s="158"/>
      <c r="O539" s="76">
        <v>2696798</v>
      </c>
      <c r="P539" s="76" t="s">
        <v>679</v>
      </c>
      <c r="Q539" s="77">
        <v>46099</v>
      </c>
      <c r="R539" s="78" t="s">
        <v>286</v>
      </c>
      <c r="S539" s="36" t="str">
        <f>VLOOKUP(Tabla91116[[#This Row],[CODIGO DEL PRODUCTO]],Tabla797[],2,FALSE)</f>
        <v>CPF 40 AVELLANEDA</v>
      </c>
      <c r="T539" s="37">
        <v>35.6</v>
      </c>
    </row>
    <row r="540" spans="8:20" x14ac:dyDescent="0.25">
      <c r="H540" s="34">
        <v>20057</v>
      </c>
      <c r="I540" s="34" t="s">
        <v>794</v>
      </c>
      <c r="J540" s="35">
        <v>46184</v>
      </c>
      <c r="K540" s="36" t="s">
        <v>43</v>
      </c>
      <c r="L540" s="39" t="str">
        <f>VLOOKUP(Tabla81015[[#This Row],[CODIGO DEL PRODUCTO]],Tabla797[],2,FALSE)</f>
        <v>PIEDRA 6-20</v>
      </c>
      <c r="M540" s="37">
        <v>2</v>
      </c>
      <c r="N540" s="158"/>
      <c r="O540" s="76">
        <v>42772</v>
      </c>
      <c r="P540" s="76" t="s">
        <v>449</v>
      </c>
      <c r="Q540" s="77">
        <v>46099</v>
      </c>
      <c r="R540" s="78" t="s">
        <v>425</v>
      </c>
      <c r="S540" s="36" t="str">
        <f>VLOOKUP(Tabla91116[[#This Row],[CODIGO DEL PRODUCTO]],Tabla797[],2,FALSE)</f>
        <v>W351R</v>
      </c>
      <c r="T540" s="37">
        <v>1000</v>
      </c>
    </row>
    <row r="541" spans="8:20" x14ac:dyDescent="0.25">
      <c r="H541" s="34"/>
      <c r="I541" s="34" t="s">
        <v>794</v>
      </c>
      <c r="J541" s="35">
        <v>46184</v>
      </c>
      <c r="K541" s="36" t="s">
        <v>42</v>
      </c>
      <c r="L541" s="39" t="str">
        <f>VLOOKUP(Tabla81015[[#This Row],[CODIGO DEL PRODUCTO]],Tabla797[],2,FALSE)</f>
        <v>ARENA FINA</v>
      </c>
      <c r="M541" s="37">
        <v>2</v>
      </c>
      <c r="N541" s="158"/>
      <c r="O541" s="76">
        <v>42773</v>
      </c>
      <c r="P541" s="76" t="s">
        <v>449</v>
      </c>
      <c r="Q541" s="77">
        <v>46099</v>
      </c>
      <c r="R541" s="78" t="s">
        <v>425</v>
      </c>
      <c r="S541" s="36" t="str">
        <f>VLOOKUP(Tabla91116[[#This Row],[CODIGO DEL PRODUCTO]],Tabla797[],2,FALSE)</f>
        <v>W351R</v>
      </c>
      <c r="T541" s="37">
        <v>1000</v>
      </c>
    </row>
    <row r="542" spans="8:20" x14ac:dyDescent="0.25">
      <c r="H542" s="34">
        <v>20078</v>
      </c>
      <c r="I542" s="34" t="s">
        <v>312</v>
      </c>
      <c r="J542" s="35">
        <v>46184</v>
      </c>
      <c r="K542" s="36" t="s">
        <v>43</v>
      </c>
      <c r="L542" s="39" t="str">
        <f>VLOOKUP(Tabla81015[[#This Row],[CODIGO DEL PRODUCTO]],Tabla797[],2,FALSE)</f>
        <v>PIEDRA 6-20</v>
      </c>
      <c r="M542" s="37">
        <v>3</v>
      </c>
      <c r="N542" s="158"/>
      <c r="O542" s="76">
        <v>103789</v>
      </c>
      <c r="P542" s="76" t="s">
        <v>683</v>
      </c>
      <c r="Q542" s="77">
        <v>46100</v>
      </c>
      <c r="R542" s="78" t="s">
        <v>42</v>
      </c>
      <c r="S542" s="36" t="str">
        <f>VLOOKUP(Tabla91116[[#This Row],[CODIGO DEL PRODUCTO]],Tabla797[],2,FALSE)</f>
        <v>ARENA FINA</v>
      </c>
      <c r="T542" s="37">
        <v>34.86</v>
      </c>
    </row>
    <row r="543" spans="8:20" x14ac:dyDescent="0.25">
      <c r="H543" s="34"/>
      <c r="I543" s="34" t="s">
        <v>312</v>
      </c>
      <c r="J543" s="35">
        <v>46184</v>
      </c>
      <c r="K543" s="36" t="s">
        <v>42</v>
      </c>
      <c r="L543" s="39" t="str">
        <f>VLOOKUP(Tabla81015[[#This Row],[CODIGO DEL PRODUCTO]],Tabla797[],2,FALSE)</f>
        <v>ARENA FINA</v>
      </c>
      <c r="M543" s="37">
        <v>3</v>
      </c>
      <c r="N543" s="158"/>
      <c r="O543" s="76">
        <v>103791</v>
      </c>
      <c r="P543" s="76" t="s">
        <v>683</v>
      </c>
      <c r="Q543" s="77">
        <v>46100</v>
      </c>
      <c r="R543" s="78" t="s">
        <v>42</v>
      </c>
      <c r="S543" s="36" t="str">
        <f>VLOOKUP(Tabla91116[[#This Row],[CODIGO DEL PRODUCTO]],Tabla797[],2,FALSE)</f>
        <v>ARENA FINA</v>
      </c>
      <c r="T543" s="37">
        <v>37.619999999999997</v>
      </c>
    </row>
    <row r="544" spans="8:20" x14ac:dyDescent="0.25">
      <c r="H544" s="34">
        <v>20081</v>
      </c>
      <c r="I544" s="34" t="s">
        <v>601</v>
      </c>
      <c r="J544" s="35">
        <v>46184</v>
      </c>
      <c r="K544" s="36" t="s">
        <v>42</v>
      </c>
      <c r="L544" s="39" t="str">
        <f>VLOOKUP(Tabla81015[[#This Row],[CODIGO DEL PRODUCTO]],Tabla797[],2,FALSE)</f>
        <v>ARENA FINA</v>
      </c>
      <c r="M544" s="37">
        <v>6</v>
      </c>
      <c r="N544" s="158"/>
      <c r="O544" s="76">
        <v>103797</v>
      </c>
      <c r="P544" s="76" t="s">
        <v>683</v>
      </c>
      <c r="Q544" s="77">
        <v>46100</v>
      </c>
      <c r="R544" s="78" t="s">
        <v>42</v>
      </c>
      <c r="S544" s="36" t="str">
        <f>VLOOKUP(Tabla91116[[#This Row],[CODIGO DEL PRODUCTO]],Tabla797[],2,FALSE)</f>
        <v>ARENA FINA</v>
      </c>
      <c r="T544" s="37">
        <v>38.159999999999997</v>
      </c>
    </row>
    <row r="545" spans="8:21" x14ac:dyDescent="0.25">
      <c r="H545" s="34">
        <v>20109</v>
      </c>
      <c r="I545" s="34" t="s">
        <v>817</v>
      </c>
      <c r="J545" s="35">
        <v>46185</v>
      </c>
      <c r="K545" s="36" t="s">
        <v>42</v>
      </c>
      <c r="L545" s="39" t="str">
        <f>VLOOKUP(Tabla81015[[#This Row],[CODIGO DEL PRODUCTO]],Tabla797[],2,FALSE)</f>
        <v>ARENA FINA</v>
      </c>
      <c r="M545" s="37">
        <v>8</v>
      </c>
      <c r="N545" s="158"/>
      <c r="O545" s="76">
        <v>103798</v>
      </c>
      <c r="P545" s="76" t="s">
        <v>683</v>
      </c>
      <c r="Q545" s="77">
        <v>46100</v>
      </c>
      <c r="R545" s="78" t="s">
        <v>42</v>
      </c>
      <c r="S545" s="36" t="str">
        <f>VLOOKUP(Tabla91116[[#This Row],[CODIGO DEL PRODUCTO]],Tabla797[],2,FALSE)</f>
        <v>ARENA FINA</v>
      </c>
      <c r="T545" s="37">
        <v>33.82</v>
      </c>
    </row>
    <row r="546" spans="8:21" x14ac:dyDescent="0.25">
      <c r="H546" s="34">
        <v>20115</v>
      </c>
      <c r="I546" s="34" t="s">
        <v>818</v>
      </c>
      <c r="J546" s="35">
        <v>46186</v>
      </c>
      <c r="K546" s="36" t="s">
        <v>42</v>
      </c>
      <c r="L546" s="39" t="str">
        <f>VLOOKUP(Tabla81015[[#This Row],[CODIGO DEL PRODUCTO]],Tabla797[],2,FALSE)</f>
        <v>ARENA FINA</v>
      </c>
      <c r="M546" s="37">
        <v>5</v>
      </c>
      <c r="N546" s="158"/>
      <c r="O546" s="76">
        <v>108219</v>
      </c>
      <c r="P546" s="76" t="s">
        <v>684</v>
      </c>
      <c r="Q546" s="77">
        <v>46100</v>
      </c>
      <c r="R546" s="78" t="s">
        <v>40</v>
      </c>
      <c r="S546" s="36" t="str">
        <f>VLOOKUP(Tabla91116[[#This Row],[CODIGO DEL PRODUCTO]],Tabla797[],2,FALSE)</f>
        <v>PIEDRA 0-6</v>
      </c>
      <c r="T546" s="37">
        <v>35.24</v>
      </c>
    </row>
    <row r="547" spans="8:21" x14ac:dyDescent="0.25">
      <c r="H547" s="34"/>
      <c r="I547" s="34" t="s">
        <v>53</v>
      </c>
      <c r="J547" s="35">
        <v>46181</v>
      </c>
      <c r="K547" s="36" t="s">
        <v>42</v>
      </c>
      <c r="L547" s="39" t="str">
        <f>VLOOKUP(Tabla81015[[#This Row],[CODIGO DEL PRODUCTO]],Tabla797[],2,FALSE)</f>
        <v>ARENA FINA</v>
      </c>
      <c r="M547" s="37">
        <v>253.09</v>
      </c>
      <c r="N547" s="158"/>
      <c r="O547" s="76">
        <v>108234</v>
      </c>
      <c r="P547" s="76" t="s">
        <v>684</v>
      </c>
      <c r="Q547" s="77">
        <v>46100</v>
      </c>
      <c r="R547" s="78" t="s">
        <v>40</v>
      </c>
      <c r="S547" s="36" t="str">
        <f>VLOOKUP(Tabla91116[[#This Row],[CODIGO DEL PRODUCTO]],Tabla797[],2,FALSE)</f>
        <v>PIEDRA 0-6</v>
      </c>
      <c r="T547" s="37">
        <v>35.299999999999997</v>
      </c>
    </row>
    <row r="548" spans="8:21" x14ac:dyDescent="0.25">
      <c r="H548" s="34"/>
      <c r="I548" s="34" t="s">
        <v>53</v>
      </c>
      <c r="J548" s="35">
        <v>46182</v>
      </c>
      <c r="K548" s="36" t="s">
        <v>40</v>
      </c>
      <c r="L548" s="39" t="str">
        <f>VLOOKUP(Tabla81015[[#This Row],[CODIGO DEL PRODUCTO]],Tabla797[],2,FALSE)</f>
        <v>PIEDRA 0-6</v>
      </c>
      <c r="M548" s="37">
        <v>162.6</v>
      </c>
      <c r="N548" s="158"/>
      <c r="O548" s="76">
        <v>108239</v>
      </c>
      <c r="P548" s="76" t="s">
        <v>684</v>
      </c>
      <c r="Q548" s="77">
        <v>46100</v>
      </c>
      <c r="R548" s="78" t="s">
        <v>40</v>
      </c>
      <c r="S548" s="36" t="str">
        <f>VLOOKUP(Tabla91116[[#This Row],[CODIGO DEL PRODUCTO]],Tabla797[],2,FALSE)</f>
        <v>PIEDRA 0-6</v>
      </c>
      <c r="T548" s="37">
        <v>35.36</v>
      </c>
    </row>
    <row r="549" spans="8:21" x14ac:dyDescent="0.25">
      <c r="H549" s="34"/>
      <c r="I549" s="34" t="s">
        <v>53</v>
      </c>
      <c r="J549" s="35">
        <v>46183</v>
      </c>
      <c r="K549" s="36" t="s">
        <v>286</v>
      </c>
      <c r="L549" s="39" t="str">
        <f>VLOOKUP(Tabla81015[[#This Row],[CODIGO DEL PRODUCTO]],Tabla797[],2,FALSE)</f>
        <v>CPF 40 AVELLANEDA</v>
      </c>
      <c r="M549" s="37">
        <v>111.22</v>
      </c>
      <c r="N549" s="158"/>
      <c r="O549" s="76">
        <v>108241</v>
      </c>
      <c r="P549" s="76" t="s">
        <v>684</v>
      </c>
      <c r="Q549" s="77">
        <v>46100</v>
      </c>
      <c r="R549" s="78" t="s">
        <v>40</v>
      </c>
      <c r="S549" s="36" t="str">
        <f>VLOOKUP(Tabla91116[[#This Row],[CODIGO DEL PRODUCTO]],Tabla797[],2,FALSE)</f>
        <v>PIEDRA 0-6</v>
      </c>
      <c r="T549" s="37">
        <v>35.58</v>
      </c>
    </row>
    <row r="550" spans="8:21" x14ac:dyDescent="0.25">
      <c r="H550" s="34"/>
      <c r="I550" s="34" t="s">
        <v>53</v>
      </c>
      <c r="J550" s="35">
        <v>46184</v>
      </c>
      <c r="K550" s="36" t="s">
        <v>48</v>
      </c>
      <c r="L550" s="39" t="str">
        <f>VLOOKUP(Tabla81015[[#This Row],[CODIGO DEL PRODUCTO]],Tabla797[],2,FALSE)</f>
        <v>PIEDRA 6-12</v>
      </c>
      <c r="M550" s="37">
        <v>7.86</v>
      </c>
      <c r="N550" s="158"/>
      <c r="O550" s="76">
        <v>108244</v>
      </c>
      <c r="P550" s="76" t="s">
        <v>684</v>
      </c>
      <c r="Q550" s="77">
        <v>46100</v>
      </c>
      <c r="R550" s="78" t="s">
        <v>43</v>
      </c>
      <c r="S550" s="36" t="str">
        <f>VLOOKUP(Tabla91116[[#This Row],[CODIGO DEL PRODUCTO]],Tabla797[],2,FALSE)</f>
        <v>PIEDRA 6-20</v>
      </c>
      <c r="T550" s="37">
        <v>34.619999999999997</v>
      </c>
    </row>
    <row r="551" spans="8:21" x14ac:dyDescent="0.25">
      <c r="H551" s="34"/>
      <c r="I551" s="34" t="s">
        <v>53</v>
      </c>
      <c r="J551" s="35">
        <v>46185</v>
      </c>
      <c r="K551" s="36" t="s">
        <v>43</v>
      </c>
      <c r="L551" s="39" t="str">
        <f>VLOOKUP(Tabla81015[[#This Row],[CODIGO DEL PRODUCTO]],Tabla797[],2,FALSE)</f>
        <v>PIEDRA 6-20</v>
      </c>
      <c r="M551" s="37">
        <v>350.03</v>
      </c>
      <c r="N551" s="158"/>
      <c r="O551" s="76">
        <v>2697056</v>
      </c>
      <c r="P551" s="76" t="s">
        <v>679</v>
      </c>
      <c r="Q551" s="77">
        <v>46100</v>
      </c>
      <c r="R551" s="78" t="s">
        <v>286</v>
      </c>
      <c r="S551" s="36" t="str">
        <f>VLOOKUP(Tabla91116[[#This Row],[CODIGO DEL PRODUCTO]],Tabla797[],2,FALSE)</f>
        <v>CPF 40 AVELLANEDA</v>
      </c>
      <c r="T551" s="37">
        <v>35.56</v>
      </c>
    </row>
    <row r="552" spans="8:21" x14ac:dyDescent="0.25">
      <c r="H552" s="34"/>
      <c r="I552" s="34" t="s">
        <v>53</v>
      </c>
      <c r="J552" s="35">
        <v>46186</v>
      </c>
      <c r="K552" s="36" t="s">
        <v>425</v>
      </c>
      <c r="L552" s="39" t="str">
        <f>VLOOKUP(Tabla81015[[#This Row],[CODIGO DEL PRODUCTO]],Tabla797[],2,FALSE)</f>
        <v>W351R</v>
      </c>
      <c r="M552" s="37">
        <v>0.62</v>
      </c>
      <c r="N552" s="158"/>
      <c r="O552" s="76">
        <v>103805</v>
      </c>
      <c r="P552" s="76" t="s">
        <v>683</v>
      </c>
      <c r="Q552" s="77">
        <v>46101</v>
      </c>
      <c r="R552" s="78" t="s">
        <v>42</v>
      </c>
      <c r="S552" s="36" t="str">
        <f>VLOOKUP(Tabla91116[[#This Row],[CODIGO DEL PRODUCTO]],Tabla797[],2,FALSE)</f>
        <v>ARENA FINA</v>
      </c>
      <c r="T552" s="37">
        <v>34.64</v>
      </c>
      <c r="U552" s="7"/>
    </row>
    <row r="553" spans="8:21" x14ac:dyDescent="0.25">
      <c r="H553" s="34">
        <v>20132</v>
      </c>
      <c r="I553" s="34" t="s">
        <v>819</v>
      </c>
      <c r="J553" s="35">
        <v>46189</v>
      </c>
      <c r="K553" s="36" t="s">
        <v>42</v>
      </c>
      <c r="L553" s="39" t="str">
        <f>VLOOKUP(Tabla81015[[#This Row],[CODIGO DEL PRODUCTO]],Tabla797[],2,FALSE)</f>
        <v>ARENA FINA</v>
      </c>
      <c r="M553" s="37">
        <v>3</v>
      </c>
      <c r="N553" s="158"/>
      <c r="O553" s="76">
        <v>103812</v>
      </c>
      <c r="P553" s="76" t="s">
        <v>683</v>
      </c>
      <c r="Q553" s="77">
        <v>46101</v>
      </c>
      <c r="R553" s="78" t="s">
        <v>42</v>
      </c>
      <c r="S553" s="36" t="str">
        <f>VLOOKUP(Tabla91116[[#This Row],[CODIGO DEL PRODUCTO]],Tabla797[],2,FALSE)</f>
        <v>ARENA FINA</v>
      </c>
      <c r="T553" s="37">
        <v>35.76</v>
      </c>
    </row>
    <row r="554" spans="8:21" x14ac:dyDescent="0.25">
      <c r="H554" s="34"/>
      <c r="I554" s="34" t="s">
        <v>819</v>
      </c>
      <c r="J554" s="35">
        <v>46189</v>
      </c>
      <c r="K554" s="36" t="s">
        <v>43</v>
      </c>
      <c r="L554" s="39" t="str">
        <f>VLOOKUP(Tabla81015[[#This Row],[CODIGO DEL PRODUCTO]],Tabla797[],2,FALSE)</f>
        <v>PIEDRA 6-20</v>
      </c>
      <c r="M554" s="37">
        <v>4</v>
      </c>
      <c r="N554" s="158"/>
      <c r="O554" s="76">
        <v>103816</v>
      </c>
      <c r="P554" s="76" t="s">
        <v>683</v>
      </c>
      <c r="Q554" s="77">
        <v>46101</v>
      </c>
      <c r="R554" s="78" t="s">
        <v>42</v>
      </c>
      <c r="S554" s="36" t="str">
        <f>VLOOKUP(Tabla91116[[#This Row],[CODIGO DEL PRODUCTO]],Tabla797[],2,FALSE)</f>
        <v>ARENA FINA</v>
      </c>
      <c r="T554" s="37">
        <v>34.74</v>
      </c>
    </row>
    <row r="555" spans="8:21" x14ac:dyDescent="0.25">
      <c r="H555" s="34">
        <v>20189</v>
      </c>
      <c r="I555" s="34" t="s">
        <v>312</v>
      </c>
      <c r="J555" s="35">
        <v>46190</v>
      </c>
      <c r="K555" s="36" t="s">
        <v>40</v>
      </c>
      <c r="L555" s="39" t="str">
        <f>VLOOKUP(Tabla81015[[#This Row],[CODIGO DEL PRODUCTO]],Tabla797[],2,FALSE)</f>
        <v>PIEDRA 0-6</v>
      </c>
      <c r="M555" s="37">
        <v>2</v>
      </c>
      <c r="N555" s="158"/>
      <c r="O555" s="76">
        <v>108258</v>
      </c>
      <c r="P555" s="76" t="s">
        <v>684</v>
      </c>
      <c r="Q555" s="77">
        <v>46101</v>
      </c>
      <c r="R555" s="78" t="s">
        <v>40</v>
      </c>
      <c r="S555" s="36" t="str">
        <f>VLOOKUP(Tabla91116[[#This Row],[CODIGO DEL PRODUCTO]],Tabla797[],2,FALSE)</f>
        <v>PIEDRA 0-6</v>
      </c>
      <c r="T555" s="37">
        <v>34.82</v>
      </c>
    </row>
    <row r="556" spans="8:21" x14ac:dyDescent="0.25">
      <c r="H556" s="34">
        <v>20156</v>
      </c>
      <c r="I556" s="34" t="s">
        <v>819</v>
      </c>
      <c r="J556" s="35">
        <v>46189</v>
      </c>
      <c r="K556" s="36" t="s">
        <v>42</v>
      </c>
      <c r="L556" s="39" t="str">
        <f>VLOOKUP(Tabla81015[[#This Row],[CODIGO DEL PRODUCTO]],Tabla797[],2,FALSE)</f>
        <v>ARENA FINA</v>
      </c>
      <c r="M556" s="37">
        <v>3</v>
      </c>
      <c r="N556" s="158"/>
      <c r="O556" s="76">
        <v>108270</v>
      </c>
      <c r="P556" s="76" t="s">
        <v>684</v>
      </c>
      <c r="Q556" s="77">
        <v>46101</v>
      </c>
      <c r="R556" s="78" t="s">
        <v>43</v>
      </c>
      <c r="S556" s="36" t="str">
        <f>VLOOKUP(Tabla91116[[#This Row],[CODIGO DEL PRODUCTO]],Tabla797[],2,FALSE)</f>
        <v>PIEDRA 6-20</v>
      </c>
      <c r="T556" s="37">
        <v>35.619999999999997</v>
      </c>
    </row>
    <row r="557" spans="8:21" x14ac:dyDescent="0.25">
      <c r="H557" s="34"/>
      <c r="I557" s="34" t="s">
        <v>819</v>
      </c>
      <c r="J557" s="35">
        <v>46189</v>
      </c>
      <c r="K557" s="36" t="s">
        <v>43</v>
      </c>
      <c r="L557" s="39" t="str">
        <f>VLOOKUP(Tabla81015[[#This Row],[CODIGO DEL PRODUCTO]],Tabla797[],2,FALSE)</f>
        <v>PIEDRA 6-20</v>
      </c>
      <c r="M557" s="37">
        <v>2</v>
      </c>
      <c r="N557" s="158"/>
      <c r="O557" s="76">
        <v>108271</v>
      </c>
      <c r="P557" s="76" t="s">
        <v>684</v>
      </c>
      <c r="Q557" s="77">
        <v>46101</v>
      </c>
      <c r="R557" s="78" t="s">
        <v>40</v>
      </c>
      <c r="S557" s="36" t="str">
        <f>VLOOKUP(Tabla91116[[#This Row],[CODIGO DEL PRODUCTO]],Tabla797[],2,FALSE)</f>
        <v>PIEDRA 0-6</v>
      </c>
      <c r="T557" s="37">
        <v>35.42</v>
      </c>
    </row>
    <row r="558" spans="8:21" x14ac:dyDescent="0.25">
      <c r="H558" s="34">
        <v>20191</v>
      </c>
      <c r="I558" s="34" t="s">
        <v>809</v>
      </c>
      <c r="J558" s="35">
        <v>46190</v>
      </c>
      <c r="K558" s="36" t="s">
        <v>43</v>
      </c>
      <c r="L558" s="39" t="str">
        <f>VLOOKUP(Tabla81015[[#This Row],[CODIGO DEL PRODUCTO]],Tabla797[],2,FALSE)</f>
        <v>PIEDRA 6-20</v>
      </c>
      <c r="M558" s="37">
        <v>2</v>
      </c>
      <c r="N558" s="158"/>
      <c r="O558" s="76">
        <v>154738</v>
      </c>
      <c r="P558" s="76" t="s">
        <v>679</v>
      </c>
      <c r="Q558" s="77">
        <v>46101</v>
      </c>
      <c r="R558" s="78" t="s">
        <v>43</v>
      </c>
      <c r="S558" s="36" t="str">
        <f>VLOOKUP(Tabla91116[[#This Row],[CODIGO DEL PRODUCTO]],Tabla797[],2,FALSE)</f>
        <v>PIEDRA 6-20</v>
      </c>
      <c r="T558" s="37">
        <v>35.32</v>
      </c>
    </row>
    <row r="559" spans="8:21" x14ac:dyDescent="0.25">
      <c r="H559" s="34">
        <v>20197</v>
      </c>
      <c r="I559" s="34" t="s">
        <v>474</v>
      </c>
      <c r="J559" s="35">
        <v>46191</v>
      </c>
      <c r="K559" s="36" t="s">
        <v>43</v>
      </c>
      <c r="L559" s="39" t="str">
        <f>VLOOKUP(Tabla81015[[#This Row],[CODIGO DEL PRODUCTO]],Tabla797[],2,FALSE)</f>
        <v>PIEDRA 6-20</v>
      </c>
      <c r="M559" s="37">
        <v>16.36</v>
      </c>
      <c r="N559" s="158"/>
      <c r="O559" s="76">
        <v>2697341</v>
      </c>
      <c r="P559" s="76" t="s">
        <v>679</v>
      </c>
      <c r="Q559" s="77">
        <v>46101</v>
      </c>
      <c r="R559" s="78" t="s">
        <v>286</v>
      </c>
      <c r="S559" s="36" t="str">
        <f>VLOOKUP(Tabla91116[[#This Row],[CODIGO DEL PRODUCTO]],Tabla797[],2,FALSE)</f>
        <v>CPF 40 AVELLANEDA</v>
      </c>
      <c r="T559" s="37">
        <v>35.96</v>
      </c>
    </row>
    <row r="560" spans="8:21" x14ac:dyDescent="0.25">
      <c r="H560" s="34">
        <v>20211</v>
      </c>
      <c r="I560" s="34" t="s">
        <v>474</v>
      </c>
      <c r="J560" s="35">
        <v>46191</v>
      </c>
      <c r="K560" s="36" t="s">
        <v>42</v>
      </c>
      <c r="L560" s="39" t="str">
        <f>VLOOKUP(Tabla81015[[#This Row],[CODIGO DEL PRODUCTO]],Tabla797[],2,FALSE)</f>
        <v>ARENA FINA</v>
      </c>
      <c r="M560" s="37">
        <v>13.58</v>
      </c>
      <c r="N560" s="158"/>
      <c r="O560" s="76">
        <v>103824</v>
      </c>
      <c r="P560" s="76" t="s">
        <v>683</v>
      </c>
      <c r="Q560" s="77">
        <v>46102</v>
      </c>
      <c r="R560" s="78" t="s">
        <v>42</v>
      </c>
      <c r="S560" s="36" t="str">
        <f>VLOOKUP(Tabla91116[[#This Row],[CODIGO DEL PRODUCTO]],Tabla797[],2,FALSE)</f>
        <v>ARENA FINA</v>
      </c>
      <c r="T560" s="37">
        <v>38.619999999999997</v>
      </c>
    </row>
    <row r="561" spans="8:21" x14ac:dyDescent="0.25">
      <c r="H561" s="34">
        <v>20216</v>
      </c>
      <c r="I561" s="34" t="s">
        <v>474</v>
      </c>
      <c r="J561" s="35">
        <v>46191</v>
      </c>
      <c r="K561" s="36" t="s">
        <v>43</v>
      </c>
      <c r="L561" s="39" t="str">
        <f>VLOOKUP(Tabla81015[[#This Row],[CODIGO DEL PRODUCTO]],Tabla797[],2,FALSE)</f>
        <v>PIEDRA 6-20</v>
      </c>
      <c r="M561" s="37">
        <v>14.58</v>
      </c>
      <c r="N561" s="158"/>
      <c r="O561" s="76">
        <v>108275</v>
      </c>
      <c r="P561" s="76" t="s">
        <v>684</v>
      </c>
      <c r="Q561" s="77">
        <v>46102</v>
      </c>
      <c r="R561" s="78" t="s">
        <v>43</v>
      </c>
      <c r="S561" s="36" t="str">
        <f>VLOOKUP(Tabla91116[[#This Row],[CODIGO DEL PRODUCTO]],Tabla797[],2,FALSE)</f>
        <v>PIEDRA 6-20</v>
      </c>
      <c r="T561" s="37">
        <v>36.14</v>
      </c>
    </row>
    <row r="562" spans="8:21" x14ac:dyDescent="0.25">
      <c r="H562" s="34">
        <v>20220</v>
      </c>
      <c r="I562" s="34" t="s">
        <v>474</v>
      </c>
      <c r="J562" s="35">
        <v>46191</v>
      </c>
      <c r="K562" s="36" t="s">
        <v>42</v>
      </c>
      <c r="L562" s="39" t="str">
        <f>VLOOKUP(Tabla81015[[#This Row],[CODIGO DEL PRODUCTO]],Tabla797[],2,FALSE)</f>
        <v>ARENA FINA</v>
      </c>
      <c r="M562" s="37">
        <v>15.42</v>
      </c>
      <c r="N562" s="158"/>
      <c r="O562" s="76">
        <v>108277</v>
      </c>
      <c r="P562" s="76" t="s">
        <v>684</v>
      </c>
      <c r="Q562" s="77">
        <v>46102</v>
      </c>
      <c r="R562" s="78" t="s">
        <v>43</v>
      </c>
      <c r="S562" s="36" t="str">
        <f>VLOOKUP(Tabla91116[[#This Row],[CODIGO DEL PRODUCTO]],Tabla797[],2,FALSE)</f>
        <v>PIEDRA 6-20</v>
      </c>
      <c r="T562" s="37">
        <v>35.44</v>
      </c>
      <c r="U562" s="7"/>
    </row>
    <row r="563" spans="8:21" x14ac:dyDescent="0.25">
      <c r="H563" s="34">
        <v>20224</v>
      </c>
      <c r="I563" s="34" t="s">
        <v>809</v>
      </c>
      <c r="J563" s="35">
        <v>46192</v>
      </c>
      <c r="K563" s="36" t="s">
        <v>42</v>
      </c>
      <c r="L563" s="39" t="str">
        <f>VLOOKUP(Tabla81015[[#This Row],[CODIGO DEL PRODUCTO]],Tabla797[],2,FALSE)</f>
        <v>ARENA FINA</v>
      </c>
      <c r="M563" s="37">
        <v>7</v>
      </c>
      <c r="N563" s="158"/>
      <c r="O563" s="76">
        <v>2697454</v>
      </c>
      <c r="P563" s="76" t="s">
        <v>679</v>
      </c>
      <c r="Q563" s="77">
        <v>46102</v>
      </c>
      <c r="R563" s="78" t="s">
        <v>286</v>
      </c>
      <c r="S563" s="36" t="str">
        <f>VLOOKUP(Tabla91116[[#This Row],[CODIGO DEL PRODUCTO]],Tabla797[],2,FALSE)</f>
        <v>CPF 40 AVELLANEDA</v>
      </c>
      <c r="T563" s="37">
        <v>35.82</v>
      </c>
    </row>
    <row r="564" spans="8:21" x14ac:dyDescent="0.25">
      <c r="H564" s="34">
        <v>20227</v>
      </c>
      <c r="I564" s="34" t="s">
        <v>802</v>
      </c>
      <c r="J564" s="35">
        <v>46192</v>
      </c>
      <c r="K564" s="36" t="s">
        <v>42</v>
      </c>
      <c r="L564" s="39" t="str">
        <f>VLOOKUP(Tabla81015[[#This Row],[CODIGO DEL PRODUCTO]],Tabla797[],2,FALSE)</f>
        <v>ARENA FINA</v>
      </c>
      <c r="M564" s="37">
        <v>2</v>
      </c>
      <c r="N564" s="158"/>
      <c r="O564" s="76">
        <v>103826</v>
      </c>
      <c r="P564" s="76" t="s">
        <v>683</v>
      </c>
      <c r="Q564" s="77">
        <v>46104</v>
      </c>
      <c r="R564" s="78" t="s">
        <v>42</v>
      </c>
      <c r="S564" s="36" t="str">
        <f>VLOOKUP(Tabla91116[[#This Row],[CODIGO DEL PRODUCTO]],Tabla797[],2,FALSE)</f>
        <v>ARENA FINA</v>
      </c>
      <c r="T564" s="37">
        <v>35.659999999999997</v>
      </c>
    </row>
    <row r="565" spans="8:21" x14ac:dyDescent="0.25">
      <c r="H565" s="34"/>
      <c r="I565" s="34" t="s">
        <v>802</v>
      </c>
      <c r="J565" s="35">
        <v>46192</v>
      </c>
      <c r="K565" s="36" t="s">
        <v>43</v>
      </c>
      <c r="L565" s="39" t="str">
        <f>VLOOKUP(Tabla81015[[#This Row],[CODIGO DEL PRODUCTO]],Tabla797[],2,FALSE)</f>
        <v>PIEDRA 6-20</v>
      </c>
      <c r="M565" s="37">
        <v>0.2</v>
      </c>
      <c r="N565" s="158"/>
      <c r="O565" s="76">
        <v>103830</v>
      </c>
      <c r="P565" s="76" t="s">
        <v>683</v>
      </c>
      <c r="Q565" s="77">
        <v>46104</v>
      </c>
      <c r="R565" s="78" t="s">
        <v>42</v>
      </c>
      <c r="S565" s="36" t="str">
        <f>VLOOKUP(Tabla91116[[#This Row],[CODIGO DEL PRODUCTO]],Tabla797[],2,FALSE)</f>
        <v>ARENA FINA</v>
      </c>
      <c r="T565" s="37">
        <v>35</v>
      </c>
    </row>
    <row r="566" spans="8:21" x14ac:dyDescent="0.25">
      <c r="H566" s="34">
        <v>20228</v>
      </c>
      <c r="I566" s="34" t="s">
        <v>790</v>
      </c>
      <c r="J566" s="35">
        <v>46192</v>
      </c>
      <c r="K566" s="36" t="s">
        <v>46</v>
      </c>
      <c r="L566" s="39" t="str">
        <f>VLOOKUP(Tabla81015[[#This Row],[CODIGO DEL PRODUCTO]],Tabla797[],2,FALSE)</f>
        <v>PIEDRA 10-30</v>
      </c>
      <c r="M566" s="37">
        <v>12.18</v>
      </c>
      <c r="N566" s="158"/>
      <c r="O566" s="76">
        <v>103831</v>
      </c>
      <c r="P566" s="76" t="s">
        <v>683</v>
      </c>
      <c r="Q566" s="77">
        <v>46104</v>
      </c>
      <c r="R566" s="78" t="s">
        <v>42</v>
      </c>
      <c r="S566" s="36" t="str">
        <f>VLOOKUP(Tabla91116[[#This Row],[CODIGO DEL PRODUCTO]],Tabla797[],2,FALSE)</f>
        <v>ARENA FINA</v>
      </c>
      <c r="T566" s="37">
        <v>36.200000000000003</v>
      </c>
    </row>
    <row r="567" spans="8:21" x14ac:dyDescent="0.25">
      <c r="H567" s="34">
        <v>20230</v>
      </c>
      <c r="I567" s="34" t="s">
        <v>534</v>
      </c>
      <c r="J567" s="35">
        <v>46192</v>
      </c>
      <c r="K567" s="36" t="s">
        <v>42</v>
      </c>
      <c r="L567" s="39" t="str">
        <f>VLOOKUP(Tabla81015[[#This Row],[CODIGO DEL PRODUCTO]],Tabla797[],2,FALSE)</f>
        <v>ARENA FINA</v>
      </c>
      <c r="M567" s="37">
        <v>5</v>
      </c>
      <c r="N567" s="158"/>
      <c r="O567" s="76">
        <v>96935</v>
      </c>
      <c r="P567" s="76" t="s">
        <v>680</v>
      </c>
      <c r="Q567" s="77">
        <v>46104</v>
      </c>
      <c r="R567" s="78" t="s">
        <v>42</v>
      </c>
      <c r="S567" s="36" t="str">
        <f>VLOOKUP(Tabla91116[[#This Row],[CODIGO DEL PRODUCTO]],Tabla797[],2,FALSE)</f>
        <v>ARENA FINA</v>
      </c>
      <c r="T567" s="37">
        <v>49.52</v>
      </c>
    </row>
    <row r="568" spans="8:21" x14ac:dyDescent="0.25">
      <c r="H568" s="34">
        <v>20234</v>
      </c>
      <c r="I568" s="34" t="s">
        <v>791</v>
      </c>
      <c r="J568" s="35">
        <v>46192</v>
      </c>
      <c r="K568" s="36" t="s">
        <v>42</v>
      </c>
      <c r="L568" s="39" t="str">
        <f>VLOOKUP(Tabla81015[[#This Row],[CODIGO DEL PRODUCTO]],Tabla797[],2,FALSE)</f>
        <v>ARENA FINA</v>
      </c>
      <c r="M568" s="37">
        <v>1</v>
      </c>
      <c r="N568" s="158"/>
      <c r="O568" s="76">
        <v>96981</v>
      </c>
      <c r="P568" s="76" t="s">
        <v>680</v>
      </c>
      <c r="Q568" s="77">
        <v>46104</v>
      </c>
      <c r="R568" s="78" t="s">
        <v>42</v>
      </c>
      <c r="S568" s="36" t="str">
        <f>VLOOKUP(Tabla91116[[#This Row],[CODIGO DEL PRODUCTO]],Tabla797[],2,FALSE)</f>
        <v>ARENA FINA</v>
      </c>
      <c r="T568" s="37">
        <v>54.12</v>
      </c>
    </row>
    <row r="569" spans="8:21" x14ac:dyDescent="0.25">
      <c r="H569" s="34"/>
      <c r="I569" s="34" t="s">
        <v>53</v>
      </c>
      <c r="J569" s="35">
        <v>46188</v>
      </c>
      <c r="K569" s="36" t="s">
        <v>42</v>
      </c>
      <c r="L569" s="39" t="str">
        <f>VLOOKUP(Tabla81015[[#This Row],[CODIGO DEL PRODUCTO]],Tabla797[],2,FALSE)</f>
        <v>ARENA FINA</v>
      </c>
      <c r="M569" s="37">
        <v>296.60000000000002</v>
      </c>
      <c r="N569" s="158"/>
      <c r="O569" s="76">
        <v>12042</v>
      </c>
      <c r="P569" s="76" t="s">
        <v>772</v>
      </c>
      <c r="Q569" s="77">
        <v>46104</v>
      </c>
      <c r="R569" s="78" t="s">
        <v>42</v>
      </c>
      <c r="S569" s="36" t="str">
        <f>VLOOKUP(Tabla91116[[#This Row],[CODIGO DEL PRODUCTO]],Tabla797[],2,FALSE)</f>
        <v>ARENA FINA</v>
      </c>
      <c r="T569" s="37">
        <v>31.44</v>
      </c>
    </row>
    <row r="570" spans="8:21" x14ac:dyDescent="0.25">
      <c r="H570" s="34"/>
      <c r="I570" s="34" t="s">
        <v>53</v>
      </c>
      <c r="J570" s="35">
        <v>46189</v>
      </c>
      <c r="K570" s="36" t="s">
        <v>40</v>
      </c>
      <c r="L570" s="39" t="str">
        <f>VLOOKUP(Tabla81015[[#This Row],[CODIGO DEL PRODUCTO]],Tabla797[],2,FALSE)</f>
        <v>PIEDRA 0-6</v>
      </c>
      <c r="M570" s="37">
        <v>196.63</v>
      </c>
      <c r="N570" s="158"/>
      <c r="O570" s="76">
        <v>12041</v>
      </c>
      <c r="P570" s="76" t="s">
        <v>772</v>
      </c>
      <c r="Q570" s="77">
        <v>46104</v>
      </c>
      <c r="R570" s="78" t="s">
        <v>43</v>
      </c>
      <c r="S570" s="36" t="str">
        <f>VLOOKUP(Tabla91116[[#This Row],[CODIGO DEL PRODUCTO]],Tabla797[],2,FALSE)</f>
        <v>PIEDRA 6-20</v>
      </c>
      <c r="T570" s="37">
        <v>32.4</v>
      </c>
    </row>
    <row r="571" spans="8:21" x14ac:dyDescent="0.25">
      <c r="H571" s="34"/>
      <c r="I571" s="34" t="s">
        <v>53</v>
      </c>
      <c r="J571" s="35">
        <v>46190</v>
      </c>
      <c r="K571" s="36" t="s">
        <v>286</v>
      </c>
      <c r="L571" s="39" t="str">
        <f>VLOOKUP(Tabla81015[[#This Row],[CODIGO DEL PRODUCTO]],Tabla797[],2,FALSE)</f>
        <v>CPF 40 AVELLANEDA</v>
      </c>
      <c r="M571" s="37">
        <v>130.25</v>
      </c>
      <c r="N571" s="158"/>
      <c r="O571" s="76">
        <v>108302</v>
      </c>
      <c r="P571" s="76" t="s">
        <v>684</v>
      </c>
      <c r="Q571" s="77">
        <v>46104</v>
      </c>
      <c r="R571" s="78" t="s">
        <v>43</v>
      </c>
      <c r="S571" s="36" t="str">
        <f>VLOOKUP(Tabla91116[[#This Row],[CODIGO DEL PRODUCTO]],Tabla797[],2,FALSE)</f>
        <v>PIEDRA 6-20</v>
      </c>
      <c r="T571" s="37">
        <v>35.799999999999997</v>
      </c>
      <c r="U571" s="7"/>
    </row>
    <row r="572" spans="8:21" x14ac:dyDescent="0.25">
      <c r="H572" s="34"/>
      <c r="I572" s="34" t="s">
        <v>53</v>
      </c>
      <c r="J572" s="35">
        <v>46191</v>
      </c>
      <c r="K572" s="36" t="s">
        <v>48</v>
      </c>
      <c r="L572" s="39" t="str">
        <f>VLOOKUP(Tabla81015[[#This Row],[CODIGO DEL PRODUCTO]],Tabla797[],2,FALSE)</f>
        <v>PIEDRA 6-12</v>
      </c>
      <c r="M572" s="37">
        <v>39.36</v>
      </c>
      <c r="N572" s="158"/>
      <c r="O572" s="76">
        <v>108312</v>
      </c>
      <c r="P572" s="76" t="s">
        <v>684</v>
      </c>
      <c r="Q572" s="77">
        <v>46104</v>
      </c>
      <c r="R572" s="78" t="s">
        <v>43</v>
      </c>
      <c r="S572" s="36" t="str">
        <f>VLOOKUP(Tabla91116[[#This Row],[CODIGO DEL PRODUCTO]],Tabla797[],2,FALSE)</f>
        <v>PIEDRA 6-20</v>
      </c>
      <c r="T572" s="37">
        <v>34.44</v>
      </c>
    </row>
    <row r="573" spans="8:21" x14ac:dyDescent="0.25">
      <c r="H573" s="34"/>
      <c r="I573" s="34" t="s">
        <v>53</v>
      </c>
      <c r="J573" s="35">
        <v>46192</v>
      </c>
      <c r="K573" s="36" t="s">
        <v>43</v>
      </c>
      <c r="L573" s="39" t="str">
        <f>VLOOKUP(Tabla81015[[#This Row],[CODIGO DEL PRODUCTO]],Tabla797[],2,FALSE)</f>
        <v>PIEDRA 6-20</v>
      </c>
      <c r="M573" s="37">
        <v>373.72</v>
      </c>
      <c r="N573" s="158"/>
      <c r="O573" s="76">
        <v>108314</v>
      </c>
      <c r="P573" s="76" t="s">
        <v>684</v>
      </c>
      <c r="Q573" s="77">
        <v>46104</v>
      </c>
      <c r="R573" s="78" t="s">
        <v>43</v>
      </c>
      <c r="S573" s="36" t="str">
        <f>VLOOKUP(Tabla91116[[#This Row],[CODIGO DEL PRODUCTO]],Tabla797[],2,FALSE)</f>
        <v>PIEDRA 6-20</v>
      </c>
      <c r="T573" s="37">
        <v>34.979999999999997</v>
      </c>
    </row>
    <row r="574" spans="8:21" x14ac:dyDescent="0.25">
      <c r="H574" s="34"/>
      <c r="I574" s="34" t="s">
        <v>53</v>
      </c>
      <c r="J574" s="35">
        <v>46193</v>
      </c>
      <c r="K574" s="36" t="s">
        <v>425</v>
      </c>
      <c r="L574" s="39" t="str">
        <f>VLOOKUP(Tabla81015[[#This Row],[CODIGO DEL PRODUCTO]],Tabla797[],2,FALSE)</f>
        <v>W351R</v>
      </c>
      <c r="M574" s="37">
        <v>754</v>
      </c>
      <c r="N574" s="158"/>
      <c r="O574" s="76">
        <v>2697681</v>
      </c>
      <c r="P574" s="76" t="s">
        <v>679</v>
      </c>
      <c r="Q574" s="77">
        <v>46104</v>
      </c>
      <c r="R574" s="78" t="s">
        <v>286</v>
      </c>
      <c r="S574" s="36" t="str">
        <f>VLOOKUP(Tabla91116[[#This Row],[CODIGO DEL PRODUCTO]],Tabla797[],2,FALSE)</f>
        <v>CPF 40 AVELLANEDA</v>
      </c>
      <c r="T574" s="37">
        <v>35.869999999999997</v>
      </c>
    </row>
    <row r="575" spans="8:21" x14ac:dyDescent="0.25">
      <c r="H575" s="34">
        <v>20240</v>
      </c>
      <c r="I575" s="34" t="s">
        <v>794</v>
      </c>
      <c r="J575" s="35">
        <v>46195</v>
      </c>
      <c r="K575" s="36" t="s">
        <v>42</v>
      </c>
      <c r="L575" s="39" t="str">
        <f>VLOOKUP(Tabla81015[[#This Row],[CODIGO DEL PRODUCTO]],Tabla797[],2,FALSE)</f>
        <v>ARENA FINA</v>
      </c>
      <c r="M575" s="37">
        <v>4</v>
      </c>
      <c r="N575" s="158"/>
      <c r="O575" s="76">
        <v>103835</v>
      </c>
      <c r="P575" s="76" t="s">
        <v>683</v>
      </c>
      <c r="Q575" s="77">
        <v>46106</v>
      </c>
      <c r="R575" s="78" t="s">
        <v>42</v>
      </c>
      <c r="S575" s="36" t="str">
        <f>VLOOKUP(Tabla91116[[#This Row],[CODIGO DEL PRODUCTO]],Tabla797[],2,FALSE)</f>
        <v>ARENA FINA</v>
      </c>
      <c r="T575" s="37">
        <v>35.46</v>
      </c>
    </row>
    <row r="576" spans="8:21" x14ac:dyDescent="0.25">
      <c r="H576" s="34"/>
      <c r="I576" s="34" t="s">
        <v>794</v>
      </c>
      <c r="J576" s="35">
        <v>46195</v>
      </c>
      <c r="K576" s="36" t="s">
        <v>43</v>
      </c>
      <c r="L576" s="39" t="str">
        <f>VLOOKUP(Tabla81015[[#This Row],[CODIGO DEL PRODUCTO]],Tabla797[],2,FALSE)</f>
        <v>PIEDRA 6-20</v>
      </c>
      <c r="M576" s="37">
        <v>4</v>
      </c>
      <c r="N576" s="158"/>
      <c r="O576" s="76">
        <v>103837</v>
      </c>
      <c r="P576" s="76" t="s">
        <v>683</v>
      </c>
      <c r="Q576" s="77">
        <v>46106</v>
      </c>
      <c r="R576" s="78" t="s">
        <v>42</v>
      </c>
      <c r="S576" s="36" t="str">
        <f>VLOOKUP(Tabla91116[[#This Row],[CODIGO DEL PRODUCTO]],Tabla797[],2,FALSE)</f>
        <v>ARENA FINA</v>
      </c>
      <c r="T576" s="37">
        <v>39.020000000000003</v>
      </c>
    </row>
    <row r="577" spans="8:20" x14ac:dyDescent="0.25">
      <c r="H577" s="34">
        <v>20241</v>
      </c>
      <c r="I577" s="34" t="s">
        <v>642</v>
      </c>
      <c r="J577" s="35">
        <v>46195</v>
      </c>
      <c r="K577" s="36" t="s">
        <v>42</v>
      </c>
      <c r="L577" s="39" t="str">
        <f>VLOOKUP(Tabla81015[[#This Row],[CODIGO DEL PRODUCTO]],Tabla797[],2,FALSE)</f>
        <v>ARENA FINA</v>
      </c>
      <c r="M577" s="37">
        <v>1</v>
      </c>
      <c r="N577" s="158"/>
      <c r="O577" s="76">
        <v>103843</v>
      </c>
      <c r="P577" s="76" t="s">
        <v>683</v>
      </c>
      <c r="Q577" s="77">
        <v>46106</v>
      </c>
      <c r="R577" s="78" t="s">
        <v>42</v>
      </c>
      <c r="S577" s="36" t="str">
        <f>VLOOKUP(Tabla91116[[#This Row],[CODIGO DEL PRODUCTO]],Tabla797[],2,FALSE)</f>
        <v>ARENA FINA</v>
      </c>
      <c r="T577" s="37">
        <v>39.380000000000003</v>
      </c>
    </row>
    <row r="578" spans="8:20" x14ac:dyDescent="0.25">
      <c r="H578" s="34"/>
      <c r="I578" s="34" t="s">
        <v>642</v>
      </c>
      <c r="J578" s="35">
        <v>46195</v>
      </c>
      <c r="K578" s="36" t="s">
        <v>43</v>
      </c>
      <c r="L578" s="39" t="str">
        <f>VLOOKUP(Tabla81015[[#This Row],[CODIGO DEL PRODUCTO]],Tabla797[],2,FALSE)</f>
        <v>PIEDRA 6-20</v>
      </c>
      <c r="M578" s="37">
        <v>1</v>
      </c>
      <c r="N578" s="158"/>
      <c r="O578" s="76">
        <v>12043</v>
      </c>
      <c r="P578" s="76" t="s">
        <v>772</v>
      </c>
      <c r="Q578" s="77">
        <v>46106</v>
      </c>
      <c r="R578" s="78" t="s">
        <v>43</v>
      </c>
      <c r="S578" s="36" t="str">
        <f>VLOOKUP(Tabla91116[[#This Row],[CODIGO DEL PRODUCTO]],Tabla797[],2,FALSE)</f>
        <v>PIEDRA 6-20</v>
      </c>
      <c r="T578" s="37">
        <v>33.5</v>
      </c>
    </row>
    <row r="579" spans="8:20" x14ac:dyDescent="0.25">
      <c r="H579" s="34">
        <v>20242</v>
      </c>
      <c r="I579" s="34" t="s">
        <v>820</v>
      </c>
      <c r="J579" s="35">
        <v>46195</v>
      </c>
      <c r="K579" s="36" t="s">
        <v>42</v>
      </c>
      <c r="L579" s="39" t="str">
        <f>VLOOKUP(Tabla81015[[#This Row],[CODIGO DEL PRODUCTO]],Tabla797[],2,FALSE)</f>
        <v>ARENA FINA</v>
      </c>
      <c r="M579" s="37">
        <v>3</v>
      </c>
      <c r="N579" s="158"/>
      <c r="O579" s="76">
        <v>12044</v>
      </c>
      <c r="P579" s="76" t="s">
        <v>772</v>
      </c>
      <c r="Q579" s="77">
        <v>46106</v>
      </c>
      <c r="R579" s="78" t="s">
        <v>43</v>
      </c>
      <c r="S579" s="36" t="str">
        <f>VLOOKUP(Tabla91116[[#This Row],[CODIGO DEL PRODUCTO]],Tabla797[],2,FALSE)</f>
        <v>PIEDRA 6-20</v>
      </c>
      <c r="T579" s="37">
        <v>31.44</v>
      </c>
    </row>
    <row r="580" spans="8:20" x14ac:dyDescent="0.25">
      <c r="H580" s="34"/>
      <c r="I580" s="34" t="s">
        <v>820</v>
      </c>
      <c r="J580" s="35">
        <v>46195</v>
      </c>
      <c r="K580" s="36" t="s">
        <v>43</v>
      </c>
      <c r="L580" s="39" t="str">
        <f>VLOOKUP(Tabla81015[[#This Row],[CODIGO DEL PRODUCTO]],Tabla797[],2,FALSE)</f>
        <v>PIEDRA 6-20</v>
      </c>
      <c r="M580" s="37">
        <v>3</v>
      </c>
      <c r="N580" s="158"/>
      <c r="O580" s="76">
        <v>12045</v>
      </c>
      <c r="P580" s="76" t="s">
        <v>772</v>
      </c>
      <c r="Q580" s="77">
        <v>46106</v>
      </c>
      <c r="R580" s="78" t="s">
        <v>43</v>
      </c>
      <c r="S580" s="36" t="str">
        <f>VLOOKUP(Tabla91116[[#This Row],[CODIGO DEL PRODUCTO]],Tabla797[],2,FALSE)</f>
        <v>PIEDRA 6-20</v>
      </c>
      <c r="T580" s="37">
        <v>31.08</v>
      </c>
    </row>
    <row r="581" spans="8:20" x14ac:dyDescent="0.25">
      <c r="H581" s="34">
        <v>20243</v>
      </c>
      <c r="I581" s="34" t="s">
        <v>821</v>
      </c>
      <c r="J581" s="35">
        <v>46195</v>
      </c>
      <c r="K581" s="36" t="s">
        <v>43</v>
      </c>
      <c r="L581" s="39" t="str">
        <f>VLOOKUP(Tabla81015[[#This Row],[CODIGO DEL PRODUCTO]],Tabla797[],2,FALSE)</f>
        <v>PIEDRA 6-20</v>
      </c>
      <c r="M581" s="37">
        <v>7</v>
      </c>
      <c r="N581" s="158"/>
      <c r="O581" s="76">
        <v>12046</v>
      </c>
      <c r="P581" s="76" t="s">
        <v>772</v>
      </c>
      <c r="Q581" s="77">
        <v>46106</v>
      </c>
      <c r="R581" s="78" t="s">
        <v>43</v>
      </c>
      <c r="S581" s="36" t="str">
        <f>VLOOKUP(Tabla91116[[#This Row],[CODIGO DEL PRODUCTO]],Tabla797[],2,FALSE)</f>
        <v>PIEDRA 6-20</v>
      </c>
      <c r="T581" s="37">
        <v>31.66</v>
      </c>
    </row>
    <row r="582" spans="8:20" x14ac:dyDescent="0.25">
      <c r="H582" s="34">
        <v>20253</v>
      </c>
      <c r="I582" s="34" t="s">
        <v>312</v>
      </c>
      <c r="J582" s="35">
        <v>46195</v>
      </c>
      <c r="K582" s="36" t="s">
        <v>42</v>
      </c>
      <c r="L582" s="39" t="str">
        <f>VLOOKUP(Tabla81015[[#This Row],[CODIGO DEL PRODUCTO]],Tabla797[],2,FALSE)</f>
        <v>ARENA FINA</v>
      </c>
      <c r="M582" s="37">
        <v>2</v>
      </c>
      <c r="N582" s="158"/>
      <c r="O582" s="76">
        <v>12047</v>
      </c>
      <c r="P582" s="76" t="s">
        <v>772</v>
      </c>
      <c r="Q582" s="77">
        <v>46106</v>
      </c>
      <c r="R582" s="78" t="s">
        <v>43</v>
      </c>
      <c r="S582" s="36" t="str">
        <f>VLOOKUP(Tabla91116[[#This Row],[CODIGO DEL PRODUCTO]],Tabla797[],2,FALSE)</f>
        <v>PIEDRA 6-20</v>
      </c>
      <c r="T582" s="37">
        <v>32.340000000000003</v>
      </c>
    </row>
    <row r="583" spans="8:20" x14ac:dyDescent="0.25">
      <c r="H583" s="34"/>
      <c r="I583" s="34" t="s">
        <v>312</v>
      </c>
      <c r="J583" s="35">
        <v>46195</v>
      </c>
      <c r="K583" s="36" t="s">
        <v>40</v>
      </c>
      <c r="L583" s="39" t="str">
        <f>VLOOKUP(Tabla81015[[#This Row],[CODIGO DEL PRODUCTO]],Tabla797[],2,FALSE)</f>
        <v>PIEDRA 0-6</v>
      </c>
      <c r="M583" s="37">
        <v>2</v>
      </c>
      <c r="N583" s="158"/>
      <c r="O583" s="76">
        <v>12048</v>
      </c>
      <c r="P583" s="76" t="s">
        <v>772</v>
      </c>
      <c r="Q583" s="77">
        <v>46106</v>
      </c>
      <c r="R583" s="78" t="s">
        <v>43</v>
      </c>
      <c r="S583" s="36" t="str">
        <f>VLOOKUP(Tabla91116[[#This Row],[CODIGO DEL PRODUCTO]],Tabla797[],2,FALSE)</f>
        <v>PIEDRA 6-20</v>
      </c>
      <c r="T583" s="37">
        <v>30.7</v>
      </c>
    </row>
    <row r="584" spans="8:20" x14ac:dyDescent="0.25">
      <c r="H584" s="34">
        <v>20262</v>
      </c>
      <c r="I584" s="34" t="s">
        <v>809</v>
      </c>
      <c r="J584" s="35">
        <v>46196</v>
      </c>
      <c r="K584" s="36" t="s">
        <v>42</v>
      </c>
      <c r="L584" s="39" t="str">
        <f>VLOOKUP(Tabla81015[[#This Row],[CODIGO DEL PRODUCTO]],Tabla797[],2,FALSE)</f>
        <v>ARENA FINA</v>
      </c>
      <c r="M584" s="37">
        <v>2</v>
      </c>
      <c r="N584" s="158"/>
      <c r="O584" s="76">
        <v>108333</v>
      </c>
      <c r="P584" s="76" t="s">
        <v>684</v>
      </c>
      <c r="Q584" s="77">
        <v>46106</v>
      </c>
      <c r="R584" s="78" t="s">
        <v>40</v>
      </c>
      <c r="S584" s="36" t="str">
        <f>VLOOKUP(Tabla91116[[#This Row],[CODIGO DEL PRODUCTO]],Tabla797[],2,FALSE)</f>
        <v>PIEDRA 0-6</v>
      </c>
      <c r="T584" s="37">
        <v>35.46</v>
      </c>
    </row>
    <row r="585" spans="8:20" x14ac:dyDescent="0.25">
      <c r="H585" s="34">
        <v>20282</v>
      </c>
      <c r="I585" s="34" t="s">
        <v>403</v>
      </c>
      <c r="J585" s="35">
        <v>46196</v>
      </c>
      <c r="K585" s="36" t="s">
        <v>42</v>
      </c>
      <c r="L585" s="39" t="str">
        <f>VLOOKUP(Tabla81015[[#This Row],[CODIGO DEL PRODUCTO]],Tabla797[],2,FALSE)</f>
        <v>ARENA FINA</v>
      </c>
      <c r="M585" s="37">
        <v>7</v>
      </c>
      <c r="N585" s="158"/>
      <c r="O585" s="76">
        <v>108351</v>
      </c>
      <c r="P585" s="76" t="s">
        <v>684</v>
      </c>
      <c r="Q585" s="77">
        <v>46106</v>
      </c>
      <c r="R585" s="78" t="s">
        <v>40</v>
      </c>
      <c r="S585" s="36" t="str">
        <f>VLOOKUP(Tabla91116[[#This Row],[CODIGO DEL PRODUCTO]],Tabla797[],2,FALSE)</f>
        <v>PIEDRA 0-6</v>
      </c>
      <c r="T585" s="37">
        <v>36.32</v>
      </c>
    </row>
    <row r="586" spans="8:20" x14ac:dyDescent="0.25">
      <c r="H586" s="34">
        <v>20283</v>
      </c>
      <c r="I586" s="34" t="s">
        <v>809</v>
      </c>
      <c r="J586" s="35">
        <v>46196</v>
      </c>
      <c r="K586" s="36" t="s">
        <v>42</v>
      </c>
      <c r="L586" s="39" t="str">
        <f>VLOOKUP(Tabla81015[[#This Row],[CODIGO DEL PRODUCTO]],Tabla797[],2,FALSE)</f>
        <v>ARENA FINA</v>
      </c>
      <c r="M586" s="37">
        <v>7</v>
      </c>
      <c r="N586" s="158"/>
      <c r="O586" s="76">
        <v>108353</v>
      </c>
      <c r="P586" s="76" t="s">
        <v>684</v>
      </c>
      <c r="Q586" s="77">
        <v>46106</v>
      </c>
      <c r="R586" s="78" t="s">
        <v>43</v>
      </c>
      <c r="S586" s="36" t="str">
        <f>VLOOKUP(Tabla91116[[#This Row],[CODIGO DEL PRODUCTO]],Tabla797[],2,FALSE)</f>
        <v>PIEDRA 6-20</v>
      </c>
      <c r="T586" s="37">
        <v>35.979999999999997</v>
      </c>
    </row>
    <row r="587" spans="8:20" x14ac:dyDescent="0.25">
      <c r="H587" s="34">
        <v>20286</v>
      </c>
      <c r="I587" s="34" t="s">
        <v>822</v>
      </c>
      <c r="J587" s="35">
        <v>46196</v>
      </c>
      <c r="K587" s="36" t="s">
        <v>46</v>
      </c>
      <c r="L587" s="39" t="str">
        <f>VLOOKUP(Tabla81015[[#This Row],[CODIGO DEL PRODUCTO]],Tabla797[],2,FALSE)</f>
        <v>PIEDRA 10-30</v>
      </c>
      <c r="M587" s="37">
        <v>7</v>
      </c>
      <c r="N587" s="158"/>
      <c r="O587" s="76">
        <v>108354</v>
      </c>
      <c r="P587" s="76" t="s">
        <v>684</v>
      </c>
      <c r="Q587" s="77">
        <v>46106</v>
      </c>
      <c r="R587" s="78" t="s">
        <v>40</v>
      </c>
      <c r="S587" s="36" t="str">
        <f>VLOOKUP(Tabla91116[[#This Row],[CODIGO DEL PRODUCTO]],Tabla797[],2,FALSE)</f>
        <v>PIEDRA 0-6</v>
      </c>
      <c r="T587" s="37">
        <v>35.840000000000003</v>
      </c>
    </row>
    <row r="588" spans="8:20" x14ac:dyDescent="0.25">
      <c r="H588" s="34">
        <v>20289</v>
      </c>
      <c r="I588" s="34" t="s">
        <v>312</v>
      </c>
      <c r="J588" s="35">
        <v>46197</v>
      </c>
      <c r="K588" s="36" t="s">
        <v>43</v>
      </c>
      <c r="L588" s="39" t="str">
        <f>VLOOKUP(Tabla81015[[#This Row],[CODIGO DEL PRODUCTO]],Tabla797[],2,FALSE)</f>
        <v>PIEDRA 6-20</v>
      </c>
      <c r="M588" s="37">
        <v>4</v>
      </c>
      <c r="N588" s="158"/>
      <c r="O588" s="76">
        <v>2697854</v>
      </c>
      <c r="P588" s="76" t="s">
        <v>679</v>
      </c>
      <c r="Q588" s="77">
        <v>46106</v>
      </c>
      <c r="R588" s="78" t="s">
        <v>286</v>
      </c>
      <c r="S588" s="36" t="str">
        <f>VLOOKUP(Tabla91116[[#This Row],[CODIGO DEL PRODUCTO]],Tabla797[],2,FALSE)</f>
        <v>CPF 40 AVELLANEDA</v>
      </c>
      <c r="T588" s="37">
        <v>36</v>
      </c>
    </row>
    <row r="589" spans="8:20" x14ac:dyDescent="0.25">
      <c r="H589" s="34">
        <v>20294</v>
      </c>
      <c r="I589" s="34" t="s">
        <v>823</v>
      </c>
      <c r="J589" s="35">
        <v>46197</v>
      </c>
      <c r="K589" s="36" t="s">
        <v>42</v>
      </c>
      <c r="L589" s="39" t="str">
        <f>VLOOKUP(Tabla81015[[#This Row],[CODIGO DEL PRODUCTO]],Tabla797[],2,FALSE)</f>
        <v>ARENA FINA</v>
      </c>
      <c r="M589" s="37">
        <v>3</v>
      </c>
      <c r="N589" s="158"/>
      <c r="O589" s="76">
        <v>103854</v>
      </c>
      <c r="P589" s="76" t="s">
        <v>683</v>
      </c>
      <c r="Q589" s="77">
        <v>46107</v>
      </c>
      <c r="R589" s="78" t="s">
        <v>42</v>
      </c>
      <c r="S589" s="36" t="str">
        <f>VLOOKUP(Tabla91116[[#This Row],[CODIGO DEL PRODUCTO]],Tabla797[],2,FALSE)</f>
        <v>ARENA FINA</v>
      </c>
      <c r="T589" s="37">
        <v>37.44</v>
      </c>
    </row>
    <row r="590" spans="8:20" x14ac:dyDescent="0.25">
      <c r="H590" s="34">
        <v>20295</v>
      </c>
      <c r="I590" s="34" t="s">
        <v>642</v>
      </c>
      <c r="J590" s="35">
        <v>46197</v>
      </c>
      <c r="K590" s="36" t="s">
        <v>43</v>
      </c>
      <c r="L590" s="39" t="str">
        <f>VLOOKUP(Tabla81015[[#This Row],[CODIGO DEL PRODUCTO]],Tabla797[],2,FALSE)</f>
        <v>PIEDRA 6-20</v>
      </c>
      <c r="M590" s="37">
        <v>1</v>
      </c>
      <c r="N590" s="158"/>
      <c r="O590" s="76">
        <v>103860</v>
      </c>
      <c r="P590" s="76" t="s">
        <v>683</v>
      </c>
      <c r="Q590" s="77">
        <v>46107</v>
      </c>
      <c r="R590" s="78" t="s">
        <v>42</v>
      </c>
      <c r="S590" s="36" t="str">
        <f>VLOOKUP(Tabla91116[[#This Row],[CODIGO DEL PRODUCTO]],Tabla797[],2,FALSE)</f>
        <v>ARENA FINA</v>
      </c>
      <c r="T590" s="37">
        <v>38.56</v>
      </c>
    </row>
    <row r="591" spans="8:20" x14ac:dyDescent="0.25">
      <c r="H591" s="34"/>
      <c r="I591" s="34" t="s">
        <v>642</v>
      </c>
      <c r="J591" s="35">
        <v>46197</v>
      </c>
      <c r="K591" s="36" t="s">
        <v>42</v>
      </c>
      <c r="L591" s="39" t="str">
        <f>VLOOKUP(Tabla81015[[#This Row],[CODIGO DEL PRODUCTO]],Tabla797[],2,FALSE)</f>
        <v>ARENA FINA</v>
      </c>
      <c r="M591" s="37">
        <v>1</v>
      </c>
      <c r="N591" s="158"/>
      <c r="O591" s="76">
        <v>43215</v>
      </c>
      <c r="P591" s="76" t="s">
        <v>772</v>
      </c>
      <c r="Q591" s="77">
        <v>46107</v>
      </c>
      <c r="R591" s="78" t="s">
        <v>43</v>
      </c>
      <c r="S591" s="36" t="str">
        <f>VLOOKUP(Tabla91116[[#This Row],[CODIGO DEL PRODUCTO]],Tabla797[],2,FALSE)</f>
        <v>PIEDRA 6-20</v>
      </c>
      <c r="T591" s="37">
        <v>31.5</v>
      </c>
    </row>
    <row r="592" spans="8:20" x14ac:dyDescent="0.25">
      <c r="H592" s="34">
        <v>20297</v>
      </c>
      <c r="I592" s="34" t="s">
        <v>822</v>
      </c>
      <c r="J592" s="35">
        <v>46197</v>
      </c>
      <c r="K592" s="36" t="s">
        <v>46</v>
      </c>
      <c r="L592" s="39" t="str">
        <f>VLOOKUP(Tabla81015[[#This Row],[CODIGO DEL PRODUCTO]],Tabla797[],2,FALSE)</f>
        <v>PIEDRA 10-30</v>
      </c>
      <c r="M592" s="37">
        <v>7</v>
      </c>
      <c r="N592" s="158"/>
      <c r="O592" s="76">
        <v>43216</v>
      </c>
      <c r="P592" s="76" t="s">
        <v>772</v>
      </c>
      <c r="Q592" s="77">
        <v>46107</v>
      </c>
      <c r="R592" s="78" t="s">
        <v>43</v>
      </c>
      <c r="S592" s="36" t="str">
        <f>VLOOKUP(Tabla91116[[#This Row],[CODIGO DEL PRODUCTO]],Tabla797[],2,FALSE)</f>
        <v>PIEDRA 6-20</v>
      </c>
      <c r="T592" s="37">
        <v>33.44</v>
      </c>
    </row>
    <row r="593" spans="8:20" x14ac:dyDescent="0.25">
      <c r="H593" s="34">
        <v>20313</v>
      </c>
      <c r="I593" s="34" t="s">
        <v>822</v>
      </c>
      <c r="J593" s="35">
        <v>46197</v>
      </c>
      <c r="K593" s="36" t="s">
        <v>43</v>
      </c>
      <c r="L593" s="39" t="str">
        <f>VLOOKUP(Tabla81015[[#This Row],[CODIGO DEL PRODUCTO]],Tabla797[],2,FALSE)</f>
        <v>PIEDRA 6-20</v>
      </c>
      <c r="M593" s="37">
        <v>7</v>
      </c>
      <c r="N593" s="158"/>
      <c r="O593" s="76">
        <v>43217</v>
      </c>
      <c r="P593" s="76" t="s">
        <v>772</v>
      </c>
      <c r="Q593" s="77">
        <v>46107</v>
      </c>
      <c r="R593" s="78" t="s">
        <v>43</v>
      </c>
      <c r="S593" s="36" t="str">
        <f>VLOOKUP(Tabla91116[[#This Row],[CODIGO DEL PRODUCTO]],Tabla797[],2,FALSE)</f>
        <v>PIEDRA 6-20</v>
      </c>
      <c r="T593" s="37">
        <v>33.76</v>
      </c>
    </row>
    <row r="594" spans="8:20" x14ac:dyDescent="0.25">
      <c r="H594" s="34">
        <v>20314</v>
      </c>
      <c r="I594" s="34" t="s">
        <v>822</v>
      </c>
      <c r="J594" s="35">
        <v>46197</v>
      </c>
      <c r="K594" s="36" t="s">
        <v>43</v>
      </c>
      <c r="L594" s="39" t="str">
        <f>VLOOKUP(Tabla81015[[#This Row],[CODIGO DEL PRODUCTO]],Tabla797[],2,FALSE)</f>
        <v>PIEDRA 6-20</v>
      </c>
      <c r="M594" s="37">
        <v>7</v>
      </c>
      <c r="N594" s="158"/>
      <c r="O594" s="76">
        <v>43218</v>
      </c>
      <c r="P594" s="76" t="s">
        <v>772</v>
      </c>
      <c r="Q594" s="77">
        <v>46107</v>
      </c>
      <c r="R594" s="78" t="s">
        <v>43</v>
      </c>
      <c r="S594" s="36" t="str">
        <f>VLOOKUP(Tabla91116[[#This Row],[CODIGO DEL PRODUCTO]],Tabla797[],2,FALSE)</f>
        <v>PIEDRA 6-20</v>
      </c>
      <c r="T594" s="37">
        <v>30.24</v>
      </c>
    </row>
    <row r="595" spans="8:20" x14ac:dyDescent="0.25">
      <c r="H595" s="34">
        <v>20326</v>
      </c>
      <c r="I595" s="34" t="s">
        <v>819</v>
      </c>
      <c r="J595" s="35">
        <v>46198</v>
      </c>
      <c r="K595" s="36" t="s">
        <v>42</v>
      </c>
      <c r="L595" s="39" t="str">
        <f>VLOOKUP(Tabla81015[[#This Row],[CODIGO DEL PRODUCTO]],Tabla797[],2,FALSE)</f>
        <v>ARENA FINA</v>
      </c>
      <c r="M595" s="37">
        <v>5</v>
      </c>
      <c r="N595" s="158"/>
      <c r="O595" s="76">
        <v>43219</v>
      </c>
      <c r="P595" s="76" t="s">
        <v>772</v>
      </c>
      <c r="Q595" s="77">
        <v>46107</v>
      </c>
      <c r="R595" s="78" t="s">
        <v>43</v>
      </c>
      <c r="S595" s="36" t="str">
        <f>VLOOKUP(Tabla91116[[#This Row],[CODIGO DEL PRODUCTO]],Tabla797[],2,FALSE)</f>
        <v>PIEDRA 6-20</v>
      </c>
      <c r="T595" s="37">
        <v>33.119999999999997</v>
      </c>
    </row>
    <row r="596" spans="8:20" x14ac:dyDescent="0.25">
      <c r="H596" s="34">
        <v>20329</v>
      </c>
      <c r="I596" s="34" t="s">
        <v>312</v>
      </c>
      <c r="J596" s="35">
        <v>46198</v>
      </c>
      <c r="K596" s="36" t="s">
        <v>43</v>
      </c>
      <c r="L596" s="39" t="str">
        <f>VLOOKUP(Tabla81015[[#This Row],[CODIGO DEL PRODUCTO]],Tabla797[],2,FALSE)</f>
        <v>PIEDRA 6-20</v>
      </c>
      <c r="M596" s="37">
        <v>22.66</v>
      </c>
      <c r="N596" s="158"/>
      <c r="O596" s="76">
        <v>43220</v>
      </c>
      <c r="P596" s="76" t="s">
        <v>772</v>
      </c>
      <c r="Q596" s="77">
        <v>46107</v>
      </c>
      <c r="R596" s="78" t="s">
        <v>43</v>
      </c>
      <c r="S596" s="36" t="str">
        <f>VLOOKUP(Tabla91116[[#This Row],[CODIGO DEL PRODUCTO]],Tabla797[],2,FALSE)</f>
        <v>PIEDRA 6-20</v>
      </c>
      <c r="T596" s="37">
        <v>33.68</v>
      </c>
    </row>
    <row r="597" spans="8:20" x14ac:dyDescent="0.25">
      <c r="H597" s="34">
        <v>20339</v>
      </c>
      <c r="I597" s="34" t="s">
        <v>794</v>
      </c>
      <c r="J597" s="35">
        <v>46198</v>
      </c>
      <c r="K597" s="36" t="s">
        <v>824</v>
      </c>
      <c r="L597" s="39" t="e">
        <f>VLOOKUP(Tabla81015[[#This Row],[CODIGO DEL PRODUCTO]],Tabla797[],2,FALSE)</f>
        <v>#N/A</v>
      </c>
      <c r="M597" s="37">
        <v>4</v>
      </c>
      <c r="N597" s="158"/>
      <c r="O597" s="76">
        <v>108386</v>
      </c>
      <c r="P597" s="76" t="s">
        <v>684</v>
      </c>
      <c r="Q597" s="77">
        <v>46107</v>
      </c>
      <c r="R597" s="78" t="s">
        <v>40</v>
      </c>
      <c r="S597" s="36" t="str">
        <f>VLOOKUP(Tabla91116[[#This Row],[CODIGO DEL PRODUCTO]],Tabla797[],2,FALSE)</f>
        <v>PIEDRA 0-6</v>
      </c>
      <c r="T597" s="37">
        <v>35.22</v>
      </c>
    </row>
    <row r="598" spans="8:20" x14ac:dyDescent="0.25">
      <c r="H598" s="34"/>
      <c r="I598" s="34" t="s">
        <v>794</v>
      </c>
      <c r="J598" s="35">
        <v>46198</v>
      </c>
      <c r="K598" s="36" t="s">
        <v>43</v>
      </c>
      <c r="L598" s="39" t="str">
        <f>VLOOKUP(Tabla81015[[#This Row],[CODIGO DEL PRODUCTO]],Tabla797[],2,FALSE)</f>
        <v>PIEDRA 6-20</v>
      </c>
      <c r="M598" s="37">
        <v>4</v>
      </c>
      <c r="N598" s="158"/>
      <c r="O598" s="76">
        <v>108368</v>
      </c>
      <c r="P598" s="76" t="s">
        <v>684</v>
      </c>
      <c r="Q598" s="77">
        <v>46107</v>
      </c>
      <c r="R598" s="78" t="s">
        <v>40</v>
      </c>
      <c r="S598" s="36" t="str">
        <f>VLOOKUP(Tabla91116[[#This Row],[CODIGO DEL PRODUCTO]],Tabla797[],2,FALSE)</f>
        <v>PIEDRA 0-6</v>
      </c>
      <c r="T598" s="37">
        <v>35.32</v>
      </c>
    </row>
    <row r="599" spans="8:20" x14ac:dyDescent="0.25">
      <c r="H599" s="34">
        <v>20340</v>
      </c>
      <c r="I599" s="34" t="s">
        <v>312</v>
      </c>
      <c r="J599" s="35">
        <v>46198</v>
      </c>
      <c r="K599" s="36" t="s">
        <v>42</v>
      </c>
      <c r="L599" s="39" t="str">
        <f>VLOOKUP(Tabla81015[[#This Row],[CODIGO DEL PRODUCTO]],Tabla797[],2,FALSE)</f>
        <v>ARENA FINA</v>
      </c>
      <c r="M599" s="37">
        <v>2</v>
      </c>
      <c r="N599" s="158"/>
      <c r="O599" s="76">
        <v>108370</v>
      </c>
      <c r="P599" s="76" t="s">
        <v>684</v>
      </c>
      <c r="Q599" s="77">
        <v>46107</v>
      </c>
      <c r="R599" s="78" t="s">
        <v>40</v>
      </c>
      <c r="S599" s="36" t="str">
        <f>VLOOKUP(Tabla91116[[#This Row],[CODIGO DEL PRODUCTO]],Tabla797[],2,FALSE)</f>
        <v>PIEDRA 0-6</v>
      </c>
      <c r="T599" s="37">
        <v>34.82</v>
      </c>
    </row>
    <row r="600" spans="8:20" x14ac:dyDescent="0.25">
      <c r="H600" s="34"/>
      <c r="I600" s="34" t="s">
        <v>312</v>
      </c>
      <c r="J600" s="35">
        <v>46198</v>
      </c>
      <c r="K600" s="36" t="s">
        <v>40</v>
      </c>
      <c r="L600" s="39" t="str">
        <f>VLOOKUP(Tabla81015[[#This Row],[CODIGO DEL PRODUCTO]],Tabla797[],2,FALSE)</f>
        <v>PIEDRA 0-6</v>
      </c>
      <c r="M600" s="37">
        <v>2</v>
      </c>
      <c r="N600" s="158"/>
      <c r="O600" s="76">
        <v>2698155</v>
      </c>
      <c r="P600" s="76" t="s">
        <v>679</v>
      </c>
      <c r="Q600" s="77">
        <v>46107</v>
      </c>
      <c r="R600" s="78" t="s">
        <v>286</v>
      </c>
      <c r="S600" s="36" t="str">
        <f>VLOOKUP(Tabla91116[[#This Row],[CODIGO DEL PRODUCTO]],Tabla797[],2,FALSE)</f>
        <v>CPF 40 AVELLANEDA</v>
      </c>
      <c r="T600" s="37">
        <v>22.8</v>
      </c>
    </row>
    <row r="601" spans="8:20" x14ac:dyDescent="0.25">
      <c r="H601" s="34">
        <v>20353</v>
      </c>
      <c r="I601" s="34" t="s">
        <v>822</v>
      </c>
      <c r="J601" s="35">
        <v>46198</v>
      </c>
      <c r="K601" s="36" t="s">
        <v>43</v>
      </c>
      <c r="L601" s="39" t="str">
        <f>VLOOKUP(Tabla81015[[#This Row],[CODIGO DEL PRODUCTO]],Tabla797[],2,FALSE)</f>
        <v>PIEDRA 6-20</v>
      </c>
      <c r="M601" s="37">
        <v>30.4</v>
      </c>
      <c r="N601" s="158"/>
      <c r="O601" s="76">
        <v>103866</v>
      </c>
      <c r="P601" s="76" t="s">
        <v>683</v>
      </c>
      <c r="Q601" s="77">
        <v>46108</v>
      </c>
      <c r="R601" s="78" t="s">
        <v>42</v>
      </c>
      <c r="S601" s="36" t="str">
        <f>VLOOKUP(Tabla91116[[#This Row],[CODIGO DEL PRODUCTO]],Tabla797[],2,FALSE)</f>
        <v>ARENA FINA</v>
      </c>
      <c r="T601" s="37">
        <v>39.6</v>
      </c>
    </row>
    <row r="602" spans="8:20" x14ac:dyDescent="0.25">
      <c r="H602" s="34">
        <v>20359</v>
      </c>
      <c r="I602" s="34" t="s">
        <v>822</v>
      </c>
      <c r="J602" s="35">
        <v>46198</v>
      </c>
      <c r="K602" s="36" t="s">
        <v>43</v>
      </c>
      <c r="L602" s="39" t="str">
        <f>VLOOKUP(Tabla81015[[#This Row],[CODIGO DEL PRODUCTO]],Tabla797[],2,FALSE)</f>
        <v>PIEDRA 6-20</v>
      </c>
      <c r="M602" s="37">
        <v>21.24</v>
      </c>
      <c r="N602" s="158"/>
      <c r="O602" s="76">
        <v>103872</v>
      </c>
      <c r="P602" s="76" t="s">
        <v>683</v>
      </c>
      <c r="Q602" s="77">
        <v>46108</v>
      </c>
      <c r="R602" s="78" t="s">
        <v>42</v>
      </c>
      <c r="S602" s="36" t="str">
        <f>VLOOKUP(Tabla91116[[#This Row],[CODIGO DEL PRODUCTO]],Tabla797[],2,FALSE)</f>
        <v>ARENA FINA</v>
      </c>
      <c r="T602" s="37">
        <v>38.6</v>
      </c>
    </row>
    <row r="603" spans="8:20" x14ac:dyDescent="0.25">
      <c r="H603" s="34">
        <v>20361</v>
      </c>
      <c r="I603" s="34" t="s">
        <v>822</v>
      </c>
      <c r="J603" s="35">
        <v>46198</v>
      </c>
      <c r="K603" s="36" t="s">
        <v>43</v>
      </c>
      <c r="L603" s="39" t="str">
        <f>VLOOKUP(Tabla81015[[#This Row],[CODIGO DEL PRODUCTO]],Tabla797[],2,FALSE)</f>
        <v>PIEDRA 6-20</v>
      </c>
      <c r="M603" s="37">
        <v>20.46</v>
      </c>
      <c r="N603" s="158"/>
      <c r="O603" s="76">
        <v>43222</v>
      </c>
      <c r="P603" s="76" t="s">
        <v>772</v>
      </c>
      <c r="Q603" s="77">
        <v>46108</v>
      </c>
      <c r="R603" s="78" t="s">
        <v>43</v>
      </c>
      <c r="S603" s="36" t="str">
        <f>VLOOKUP(Tabla91116[[#This Row],[CODIGO DEL PRODUCTO]],Tabla797[],2,FALSE)</f>
        <v>PIEDRA 6-20</v>
      </c>
      <c r="T603" s="37">
        <v>34.22</v>
      </c>
    </row>
    <row r="604" spans="8:20" x14ac:dyDescent="0.25">
      <c r="H604" s="34">
        <v>20423</v>
      </c>
      <c r="I604" s="34" t="s">
        <v>782</v>
      </c>
      <c r="J604" s="35">
        <v>46200</v>
      </c>
      <c r="K604" s="36" t="s">
        <v>42</v>
      </c>
      <c r="L604" s="39" t="str">
        <f>VLOOKUP(Tabla81015[[#This Row],[CODIGO DEL PRODUCTO]],Tabla797[],2,FALSE)</f>
        <v>ARENA FINA</v>
      </c>
      <c r="M604" s="37">
        <v>16.96</v>
      </c>
      <c r="N604" s="158"/>
      <c r="O604" s="76">
        <v>43223</v>
      </c>
      <c r="P604" s="76" t="s">
        <v>772</v>
      </c>
      <c r="Q604" s="77">
        <v>46108</v>
      </c>
      <c r="R604" s="78" t="s">
        <v>43</v>
      </c>
      <c r="S604" s="36" t="str">
        <f>VLOOKUP(Tabla91116[[#This Row],[CODIGO DEL PRODUCTO]],Tabla797[],2,FALSE)</f>
        <v>PIEDRA 6-20</v>
      </c>
      <c r="T604" s="37">
        <v>32.68</v>
      </c>
    </row>
    <row r="605" spans="8:20" x14ac:dyDescent="0.25">
      <c r="H605" s="34">
        <v>20415</v>
      </c>
      <c r="I605" s="34" t="s">
        <v>474</v>
      </c>
      <c r="J605" s="35">
        <v>46199</v>
      </c>
      <c r="K605" s="36" t="s">
        <v>43</v>
      </c>
      <c r="L605" s="39" t="str">
        <f>VLOOKUP(Tabla81015[[#This Row],[CODIGO DEL PRODUCTO]],Tabla797[],2,FALSE)</f>
        <v>PIEDRA 6-20</v>
      </c>
      <c r="M605" s="37">
        <v>16.8</v>
      </c>
      <c r="N605" s="158"/>
      <c r="O605" s="76">
        <v>43226</v>
      </c>
      <c r="P605" s="76" t="s">
        <v>772</v>
      </c>
      <c r="Q605" s="77">
        <v>46108</v>
      </c>
      <c r="R605" s="78" t="s">
        <v>43</v>
      </c>
      <c r="S605" s="36" t="str">
        <f>VLOOKUP(Tabla91116[[#This Row],[CODIGO DEL PRODUCTO]],Tabla797[],2,FALSE)</f>
        <v>PIEDRA 6-20</v>
      </c>
      <c r="T605" s="37">
        <v>32.020000000000003</v>
      </c>
    </row>
    <row r="606" spans="8:20" x14ac:dyDescent="0.25">
      <c r="H606" s="34">
        <v>20405</v>
      </c>
      <c r="I606" s="34" t="s">
        <v>474</v>
      </c>
      <c r="J606" s="35">
        <v>46199</v>
      </c>
      <c r="K606" s="36" t="s">
        <v>42</v>
      </c>
      <c r="L606" s="39" t="str">
        <f>VLOOKUP(Tabla81015[[#This Row],[CODIGO DEL PRODUCTO]],Tabla797[],2,FALSE)</f>
        <v>ARENA FINA</v>
      </c>
      <c r="M606" s="37">
        <v>17.54</v>
      </c>
      <c r="N606" s="158"/>
      <c r="O606" s="76">
        <v>43227</v>
      </c>
      <c r="P606" s="76" t="s">
        <v>772</v>
      </c>
      <c r="Q606" s="77">
        <v>46108</v>
      </c>
      <c r="R606" s="78" t="s">
        <v>43</v>
      </c>
      <c r="S606" s="36" t="str">
        <f>VLOOKUP(Tabla91116[[#This Row],[CODIGO DEL PRODUCTO]],Tabla797[],2,FALSE)</f>
        <v>PIEDRA 6-20</v>
      </c>
      <c r="T606" s="37">
        <v>31.42</v>
      </c>
    </row>
    <row r="607" spans="8:20" x14ac:dyDescent="0.25">
      <c r="H607" s="34">
        <v>20387</v>
      </c>
      <c r="I607" s="34" t="s">
        <v>474</v>
      </c>
      <c r="J607" s="35">
        <v>46199</v>
      </c>
      <c r="K607" s="36" t="s">
        <v>43</v>
      </c>
      <c r="L607" s="39" t="str">
        <f>VLOOKUP(Tabla81015[[#This Row],[CODIGO DEL PRODUCTO]],Tabla797[],2,FALSE)</f>
        <v>PIEDRA 6-20</v>
      </c>
      <c r="M607" s="37">
        <v>17.12</v>
      </c>
      <c r="N607" s="158"/>
      <c r="O607" s="76">
        <v>43228</v>
      </c>
      <c r="P607" s="76" t="s">
        <v>772</v>
      </c>
      <c r="Q607" s="77">
        <v>46108</v>
      </c>
      <c r="R607" s="78" t="s">
        <v>43</v>
      </c>
      <c r="S607" s="36" t="str">
        <f>VLOOKUP(Tabla91116[[#This Row],[CODIGO DEL PRODUCTO]],Tabla797[],2,FALSE)</f>
        <v>PIEDRA 6-20</v>
      </c>
      <c r="T607" s="37">
        <v>33.92</v>
      </c>
    </row>
    <row r="608" spans="8:20" x14ac:dyDescent="0.25">
      <c r="H608" s="34">
        <v>20382</v>
      </c>
      <c r="I608" s="34" t="s">
        <v>802</v>
      </c>
      <c r="J608" s="35">
        <v>46199</v>
      </c>
      <c r="K608" s="36" t="s">
        <v>42</v>
      </c>
      <c r="L608" s="39" t="str">
        <f>VLOOKUP(Tabla81015[[#This Row],[CODIGO DEL PRODUCTO]],Tabla797[],2,FALSE)</f>
        <v>ARENA FINA</v>
      </c>
      <c r="M608" s="37">
        <v>3</v>
      </c>
      <c r="N608" s="158"/>
      <c r="O608" s="76">
        <v>108388</v>
      </c>
      <c r="P608" s="76" t="s">
        <v>684</v>
      </c>
      <c r="Q608" s="77">
        <v>46108</v>
      </c>
      <c r="R608" s="78" t="s">
        <v>40</v>
      </c>
      <c r="S608" s="36" t="str">
        <f>VLOOKUP(Tabla91116[[#This Row],[CODIGO DEL PRODUCTO]],Tabla797[],2,FALSE)</f>
        <v>PIEDRA 0-6</v>
      </c>
      <c r="T608" s="37">
        <v>35.020000000000003</v>
      </c>
    </row>
    <row r="609" spans="8:20" x14ac:dyDescent="0.25">
      <c r="H609" s="34"/>
      <c r="I609" s="34" t="s">
        <v>802</v>
      </c>
      <c r="J609" s="35">
        <v>46199</v>
      </c>
      <c r="K609" s="36" t="s">
        <v>43</v>
      </c>
      <c r="L609" s="39" t="str">
        <f>VLOOKUP(Tabla81015[[#This Row],[CODIGO DEL PRODUCTO]],Tabla797[],2,FALSE)</f>
        <v>PIEDRA 6-20</v>
      </c>
      <c r="M609" s="37">
        <v>0.3</v>
      </c>
      <c r="N609" s="158"/>
      <c r="O609" s="76">
        <v>108399</v>
      </c>
      <c r="P609" s="76" t="s">
        <v>684</v>
      </c>
      <c r="Q609" s="77">
        <v>46108</v>
      </c>
      <c r="R609" s="78" t="s">
        <v>40</v>
      </c>
      <c r="S609" s="36" t="str">
        <f>VLOOKUP(Tabla91116[[#This Row],[CODIGO DEL PRODUCTO]],Tabla797[],2,FALSE)</f>
        <v>PIEDRA 0-6</v>
      </c>
      <c r="T609" s="37">
        <v>35.82</v>
      </c>
    </row>
    <row r="610" spans="8:20" x14ac:dyDescent="0.25">
      <c r="H610" s="34">
        <v>20368</v>
      </c>
      <c r="I610" s="34" t="s">
        <v>474</v>
      </c>
      <c r="J610" s="35">
        <v>46199</v>
      </c>
      <c r="K610" s="36" t="s">
        <v>42</v>
      </c>
      <c r="L610" s="39" t="str">
        <f>VLOOKUP(Tabla81015[[#This Row],[CODIGO DEL PRODUCTO]],Tabla797[],2,FALSE)</f>
        <v>ARENA FINA</v>
      </c>
      <c r="M610" s="37">
        <v>16.079999999999998</v>
      </c>
      <c r="N610" s="158"/>
      <c r="O610" s="76">
        <v>108401</v>
      </c>
      <c r="P610" s="76" t="s">
        <v>684</v>
      </c>
      <c r="Q610" s="77">
        <v>46108</v>
      </c>
      <c r="R610" s="78" t="s">
        <v>43</v>
      </c>
      <c r="S610" s="36" t="str">
        <f>VLOOKUP(Tabla91116[[#This Row],[CODIGO DEL PRODUCTO]],Tabla797[],2,FALSE)</f>
        <v>PIEDRA 6-20</v>
      </c>
      <c r="T610" s="37">
        <v>34.58</v>
      </c>
    </row>
    <row r="611" spans="8:20" x14ac:dyDescent="0.25">
      <c r="H611" s="34">
        <v>20392</v>
      </c>
      <c r="I611" s="34" t="s">
        <v>672</v>
      </c>
      <c r="J611" s="35">
        <v>46199</v>
      </c>
      <c r="K611" s="36" t="s">
        <v>46</v>
      </c>
      <c r="L611" s="39" t="str">
        <f>VLOOKUP(Tabla81015[[#This Row],[CODIGO DEL PRODUCTO]],Tabla797[],2,FALSE)</f>
        <v>PIEDRA 10-30</v>
      </c>
      <c r="M611" s="37">
        <v>16</v>
      </c>
      <c r="N611" s="158"/>
      <c r="O611" s="76">
        <v>108414</v>
      </c>
      <c r="P611" s="76" t="s">
        <v>684</v>
      </c>
      <c r="Q611" s="77">
        <v>46108</v>
      </c>
      <c r="R611" s="78" t="s">
        <v>40</v>
      </c>
      <c r="S611" s="36" t="str">
        <f>VLOOKUP(Tabla91116[[#This Row],[CODIGO DEL PRODUCTO]],Tabla797[],2,FALSE)</f>
        <v>PIEDRA 0-6</v>
      </c>
      <c r="T611" s="37">
        <v>34.44</v>
      </c>
    </row>
    <row r="612" spans="8:20" x14ac:dyDescent="0.25">
      <c r="H612" s="34">
        <v>20379</v>
      </c>
      <c r="I612" s="34" t="s">
        <v>825</v>
      </c>
      <c r="J612" s="35">
        <v>46199</v>
      </c>
      <c r="K612" s="36" t="s">
        <v>42</v>
      </c>
      <c r="L612" s="39" t="str">
        <f>VLOOKUP(Tabla81015[[#This Row],[CODIGO DEL PRODUCTO]],Tabla797[],2,FALSE)</f>
        <v>ARENA FINA</v>
      </c>
      <c r="M612" s="37">
        <v>5</v>
      </c>
      <c r="N612" s="158"/>
      <c r="O612" s="76">
        <v>154992</v>
      </c>
      <c r="P612" s="76" t="s">
        <v>679</v>
      </c>
      <c r="Q612" s="77">
        <v>46108</v>
      </c>
      <c r="R612" s="78" t="s">
        <v>43</v>
      </c>
      <c r="S612" s="36" t="str">
        <f>VLOOKUP(Tabla91116[[#This Row],[CODIGO DEL PRODUCTO]],Tabla797[],2,FALSE)</f>
        <v>PIEDRA 6-20</v>
      </c>
      <c r="T612" s="37">
        <v>35.4</v>
      </c>
    </row>
    <row r="613" spans="8:20" x14ac:dyDescent="0.25">
      <c r="H613" s="34">
        <v>20435</v>
      </c>
      <c r="I613" s="34" t="s">
        <v>809</v>
      </c>
      <c r="J613" s="35">
        <v>46202</v>
      </c>
      <c r="K613" s="36" t="s">
        <v>43</v>
      </c>
      <c r="L613" s="39" t="str">
        <f>VLOOKUP(Tabla81015[[#This Row],[CODIGO DEL PRODUCTO]],Tabla797[],2,FALSE)</f>
        <v>PIEDRA 6-20</v>
      </c>
      <c r="M613" s="37">
        <v>1</v>
      </c>
      <c r="N613" s="158"/>
      <c r="O613" s="76">
        <v>2698447</v>
      </c>
      <c r="P613" s="76" t="s">
        <v>679</v>
      </c>
      <c r="Q613" s="77">
        <v>46108</v>
      </c>
      <c r="R613" s="78" t="s">
        <v>286</v>
      </c>
      <c r="S613" s="36" t="str">
        <f>VLOOKUP(Tabla91116[[#This Row],[CODIGO DEL PRODUCTO]],Tabla797[],2,FALSE)</f>
        <v>CPF 40 AVELLANEDA</v>
      </c>
      <c r="T613" s="37">
        <v>35.56</v>
      </c>
    </row>
    <row r="614" spans="8:20" x14ac:dyDescent="0.25">
      <c r="H614" s="34">
        <v>20470</v>
      </c>
      <c r="I614" s="34" t="s">
        <v>802</v>
      </c>
      <c r="J614" s="35">
        <v>46202</v>
      </c>
      <c r="K614" s="36" t="s">
        <v>42</v>
      </c>
      <c r="L614" s="39" t="str">
        <f>VLOOKUP(Tabla81015[[#This Row],[CODIGO DEL PRODUCTO]],Tabla797[],2,FALSE)</f>
        <v>ARENA FINA</v>
      </c>
      <c r="M614" s="37">
        <v>2</v>
      </c>
      <c r="N614" s="158"/>
      <c r="O614" s="76">
        <v>103875</v>
      </c>
      <c r="P614" s="76" t="s">
        <v>683</v>
      </c>
      <c r="Q614" s="77">
        <v>46109</v>
      </c>
      <c r="R614" s="78" t="s">
        <v>42</v>
      </c>
      <c r="S614" s="36" t="str">
        <f>VLOOKUP(Tabla91116[[#This Row],[CODIGO DEL PRODUCTO]],Tabla797[],2,FALSE)</f>
        <v>ARENA FINA</v>
      </c>
      <c r="T614" s="37">
        <v>39.24</v>
      </c>
    </row>
    <row r="615" spans="8:20" x14ac:dyDescent="0.25">
      <c r="H615" s="34"/>
      <c r="I615" s="34" t="s">
        <v>802</v>
      </c>
      <c r="J615" s="35">
        <v>46202</v>
      </c>
      <c r="K615" s="36" t="s">
        <v>43</v>
      </c>
      <c r="L615" s="39" t="str">
        <f>VLOOKUP(Tabla81015[[#This Row],[CODIGO DEL PRODUCTO]],Tabla797[],2,FALSE)</f>
        <v>PIEDRA 6-20</v>
      </c>
      <c r="M615" s="37">
        <v>2</v>
      </c>
      <c r="N615" s="158"/>
      <c r="O615" s="76">
        <v>43229</v>
      </c>
      <c r="P615" s="76" t="s">
        <v>772</v>
      </c>
      <c r="Q615" s="77">
        <v>46109</v>
      </c>
      <c r="R615" s="78" t="s">
        <v>43</v>
      </c>
      <c r="S615" s="36" t="str">
        <f>VLOOKUP(Tabla91116[[#This Row],[CODIGO DEL PRODUCTO]],Tabla797[],2,FALSE)</f>
        <v>PIEDRA 6-20</v>
      </c>
      <c r="T615" s="37">
        <v>32.380000000000003</v>
      </c>
    </row>
    <row r="616" spans="8:20" x14ac:dyDescent="0.25">
      <c r="H616" s="34">
        <v>20471</v>
      </c>
      <c r="I616" s="34" t="s">
        <v>312</v>
      </c>
      <c r="J616" s="35">
        <v>46202</v>
      </c>
      <c r="K616" s="36" t="s">
        <v>42</v>
      </c>
      <c r="L616" s="39" t="str">
        <f>VLOOKUP(Tabla81015[[#This Row],[CODIGO DEL PRODUCTO]],Tabla797[],2,FALSE)</f>
        <v>ARENA FINA</v>
      </c>
      <c r="M616" s="37">
        <v>2</v>
      </c>
      <c r="N616" s="158"/>
      <c r="O616" s="76">
        <v>108425</v>
      </c>
      <c r="P616" s="76" t="s">
        <v>684</v>
      </c>
      <c r="Q616" s="77">
        <v>46109</v>
      </c>
      <c r="R616" s="78" t="s">
        <v>40</v>
      </c>
      <c r="S616" s="36" t="str">
        <f>VLOOKUP(Tabla91116[[#This Row],[CODIGO DEL PRODUCTO]],Tabla797[],2,FALSE)</f>
        <v>PIEDRA 0-6</v>
      </c>
      <c r="T616" s="37">
        <v>34.799999999999997</v>
      </c>
    </row>
    <row r="617" spans="8:20" x14ac:dyDescent="0.25">
      <c r="H617" s="34">
        <v>20503</v>
      </c>
      <c r="I617" s="34" t="s">
        <v>809</v>
      </c>
      <c r="J617" s="35">
        <v>46203</v>
      </c>
      <c r="K617" s="36" t="s">
        <v>42</v>
      </c>
      <c r="L617" s="39" t="str">
        <f>VLOOKUP(Tabla81015[[#This Row],[CODIGO DEL PRODUCTO]],Tabla797[],2,FALSE)</f>
        <v>ARENA FINA</v>
      </c>
      <c r="M617" s="37">
        <v>7</v>
      </c>
      <c r="N617" s="158"/>
      <c r="O617" s="76">
        <v>155063</v>
      </c>
      <c r="P617" s="76" t="s">
        <v>679</v>
      </c>
      <c r="Q617" s="77">
        <v>46109</v>
      </c>
      <c r="R617" s="78" t="s">
        <v>43</v>
      </c>
      <c r="S617" s="36" t="str">
        <f>VLOOKUP(Tabla91116[[#This Row],[CODIGO DEL PRODUCTO]],Tabla797[],2,FALSE)</f>
        <v>PIEDRA 6-20</v>
      </c>
      <c r="T617" s="72">
        <v>35.119999999999997</v>
      </c>
    </row>
    <row r="618" spans="8:20" x14ac:dyDescent="0.25">
      <c r="H618" s="34">
        <v>20516</v>
      </c>
      <c r="I618" s="34" t="s">
        <v>312</v>
      </c>
      <c r="J618" s="35">
        <v>46203</v>
      </c>
      <c r="K618" s="36" t="s">
        <v>42</v>
      </c>
      <c r="L618" s="39" t="str">
        <f>VLOOKUP(Tabla81015[[#This Row],[CODIGO DEL PRODUCTO]],Tabla797[],2,FALSE)</f>
        <v>ARENA FINA</v>
      </c>
      <c r="M618" s="37">
        <v>2</v>
      </c>
      <c r="N618" s="158"/>
      <c r="O618" s="76">
        <v>2698573</v>
      </c>
      <c r="P618" s="76" t="s">
        <v>679</v>
      </c>
      <c r="Q618" s="77">
        <v>46109</v>
      </c>
      <c r="R618" s="78" t="s">
        <v>286</v>
      </c>
      <c r="S618" s="36" t="str">
        <f>VLOOKUP(Tabla91116[[#This Row],[CODIGO DEL PRODUCTO]],Tabla797[],2,FALSE)</f>
        <v>CPF 40 AVELLANEDA</v>
      </c>
      <c r="T618" s="37">
        <v>35.54</v>
      </c>
    </row>
    <row r="619" spans="8:20" x14ac:dyDescent="0.25">
      <c r="H619" s="34">
        <v>20522</v>
      </c>
      <c r="I619" s="34" t="s">
        <v>819</v>
      </c>
      <c r="J619" s="35">
        <v>46203</v>
      </c>
      <c r="K619" s="36" t="s">
        <v>43</v>
      </c>
      <c r="L619" s="39" t="str">
        <f>VLOOKUP(Tabla81015[[#This Row],[CODIGO DEL PRODUCTO]],Tabla797[],2,FALSE)</f>
        <v>PIEDRA 6-20</v>
      </c>
      <c r="M619" s="37">
        <v>1</v>
      </c>
      <c r="N619" s="158"/>
      <c r="O619" s="76">
        <v>103879</v>
      </c>
      <c r="P619" s="76" t="s">
        <v>683</v>
      </c>
      <c r="Q619" s="77">
        <v>46111</v>
      </c>
      <c r="R619" s="78" t="s">
        <v>42</v>
      </c>
      <c r="S619" s="36" t="str">
        <f>VLOOKUP(Tabla91116[[#This Row],[CODIGO DEL PRODUCTO]],Tabla797[],2,FALSE)</f>
        <v>ARENA FINA</v>
      </c>
      <c r="T619" s="37">
        <v>37.6</v>
      </c>
    </row>
    <row r="620" spans="8:20" x14ac:dyDescent="0.25">
      <c r="H620" s="34">
        <v>20547</v>
      </c>
      <c r="I620" s="34" t="s">
        <v>823</v>
      </c>
      <c r="J620" s="35">
        <v>46204</v>
      </c>
      <c r="K620" s="36" t="s">
        <v>42</v>
      </c>
      <c r="L620" s="39" t="str">
        <f>VLOOKUP(Tabla81015[[#This Row],[CODIGO DEL PRODUCTO]],Tabla797[],2,FALSE)</f>
        <v>ARENA FINA</v>
      </c>
      <c r="M620" s="37">
        <v>3</v>
      </c>
      <c r="N620" s="158"/>
      <c r="O620" s="76">
        <v>103882</v>
      </c>
      <c r="P620" s="76" t="s">
        <v>683</v>
      </c>
      <c r="Q620" s="77">
        <v>46111</v>
      </c>
      <c r="R620" s="78" t="s">
        <v>42</v>
      </c>
      <c r="S620" s="36" t="str">
        <f>VLOOKUP(Tabla91116[[#This Row],[CODIGO DEL PRODUCTO]],Tabla797[],2,FALSE)</f>
        <v>ARENA FINA</v>
      </c>
      <c r="T620" s="37">
        <v>36.58</v>
      </c>
    </row>
    <row r="621" spans="8:20" x14ac:dyDescent="0.25">
      <c r="H621" s="34"/>
      <c r="I621" s="34" t="s">
        <v>823</v>
      </c>
      <c r="J621" s="35">
        <v>46204</v>
      </c>
      <c r="K621" s="36" t="s">
        <v>43</v>
      </c>
      <c r="L621" s="39" t="str">
        <f>VLOOKUP(Tabla81015[[#This Row],[CODIGO DEL PRODUCTO]],Tabla797[],2,FALSE)</f>
        <v>PIEDRA 6-20</v>
      </c>
      <c r="M621" s="37">
        <v>3</v>
      </c>
      <c r="N621" s="158"/>
      <c r="O621" s="76">
        <v>108429</v>
      </c>
      <c r="P621" s="76" t="s">
        <v>684</v>
      </c>
      <c r="Q621" s="77">
        <v>46111</v>
      </c>
      <c r="R621" s="78" t="s">
        <v>40</v>
      </c>
      <c r="S621" s="36" t="str">
        <f>VLOOKUP(Tabla91116[[#This Row],[CODIGO DEL PRODUCTO]],Tabla797[],2,FALSE)</f>
        <v>PIEDRA 0-6</v>
      </c>
      <c r="T621" s="37">
        <v>35.479999999999997</v>
      </c>
    </row>
    <row r="622" spans="8:20" x14ac:dyDescent="0.25">
      <c r="H622" s="34">
        <v>20550</v>
      </c>
      <c r="I622" s="34" t="s">
        <v>809</v>
      </c>
      <c r="J622" s="35">
        <v>46204</v>
      </c>
      <c r="K622" s="36" t="s">
        <v>42</v>
      </c>
      <c r="L622" s="39" t="str">
        <f>VLOOKUP(Tabla81015[[#This Row],[CODIGO DEL PRODUCTO]],Tabla797[],2,FALSE)</f>
        <v>ARENA FINA</v>
      </c>
      <c r="M622" s="37">
        <v>7</v>
      </c>
      <c r="N622" s="158"/>
      <c r="O622" s="76">
        <v>108436</v>
      </c>
      <c r="P622" s="76" t="s">
        <v>684</v>
      </c>
      <c r="Q622" s="77">
        <v>46111</v>
      </c>
      <c r="R622" s="78" t="s">
        <v>40</v>
      </c>
      <c r="S622" s="36" t="str">
        <f>VLOOKUP(Tabla91116[[#This Row],[CODIGO DEL PRODUCTO]],Tabla797[],2,FALSE)</f>
        <v>PIEDRA 0-6</v>
      </c>
      <c r="T622" s="37">
        <v>35.200000000000003</v>
      </c>
    </row>
    <row r="623" spans="8:20" x14ac:dyDescent="0.25">
      <c r="H623" s="34">
        <v>20551</v>
      </c>
      <c r="I623" s="34" t="s">
        <v>534</v>
      </c>
      <c r="J623" s="35">
        <v>46204</v>
      </c>
      <c r="K623" s="36" t="s">
        <v>42</v>
      </c>
      <c r="L623" s="39" t="str">
        <f>VLOOKUP(Tabla81015[[#This Row],[CODIGO DEL PRODUCTO]],Tabla797[],2,FALSE)</f>
        <v>ARENA FINA</v>
      </c>
      <c r="M623" s="37">
        <v>7</v>
      </c>
      <c r="N623" s="158"/>
      <c r="O623" s="76">
        <v>108453</v>
      </c>
      <c r="P623" s="76" t="s">
        <v>684</v>
      </c>
      <c r="Q623" s="77">
        <v>46111</v>
      </c>
      <c r="R623" s="78" t="s">
        <v>40</v>
      </c>
      <c r="S623" s="36" t="str">
        <f>VLOOKUP(Tabla91116[[#This Row],[CODIGO DEL PRODUCTO]],Tabla797[],2,FALSE)</f>
        <v>PIEDRA 0-6</v>
      </c>
      <c r="T623" s="37">
        <v>34.82</v>
      </c>
    </row>
    <row r="624" spans="8:20" x14ac:dyDescent="0.25">
      <c r="H624" s="34">
        <v>20555</v>
      </c>
      <c r="I624" s="34" t="s">
        <v>403</v>
      </c>
      <c r="J624" s="35">
        <v>46204</v>
      </c>
      <c r="K624" s="36" t="s">
        <v>42</v>
      </c>
      <c r="L624" s="39" t="str">
        <f>VLOOKUP(Tabla81015[[#This Row],[CODIGO DEL PRODUCTO]],Tabla797[],2,FALSE)</f>
        <v>ARENA FINA</v>
      </c>
      <c r="M624" s="37">
        <v>7</v>
      </c>
      <c r="N624" s="158"/>
      <c r="O624" s="76">
        <v>108454</v>
      </c>
      <c r="P624" s="76" t="s">
        <v>684</v>
      </c>
      <c r="Q624" s="77">
        <v>46111</v>
      </c>
      <c r="R624" s="78" t="s">
        <v>40</v>
      </c>
      <c r="S624" s="36" t="str">
        <f>VLOOKUP(Tabla91116[[#This Row],[CODIGO DEL PRODUCTO]],Tabla797[],2,FALSE)</f>
        <v>PIEDRA 0-6</v>
      </c>
      <c r="T624" s="37">
        <v>34.74</v>
      </c>
    </row>
    <row r="625" spans="8:20" x14ac:dyDescent="0.25">
      <c r="H625" s="34">
        <v>20578</v>
      </c>
      <c r="I625" s="34" t="s">
        <v>806</v>
      </c>
      <c r="J625" s="35">
        <v>46204</v>
      </c>
      <c r="K625" s="36" t="s">
        <v>42</v>
      </c>
      <c r="L625" s="39" t="str">
        <f>VLOOKUP(Tabla81015[[#This Row],[CODIGO DEL PRODUCTO]],Tabla797[],2,FALSE)</f>
        <v>ARENA FINA</v>
      </c>
      <c r="M625" s="37">
        <v>1</v>
      </c>
      <c r="N625" s="158"/>
      <c r="O625" s="76">
        <v>108455</v>
      </c>
      <c r="P625" s="76" t="s">
        <v>684</v>
      </c>
      <c r="Q625" s="77">
        <v>46111</v>
      </c>
      <c r="R625" s="78" t="s">
        <v>40</v>
      </c>
      <c r="S625" s="36" t="str">
        <f>VLOOKUP(Tabla91116[[#This Row],[CODIGO DEL PRODUCTO]],Tabla797[],2,FALSE)</f>
        <v>PIEDRA 0-6</v>
      </c>
      <c r="T625" s="37">
        <v>35.24</v>
      </c>
    </row>
    <row r="626" spans="8:20" x14ac:dyDescent="0.25">
      <c r="H626" s="34"/>
      <c r="I626" s="34" t="s">
        <v>53</v>
      </c>
      <c r="J626" s="35">
        <v>46195</v>
      </c>
      <c r="K626" s="36" t="s">
        <v>42</v>
      </c>
      <c r="L626" s="39" t="str">
        <f>VLOOKUP(Tabla81015[[#This Row],[CODIGO DEL PRODUCTO]],Tabla797[],2,FALSE)</f>
        <v>ARENA FINA</v>
      </c>
      <c r="M626" s="37">
        <v>855.48</v>
      </c>
      <c r="N626" s="158"/>
      <c r="O626" s="76">
        <v>2699054</v>
      </c>
      <c r="P626" s="76" t="s">
        <v>679</v>
      </c>
      <c r="Q626" s="77">
        <v>46111</v>
      </c>
      <c r="R626" s="78" t="s">
        <v>286</v>
      </c>
      <c r="S626" s="36" t="str">
        <f>VLOOKUP(Tabla91116[[#This Row],[CODIGO DEL PRODUCTO]],Tabla797[],2,FALSE)</f>
        <v>CPF 40 AVELLANEDA</v>
      </c>
      <c r="T626" s="37">
        <v>36.32</v>
      </c>
    </row>
    <row r="627" spans="8:20" x14ac:dyDescent="0.25">
      <c r="H627" s="34"/>
      <c r="I627" s="34" t="s">
        <v>53</v>
      </c>
      <c r="J627" s="35">
        <v>46196</v>
      </c>
      <c r="K627" s="36" t="s">
        <v>40</v>
      </c>
      <c r="L627" s="39" t="str">
        <f>VLOOKUP(Tabla81015[[#This Row],[CODIGO DEL PRODUCTO]],Tabla797[],2,FALSE)</f>
        <v>PIEDRA 0-6</v>
      </c>
      <c r="M627" s="37">
        <v>567.95000000000005</v>
      </c>
      <c r="N627" s="158"/>
      <c r="O627" s="76">
        <v>103889</v>
      </c>
      <c r="P627" s="76" t="s">
        <v>683</v>
      </c>
      <c r="Q627" s="77">
        <v>46112</v>
      </c>
      <c r="R627" s="78" t="s">
        <v>42</v>
      </c>
      <c r="S627" s="36" t="str">
        <f>VLOOKUP(Tabla91116[[#This Row],[CODIGO DEL PRODUCTO]],Tabla797[],2,FALSE)</f>
        <v>ARENA FINA</v>
      </c>
      <c r="T627" s="37">
        <v>36.200000000000003</v>
      </c>
    </row>
    <row r="628" spans="8:20" x14ac:dyDescent="0.25">
      <c r="H628" s="34"/>
      <c r="I628" s="34" t="s">
        <v>53</v>
      </c>
      <c r="J628" s="35">
        <v>46197</v>
      </c>
      <c r="K628" s="36" t="s">
        <v>286</v>
      </c>
      <c r="L628" s="39" t="str">
        <f>VLOOKUP(Tabla81015[[#This Row],[CODIGO DEL PRODUCTO]],Tabla797[],2,FALSE)</f>
        <v>CPF 40 AVELLANEDA</v>
      </c>
      <c r="M628" s="37">
        <v>386.78</v>
      </c>
      <c r="N628" s="158"/>
      <c r="O628" s="76">
        <v>103895</v>
      </c>
      <c r="P628" s="76" t="s">
        <v>683</v>
      </c>
      <c r="Q628" s="77">
        <v>46112</v>
      </c>
      <c r="R628" s="78" t="s">
        <v>42</v>
      </c>
      <c r="S628" s="36" t="str">
        <f>VLOOKUP(Tabla91116[[#This Row],[CODIGO DEL PRODUCTO]],Tabla797[],2,FALSE)</f>
        <v>ARENA FINA</v>
      </c>
      <c r="T628" s="37">
        <v>37.28</v>
      </c>
    </row>
    <row r="629" spans="8:20" x14ac:dyDescent="0.25">
      <c r="H629" s="34"/>
      <c r="I629" s="34" t="s">
        <v>53</v>
      </c>
      <c r="J629" s="35">
        <v>46198</v>
      </c>
      <c r="K629" s="36" t="s">
        <v>50</v>
      </c>
      <c r="L629" s="39" t="str">
        <f>VLOOKUP(Tabla81015[[#This Row],[CODIGO DEL PRODUCTO]],Tabla797[],2,FALSE)</f>
        <v>MIRA SET 453 (ADITIVO)</v>
      </c>
      <c r="M629" s="37">
        <v>0.03</v>
      </c>
      <c r="N629" s="158"/>
      <c r="O629" s="76">
        <v>100201</v>
      </c>
      <c r="P629" s="76" t="s">
        <v>772</v>
      </c>
      <c r="Q629" s="77">
        <v>46112</v>
      </c>
      <c r="R629" s="78" t="s">
        <v>43</v>
      </c>
      <c r="S629" s="36" t="str">
        <f>VLOOKUP(Tabla91116[[#This Row],[CODIGO DEL PRODUCTO]],Tabla797[],2,FALSE)</f>
        <v>PIEDRA 6-20</v>
      </c>
      <c r="T629" s="37">
        <v>29.98</v>
      </c>
    </row>
    <row r="630" spans="8:20" x14ac:dyDescent="0.25">
      <c r="H630" s="34"/>
      <c r="I630" s="34" t="s">
        <v>53</v>
      </c>
      <c r="J630" s="35">
        <v>46199</v>
      </c>
      <c r="K630" s="36" t="s">
        <v>48</v>
      </c>
      <c r="L630" s="39" t="str">
        <f>VLOOKUP(Tabla81015[[#This Row],[CODIGO DEL PRODUCTO]],Tabla797[],2,FALSE)</f>
        <v>PIEDRA 6-12</v>
      </c>
      <c r="M630" s="37">
        <v>56.06</v>
      </c>
      <c r="N630" s="158"/>
      <c r="O630" s="76">
        <v>100202</v>
      </c>
      <c r="P630" s="76" t="s">
        <v>772</v>
      </c>
      <c r="Q630" s="77">
        <v>46112</v>
      </c>
      <c r="R630" s="78" t="s">
        <v>43</v>
      </c>
      <c r="S630" s="36" t="str">
        <f>VLOOKUP(Tabla91116[[#This Row],[CODIGO DEL PRODUCTO]],Tabla797[],2,FALSE)</f>
        <v>PIEDRA 6-20</v>
      </c>
      <c r="T630" s="37">
        <v>32.520000000000003</v>
      </c>
    </row>
    <row r="631" spans="8:20" x14ac:dyDescent="0.25">
      <c r="H631" s="34"/>
      <c r="I631" s="34" t="s">
        <v>53</v>
      </c>
      <c r="J631" s="35">
        <v>46201</v>
      </c>
      <c r="K631" s="36" t="s">
        <v>43</v>
      </c>
      <c r="L631" s="39" t="str">
        <f>VLOOKUP(Tabla81015[[#This Row],[CODIGO DEL PRODUCTO]],Tabla797[],2,FALSE)</f>
        <v>PIEDRA 6-20</v>
      </c>
      <c r="M631" s="37">
        <v>1097.6099999999999</v>
      </c>
      <c r="N631" s="158"/>
      <c r="O631" s="76">
        <v>100203</v>
      </c>
      <c r="P631" s="76" t="s">
        <v>772</v>
      </c>
      <c r="Q631" s="77">
        <v>46112</v>
      </c>
      <c r="R631" s="78" t="s">
        <v>43</v>
      </c>
      <c r="S631" s="36" t="str">
        <f>VLOOKUP(Tabla91116[[#This Row],[CODIGO DEL PRODUCTO]],Tabla797[],2,FALSE)</f>
        <v>PIEDRA 6-20</v>
      </c>
      <c r="T631" s="37">
        <v>31.96</v>
      </c>
    </row>
    <row r="632" spans="8:20" ht="14.25" customHeight="1" x14ac:dyDescent="0.25">
      <c r="H632" s="34"/>
      <c r="I632" s="34" t="s">
        <v>53</v>
      </c>
      <c r="J632" s="35">
        <v>46203</v>
      </c>
      <c r="K632" s="36" t="s">
        <v>425</v>
      </c>
      <c r="L632" s="39" t="str">
        <f>VLOOKUP(Tabla81015[[#This Row],[CODIGO DEL PRODUCTO]],Tabla797[],2,FALSE)</f>
        <v>W351R</v>
      </c>
      <c r="M632" s="37">
        <v>2.17</v>
      </c>
      <c r="N632" s="158"/>
      <c r="O632" s="76">
        <v>100204</v>
      </c>
      <c r="P632" s="76" t="s">
        <v>772</v>
      </c>
      <c r="Q632" s="77">
        <v>46112</v>
      </c>
      <c r="R632" s="78" t="s">
        <v>43</v>
      </c>
      <c r="S632" s="36" t="str">
        <f>VLOOKUP(Tabla91116[[#This Row],[CODIGO DEL PRODUCTO]],Tabla797[],2,FALSE)</f>
        <v>PIEDRA 6-20</v>
      </c>
      <c r="T632" s="37">
        <v>33.659999999999997</v>
      </c>
    </row>
    <row r="633" spans="8:20" x14ac:dyDescent="0.25">
      <c r="H633" s="34">
        <v>20602</v>
      </c>
      <c r="I633" s="34" t="s">
        <v>804</v>
      </c>
      <c r="J633" s="35">
        <v>46205</v>
      </c>
      <c r="K633" s="36" t="s">
        <v>42</v>
      </c>
      <c r="L633" s="39" t="str">
        <f>VLOOKUP(Tabla81015[[#This Row],[CODIGO DEL PRODUCTO]],Tabla797[],2,FALSE)</f>
        <v>ARENA FINA</v>
      </c>
      <c r="M633" s="37">
        <v>2</v>
      </c>
      <c r="N633" s="158"/>
      <c r="O633" s="76">
        <v>100205</v>
      </c>
      <c r="P633" s="76" t="s">
        <v>772</v>
      </c>
      <c r="Q633" s="77">
        <v>46112</v>
      </c>
      <c r="R633" s="78" t="s">
        <v>43</v>
      </c>
      <c r="S633" s="36" t="str">
        <f>VLOOKUP(Tabla91116[[#This Row],[CODIGO DEL PRODUCTO]],Tabla797[],2,FALSE)</f>
        <v>PIEDRA 6-20</v>
      </c>
      <c r="T633" s="37">
        <v>33.04</v>
      </c>
    </row>
    <row r="634" spans="8:20" x14ac:dyDescent="0.25">
      <c r="H634" s="34"/>
      <c r="I634" s="34" t="s">
        <v>804</v>
      </c>
      <c r="J634" s="35">
        <v>46205</v>
      </c>
      <c r="K634" s="36" t="s">
        <v>43</v>
      </c>
      <c r="L634" s="39" t="str">
        <f>VLOOKUP(Tabla81015[[#This Row],[CODIGO DEL PRODUCTO]],Tabla797[],2,FALSE)</f>
        <v>PIEDRA 6-20</v>
      </c>
      <c r="M634" s="37">
        <v>2</v>
      </c>
      <c r="N634" s="158"/>
      <c r="O634" s="76">
        <v>100206</v>
      </c>
      <c r="P634" s="76" t="s">
        <v>772</v>
      </c>
      <c r="Q634" s="77">
        <v>46112</v>
      </c>
      <c r="R634" s="78" t="s">
        <v>43</v>
      </c>
      <c r="S634" s="36" t="str">
        <f>VLOOKUP(Tabla91116[[#This Row],[CODIGO DEL PRODUCTO]],Tabla797[],2,FALSE)</f>
        <v>PIEDRA 6-20</v>
      </c>
      <c r="T634" s="37">
        <v>31.9</v>
      </c>
    </row>
    <row r="635" spans="8:20" x14ac:dyDescent="0.25">
      <c r="H635" s="34">
        <v>20619</v>
      </c>
      <c r="I635" s="34" t="s">
        <v>822</v>
      </c>
      <c r="J635" s="35">
        <v>46205</v>
      </c>
      <c r="K635" s="36" t="s">
        <v>43</v>
      </c>
      <c r="L635" s="39" t="str">
        <f>VLOOKUP(Tabla81015[[#This Row],[CODIGO DEL PRODUCTO]],Tabla797[],2,FALSE)</f>
        <v>PIEDRA 6-20</v>
      </c>
      <c r="M635" s="37">
        <v>7</v>
      </c>
      <c r="N635" s="158"/>
      <c r="O635" s="76">
        <v>108457</v>
      </c>
      <c r="P635" s="76" t="s">
        <v>684</v>
      </c>
      <c r="Q635" s="77">
        <v>46112</v>
      </c>
      <c r="R635" s="78" t="s">
        <v>40</v>
      </c>
      <c r="S635" s="36" t="str">
        <f>VLOOKUP(Tabla91116[[#This Row],[CODIGO DEL PRODUCTO]],Tabla797[],2,FALSE)</f>
        <v>PIEDRA 0-6</v>
      </c>
      <c r="T635" s="37">
        <v>35.06</v>
      </c>
    </row>
    <row r="636" spans="8:20" x14ac:dyDescent="0.25">
      <c r="H636" s="34">
        <v>20620</v>
      </c>
      <c r="I636" s="34" t="s">
        <v>822</v>
      </c>
      <c r="J636" s="35">
        <v>46205</v>
      </c>
      <c r="K636" s="36" t="s">
        <v>43</v>
      </c>
      <c r="L636" s="39" t="str">
        <f>VLOOKUP(Tabla81015[[#This Row],[CODIGO DEL PRODUCTO]],Tabla797[],2,FALSE)</f>
        <v>PIEDRA 6-20</v>
      </c>
      <c r="M636" s="37">
        <v>7</v>
      </c>
      <c r="N636" s="158"/>
      <c r="O636" s="76">
        <v>108467</v>
      </c>
      <c r="P636" s="76" t="s">
        <v>684</v>
      </c>
      <c r="Q636" s="77">
        <v>46112</v>
      </c>
      <c r="R636" s="78" t="s">
        <v>40</v>
      </c>
      <c r="S636" s="36" t="str">
        <f>VLOOKUP(Tabla91116[[#This Row],[CODIGO DEL PRODUCTO]],Tabla797[],2,FALSE)</f>
        <v>PIEDRA 0-6</v>
      </c>
      <c r="T636" s="37">
        <v>34.36</v>
      </c>
    </row>
    <row r="637" spans="8:20" x14ac:dyDescent="0.25">
      <c r="H637" s="34">
        <v>20621</v>
      </c>
      <c r="I637" s="34" t="s">
        <v>822</v>
      </c>
      <c r="J637" s="35">
        <v>46205</v>
      </c>
      <c r="K637" s="36" t="s">
        <v>43</v>
      </c>
      <c r="L637" s="39" t="str">
        <f>VLOOKUP(Tabla81015[[#This Row],[CODIGO DEL PRODUCTO]],Tabla797[],2,FALSE)</f>
        <v>PIEDRA 6-20</v>
      </c>
      <c r="M637" s="37">
        <v>7</v>
      </c>
      <c r="N637" s="158"/>
      <c r="O637" s="76">
        <v>108486</v>
      </c>
      <c r="P637" s="76" t="s">
        <v>684</v>
      </c>
      <c r="Q637" s="77">
        <v>46112</v>
      </c>
      <c r="R637" s="78" t="s">
        <v>40</v>
      </c>
      <c r="S637" s="36" t="str">
        <f>VLOOKUP(Tabla91116[[#This Row],[CODIGO DEL PRODUCTO]],Tabla797[],2,FALSE)</f>
        <v>PIEDRA 0-6</v>
      </c>
      <c r="T637" s="37">
        <v>34.380000000000003</v>
      </c>
    </row>
    <row r="638" spans="8:20" x14ac:dyDescent="0.25">
      <c r="H638" s="34">
        <v>20635</v>
      </c>
      <c r="I638" s="34" t="s">
        <v>822</v>
      </c>
      <c r="J638" s="35">
        <v>46205</v>
      </c>
      <c r="K638" s="36" t="s">
        <v>43</v>
      </c>
      <c r="L638" s="39" t="str">
        <f>VLOOKUP(Tabla81015[[#This Row],[CODIGO DEL PRODUCTO]],Tabla797[],2,FALSE)</f>
        <v>PIEDRA 6-20</v>
      </c>
      <c r="M638" s="37">
        <v>7</v>
      </c>
      <c r="N638" s="158"/>
      <c r="O638" s="76">
        <v>155193</v>
      </c>
      <c r="P638" s="76" t="s">
        <v>679</v>
      </c>
      <c r="Q638" s="77">
        <v>46112</v>
      </c>
      <c r="R638" s="78" t="s">
        <v>43</v>
      </c>
      <c r="S638" s="36" t="str">
        <f>VLOOKUP(Tabla91116[[#This Row],[CODIGO DEL PRODUCTO]],Tabla797[],2,FALSE)</f>
        <v>PIEDRA 6-20</v>
      </c>
      <c r="T638" s="37">
        <v>35.5</v>
      </c>
    </row>
    <row r="639" spans="8:20" x14ac:dyDescent="0.25">
      <c r="H639" s="34">
        <v>20636</v>
      </c>
      <c r="I639" s="34" t="s">
        <v>822</v>
      </c>
      <c r="J639" s="35">
        <v>46205</v>
      </c>
      <c r="K639" s="36" t="s">
        <v>43</v>
      </c>
      <c r="L639" s="39" t="str">
        <f>VLOOKUP(Tabla81015[[#This Row],[CODIGO DEL PRODUCTO]],Tabla797[],2,FALSE)</f>
        <v>PIEDRA 6-20</v>
      </c>
      <c r="M639" s="37">
        <v>7</v>
      </c>
      <c r="N639" s="158"/>
      <c r="O639" s="76">
        <v>2699313</v>
      </c>
      <c r="P639" s="76" t="s">
        <v>679</v>
      </c>
      <c r="Q639" s="77">
        <v>46112</v>
      </c>
      <c r="R639" s="78" t="s">
        <v>286</v>
      </c>
      <c r="S639" s="36" t="str">
        <f>VLOOKUP(Tabla91116[[#This Row],[CODIGO DEL PRODUCTO]],Tabla797[],2,FALSE)</f>
        <v>CPF 40 AVELLANEDA</v>
      </c>
      <c r="T639" s="37">
        <v>36.14</v>
      </c>
    </row>
    <row r="640" spans="8:20" x14ac:dyDescent="0.25">
      <c r="H640" s="34">
        <v>20637</v>
      </c>
      <c r="I640" s="34" t="s">
        <v>822</v>
      </c>
      <c r="J640" s="35">
        <v>46205</v>
      </c>
      <c r="K640" s="36" t="s">
        <v>43</v>
      </c>
      <c r="L640" s="39" t="str">
        <f>VLOOKUP(Tabla81015[[#This Row],[CODIGO DEL PRODUCTO]],Tabla797[],2,FALSE)</f>
        <v>PIEDRA 6-20</v>
      </c>
      <c r="M640" s="37">
        <v>7</v>
      </c>
      <c r="N640" s="158"/>
      <c r="O640" s="76">
        <v>43495</v>
      </c>
      <c r="P640" s="76" t="s">
        <v>449</v>
      </c>
      <c r="Q640" s="77">
        <v>46112</v>
      </c>
      <c r="R640" s="78" t="s">
        <v>425</v>
      </c>
      <c r="S640" s="36" t="str">
        <f>VLOOKUP(Tabla91116[[#This Row],[CODIGO DEL PRODUCTO]],Tabla797[],2,FALSE)</f>
        <v>W351R</v>
      </c>
      <c r="T640" s="37">
        <v>1000</v>
      </c>
    </row>
    <row r="641" spans="8:21" x14ac:dyDescent="0.25">
      <c r="H641" s="34">
        <v>20638</v>
      </c>
      <c r="I641" s="34" t="s">
        <v>474</v>
      </c>
      <c r="J641" s="35">
        <v>46205</v>
      </c>
      <c r="K641" s="36" t="s">
        <v>42</v>
      </c>
      <c r="L641" s="39" t="str">
        <f>VLOOKUP(Tabla81015[[#This Row],[CODIGO DEL PRODUCTO]],Tabla797[],2,FALSE)</f>
        <v>ARENA FINA</v>
      </c>
      <c r="M641" s="37">
        <v>7</v>
      </c>
      <c r="N641" s="158"/>
      <c r="O641" s="76">
        <v>43496</v>
      </c>
      <c r="P641" s="76" t="s">
        <v>449</v>
      </c>
      <c r="Q641" s="77">
        <v>46112</v>
      </c>
      <c r="R641" s="78" t="s">
        <v>425</v>
      </c>
      <c r="S641" s="36" t="str">
        <f>VLOOKUP(Tabla91116[[#This Row],[CODIGO DEL PRODUCTO]],Tabla797[],2,FALSE)</f>
        <v>W351R</v>
      </c>
      <c r="T641" s="37">
        <v>1000</v>
      </c>
    </row>
    <row r="642" spans="8:21" x14ac:dyDescent="0.25">
      <c r="H642" s="34">
        <v>20646</v>
      </c>
      <c r="I642" s="34" t="s">
        <v>809</v>
      </c>
      <c r="J642" s="35">
        <v>46205</v>
      </c>
      <c r="K642" s="36" t="s">
        <v>43</v>
      </c>
      <c r="L642" s="39" t="str">
        <f>VLOOKUP(Tabla81015[[#This Row],[CODIGO DEL PRODUCTO]],Tabla797[],2,FALSE)</f>
        <v>PIEDRA 6-20</v>
      </c>
      <c r="M642" s="37">
        <v>1</v>
      </c>
      <c r="N642" s="158"/>
      <c r="O642" s="76">
        <v>103900</v>
      </c>
      <c r="P642" s="76" t="s">
        <v>683</v>
      </c>
      <c r="Q642" s="77">
        <v>46113</v>
      </c>
      <c r="R642" s="78" t="s">
        <v>42</v>
      </c>
      <c r="S642" s="36" t="str">
        <f>VLOOKUP(Tabla91116[[#This Row],[CODIGO DEL PRODUCTO]],Tabla797[],2,FALSE)</f>
        <v>ARENA FINA</v>
      </c>
      <c r="T642" s="37">
        <v>37.26</v>
      </c>
    </row>
    <row r="643" spans="8:21" x14ac:dyDescent="0.25">
      <c r="H643" s="34">
        <v>20659</v>
      </c>
      <c r="I643" s="34" t="s">
        <v>474</v>
      </c>
      <c r="J643" s="35">
        <v>46205</v>
      </c>
      <c r="K643" s="36" t="s">
        <v>43</v>
      </c>
      <c r="L643" s="39" t="str">
        <f>VLOOKUP(Tabla81015[[#This Row],[CODIGO DEL PRODUCTO]],Tabla797[],2,FALSE)</f>
        <v>PIEDRA 6-20</v>
      </c>
      <c r="M643" s="37">
        <v>20.399999999999999</v>
      </c>
      <c r="N643" s="158"/>
      <c r="O643" s="76">
        <v>103903</v>
      </c>
      <c r="P643" s="76" t="s">
        <v>683</v>
      </c>
      <c r="Q643" s="77">
        <v>46113</v>
      </c>
      <c r="R643" s="78" t="s">
        <v>42</v>
      </c>
      <c r="S643" s="36" t="str">
        <f>VLOOKUP(Tabla91116[[#This Row],[CODIGO DEL PRODUCTO]],Tabla797[],2,FALSE)</f>
        <v>ARENA FINA</v>
      </c>
      <c r="T643" s="37">
        <v>36.799999999999997</v>
      </c>
    </row>
    <row r="644" spans="8:21" x14ac:dyDescent="0.25">
      <c r="H644" s="34">
        <v>20672</v>
      </c>
      <c r="I644" s="34" t="s">
        <v>474</v>
      </c>
      <c r="J644" s="35">
        <v>46206</v>
      </c>
      <c r="K644" s="36" t="s">
        <v>43</v>
      </c>
      <c r="L644" s="39" t="str">
        <f>VLOOKUP(Tabla81015[[#This Row],[CODIGO DEL PRODUCTO]],Tabla797[],2,FALSE)</f>
        <v>PIEDRA 6-20</v>
      </c>
      <c r="M644" s="37">
        <v>20.18</v>
      </c>
      <c r="N644" s="158"/>
      <c r="O644" s="76">
        <v>108496</v>
      </c>
      <c r="P644" s="76" t="s">
        <v>684</v>
      </c>
      <c r="Q644" s="77">
        <v>46113</v>
      </c>
      <c r="R644" s="78" t="s">
        <v>40</v>
      </c>
      <c r="S644" s="36" t="str">
        <f>VLOOKUP(Tabla91116[[#This Row],[CODIGO DEL PRODUCTO]],Tabla797[],2,FALSE)</f>
        <v>PIEDRA 0-6</v>
      </c>
      <c r="T644" s="37">
        <v>34.54</v>
      </c>
    </row>
    <row r="645" spans="8:21" x14ac:dyDescent="0.25">
      <c r="H645" s="34">
        <v>20675</v>
      </c>
      <c r="I645" s="34" t="s">
        <v>782</v>
      </c>
      <c r="J645" s="35">
        <v>46206</v>
      </c>
      <c r="K645" s="36" t="s">
        <v>43</v>
      </c>
      <c r="L645" s="39" t="str">
        <f>VLOOKUP(Tabla81015[[#This Row],[CODIGO DEL PRODUCTO]],Tabla797[],2,FALSE)</f>
        <v>PIEDRA 6-20</v>
      </c>
      <c r="M645" s="37">
        <v>18</v>
      </c>
      <c r="N645" s="158"/>
      <c r="O645" s="76">
        <v>108502</v>
      </c>
      <c r="P645" s="76" t="s">
        <v>684</v>
      </c>
      <c r="Q645" s="77">
        <v>46113</v>
      </c>
      <c r="R645" s="78" t="s">
        <v>40</v>
      </c>
      <c r="S645" s="36" t="str">
        <f>VLOOKUP(Tabla91116[[#This Row],[CODIGO DEL PRODUCTO]],Tabla797[],2,FALSE)</f>
        <v>PIEDRA 0-6</v>
      </c>
      <c r="T645" s="37">
        <v>34.76</v>
      </c>
      <c r="U645" s="7"/>
    </row>
    <row r="646" spans="8:21" x14ac:dyDescent="0.25">
      <c r="H646" s="34">
        <v>20687</v>
      </c>
      <c r="I646" s="34" t="s">
        <v>474</v>
      </c>
      <c r="J646" s="35">
        <v>46206</v>
      </c>
      <c r="K646" s="36" t="s">
        <v>42</v>
      </c>
      <c r="L646" s="39" t="str">
        <f>VLOOKUP(Tabla81015[[#This Row],[CODIGO DEL PRODUCTO]],Tabla797[],2,FALSE)</f>
        <v>ARENA FINA</v>
      </c>
      <c r="M646" s="37">
        <v>18.2</v>
      </c>
      <c r="N646" s="158"/>
      <c r="O646" s="76">
        <v>108505</v>
      </c>
      <c r="P646" s="76" t="s">
        <v>684</v>
      </c>
      <c r="Q646" s="77">
        <v>46113</v>
      </c>
      <c r="R646" s="78" t="s">
        <v>40</v>
      </c>
      <c r="S646" s="36" t="str">
        <f>VLOOKUP(Tabla91116[[#This Row],[CODIGO DEL PRODUCTO]],Tabla797[],2,FALSE)</f>
        <v>PIEDRA 0-6</v>
      </c>
      <c r="T646" s="37">
        <v>35.24</v>
      </c>
    </row>
    <row r="647" spans="8:21" x14ac:dyDescent="0.25">
      <c r="H647" s="34">
        <v>20693</v>
      </c>
      <c r="I647" s="34" t="s">
        <v>474</v>
      </c>
      <c r="J647" s="35">
        <v>46206</v>
      </c>
      <c r="K647" s="36" t="s">
        <v>43</v>
      </c>
      <c r="L647" s="39" t="str">
        <f>VLOOKUP(Tabla81015[[#This Row],[CODIGO DEL PRODUCTO]],Tabla797[],2,FALSE)</f>
        <v>PIEDRA 6-20</v>
      </c>
      <c r="M647" s="37">
        <v>19.38</v>
      </c>
      <c r="N647" s="158"/>
      <c r="O647" s="76">
        <v>108517</v>
      </c>
      <c r="P647" s="76" t="s">
        <v>684</v>
      </c>
      <c r="Q647" s="77">
        <v>46113</v>
      </c>
      <c r="R647" s="78" t="s">
        <v>40</v>
      </c>
      <c r="S647" s="36" t="str">
        <f>VLOOKUP(Tabla91116[[#This Row],[CODIGO DEL PRODUCTO]],Tabla797[],2,FALSE)</f>
        <v>PIEDRA 0-6</v>
      </c>
      <c r="T647" s="37">
        <v>34.32</v>
      </c>
    </row>
    <row r="648" spans="8:21" x14ac:dyDescent="0.25">
      <c r="H648" s="34">
        <v>20697</v>
      </c>
      <c r="I648" s="34" t="s">
        <v>782</v>
      </c>
      <c r="J648" s="35">
        <v>46206</v>
      </c>
      <c r="K648" s="36" t="s">
        <v>42</v>
      </c>
      <c r="L648" s="39" t="str">
        <f>VLOOKUP(Tabla81015[[#This Row],[CODIGO DEL PRODUCTO]],Tabla797[],2,FALSE)</f>
        <v>ARENA FINA</v>
      </c>
      <c r="M648" s="37">
        <v>17.18</v>
      </c>
      <c r="N648" s="158"/>
      <c r="O648" s="76">
        <v>2699601</v>
      </c>
      <c r="P648" s="76" t="s">
        <v>679</v>
      </c>
      <c r="Q648" s="77">
        <v>46113</v>
      </c>
      <c r="R648" s="78" t="s">
        <v>286</v>
      </c>
      <c r="S648" s="36" t="str">
        <f>VLOOKUP(Tabla91116[[#This Row],[CODIGO DEL PRODUCTO]],Tabla797[],2,FALSE)</f>
        <v>CPF 40 AVELLANEDA</v>
      </c>
      <c r="T648" s="37">
        <v>35.94</v>
      </c>
    </row>
    <row r="649" spans="8:21" x14ac:dyDescent="0.25">
      <c r="H649" s="34">
        <v>20707</v>
      </c>
      <c r="I649" s="34" t="s">
        <v>474</v>
      </c>
      <c r="J649" s="35">
        <v>46206</v>
      </c>
      <c r="K649" s="36" t="s">
        <v>42</v>
      </c>
      <c r="L649" s="39" t="str">
        <f>VLOOKUP(Tabla81015[[#This Row],[CODIGO DEL PRODUCTO]],Tabla797[],2,FALSE)</f>
        <v>ARENA FINA</v>
      </c>
      <c r="M649" s="37">
        <v>20.079999999999998</v>
      </c>
      <c r="N649" s="158"/>
      <c r="O649" s="76">
        <v>108538</v>
      </c>
      <c r="P649" s="76" t="s">
        <v>684</v>
      </c>
      <c r="Q649" s="77">
        <v>46114</v>
      </c>
      <c r="R649" s="78" t="s">
        <v>40</v>
      </c>
      <c r="S649" s="36" t="str">
        <f>VLOOKUP(Tabla91116[[#This Row],[CODIGO DEL PRODUCTO]],Tabla797[],2,FALSE)</f>
        <v>PIEDRA 0-6</v>
      </c>
      <c r="T649" s="37">
        <v>35.74</v>
      </c>
    </row>
    <row r="650" spans="8:21" x14ac:dyDescent="0.25">
      <c r="H650" s="34">
        <v>20713</v>
      </c>
      <c r="I650" s="34" t="s">
        <v>593</v>
      </c>
      <c r="J650" s="35">
        <v>46207</v>
      </c>
      <c r="K650" s="36" t="s">
        <v>43</v>
      </c>
      <c r="L650" s="39" t="str">
        <f>VLOOKUP(Tabla81015[[#This Row],[CODIGO DEL PRODUCTO]],Tabla797[],2,FALSE)</f>
        <v>PIEDRA 6-20</v>
      </c>
      <c r="M650" s="37">
        <v>7</v>
      </c>
      <c r="N650" s="158"/>
      <c r="O650" s="76">
        <v>2699724</v>
      </c>
      <c r="P650" s="76" t="s">
        <v>679</v>
      </c>
      <c r="Q650" s="77">
        <v>46114</v>
      </c>
      <c r="R650" s="78" t="s">
        <v>286</v>
      </c>
      <c r="S650" s="36" t="str">
        <f>VLOOKUP(Tabla91116[[#This Row],[CODIGO DEL PRODUCTO]],Tabla797[],2,FALSE)</f>
        <v>CPF 40 AVELLANEDA</v>
      </c>
      <c r="T650" s="37">
        <v>36.14</v>
      </c>
      <c r="U650" s="7"/>
    </row>
    <row r="651" spans="8:21" x14ac:dyDescent="0.25">
      <c r="H651" s="34">
        <v>20714</v>
      </c>
      <c r="I651" s="34" t="s">
        <v>593</v>
      </c>
      <c r="J651" s="35">
        <v>46207</v>
      </c>
      <c r="K651" s="36" t="s">
        <v>43</v>
      </c>
      <c r="L651" s="39" t="str">
        <f>VLOOKUP(Tabla81015[[#This Row],[CODIGO DEL PRODUCTO]],Tabla797[],2,FALSE)</f>
        <v>PIEDRA 6-20</v>
      </c>
      <c r="M651" s="37">
        <v>7</v>
      </c>
      <c r="N651" s="158"/>
      <c r="O651" s="76">
        <v>155358</v>
      </c>
      <c r="P651" s="76" t="s">
        <v>679</v>
      </c>
      <c r="Q651" s="77">
        <v>46116</v>
      </c>
      <c r="R651" s="78" t="s">
        <v>43</v>
      </c>
      <c r="S651" s="36" t="str">
        <f>VLOOKUP(Tabla91116[[#This Row],[CODIGO DEL PRODUCTO]],Tabla797[],2,FALSE)</f>
        <v>PIEDRA 6-20</v>
      </c>
      <c r="T651" s="37">
        <v>34.54</v>
      </c>
    </row>
    <row r="652" spans="8:21" x14ac:dyDescent="0.25">
      <c r="H652" s="34">
        <v>20747</v>
      </c>
      <c r="I652" s="34" t="s">
        <v>403</v>
      </c>
      <c r="J652" s="35">
        <v>46209</v>
      </c>
      <c r="K652" s="36" t="s">
        <v>42</v>
      </c>
      <c r="L652" s="39" t="str">
        <f>VLOOKUP(Tabla81015[[#This Row],[CODIGO DEL PRODUCTO]],Tabla797[],2,FALSE)</f>
        <v>ARENA FINA</v>
      </c>
      <c r="M652" s="37">
        <v>7</v>
      </c>
      <c r="N652" s="158"/>
      <c r="O652" s="76">
        <v>103908</v>
      </c>
      <c r="P652" s="76" t="s">
        <v>683</v>
      </c>
      <c r="Q652" s="77">
        <v>46118</v>
      </c>
      <c r="R652" s="78" t="s">
        <v>42</v>
      </c>
      <c r="S652" s="36" t="str">
        <f>VLOOKUP(Tabla91116[[#This Row],[CODIGO DEL PRODUCTO]],Tabla797[],2,FALSE)</f>
        <v>ARENA FINA</v>
      </c>
      <c r="T652" s="37">
        <v>37.5</v>
      </c>
    </row>
    <row r="653" spans="8:21" x14ac:dyDescent="0.25">
      <c r="H653" s="34">
        <v>20748</v>
      </c>
      <c r="I653" s="34" t="s">
        <v>403</v>
      </c>
      <c r="J653" s="35">
        <v>46209</v>
      </c>
      <c r="K653" s="36" t="s">
        <v>42</v>
      </c>
      <c r="L653" s="39" t="str">
        <f>VLOOKUP(Tabla81015[[#This Row],[CODIGO DEL PRODUCTO]],Tabla797[],2,FALSE)</f>
        <v>ARENA FINA</v>
      </c>
      <c r="M653" s="37">
        <v>7</v>
      </c>
      <c r="N653" s="158"/>
      <c r="O653" s="76">
        <v>103912</v>
      </c>
      <c r="P653" s="76" t="s">
        <v>683</v>
      </c>
      <c r="Q653" s="77">
        <v>46118</v>
      </c>
      <c r="R653" s="78" t="s">
        <v>42</v>
      </c>
      <c r="S653" s="36" t="str">
        <f>VLOOKUP(Tabla91116[[#This Row],[CODIGO DEL PRODUCTO]],Tabla797[],2,FALSE)</f>
        <v>ARENA FINA</v>
      </c>
      <c r="T653" s="37">
        <v>35.36</v>
      </c>
    </row>
    <row r="654" spans="8:21" x14ac:dyDescent="0.25">
      <c r="H654" s="34">
        <v>20749</v>
      </c>
      <c r="I654" s="34" t="s">
        <v>826</v>
      </c>
      <c r="J654" s="35">
        <v>46209</v>
      </c>
      <c r="K654" s="36" t="s">
        <v>43</v>
      </c>
      <c r="L654" s="39" t="str">
        <f>VLOOKUP(Tabla81015[[#This Row],[CODIGO DEL PRODUCTO]],Tabla797[],2,FALSE)</f>
        <v>PIEDRA 6-20</v>
      </c>
      <c r="M654" s="37">
        <v>4</v>
      </c>
      <c r="N654" s="158"/>
      <c r="O654" s="76">
        <v>108546</v>
      </c>
      <c r="P654" s="76" t="s">
        <v>684</v>
      </c>
      <c r="Q654" s="77">
        <v>46118</v>
      </c>
      <c r="R654" s="78" t="s">
        <v>43</v>
      </c>
      <c r="S654" s="36" t="str">
        <f>VLOOKUP(Tabla91116[[#This Row],[CODIGO DEL PRODUCTO]],Tabla797[],2,FALSE)</f>
        <v>PIEDRA 6-20</v>
      </c>
      <c r="T654" s="37">
        <v>35.119999999999997</v>
      </c>
    </row>
    <row r="655" spans="8:21" x14ac:dyDescent="0.25">
      <c r="H655" s="34"/>
      <c r="I655" s="34" t="s">
        <v>826</v>
      </c>
      <c r="J655" s="35">
        <v>46209</v>
      </c>
      <c r="K655" s="36" t="s">
        <v>42</v>
      </c>
      <c r="L655" s="39" t="str">
        <f>VLOOKUP(Tabla81015[[#This Row],[CODIGO DEL PRODUCTO]],Tabla797[],2,FALSE)</f>
        <v>ARENA FINA</v>
      </c>
      <c r="M655" s="37">
        <v>4</v>
      </c>
      <c r="N655" s="158"/>
      <c r="O655" s="76">
        <v>108552</v>
      </c>
      <c r="P655" s="76" t="s">
        <v>684</v>
      </c>
      <c r="Q655" s="77">
        <v>46118</v>
      </c>
      <c r="R655" s="78" t="s">
        <v>43</v>
      </c>
      <c r="S655" s="36" t="str">
        <f>VLOOKUP(Tabla91116[[#This Row],[CODIGO DEL PRODUCTO]],Tabla797[],2,FALSE)</f>
        <v>PIEDRA 6-20</v>
      </c>
      <c r="T655" s="37">
        <v>34.520000000000003</v>
      </c>
    </row>
    <row r="656" spans="8:21" x14ac:dyDescent="0.25">
      <c r="H656" s="34">
        <v>20750</v>
      </c>
      <c r="I656" s="34" t="s">
        <v>593</v>
      </c>
      <c r="J656" s="35">
        <v>46209</v>
      </c>
      <c r="K656" s="36" t="s">
        <v>43</v>
      </c>
      <c r="L656" s="39" t="str">
        <f>VLOOKUP(Tabla81015[[#This Row],[CODIGO DEL PRODUCTO]],Tabla797[],2,FALSE)</f>
        <v>PIEDRA 6-20</v>
      </c>
      <c r="M656" s="37">
        <v>6.68</v>
      </c>
      <c r="N656" s="158"/>
      <c r="O656" s="76">
        <v>108554</v>
      </c>
      <c r="P656" s="76" t="s">
        <v>684</v>
      </c>
      <c r="Q656" s="77">
        <v>46118</v>
      </c>
      <c r="R656" s="78" t="s">
        <v>40</v>
      </c>
      <c r="S656" s="36" t="str">
        <f>VLOOKUP(Tabla91116[[#This Row],[CODIGO DEL PRODUCTO]],Tabla797[],2,FALSE)</f>
        <v>PIEDRA 0-6</v>
      </c>
      <c r="T656" s="37">
        <v>34.520000000000003</v>
      </c>
    </row>
    <row r="657" spans="8:23" x14ac:dyDescent="0.25">
      <c r="H657" s="34">
        <v>20763</v>
      </c>
      <c r="I657" s="34" t="s">
        <v>823</v>
      </c>
      <c r="J657" s="35">
        <v>46210</v>
      </c>
      <c r="K657" s="36" t="s">
        <v>42</v>
      </c>
      <c r="L657" s="39" t="str">
        <f>VLOOKUP(Tabla81015[[#This Row],[CODIGO DEL PRODUCTO]],Tabla797[],2,FALSE)</f>
        <v>ARENA FINA</v>
      </c>
      <c r="M657" s="37">
        <v>4</v>
      </c>
      <c r="N657" s="158"/>
      <c r="O657" s="76">
        <v>108561</v>
      </c>
      <c r="P657" s="76" t="s">
        <v>684</v>
      </c>
      <c r="Q657" s="77">
        <v>46118</v>
      </c>
      <c r="R657" s="78" t="s">
        <v>40</v>
      </c>
      <c r="S657" s="36" t="str">
        <f>VLOOKUP(Tabla91116[[#This Row],[CODIGO DEL PRODUCTO]],Tabla797[],2,FALSE)</f>
        <v>PIEDRA 0-6</v>
      </c>
      <c r="T657" s="37">
        <v>34.96</v>
      </c>
    </row>
    <row r="658" spans="8:23" x14ac:dyDescent="0.25">
      <c r="H658" s="34"/>
      <c r="I658" s="34" t="s">
        <v>823</v>
      </c>
      <c r="J658" s="35">
        <v>46210</v>
      </c>
      <c r="K658" s="36" t="s">
        <v>43</v>
      </c>
      <c r="L658" s="39" t="str">
        <f>VLOOKUP(Tabla81015[[#This Row],[CODIGO DEL PRODUCTO]],Tabla797[],2,FALSE)</f>
        <v>PIEDRA 6-20</v>
      </c>
      <c r="M658" s="37">
        <v>4</v>
      </c>
      <c r="N658" s="158"/>
      <c r="O658" s="76">
        <v>108562</v>
      </c>
      <c r="P658" s="76" t="s">
        <v>684</v>
      </c>
      <c r="Q658" s="77">
        <v>46118</v>
      </c>
      <c r="R658" s="78" t="s">
        <v>43</v>
      </c>
      <c r="S658" s="36" t="str">
        <f>VLOOKUP(Tabla91116[[#This Row],[CODIGO DEL PRODUCTO]],Tabla797[],2,FALSE)</f>
        <v>PIEDRA 6-20</v>
      </c>
      <c r="T658" s="37">
        <v>35.479999999999997</v>
      </c>
    </row>
    <row r="659" spans="8:23" x14ac:dyDescent="0.25">
      <c r="H659" s="34">
        <v>20813</v>
      </c>
      <c r="I659" s="34" t="s">
        <v>823</v>
      </c>
      <c r="J659" s="35">
        <v>46211</v>
      </c>
      <c r="K659" s="36" t="s">
        <v>42</v>
      </c>
      <c r="L659" s="39" t="str">
        <f>VLOOKUP(Tabla81015[[#This Row],[CODIGO DEL PRODUCTO]],Tabla797[],2,FALSE)</f>
        <v>ARENA FINA</v>
      </c>
      <c r="M659" s="37">
        <v>4</v>
      </c>
      <c r="N659" s="158"/>
      <c r="O659" s="76">
        <v>2700060</v>
      </c>
      <c r="P659" s="76" t="s">
        <v>679</v>
      </c>
      <c r="Q659" s="77">
        <v>46118</v>
      </c>
      <c r="R659" s="78" t="s">
        <v>286</v>
      </c>
      <c r="S659" s="36" t="str">
        <f>VLOOKUP(Tabla91116[[#This Row],[CODIGO DEL PRODUCTO]],Tabla797[],2,FALSE)</f>
        <v>CPF 40 AVELLANEDA</v>
      </c>
      <c r="T659" s="37">
        <v>35.840000000000003</v>
      </c>
      <c r="U659" s="7"/>
    </row>
    <row r="660" spans="8:23" x14ac:dyDescent="0.25">
      <c r="H660" s="34"/>
      <c r="I660" s="34" t="s">
        <v>823</v>
      </c>
      <c r="J660" s="35">
        <v>46211</v>
      </c>
      <c r="K660" s="36" t="s">
        <v>43</v>
      </c>
      <c r="L660" s="39" t="str">
        <f>VLOOKUP(Tabla81015[[#This Row],[CODIGO DEL PRODUCTO]],Tabla797[],2,FALSE)</f>
        <v>PIEDRA 6-20</v>
      </c>
      <c r="M660" s="37">
        <v>3</v>
      </c>
      <c r="N660" s="158"/>
      <c r="O660" s="76">
        <v>103919</v>
      </c>
      <c r="P660" s="76" t="s">
        <v>683</v>
      </c>
      <c r="Q660" s="77">
        <v>46119</v>
      </c>
      <c r="R660" s="78" t="s">
        <v>42</v>
      </c>
      <c r="S660" s="36" t="str">
        <f>VLOOKUP(Tabla91116[[#This Row],[CODIGO DEL PRODUCTO]],Tabla797[],2,FALSE)</f>
        <v>ARENA FINA</v>
      </c>
      <c r="T660" s="37">
        <v>35.64</v>
      </c>
    </row>
    <row r="661" spans="8:23" x14ac:dyDescent="0.25">
      <c r="H661" s="34">
        <v>20814</v>
      </c>
      <c r="I661" s="34" t="s">
        <v>312</v>
      </c>
      <c r="J661" s="35">
        <v>46211</v>
      </c>
      <c r="K661" s="36" t="s">
        <v>40</v>
      </c>
      <c r="L661" s="39" t="str">
        <f>VLOOKUP(Tabla81015[[#This Row],[CODIGO DEL PRODUCTO]],Tabla797[],2,FALSE)</f>
        <v>PIEDRA 0-6</v>
      </c>
      <c r="M661" s="37">
        <v>2</v>
      </c>
      <c r="N661" s="158"/>
      <c r="O661" s="76">
        <v>103924</v>
      </c>
      <c r="P661" s="76" t="s">
        <v>683</v>
      </c>
      <c r="Q661" s="77">
        <v>46119</v>
      </c>
      <c r="R661" s="78" t="s">
        <v>42</v>
      </c>
      <c r="S661" s="36" t="str">
        <f>VLOOKUP(Tabla91116[[#This Row],[CODIGO DEL PRODUCTO]],Tabla797[],2,FALSE)</f>
        <v>ARENA FINA</v>
      </c>
      <c r="T661" s="37">
        <v>35.78</v>
      </c>
    </row>
    <row r="662" spans="8:23" x14ac:dyDescent="0.25">
      <c r="H662" s="34">
        <v>20819</v>
      </c>
      <c r="I662" s="34" t="s">
        <v>782</v>
      </c>
      <c r="J662" s="35">
        <v>46213</v>
      </c>
      <c r="K662" s="36" t="s">
        <v>42</v>
      </c>
      <c r="L662" s="39" t="str">
        <f>VLOOKUP(Tabla81015[[#This Row],[CODIGO DEL PRODUCTO]],Tabla797[],2,FALSE)</f>
        <v>ARENA FINA</v>
      </c>
      <c r="M662" s="37">
        <v>20.239999999999998</v>
      </c>
      <c r="N662" s="158"/>
      <c r="O662" s="76">
        <v>221930</v>
      </c>
      <c r="P662" s="76" t="s">
        <v>516</v>
      </c>
      <c r="Q662" s="77">
        <v>46119</v>
      </c>
      <c r="R662" s="78" t="s">
        <v>43</v>
      </c>
      <c r="S662" s="36" t="str">
        <f>VLOOKUP(Tabla91116[[#This Row],[CODIGO DEL PRODUCTO]],Tabla797[],2,FALSE)</f>
        <v>PIEDRA 6-20</v>
      </c>
      <c r="T662" s="37">
        <v>34.880000000000003</v>
      </c>
    </row>
    <row r="663" spans="8:23" x14ac:dyDescent="0.25">
      <c r="H663" s="34">
        <v>20824</v>
      </c>
      <c r="I663" s="34" t="s">
        <v>534</v>
      </c>
      <c r="J663" s="35">
        <v>46213</v>
      </c>
      <c r="K663" s="36" t="s">
        <v>43</v>
      </c>
      <c r="L663" s="39" t="str">
        <f>VLOOKUP(Tabla81015[[#This Row],[CODIGO DEL PRODUCTO]],Tabla797[],2,FALSE)</f>
        <v>PIEDRA 6-20</v>
      </c>
      <c r="M663" s="37">
        <v>3</v>
      </c>
      <c r="N663" s="158"/>
      <c r="O663" s="76">
        <v>108587</v>
      </c>
      <c r="P663" s="76" t="s">
        <v>684</v>
      </c>
      <c r="Q663" s="77">
        <v>46119</v>
      </c>
      <c r="R663" s="78" t="s">
        <v>40</v>
      </c>
      <c r="S663" s="36" t="str">
        <f>VLOOKUP(Tabla91116[[#This Row],[CODIGO DEL PRODUCTO]],Tabla797[],2,FALSE)</f>
        <v>PIEDRA 0-6</v>
      </c>
      <c r="T663" s="37">
        <v>34.619999999999997</v>
      </c>
    </row>
    <row r="664" spans="8:23" x14ac:dyDescent="0.25">
      <c r="H664" s="34">
        <v>20831</v>
      </c>
      <c r="I664" s="34" t="s">
        <v>782</v>
      </c>
      <c r="J664" s="35">
        <v>46213</v>
      </c>
      <c r="K664" s="36" t="s">
        <v>42</v>
      </c>
      <c r="L664" s="39" t="str">
        <f>VLOOKUP(Tabla81015[[#This Row],[CODIGO DEL PRODUCTO]],Tabla797[],2,FALSE)</f>
        <v>ARENA FINA</v>
      </c>
      <c r="M664" s="37">
        <v>21.28</v>
      </c>
      <c r="N664" s="158"/>
      <c r="O664" s="76">
        <v>108590</v>
      </c>
      <c r="P664" s="76" t="s">
        <v>684</v>
      </c>
      <c r="Q664" s="77">
        <v>46119</v>
      </c>
      <c r="R664" s="78" t="s">
        <v>43</v>
      </c>
      <c r="S664" s="36" t="str">
        <f>VLOOKUP(Tabla91116[[#This Row],[CODIGO DEL PRODUCTO]],Tabla797[],2,FALSE)</f>
        <v>PIEDRA 6-20</v>
      </c>
      <c r="T664" s="37">
        <v>34.58</v>
      </c>
    </row>
    <row r="665" spans="8:23" x14ac:dyDescent="0.25">
      <c r="H665" s="34">
        <v>20838</v>
      </c>
      <c r="I665" s="34" t="s">
        <v>782</v>
      </c>
      <c r="J665" s="35">
        <v>46213</v>
      </c>
      <c r="K665" s="36" t="s">
        <v>42</v>
      </c>
      <c r="L665" s="39" t="str">
        <f>VLOOKUP(Tabla81015[[#This Row],[CODIGO DEL PRODUCTO]],Tabla797[],2,FALSE)</f>
        <v>ARENA FINA</v>
      </c>
      <c r="M665" s="37">
        <v>20.18</v>
      </c>
      <c r="N665" s="158"/>
      <c r="O665" s="76">
        <v>108597</v>
      </c>
      <c r="P665" s="76" t="s">
        <v>684</v>
      </c>
      <c r="Q665" s="77">
        <v>46119</v>
      </c>
      <c r="R665" s="78" t="s">
        <v>40</v>
      </c>
      <c r="S665" s="36" t="str">
        <f>VLOOKUP(Tabla91116[[#This Row],[CODIGO DEL PRODUCTO]],Tabla797[],2,FALSE)</f>
        <v>PIEDRA 0-6</v>
      </c>
      <c r="T665" s="37">
        <v>35.32</v>
      </c>
    </row>
    <row r="666" spans="8:23" x14ac:dyDescent="0.25">
      <c r="H666" s="34">
        <v>20853</v>
      </c>
      <c r="I666" s="34" t="s">
        <v>819</v>
      </c>
      <c r="J666" s="35">
        <v>46214</v>
      </c>
      <c r="K666" s="36" t="s">
        <v>42</v>
      </c>
      <c r="L666" s="39" t="str">
        <f>VLOOKUP(Tabla81015[[#This Row],[CODIGO DEL PRODUCTO]],Tabla797[],2,FALSE)</f>
        <v>ARENA FINA</v>
      </c>
      <c r="M666" s="37">
        <v>5</v>
      </c>
      <c r="N666" s="158"/>
      <c r="O666" s="76">
        <v>108608</v>
      </c>
      <c r="P666" s="76" t="s">
        <v>684</v>
      </c>
      <c r="Q666" s="77">
        <v>46119</v>
      </c>
      <c r="R666" s="78" t="s">
        <v>43</v>
      </c>
      <c r="S666" s="36" t="str">
        <f>VLOOKUP(Tabla91116[[#This Row],[CODIGO DEL PRODUCTO]],Tabla797[],2,FALSE)</f>
        <v>PIEDRA 6-20</v>
      </c>
      <c r="T666" s="37">
        <v>35.92</v>
      </c>
    </row>
    <row r="667" spans="8:23" x14ac:dyDescent="0.25">
      <c r="H667" s="34">
        <v>20856</v>
      </c>
      <c r="I667" s="34" t="s">
        <v>827</v>
      </c>
      <c r="J667" s="35">
        <v>46214</v>
      </c>
      <c r="K667" s="36" t="s">
        <v>828</v>
      </c>
      <c r="L667" s="39" t="e">
        <f>VLOOKUP(Tabla81015[[#This Row],[CODIGO DEL PRODUCTO]],Tabla797[],2,FALSE)</f>
        <v>#N/A</v>
      </c>
      <c r="M667" s="37">
        <v>28.94</v>
      </c>
      <c r="N667" s="158"/>
      <c r="O667" s="76">
        <v>155465</v>
      </c>
      <c r="P667" s="76" t="s">
        <v>679</v>
      </c>
      <c r="Q667" s="77">
        <v>46119</v>
      </c>
      <c r="R667" s="78" t="s">
        <v>43</v>
      </c>
      <c r="S667" s="36" t="str">
        <f>VLOOKUP(Tabla91116[[#This Row],[CODIGO DEL PRODUCTO]],Tabla797[],2,FALSE)</f>
        <v>PIEDRA 6-20</v>
      </c>
      <c r="T667" s="37">
        <v>35.08</v>
      </c>
    </row>
    <row r="668" spans="8:23" x14ac:dyDescent="0.25">
      <c r="H668" s="34">
        <v>20859</v>
      </c>
      <c r="I668" s="34" t="s">
        <v>817</v>
      </c>
      <c r="J668" s="35">
        <v>46214</v>
      </c>
      <c r="K668" s="36" t="s">
        <v>43</v>
      </c>
      <c r="L668" s="39" t="str">
        <f>VLOOKUP(Tabla81015[[#This Row],[CODIGO DEL PRODUCTO]],Tabla797[],2,FALSE)</f>
        <v>PIEDRA 6-20</v>
      </c>
      <c r="M668" s="37">
        <v>2</v>
      </c>
      <c r="N668" s="158"/>
      <c r="O668" s="76">
        <v>155472</v>
      </c>
      <c r="P668" s="76" t="s">
        <v>679</v>
      </c>
      <c r="Q668" s="77">
        <v>46119</v>
      </c>
      <c r="R668" s="78" t="s">
        <v>43</v>
      </c>
      <c r="S668" s="36" t="str">
        <f>VLOOKUP(Tabla91116[[#This Row],[CODIGO DEL PRODUCTO]],Tabla797[],2,FALSE)</f>
        <v>PIEDRA 6-20</v>
      </c>
      <c r="T668" s="37">
        <v>35.880000000000003</v>
      </c>
    </row>
    <row r="669" spans="8:23" x14ac:dyDescent="0.25">
      <c r="H669" s="34">
        <v>20861</v>
      </c>
      <c r="I669" s="34" t="s">
        <v>794</v>
      </c>
      <c r="J669" s="35">
        <v>46214</v>
      </c>
      <c r="K669" s="36" t="s">
        <v>42</v>
      </c>
      <c r="L669" s="39" t="str">
        <f>VLOOKUP(Tabla81015[[#This Row],[CODIGO DEL PRODUCTO]],Tabla797[],2,FALSE)</f>
        <v>ARENA FINA</v>
      </c>
      <c r="M669" s="37">
        <v>5</v>
      </c>
      <c r="N669" s="158"/>
      <c r="O669" s="76">
        <v>155483</v>
      </c>
      <c r="P669" s="76" t="s">
        <v>679</v>
      </c>
      <c r="Q669" s="77">
        <v>46119</v>
      </c>
      <c r="R669" s="78" t="s">
        <v>43</v>
      </c>
      <c r="S669" s="36" t="str">
        <f>VLOOKUP(Tabla91116[[#This Row],[CODIGO DEL PRODUCTO]],Tabla797[],2,FALSE)</f>
        <v>PIEDRA 6-20</v>
      </c>
      <c r="T669" s="37">
        <v>35.86</v>
      </c>
    </row>
    <row r="670" spans="8:23" x14ac:dyDescent="0.25">
      <c r="H670" s="34"/>
      <c r="I670" s="34" t="s">
        <v>53</v>
      </c>
      <c r="J670" s="35">
        <v>46204</v>
      </c>
      <c r="K670" s="36" t="s">
        <v>42</v>
      </c>
      <c r="L670" s="39" t="str">
        <f>VLOOKUP(Tabla81015[[#This Row],[CODIGO DEL PRODUCTO]],Tabla797[],2,FALSE)</f>
        <v>ARENA FINA</v>
      </c>
      <c r="M670" s="37">
        <v>930.71</v>
      </c>
      <c r="N670" s="158"/>
      <c r="O670" s="76">
        <v>2700269</v>
      </c>
      <c r="P670" s="76" t="s">
        <v>679</v>
      </c>
      <c r="Q670" s="77">
        <v>46119</v>
      </c>
      <c r="R670" s="78" t="s">
        <v>286</v>
      </c>
      <c r="S670" s="36" t="str">
        <f>VLOOKUP(Tabla91116[[#This Row],[CODIGO DEL PRODUCTO]],Tabla797[],2,FALSE)</f>
        <v>CPF 40 AVELLANEDA</v>
      </c>
      <c r="T670" s="37">
        <v>35.96</v>
      </c>
    </row>
    <row r="671" spans="8:23" x14ac:dyDescent="0.25">
      <c r="H671" s="34"/>
      <c r="I671" s="34" t="s">
        <v>53</v>
      </c>
      <c r="J671" s="35">
        <v>46205</v>
      </c>
      <c r="K671" s="36" t="s">
        <v>40</v>
      </c>
      <c r="L671" s="39" t="str">
        <f>VLOOKUP(Tabla81015[[#This Row],[CODIGO DEL PRODUCTO]],Tabla797[],2,FALSE)</f>
        <v>PIEDRA 0-6</v>
      </c>
      <c r="M671" s="37">
        <v>617.85</v>
      </c>
      <c r="N671" s="158"/>
      <c r="O671" s="76">
        <v>103928</v>
      </c>
      <c r="P671" s="76" t="s">
        <v>683</v>
      </c>
      <c r="Q671" s="77">
        <v>46120</v>
      </c>
      <c r="R671" s="78" t="s">
        <v>42</v>
      </c>
      <c r="S671" s="36" t="str">
        <f>VLOOKUP(Tabla91116[[#This Row],[CODIGO DEL PRODUCTO]],Tabla797[],2,FALSE)</f>
        <v>ARENA FINA</v>
      </c>
      <c r="T671" s="37">
        <v>36.54</v>
      </c>
      <c r="U671" s="7">
        <v>46120</v>
      </c>
      <c r="V671" t="s">
        <v>775</v>
      </c>
      <c r="W671" t="s">
        <v>776</v>
      </c>
    </row>
    <row r="672" spans="8:23" x14ac:dyDescent="0.25">
      <c r="H672" s="34"/>
      <c r="I672" s="34" t="s">
        <v>53</v>
      </c>
      <c r="J672" s="35">
        <v>46208</v>
      </c>
      <c r="K672" s="36" t="s">
        <v>286</v>
      </c>
      <c r="L672" s="39" t="str">
        <f>VLOOKUP(Tabla81015[[#This Row],[CODIGO DEL PRODUCTO]],Tabla797[],2,FALSE)</f>
        <v>CPF 40 AVELLANEDA</v>
      </c>
      <c r="M672" s="37">
        <v>435.01</v>
      </c>
      <c r="N672" s="158"/>
      <c r="O672" s="76">
        <v>103933</v>
      </c>
      <c r="P672" s="76" t="s">
        <v>683</v>
      </c>
      <c r="Q672" s="77">
        <v>46120</v>
      </c>
      <c r="R672" s="78" t="s">
        <v>42</v>
      </c>
      <c r="S672" s="36" t="str">
        <f>VLOOKUP(Tabla91116[[#This Row],[CODIGO DEL PRODUCTO]],Tabla797[],2,FALSE)</f>
        <v>ARENA FINA</v>
      </c>
      <c r="T672" s="37">
        <v>34.619999999999997</v>
      </c>
    </row>
    <row r="673" spans="8:20" x14ac:dyDescent="0.25">
      <c r="H673" s="34"/>
      <c r="I673" s="34" t="s">
        <v>53</v>
      </c>
      <c r="J673" s="35">
        <v>46210</v>
      </c>
      <c r="K673" s="36" t="s">
        <v>48</v>
      </c>
      <c r="L673" s="39" t="str">
        <f>VLOOKUP(Tabla81015[[#This Row],[CODIGO DEL PRODUCTO]],Tabla797[],2,FALSE)</f>
        <v>PIEDRA 6-12</v>
      </c>
      <c r="M673" s="37">
        <v>122.34</v>
      </c>
      <c r="N673" s="158"/>
      <c r="O673" s="76">
        <v>108626</v>
      </c>
      <c r="P673" s="76" t="s">
        <v>684</v>
      </c>
      <c r="Q673" s="77">
        <v>46120</v>
      </c>
      <c r="R673" s="78" t="s">
        <v>40</v>
      </c>
      <c r="S673" s="36" t="str">
        <f>VLOOKUP(Tabla91116[[#This Row],[CODIGO DEL PRODUCTO]],Tabla797[],2,FALSE)</f>
        <v>PIEDRA 0-6</v>
      </c>
      <c r="T673" s="37">
        <v>35.06</v>
      </c>
    </row>
    <row r="674" spans="8:20" x14ac:dyDescent="0.25">
      <c r="H674" s="34"/>
      <c r="I674" s="34" t="s">
        <v>53</v>
      </c>
      <c r="J674" s="35">
        <v>46213</v>
      </c>
      <c r="K674" s="36" t="s">
        <v>43</v>
      </c>
      <c r="L674" s="39" t="str">
        <f>VLOOKUP(Tabla81015[[#This Row],[CODIGO DEL PRODUCTO]],Tabla797[],2,FALSE)</f>
        <v>PIEDRA 6-20</v>
      </c>
      <c r="M674" s="37">
        <v>1185.1300000000001</v>
      </c>
      <c r="N674" s="158"/>
      <c r="O674" s="76">
        <v>108628</v>
      </c>
      <c r="P674" s="76" t="s">
        <v>684</v>
      </c>
      <c r="Q674" s="77">
        <v>46120</v>
      </c>
      <c r="R674" s="78" t="s">
        <v>40</v>
      </c>
      <c r="S674" s="36" t="str">
        <f>VLOOKUP(Tabla91116[[#This Row],[CODIGO DEL PRODUCTO]],Tabla797[],2,FALSE)</f>
        <v>PIEDRA 0-6</v>
      </c>
      <c r="T674" s="37">
        <v>33.86</v>
      </c>
    </row>
    <row r="675" spans="8:20" x14ac:dyDescent="0.25">
      <c r="H675" s="34"/>
      <c r="I675" s="34" t="s">
        <v>53</v>
      </c>
      <c r="J675" s="35">
        <v>46214</v>
      </c>
      <c r="K675" s="36" t="s">
        <v>425</v>
      </c>
      <c r="L675" s="39" t="str">
        <f>VLOOKUP(Tabla81015[[#This Row],[CODIGO DEL PRODUCTO]],Tabla797[],2,FALSE)</f>
        <v>W351R</v>
      </c>
      <c r="M675" s="37">
        <v>2.61</v>
      </c>
      <c r="N675" s="158"/>
      <c r="O675" s="76">
        <v>108629</v>
      </c>
      <c r="P675" s="76" t="s">
        <v>684</v>
      </c>
      <c r="Q675" s="77">
        <v>46120</v>
      </c>
      <c r="R675" s="78" t="s">
        <v>43</v>
      </c>
      <c r="S675" s="36" t="str">
        <f>VLOOKUP(Tabla91116[[#This Row],[CODIGO DEL PRODUCTO]],Tabla797[],2,FALSE)</f>
        <v>PIEDRA 6-20</v>
      </c>
      <c r="T675" s="37">
        <v>34.72</v>
      </c>
    </row>
    <row r="676" spans="8:20" x14ac:dyDescent="0.25">
      <c r="H676" s="34">
        <v>20873</v>
      </c>
      <c r="I676" s="34" t="s">
        <v>825</v>
      </c>
      <c r="J676" s="35">
        <v>46216</v>
      </c>
      <c r="K676" s="36" t="s">
        <v>42</v>
      </c>
      <c r="L676" s="39" t="str">
        <f>VLOOKUP(Tabla81015[[#This Row],[CODIGO DEL PRODUCTO]],Tabla797[],2,FALSE)</f>
        <v>ARENA FINA</v>
      </c>
      <c r="M676" s="37">
        <v>7</v>
      </c>
      <c r="N676" s="158"/>
      <c r="O676" s="76">
        <v>108647</v>
      </c>
      <c r="P676" s="76" t="s">
        <v>684</v>
      </c>
      <c r="Q676" s="77">
        <v>46120</v>
      </c>
      <c r="R676" s="78" t="s">
        <v>43</v>
      </c>
      <c r="S676" s="36" t="str">
        <f>VLOOKUP(Tabla91116[[#This Row],[CODIGO DEL PRODUCTO]],Tabla797[],2,FALSE)</f>
        <v>PIEDRA 6-20</v>
      </c>
      <c r="T676" s="37">
        <v>35.520000000000003</v>
      </c>
    </row>
    <row r="677" spans="8:20" x14ac:dyDescent="0.25">
      <c r="H677" s="34">
        <v>20917</v>
      </c>
      <c r="I677" s="34" t="s">
        <v>830</v>
      </c>
      <c r="J677" s="35">
        <v>46217</v>
      </c>
      <c r="K677" s="36" t="s">
        <v>42</v>
      </c>
      <c r="L677" s="39" t="str">
        <f>VLOOKUP(Tabla81015[[#This Row],[CODIGO DEL PRODUCTO]],Tabla797[],2,FALSE)</f>
        <v>ARENA FINA</v>
      </c>
      <c r="M677" s="37">
        <v>2</v>
      </c>
      <c r="N677" s="158"/>
      <c r="O677" s="76">
        <v>155509</v>
      </c>
      <c r="P677" s="76" t="s">
        <v>679</v>
      </c>
      <c r="Q677" s="77">
        <v>46120</v>
      </c>
      <c r="R677" s="78" t="s">
        <v>43</v>
      </c>
      <c r="S677" s="36" t="str">
        <f>VLOOKUP(Tabla91116[[#This Row],[CODIGO DEL PRODUCTO]],Tabla797[],2,FALSE)</f>
        <v>PIEDRA 6-20</v>
      </c>
      <c r="T677" s="37">
        <v>35.74</v>
      </c>
    </row>
    <row r="678" spans="8:20" x14ac:dyDescent="0.25">
      <c r="H678" s="34">
        <v>20986</v>
      </c>
      <c r="I678" s="34" t="s">
        <v>831</v>
      </c>
      <c r="J678" s="35">
        <v>46218</v>
      </c>
      <c r="K678" s="36" t="s">
        <v>42</v>
      </c>
      <c r="L678" s="39" t="str">
        <f>VLOOKUP(Tabla81015[[#This Row],[CODIGO DEL PRODUCTO]],Tabla797[],2,FALSE)</f>
        <v>ARENA FINA</v>
      </c>
      <c r="M678" s="37">
        <v>2</v>
      </c>
      <c r="N678" s="158"/>
      <c r="O678" s="76">
        <v>155510</v>
      </c>
      <c r="P678" s="76" t="s">
        <v>679</v>
      </c>
      <c r="Q678" s="77">
        <v>46120</v>
      </c>
      <c r="R678" s="78" t="s">
        <v>43</v>
      </c>
      <c r="S678" s="36" t="str">
        <f>VLOOKUP(Tabla91116[[#This Row],[CODIGO DEL PRODUCTO]],Tabla797[],2,FALSE)</f>
        <v>PIEDRA 6-20</v>
      </c>
      <c r="T678" s="37">
        <v>35.619999999999997</v>
      </c>
    </row>
    <row r="679" spans="8:20" x14ac:dyDescent="0.25">
      <c r="H679" s="34">
        <v>21002</v>
      </c>
      <c r="I679" s="34" t="s">
        <v>825</v>
      </c>
      <c r="J679" s="35">
        <v>46218</v>
      </c>
      <c r="K679" s="36" t="s">
        <v>43</v>
      </c>
      <c r="L679" s="39" t="str">
        <f>VLOOKUP(Tabla81015[[#This Row],[CODIGO DEL PRODUCTO]],Tabla797[],2,FALSE)</f>
        <v>PIEDRA 6-20</v>
      </c>
      <c r="M679" s="37">
        <v>2</v>
      </c>
      <c r="N679" s="158"/>
      <c r="O679" s="76">
        <v>155540</v>
      </c>
      <c r="P679" s="76" t="s">
        <v>679</v>
      </c>
      <c r="Q679" s="77">
        <v>46120</v>
      </c>
      <c r="R679" s="78" t="s">
        <v>43</v>
      </c>
      <c r="S679" s="36" t="str">
        <f>VLOOKUP(Tabla91116[[#This Row],[CODIGO DEL PRODUCTO]],Tabla797[],2,FALSE)</f>
        <v>PIEDRA 6-20</v>
      </c>
      <c r="T679" s="37">
        <v>35.32</v>
      </c>
    </row>
    <row r="680" spans="8:20" x14ac:dyDescent="0.25">
      <c r="H680" s="34"/>
      <c r="I680" s="34" t="s">
        <v>53</v>
      </c>
      <c r="J680" s="35">
        <v>46216</v>
      </c>
      <c r="K680" s="36" t="s">
        <v>42</v>
      </c>
      <c r="L680" s="39" t="str">
        <f>VLOOKUP(Tabla81015[[#This Row],[CODIGO DEL PRODUCTO]],Tabla797[],2,FALSE)</f>
        <v>ARENA FINA</v>
      </c>
      <c r="M680" s="37">
        <v>573.72</v>
      </c>
      <c r="N680" s="158"/>
      <c r="O680" s="76">
        <v>2700509</v>
      </c>
      <c r="P680" s="76" t="s">
        <v>679</v>
      </c>
      <c r="Q680" s="77">
        <v>46120</v>
      </c>
      <c r="R680" s="78" t="s">
        <v>286</v>
      </c>
      <c r="S680" s="36" t="str">
        <f>VLOOKUP(Tabla91116[[#This Row],[CODIGO DEL PRODUCTO]],Tabla797[],2,FALSE)</f>
        <v>CPF 40 AVELLANEDA</v>
      </c>
      <c r="T680" s="37">
        <v>35.799999999999997</v>
      </c>
    </row>
    <row r="681" spans="8:20" x14ac:dyDescent="0.25">
      <c r="H681" s="34"/>
      <c r="I681" s="34" t="s">
        <v>53</v>
      </c>
      <c r="J681" s="35">
        <v>46217</v>
      </c>
      <c r="K681" s="36" t="s">
        <v>40</v>
      </c>
      <c r="L681" s="39" t="str">
        <f>VLOOKUP(Tabla81015[[#This Row],[CODIGO DEL PRODUCTO]],Tabla797[],2,FALSE)</f>
        <v>PIEDRA 0-6</v>
      </c>
      <c r="M681" s="37">
        <v>385.79</v>
      </c>
      <c r="N681" s="158"/>
      <c r="O681" s="76">
        <v>103939</v>
      </c>
      <c r="P681" s="76" t="s">
        <v>683</v>
      </c>
      <c r="Q681" s="77">
        <v>46121</v>
      </c>
      <c r="R681" s="78" t="s">
        <v>42</v>
      </c>
      <c r="S681" s="36" t="str">
        <f>VLOOKUP(Tabla91116[[#This Row],[CODIGO DEL PRODUCTO]],Tabla797[],2,FALSE)</f>
        <v>ARENA FINA</v>
      </c>
      <c r="T681" s="37">
        <v>35.4</v>
      </c>
    </row>
    <row r="682" spans="8:20" x14ac:dyDescent="0.25">
      <c r="H682" s="34"/>
      <c r="I682" s="34" t="s">
        <v>53</v>
      </c>
      <c r="J682" s="35">
        <v>46218</v>
      </c>
      <c r="K682" s="36" t="s">
        <v>286</v>
      </c>
      <c r="L682" s="39" t="str">
        <f>VLOOKUP(Tabla81015[[#This Row],[CODIGO DEL PRODUCTO]],Tabla797[],2,FALSE)</f>
        <v>CPF 40 AVELLANEDA</v>
      </c>
      <c r="M682" s="37">
        <v>277.62</v>
      </c>
      <c r="N682" s="158"/>
      <c r="O682" s="76">
        <v>103940</v>
      </c>
      <c r="P682" s="76" t="s">
        <v>683</v>
      </c>
      <c r="Q682" s="77">
        <v>46121</v>
      </c>
      <c r="R682" s="78" t="s">
        <v>42</v>
      </c>
      <c r="S682" s="36" t="str">
        <f>VLOOKUP(Tabla91116[[#This Row],[CODIGO DEL PRODUCTO]],Tabla797[],2,FALSE)</f>
        <v>ARENA FINA</v>
      </c>
      <c r="T682" s="37">
        <v>34.94</v>
      </c>
    </row>
    <row r="683" spans="8:20" x14ac:dyDescent="0.25">
      <c r="H683" s="34"/>
      <c r="I683" s="34" t="s">
        <v>53</v>
      </c>
      <c r="J683" s="35">
        <v>46219</v>
      </c>
      <c r="K683" s="36" t="s">
        <v>48</v>
      </c>
      <c r="L683" s="39" t="str">
        <f>VLOOKUP(Tabla81015[[#This Row],[CODIGO DEL PRODUCTO]],Tabla797[],2,FALSE)</f>
        <v>PIEDRA 6-12</v>
      </c>
      <c r="M683" s="37">
        <v>45.97</v>
      </c>
      <c r="N683" s="158"/>
      <c r="O683" s="76">
        <v>103944</v>
      </c>
      <c r="P683" s="76" t="s">
        <v>683</v>
      </c>
      <c r="Q683" s="77">
        <v>46121</v>
      </c>
      <c r="R683" s="78" t="s">
        <v>42</v>
      </c>
      <c r="S683" s="36" t="str">
        <f>VLOOKUP(Tabla91116[[#This Row],[CODIGO DEL PRODUCTO]],Tabla797[],2,FALSE)</f>
        <v>ARENA FINA</v>
      </c>
      <c r="T683" s="37">
        <v>36.619999999999997</v>
      </c>
    </row>
    <row r="684" spans="8:20" x14ac:dyDescent="0.25">
      <c r="H684" s="34"/>
      <c r="I684" s="34" t="s">
        <v>53</v>
      </c>
      <c r="J684" s="35">
        <v>46220</v>
      </c>
      <c r="K684" s="36" t="s">
        <v>43</v>
      </c>
      <c r="L684" s="39" t="str">
        <f>VLOOKUP(Tabla81015[[#This Row],[CODIGO DEL PRODUCTO]],Tabla797[],2,FALSE)</f>
        <v>PIEDRA 6-20</v>
      </c>
      <c r="M684" s="37">
        <v>780.6</v>
      </c>
      <c r="N684" s="158"/>
      <c r="O684" s="76">
        <v>103945</v>
      </c>
      <c r="P684" s="76" t="s">
        <v>683</v>
      </c>
      <c r="Q684" s="77">
        <v>46121</v>
      </c>
      <c r="R684" s="78" t="s">
        <v>42</v>
      </c>
      <c r="S684" s="36" t="str">
        <f>VLOOKUP(Tabla91116[[#This Row],[CODIGO DEL PRODUCTO]],Tabla797[],2,FALSE)</f>
        <v>ARENA FINA</v>
      </c>
      <c r="T684" s="37">
        <v>35.96</v>
      </c>
    </row>
    <row r="685" spans="8:20" x14ac:dyDescent="0.25">
      <c r="H685" s="34"/>
      <c r="I685" s="34" t="s">
        <v>53</v>
      </c>
      <c r="J685" s="35">
        <v>46221</v>
      </c>
      <c r="K685" s="36" t="s">
        <v>425</v>
      </c>
      <c r="L685" s="39" t="str">
        <f>VLOOKUP(Tabla81015[[#This Row],[CODIGO DEL PRODUCTO]],Tabla797[],2,FALSE)</f>
        <v>W351R</v>
      </c>
      <c r="M685" s="37">
        <v>1.55</v>
      </c>
      <c r="N685" s="158"/>
      <c r="O685" s="76">
        <v>222026</v>
      </c>
      <c r="P685" s="76" t="s">
        <v>516</v>
      </c>
      <c r="Q685" s="77">
        <v>46121</v>
      </c>
      <c r="R685" s="78" t="s">
        <v>43</v>
      </c>
      <c r="S685" s="36" t="str">
        <f>VLOOKUP(Tabla91116[[#This Row],[CODIGO DEL PRODUCTO]],Tabla797[],2,FALSE)</f>
        <v>PIEDRA 6-20</v>
      </c>
      <c r="T685" s="37">
        <v>34.619999999999997</v>
      </c>
    </row>
    <row r="686" spans="8:20" x14ac:dyDescent="0.25">
      <c r="H686" s="34">
        <v>21078</v>
      </c>
      <c r="I686" s="34" t="s">
        <v>794</v>
      </c>
      <c r="J686" s="35">
        <v>46223</v>
      </c>
      <c r="K686" s="36" t="s">
        <v>42</v>
      </c>
      <c r="L686" s="39" t="str">
        <f>VLOOKUP(Tabla81015[[#This Row],[CODIGO DEL PRODUCTO]],Tabla797[],2,FALSE)</f>
        <v>ARENA FINA</v>
      </c>
      <c r="M686" s="37">
        <v>6</v>
      </c>
      <c r="N686" s="158"/>
      <c r="O686" s="76">
        <v>108665</v>
      </c>
      <c r="P686" s="76" t="s">
        <v>684</v>
      </c>
      <c r="Q686" s="77">
        <v>46121</v>
      </c>
      <c r="R686" s="78" t="s">
        <v>43</v>
      </c>
      <c r="S686" s="36" t="str">
        <f>VLOOKUP(Tabla91116[[#This Row],[CODIGO DEL PRODUCTO]],Tabla797[],2,FALSE)</f>
        <v>PIEDRA 6-20</v>
      </c>
      <c r="T686" s="37">
        <v>35.68</v>
      </c>
    </row>
    <row r="687" spans="8:20" x14ac:dyDescent="0.25">
      <c r="H687" s="34">
        <v>21102</v>
      </c>
      <c r="I687" s="34" t="s">
        <v>403</v>
      </c>
      <c r="J687" s="35">
        <v>46225</v>
      </c>
      <c r="K687" s="36" t="s">
        <v>42</v>
      </c>
      <c r="L687" s="39" t="str">
        <f>VLOOKUP(Tabla81015[[#This Row],[CODIGO DEL PRODUCTO]],Tabla797[],2,FALSE)</f>
        <v>ARENA FINA</v>
      </c>
      <c r="M687" s="37">
        <v>6</v>
      </c>
      <c r="N687" s="158"/>
      <c r="O687" s="76">
        <v>108672</v>
      </c>
      <c r="P687" s="76" t="s">
        <v>684</v>
      </c>
      <c r="Q687" s="77">
        <v>46121</v>
      </c>
      <c r="R687" s="78" t="s">
        <v>43</v>
      </c>
      <c r="S687" s="36" t="str">
        <f>VLOOKUP(Tabla91116[[#This Row],[CODIGO DEL PRODUCTO]],Tabla797[],2,FALSE)</f>
        <v>PIEDRA 6-20</v>
      </c>
      <c r="T687" s="37">
        <v>35</v>
      </c>
    </row>
    <row r="688" spans="8:20" x14ac:dyDescent="0.25">
      <c r="H688" s="34">
        <v>21103</v>
      </c>
      <c r="I688" s="34" t="s">
        <v>672</v>
      </c>
      <c r="J688" s="35">
        <v>46225</v>
      </c>
      <c r="K688" s="36" t="s">
        <v>46</v>
      </c>
      <c r="L688" s="39" t="str">
        <f>VLOOKUP(Tabla81015[[#This Row],[CODIGO DEL PRODUCTO]],Tabla797[],2,FALSE)</f>
        <v>PIEDRA 10-30</v>
      </c>
      <c r="M688" s="37">
        <v>5.0999999999999996</v>
      </c>
      <c r="N688" s="158"/>
      <c r="O688" s="76">
        <v>108673</v>
      </c>
      <c r="P688" s="76" t="s">
        <v>684</v>
      </c>
      <c r="Q688" s="77">
        <v>46121</v>
      </c>
      <c r="R688" s="78" t="s">
        <v>40</v>
      </c>
      <c r="S688" s="36" t="str">
        <f>VLOOKUP(Tabla91116[[#This Row],[CODIGO DEL PRODUCTO]],Tabla797[],2,FALSE)</f>
        <v>PIEDRA 0-6</v>
      </c>
      <c r="T688" s="37">
        <v>33.44</v>
      </c>
    </row>
    <row r="689" spans="8:21" x14ac:dyDescent="0.25">
      <c r="H689" s="34">
        <v>21111</v>
      </c>
      <c r="I689" s="34" t="s">
        <v>830</v>
      </c>
      <c r="J689" s="35">
        <v>46225</v>
      </c>
      <c r="K689" s="36" t="s">
        <v>42</v>
      </c>
      <c r="L689" s="39" t="str">
        <f>VLOOKUP(Tabla81015[[#This Row],[CODIGO DEL PRODUCTO]],Tabla797[],2,FALSE)</f>
        <v>ARENA FINA</v>
      </c>
      <c r="M689" s="37">
        <v>2</v>
      </c>
      <c r="N689" s="158"/>
      <c r="O689" s="76">
        <v>108674</v>
      </c>
      <c r="P689" s="76" t="s">
        <v>684</v>
      </c>
      <c r="Q689" s="77">
        <v>46121</v>
      </c>
      <c r="R689" s="78" t="s">
        <v>40</v>
      </c>
      <c r="S689" s="36" t="str">
        <f>VLOOKUP(Tabla91116[[#This Row],[CODIGO DEL PRODUCTO]],Tabla797[],2,FALSE)</f>
        <v>PIEDRA 0-6</v>
      </c>
      <c r="T689" s="37">
        <v>34.22</v>
      </c>
    </row>
    <row r="690" spans="8:21" x14ac:dyDescent="0.25">
      <c r="H690" s="34">
        <v>21124</v>
      </c>
      <c r="I690" s="34" t="s">
        <v>832</v>
      </c>
      <c r="J690" s="35">
        <v>46226</v>
      </c>
      <c r="K690" s="36" t="s">
        <v>43</v>
      </c>
      <c r="L690" s="39" t="str">
        <f>VLOOKUP(Tabla81015[[#This Row],[CODIGO DEL PRODUCTO]],Tabla797[],2,FALSE)</f>
        <v>PIEDRA 6-20</v>
      </c>
      <c r="M690" s="37">
        <v>2</v>
      </c>
      <c r="N690" s="158"/>
      <c r="O690" s="76">
        <v>108687</v>
      </c>
      <c r="P690" s="76" t="s">
        <v>684</v>
      </c>
      <c r="Q690" s="77">
        <v>46121</v>
      </c>
      <c r="R690" s="78" t="s">
        <v>43</v>
      </c>
      <c r="S690" s="36" t="str">
        <f>VLOOKUP(Tabla91116[[#This Row],[CODIGO DEL PRODUCTO]],Tabla797[],2,FALSE)</f>
        <v>PIEDRA 6-20</v>
      </c>
      <c r="T690" s="37">
        <v>35.14</v>
      </c>
    </row>
    <row r="691" spans="8:21" x14ac:dyDescent="0.25">
      <c r="H691" s="34">
        <v>21147</v>
      </c>
      <c r="I691" s="34" t="s">
        <v>830</v>
      </c>
      <c r="J691" s="35">
        <v>46227</v>
      </c>
      <c r="K691" s="36" t="s">
        <v>42</v>
      </c>
      <c r="L691" s="39" t="str">
        <f>VLOOKUP(Tabla81015[[#This Row],[CODIGO DEL PRODUCTO]],Tabla797[],2,FALSE)</f>
        <v>ARENA FINA</v>
      </c>
      <c r="M691" s="37">
        <v>2</v>
      </c>
      <c r="N691" s="158"/>
      <c r="O691" s="76">
        <v>108693</v>
      </c>
      <c r="P691" s="76" t="s">
        <v>684</v>
      </c>
      <c r="Q691" s="77">
        <v>46121</v>
      </c>
      <c r="R691" s="78" t="s">
        <v>40</v>
      </c>
      <c r="S691" s="36" t="str">
        <f>VLOOKUP(Tabla91116[[#This Row],[CODIGO DEL PRODUCTO]],Tabla797[],2,FALSE)</f>
        <v>PIEDRA 0-6</v>
      </c>
      <c r="T691" s="37">
        <v>35.119999999999997</v>
      </c>
    </row>
    <row r="692" spans="8:21" x14ac:dyDescent="0.25">
      <c r="H692" s="34">
        <v>21152</v>
      </c>
      <c r="I692" s="34" t="s">
        <v>817</v>
      </c>
      <c r="J692" s="35">
        <v>46227</v>
      </c>
      <c r="K692" s="36" t="s">
        <v>42</v>
      </c>
      <c r="L692" s="39" t="str">
        <f>VLOOKUP(Tabla81015[[#This Row],[CODIGO DEL PRODUCTO]],Tabla797[],2,FALSE)</f>
        <v>ARENA FINA</v>
      </c>
      <c r="M692" s="37">
        <v>7</v>
      </c>
      <c r="N692" s="158"/>
      <c r="O692" s="76">
        <v>155552</v>
      </c>
      <c r="P692" s="76" t="s">
        <v>679</v>
      </c>
      <c r="Q692" s="77">
        <v>46121</v>
      </c>
      <c r="R692" s="78" t="s">
        <v>43</v>
      </c>
      <c r="S692" s="36" t="str">
        <f>VLOOKUP(Tabla91116[[#This Row],[CODIGO DEL PRODUCTO]],Tabla797[],2,FALSE)</f>
        <v>PIEDRA 6-20</v>
      </c>
      <c r="T692" s="37">
        <v>35.56</v>
      </c>
    </row>
    <row r="693" spans="8:21" x14ac:dyDescent="0.25">
      <c r="H693" s="34">
        <v>21155</v>
      </c>
      <c r="I693" s="34" t="s">
        <v>830</v>
      </c>
      <c r="J693" s="35">
        <v>46227</v>
      </c>
      <c r="K693" s="36" t="s">
        <v>43</v>
      </c>
      <c r="L693" s="39" t="str">
        <f>VLOOKUP(Tabla81015[[#This Row],[CODIGO DEL PRODUCTO]],Tabla797[],2,FALSE)</f>
        <v>PIEDRA 6-20</v>
      </c>
      <c r="M693" s="37">
        <v>1</v>
      </c>
      <c r="N693" s="158"/>
      <c r="O693" s="76">
        <v>155596</v>
      </c>
      <c r="P693" s="76" t="s">
        <v>679</v>
      </c>
      <c r="Q693" s="77">
        <v>46121</v>
      </c>
      <c r="R693" s="78" t="s">
        <v>43</v>
      </c>
      <c r="S693" s="36" t="str">
        <f>VLOOKUP(Tabla91116[[#This Row],[CODIGO DEL PRODUCTO]],Tabla797[],2,FALSE)</f>
        <v>PIEDRA 6-20</v>
      </c>
      <c r="T693" s="37">
        <v>35.64</v>
      </c>
    </row>
    <row r="694" spans="8:21" x14ac:dyDescent="0.25">
      <c r="H694" s="34">
        <v>21186</v>
      </c>
      <c r="I694" s="34" t="s">
        <v>819</v>
      </c>
      <c r="J694" s="35">
        <v>46230</v>
      </c>
      <c r="K694" s="36" t="s">
        <v>42</v>
      </c>
      <c r="L694" s="39" t="str">
        <f>VLOOKUP(Tabla81015[[#This Row],[CODIGO DEL PRODUCTO]],Tabla797[],2,FALSE)</f>
        <v>ARENA FINA</v>
      </c>
      <c r="M694" s="37">
        <v>5</v>
      </c>
      <c r="N694" s="158"/>
      <c r="O694" s="76">
        <v>155598</v>
      </c>
      <c r="P694" s="76" t="s">
        <v>679</v>
      </c>
      <c r="Q694" s="77">
        <v>46121</v>
      </c>
      <c r="R694" s="78" t="s">
        <v>43</v>
      </c>
      <c r="S694" s="36" t="str">
        <f>VLOOKUP(Tabla91116[[#This Row],[CODIGO DEL PRODUCTO]],Tabla797[],2,FALSE)</f>
        <v>PIEDRA 6-20</v>
      </c>
      <c r="T694" s="37">
        <v>35.659999999999997</v>
      </c>
    </row>
    <row r="695" spans="8:21" x14ac:dyDescent="0.25">
      <c r="H695" s="34">
        <v>21188</v>
      </c>
      <c r="I695" s="34" t="s">
        <v>794</v>
      </c>
      <c r="J695" s="35">
        <v>46230</v>
      </c>
      <c r="K695" s="36" t="s">
        <v>42</v>
      </c>
      <c r="L695" s="39" t="str">
        <f>VLOOKUP(Tabla81015[[#This Row],[CODIGO DEL PRODUCTO]],Tabla797[],2,FALSE)</f>
        <v>ARENA FINA</v>
      </c>
      <c r="M695" s="37">
        <v>3</v>
      </c>
      <c r="N695" s="158"/>
      <c r="O695" s="76">
        <v>2700745</v>
      </c>
      <c r="P695" s="76" t="s">
        <v>679</v>
      </c>
      <c r="Q695" s="77">
        <v>46121</v>
      </c>
      <c r="R695" s="78" t="s">
        <v>286</v>
      </c>
      <c r="S695" s="36" t="str">
        <f>VLOOKUP(Tabla91116[[#This Row],[CODIGO DEL PRODUCTO]],Tabla797[],2,FALSE)</f>
        <v>CPF 40 AVELLANEDA</v>
      </c>
      <c r="T695" s="37">
        <v>36.04</v>
      </c>
    </row>
    <row r="696" spans="8:21" x14ac:dyDescent="0.25">
      <c r="H696" s="34"/>
      <c r="I696" s="34" t="s">
        <v>794</v>
      </c>
      <c r="J696" s="35">
        <v>46230</v>
      </c>
      <c r="K696" s="36" t="s">
        <v>43</v>
      </c>
      <c r="L696" s="39" t="str">
        <f>VLOOKUP(Tabla81015[[#This Row],[CODIGO DEL PRODUCTO]],Tabla797[],2,FALSE)</f>
        <v>PIEDRA 6-20</v>
      </c>
      <c r="M696" s="37">
        <v>1</v>
      </c>
      <c r="N696" s="158"/>
      <c r="O696" s="76">
        <v>103950</v>
      </c>
      <c r="P696" s="76" t="s">
        <v>683</v>
      </c>
      <c r="Q696" s="77">
        <v>46122</v>
      </c>
      <c r="R696" s="78" t="s">
        <v>42</v>
      </c>
      <c r="S696" s="36" t="str">
        <f>VLOOKUP(Tabla91116[[#This Row],[CODIGO DEL PRODUCTO]],Tabla797[],2,FALSE)</f>
        <v>ARENA FINA</v>
      </c>
      <c r="T696" s="37">
        <v>37.4</v>
      </c>
    </row>
    <row r="697" spans="8:21" x14ac:dyDescent="0.25">
      <c r="H697" s="34">
        <v>21212</v>
      </c>
      <c r="I697" s="34" t="s">
        <v>817</v>
      </c>
      <c r="J697" s="35">
        <v>46230</v>
      </c>
      <c r="K697" s="36" t="s">
        <v>43</v>
      </c>
      <c r="L697" s="39" t="str">
        <f>VLOOKUP(Tabla81015[[#This Row],[CODIGO DEL PRODUCTO]],Tabla797[],2,FALSE)</f>
        <v>PIEDRA 6-20</v>
      </c>
      <c r="M697" s="37">
        <v>3</v>
      </c>
      <c r="N697" s="158"/>
      <c r="O697" s="76">
        <v>103959</v>
      </c>
      <c r="P697" s="76" t="s">
        <v>683</v>
      </c>
      <c r="Q697" s="77">
        <v>46122</v>
      </c>
      <c r="R697" s="78" t="s">
        <v>42</v>
      </c>
      <c r="S697" s="36" t="str">
        <f>VLOOKUP(Tabla91116[[#This Row],[CODIGO DEL PRODUCTO]],Tabla797[],2,FALSE)</f>
        <v>ARENA FINA</v>
      </c>
      <c r="T697" s="37">
        <v>37.32</v>
      </c>
    </row>
    <row r="698" spans="8:21" x14ac:dyDescent="0.25">
      <c r="H698" s="34">
        <v>21234</v>
      </c>
      <c r="I698" s="34" t="s">
        <v>474</v>
      </c>
      <c r="J698" s="35">
        <v>46231</v>
      </c>
      <c r="K698" s="36" t="s">
        <v>42</v>
      </c>
      <c r="L698" s="39" t="str">
        <f>VLOOKUP(Tabla81015[[#This Row],[CODIGO DEL PRODUCTO]],Tabla797[],2,FALSE)</f>
        <v>ARENA FINA</v>
      </c>
      <c r="M698" s="37">
        <v>21.94</v>
      </c>
      <c r="N698" s="158"/>
      <c r="O698" s="76">
        <v>103960</v>
      </c>
      <c r="P698" s="76" t="s">
        <v>683</v>
      </c>
      <c r="Q698" s="77">
        <v>46122</v>
      </c>
      <c r="R698" s="78" t="s">
        <v>42</v>
      </c>
      <c r="S698" s="36" t="str">
        <f>VLOOKUP(Tabla91116[[#This Row],[CODIGO DEL PRODUCTO]],Tabla797[],2,FALSE)</f>
        <v>ARENA FINA</v>
      </c>
      <c r="T698" s="37">
        <v>35.74</v>
      </c>
    </row>
    <row r="699" spans="8:21" x14ac:dyDescent="0.25">
      <c r="H699" s="34">
        <v>21241</v>
      </c>
      <c r="I699" s="34" t="s">
        <v>474</v>
      </c>
      <c r="J699" s="35">
        <v>46231</v>
      </c>
      <c r="K699" s="36" t="s">
        <v>42</v>
      </c>
      <c r="L699" s="39" t="str">
        <f>VLOOKUP(Tabla81015[[#This Row],[CODIGO DEL PRODUCTO]],Tabla797[],2,FALSE)</f>
        <v>ARENA FINA</v>
      </c>
      <c r="M699" s="37">
        <v>22.38</v>
      </c>
      <c r="N699" s="158"/>
      <c r="O699" s="76">
        <v>103951</v>
      </c>
      <c r="P699" s="76" t="s">
        <v>683</v>
      </c>
      <c r="Q699" s="77">
        <v>46122</v>
      </c>
      <c r="R699" s="78" t="s">
        <v>42</v>
      </c>
      <c r="S699" s="36" t="str">
        <f>VLOOKUP(Tabla91116[[#This Row],[CODIGO DEL PRODUCTO]],Tabla797[],2,FALSE)</f>
        <v>ARENA FINA</v>
      </c>
      <c r="T699" s="37">
        <v>33.64</v>
      </c>
    </row>
    <row r="700" spans="8:21" x14ac:dyDescent="0.25">
      <c r="H700" s="34">
        <v>21228</v>
      </c>
      <c r="I700" s="34" t="s">
        <v>825</v>
      </c>
      <c r="J700" s="35">
        <v>46231</v>
      </c>
      <c r="K700" s="36" t="s">
        <v>42</v>
      </c>
      <c r="L700" s="39" t="str">
        <f>VLOOKUP(Tabla81015[[#This Row],[CODIGO DEL PRODUCTO]],Tabla797[],2,FALSE)</f>
        <v>ARENA FINA</v>
      </c>
      <c r="M700" s="37">
        <v>7</v>
      </c>
      <c r="N700" s="158"/>
      <c r="O700" s="76">
        <v>108715</v>
      </c>
      <c r="P700" s="76" t="s">
        <v>684</v>
      </c>
      <c r="Q700" s="77">
        <v>46122</v>
      </c>
      <c r="R700" s="78" t="s">
        <v>40</v>
      </c>
      <c r="S700" s="36" t="str">
        <f>VLOOKUP(Tabla91116[[#This Row],[CODIGO DEL PRODUCTO]],Tabla797[],2,FALSE)</f>
        <v>PIEDRA 0-6</v>
      </c>
      <c r="T700" s="37">
        <v>35.18</v>
      </c>
    </row>
    <row r="701" spans="8:21" x14ac:dyDescent="0.25">
      <c r="H701" s="34">
        <v>21256</v>
      </c>
      <c r="I701" s="34" t="s">
        <v>833</v>
      </c>
      <c r="J701" s="35">
        <v>46232</v>
      </c>
      <c r="K701" s="36" t="s">
        <v>42</v>
      </c>
      <c r="L701" s="39" t="str">
        <f>VLOOKUP(Tabla81015[[#This Row],[CODIGO DEL PRODUCTO]],Tabla797[],2,FALSE)</f>
        <v>ARENA FINA</v>
      </c>
      <c r="M701" s="37">
        <v>3</v>
      </c>
      <c r="N701" s="158"/>
      <c r="O701" s="76">
        <v>108716</v>
      </c>
      <c r="P701" s="76" t="s">
        <v>684</v>
      </c>
      <c r="Q701" s="77">
        <v>46122</v>
      </c>
      <c r="R701" s="78" t="s">
        <v>43</v>
      </c>
      <c r="S701" s="36" t="str">
        <f>VLOOKUP(Tabla91116[[#This Row],[CODIGO DEL PRODUCTO]],Tabla797[],2,FALSE)</f>
        <v>PIEDRA 6-20</v>
      </c>
      <c r="T701" s="37">
        <v>35</v>
      </c>
    </row>
    <row r="702" spans="8:21" x14ac:dyDescent="0.25">
      <c r="H702" s="34"/>
      <c r="I702" s="34" t="s">
        <v>833</v>
      </c>
      <c r="J702" s="35">
        <v>46232</v>
      </c>
      <c r="K702" s="36" t="s">
        <v>43</v>
      </c>
      <c r="L702" s="39" t="str">
        <f>VLOOKUP(Tabla81015[[#This Row],[CODIGO DEL PRODUCTO]],Tabla797[],2,FALSE)</f>
        <v>PIEDRA 6-20</v>
      </c>
      <c r="M702" s="37">
        <v>3</v>
      </c>
      <c r="N702" s="158"/>
      <c r="O702" s="76">
        <v>155653</v>
      </c>
      <c r="P702" s="76" t="s">
        <v>679</v>
      </c>
      <c r="Q702" s="77">
        <v>46122</v>
      </c>
      <c r="R702" s="78" t="s">
        <v>43</v>
      </c>
      <c r="S702" s="36" t="str">
        <f>VLOOKUP(Tabla91116[[#This Row],[CODIGO DEL PRODUCTO]],Tabla797[],2,FALSE)</f>
        <v>PIEDRA 6-20</v>
      </c>
      <c r="T702" s="37">
        <v>35.04</v>
      </c>
    </row>
    <row r="703" spans="8:21" x14ac:dyDescent="0.25">
      <c r="H703" s="34">
        <v>21275</v>
      </c>
      <c r="I703" s="34" t="s">
        <v>495</v>
      </c>
      <c r="J703" s="35">
        <v>46232</v>
      </c>
      <c r="K703" s="36" t="s">
        <v>42</v>
      </c>
      <c r="L703" s="39" t="str">
        <f>VLOOKUP(Tabla81015[[#This Row],[CODIGO DEL PRODUCTO]],Tabla797[],2,FALSE)</f>
        <v>ARENA FINA</v>
      </c>
      <c r="M703" s="37">
        <v>21.54</v>
      </c>
      <c r="N703" s="158"/>
      <c r="O703" s="76">
        <v>155627</v>
      </c>
      <c r="P703" s="76" t="s">
        <v>679</v>
      </c>
      <c r="Q703" s="77">
        <v>46122</v>
      </c>
      <c r="R703" s="78" t="s">
        <v>43</v>
      </c>
      <c r="S703" s="36" t="str">
        <f>VLOOKUP(Tabla91116[[#This Row],[CODIGO DEL PRODUCTO]],Tabla797[],2,FALSE)</f>
        <v>PIEDRA 6-20</v>
      </c>
      <c r="T703" s="37">
        <v>36.020000000000003</v>
      </c>
      <c r="U703" s="7"/>
    </row>
    <row r="704" spans="8:21" x14ac:dyDescent="0.25">
      <c r="H704" s="34">
        <v>21290</v>
      </c>
      <c r="I704" s="34" t="s">
        <v>474</v>
      </c>
      <c r="J704" s="35">
        <v>46233</v>
      </c>
      <c r="K704" s="36" t="s">
        <v>43</v>
      </c>
      <c r="L704" s="39" t="str">
        <f>VLOOKUP(Tabla81015[[#This Row],[CODIGO DEL PRODUCTO]],Tabla797[],2,FALSE)</f>
        <v>PIEDRA 6-20</v>
      </c>
      <c r="M704" s="37">
        <v>2</v>
      </c>
      <c r="N704" s="158"/>
      <c r="O704" s="76">
        <v>155649</v>
      </c>
      <c r="P704" s="78" t="s">
        <v>679</v>
      </c>
      <c r="Q704" s="77">
        <v>46122</v>
      </c>
      <c r="R704" s="78" t="s">
        <v>43</v>
      </c>
      <c r="S704" s="36" t="str">
        <f>VLOOKUP(Tabla91116[[#This Row],[CODIGO DEL PRODUCTO]],Tabla797[],2,FALSE)</f>
        <v>PIEDRA 6-20</v>
      </c>
      <c r="T704" s="37">
        <v>35.119999999999997</v>
      </c>
    </row>
    <row r="705" spans="8:23" x14ac:dyDescent="0.25">
      <c r="H705" s="34"/>
      <c r="I705" s="34" t="s">
        <v>474</v>
      </c>
      <c r="J705" s="35">
        <v>46233</v>
      </c>
      <c r="K705" s="36" t="s">
        <v>42</v>
      </c>
      <c r="L705" s="39" t="str">
        <f>VLOOKUP(Tabla81015[[#This Row],[CODIGO DEL PRODUCTO]],Tabla797[],2,FALSE)</f>
        <v>ARENA FINA</v>
      </c>
      <c r="M705" s="37">
        <v>3</v>
      </c>
      <c r="N705" s="158"/>
      <c r="O705" s="76">
        <v>155660</v>
      </c>
      <c r="P705" s="78" t="s">
        <v>679</v>
      </c>
      <c r="Q705" s="77">
        <v>46122</v>
      </c>
      <c r="R705" s="78" t="s">
        <v>43</v>
      </c>
      <c r="S705" s="36" t="str">
        <f>VLOOKUP(Tabla91116[[#This Row],[CODIGO DEL PRODUCTO]],Tabla797[],2,FALSE)</f>
        <v>PIEDRA 6-20</v>
      </c>
      <c r="T705" s="37">
        <v>35.659999999999997</v>
      </c>
    </row>
    <row r="706" spans="8:23" x14ac:dyDescent="0.25">
      <c r="H706" s="34">
        <v>21321</v>
      </c>
      <c r="I706" s="34" t="s">
        <v>794</v>
      </c>
      <c r="J706" s="35">
        <v>46234</v>
      </c>
      <c r="K706" s="36" t="s">
        <v>42</v>
      </c>
      <c r="L706" s="39" t="str">
        <f>VLOOKUP(Tabla81015[[#This Row],[CODIGO DEL PRODUCTO]],Tabla797[],2,FALSE)</f>
        <v>ARENA FINA</v>
      </c>
      <c r="M706" s="37">
        <v>4</v>
      </c>
      <c r="N706" s="158"/>
      <c r="O706" s="76">
        <v>155674</v>
      </c>
      <c r="P706" s="78" t="s">
        <v>679</v>
      </c>
      <c r="Q706" s="77">
        <v>46122</v>
      </c>
      <c r="R706" s="78" t="s">
        <v>43</v>
      </c>
      <c r="S706" s="36" t="str">
        <f>VLOOKUP(Tabla91116[[#This Row],[CODIGO DEL PRODUCTO]],Tabla797[],2,FALSE)</f>
        <v>PIEDRA 6-20</v>
      </c>
      <c r="T706" s="37">
        <v>35.5</v>
      </c>
    </row>
    <row r="707" spans="8:23" x14ac:dyDescent="0.25">
      <c r="H707" s="34">
        <v>21350</v>
      </c>
      <c r="I707" s="34" t="s">
        <v>834</v>
      </c>
      <c r="J707" s="35">
        <v>46235</v>
      </c>
      <c r="K707" s="36" t="s">
        <v>42</v>
      </c>
      <c r="L707" s="39" t="str">
        <f>VLOOKUP(Tabla81015[[#This Row],[CODIGO DEL PRODUCTO]],Tabla797[],2,FALSE)</f>
        <v>ARENA FINA</v>
      </c>
      <c r="M707" s="37">
        <v>1</v>
      </c>
      <c r="N707" s="158"/>
      <c r="O707" s="76">
        <v>2700955</v>
      </c>
      <c r="P707" s="78" t="s">
        <v>679</v>
      </c>
      <c r="Q707" s="77">
        <v>46122</v>
      </c>
      <c r="R707" s="78" t="s">
        <v>286</v>
      </c>
      <c r="S707" s="36" t="str">
        <f>VLOOKUP(Tabla91116[[#This Row],[CODIGO DEL PRODUCTO]],Tabla797[],2,FALSE)</f>
        <v>CPF 40 AVELLANEDA</v>
      </c>
      <c r="T707" s="37">
        <v>36.04</v>
      </c>
      <c r="U707" s="7"/>
    </row>
    <row r="708" spans="8:23" x14ac:dyDescent="0.25">
      <c r="H708" s="34">
        <v>21352</v>
      </c>
      <c r="I708" s="34" t="s">
        <v>794</v>
      </c>
      <c r="J708" s="35">
        <v>46237</v>
      </c>
      <c r="K708" s="36" t="s">
        <v>42</v>
      </c>
      <c r="L708" s="39" t="str">
        <f>VLOOKUP(Tabla81015[[#This Row],[CODIGO DEL PRODUCTO]],Tabla797[],2,FALSE)</f>
        <v>ARENA FINA</v>
      </c>
      <c r="M708" s="37">
        <v>2</v>
      </c>
      <c r="N708" s="158"/>
      <c r="O708" s="76">
        <v>108738</v>
      </c>
      <c r="P708" s="78" t="s">
        <v>684</v>
      </c>
      <c r="Q708" s="77">
        <v>46123</v>
      </c>
      <c r="R708" s="78" t="s">
        <v>43</v>
      </c>
      <c r="S708" s="36" t="str">
        <f>VLOOKUP(Tabla91116[[#This Row],[CODIGO DEL PRODUCTO]],Tabla797[],2,FALSE)</f>
        <v>PIEDRA 6-20</v>
      </c>
      <c r="T708" s="37">
        <v>35.619999999999997</v>
      </c>
    </row>
    <row r="709" spans="8:23" x14ac:dyDescent="0.25">
      <c r="H709" s="34">
        <v>21353</v>
      </c>
      <c r="I709" s="34" t="s">
        <v>806</v>
      </c>
      <c r="J709" s="35">
        <v>46237</v>
      </c>
      <c r="K709" s="36" t="s">
        <v>42</v>
      </c>
      <c r="L709" s="39" t="str">
        <f>VLOOKUP(Tabla81015[[#This Row],[CODIGO DEL PRODUCTO]],Tabla797[],2,FALSE)</f>
        <v>ARENA FINA</v>
      </c>
      <c r="M709" s="37">
        <v>2</v>
      </c>
      <c r="N709" s="158"/>
      <c r="O709" s="76">
        <v>108739</v>
      </c>
      <c r="P709" s="78" t="s">
        <v>684</v>
      </c>
      <c r="Q709" s="77">
        <v>46123</v>
      </c>
      <c r="R709" s="78" t="s">
        <v>43</v>
      </c>
      <c r="S709" s="36" t="str">
        <f>VLOOKUP(Tabla91116[[#This Row],[CODIGO DEL PRODUCTO]],Tabla797[],2,FALSE)</f>
        <v>PIEDRA 6-20</v>
      </c>
      <c r="T709" s="37">
        <v>35.6</v>
      </c>
    </row>
    <row r="710" spans="8:23" x14ac:dyDescent="0.25">
      <c r="H710" s="34"/>
      <c r="I710" s="34" t="s">
        <v>806</v>
      </c>
      <c r="J710" s="35">
        <v>46237</v>
      </c>
      <c r="K710" s="36" t="s">
        <v>43</v>
      </c>
      <c r="L710" s="39" t="str">
        <f>VLOOKUP(Tabla81015[[#This Row],[CODIGO DEL PRODUCTO]],Tabla797[],2,FALSE)</f>
        <v>PIEDRA 6-20</v>
      </c>
      <c r="M710" s="37">
        <v>2</v>
      </c>
      <c r="N710" s="158"/>
      <c r="O710" s="76">
        <v>108740</v>
      </c>
      <c r="P710" s="78" t="s">
        <v>684</v>
      </c>
      <c r="Q710" s="77">
        <v>46123</v>
      </c>
      <c r="R710" s="78" t="s">
        <v>43</v>
      </c>
      <c r="S710" s="36" t="str">
        <f>VLOOKUP(Tabla91116[[#This Row],[CODIGO DEL PRODUCTO]],Tabla797[],2,FALSE)</f>
        <v>PIEDRA 6-20</v>
      </c>
      <c r="T710" s="37">
        <v>34.28</v>
      </c>
    </row>
    <row r="711" spans="8:23" x14ac:dyDescent="0.25">
      <c r="H711" s="34">
        <v>2278</v>
      </c>
      <c r="I711" s="34" t="s">
        <v>835</v>
      </c>
      <c r="J711" s="35">
        <v>46238</v>
      </c>
      <c r="K711" s="36" t="s">
        <v>46</v>
      </c>
      <c r="L711" s="39" t="str">
        <f>VLOOKUP(Tabla81015[[#This Row],[CODIGO DEL PRODUCTO]],Tabla797[],2,FALSE)</f>
        <v>PIEDRA 10-30</v>
      </c>
      <c r="M711" s="37">
        <v>31.42</v>
      </c>
      <c r="N711" s="158"/>
      <c r="O711" s="76">
        <v>108741</v>
      </c>
      <c r="P711" s="78" t="s">
        <v>684</v>
      </c>
      <c r="Q711" s="77">
        <v>46123</v>
      </c>
      <c r="R711" s="78" t="s">
        <v>40</v>
      </c>
      <c r="S711" s="36" t="str">
        <f>VLOOKUP(Tabla91116[[#This Row],[CODIGO DEL PRODUCTO]],Tabla797[],2,FALSE)</f>
        <v>PIEDRA 0-6</v>
      </c>
      <c r="T711" s="37">
        <v>34.659999999999997</v>
      </c>
    </row>
    <row r="712" spans="8:23" x14ac:dyDescent="0.25">
      <c r="H712" s="34">
        <v>2279</v>
      </c>
      <c r="I712" s="34" t="s">
        <v>835</v>
      </c>
      <c r="J712" s="35">
        <v>46238</v>
      </c>
      <c r="K712" s="36" t="s">
        <v>46</v>
      </c>
      <c r="L712" s="39" t="str">
        <f>VLOOKUP(Tabla81015[[#This Row],[CODIGO DEL PRODUCTO]],Tabla797[],2,FALSE)</f>
        <v>PIEDRA 10-30</v>
      </c>
      <c r="M712" s="37">
        <v>31.88</v>
      </c>
      <c r="N712" s="158"/>
      <c r="O712" s="76">
        <v>2701053</v>
      </c>
      <c r="P712" s="78" t="s">
        <v>679</v>
      </c>
      <c r="Q712" s="77">
        <v>46123</v>
      </c>
      <c r="R712" s="78" t="s">
        <v>286</v>
      </c>
      <c r="S712" s="36" t="str">
        <f>VLOOKUP(Tabla91116[[#This Row],[CODIGO DEL PRODUCTO]],Tabla797[],2,FALSE)</f>
        <v>CPF 40 AVELLANEDA</v>
      </c>
      <c r="T712" s="37">
        <v>35.64</v>
      </c>
    </row>
    <row r="713" spans="8:23" x14ac:dyDescent="0.25">
      <c r="H713" s="34">
        <v>21366</v>
      </c>
      <c r="I713" s="34" t="s">
        <v>426</v>
      </c>
      <c r="J713" s="35">
        <v>46238</v>
      </c>
      <c r="K713" s="36" t="s">
        <v>42</v>
      </c>
      <c r="L713" s="39" t="str">
        <f>VLOOKUP(Tabla81015[[#This Row],[CODIGO DEL PRODUCTO]],Tabla797[],2,FALSE)</f>
        <v>ARENA FINA</v>
      </c>
      <c r="M713" s="37">
        <v>1</v>
      </c>
      <c r="N713" s="158"/>
      <c r="O713" s="76">
        <v>103967</v>
      </c>
      <c r="P713" s="78" t="s">
        <v>683</v>
      </c>
      <c r="Q713" s="77">
        <v>46125</v>
      </c>
      <c r="R713" s="78" t="s">
        <v>42</v>
      </c>
      <c r="S713" s="36" t="str">
        <f>VLOOKUP(Tabla91116[[#This Row],[CODIGO DEL PRODUCTO]],Tabla797[],2,FALSE)</f>
        <v>ARENA FINA</v>
      </c>
      <c r="T713" s="37">
        <v>35.6</v>
      </c>
      <c r="U713" s="7">
        <v>46125</v>
      </c>
      <c r="V713" t="s">
        <v>783</v>
      </c>
      <c r="W713" t="s">
        <v>784</v>
      </c>
    </row>
    <row r="714" spans="8:23" x14ac:dyDescent="0.25">
      <c r="H714" s="34"/>
      <c r="I714" s="34" t="s">
        <v>513</v>
      </c>
      <c r="J714" s="35">
        <v>46238</v>
      </c>
      <c r="K714" s="36" t="s">
        <v>43</v>
      </c>
      <c r="L714" s="39" t="str">
        <f>VLOOKUP(Tabla81015[[#This Row],[CODIGO DEL PRODUCTO]],Tabla797[],2,FALSE)</f>
        <v>PIEDRA 6-20</v>
      </c>
      <c r="M714" s="37">
        <v>1</v>
      </c>
      <c r="N714" s="158"/>
      <c r="O714" s="76">
        <v>103974</v>
      </c>
      <c r="P714" s="78" t="s">
        <v>683</v>
      </c>
      <c r="Q714" s="77">
        <v>46125</v>
      </c>
      <c r="R714" s="78" t="s">
        <v>42</v>
      </c>
      <c r="S714" s="36" t="str">
        <f>VLOOKUP(Tabla91116[[#This Row],[CODIGO DEL PRODUCTO]],Tabla797[],2,FALSE)</f>
        <v>ARENA FINA</v>
      </c>
      <c r="T714" s="37">
        <v>35.479999999999997</v>
      </c>
    </row>
    <row r="715" spans="8:23" x14ac:dyDescent="0.25">
      <c r="H715" s="34">
        <v>2281</v>
      </c>
      <c r="I715" s="34" t="s">
        <v>835</v>
      </c>
      <c r="J715" s="35">
        <v>46239</v>
      </c>
      <c r="K715" s="36" t="s">
        <v>46</v>
      </c>
      <c r="L715" s="39" t="str">
        <f>VLOOKUP(Tabla81015[[#This Row],[CODIGO DEL PRODUCTO]],Tabla797[],2,FALSE)</f>
        <v>PIEDRA 10-30</v>
      </c>
      <c r="M715" s="37">
        <v>30.88</v>
      </c>
      <c r="N715" s="158"/>
      <c r="O715" s="76">
        <v>108770</v>
      </c>
      <c r="P715" s="78" t="s">
        <v>684</v>
      </c>
      <c r="Q715" s="77">
        <v>46125</v>
      </c>
      <c r="R715" s="78" t="s">
        <v>40</v>
      </c>
      <c r="S715" s="36" t="str">
        <f>VLOOKUP(Tabla91116[[#This Row],[CODIGO DEL PRODUCTO]],Tabla797[],2,FALSE)</f>
        <v>PIEDRA 0-6</v>
      </c>
      <c r="T715" s="37">
        <v>35.56</v>
      </c>
    </row>
    <row r="716" spans="8:23" x14ac:dyDescent="0.25">
      <c r="H716" s="34">
        <v>2282</v>
      </c>
      <c r="I716" s="34" t="s">
        <v>835</v>
      </c>
      <c r="J716" s="35">
        <v>46239</v>
      </c>
      <c r="K716" s="36" t="s">
        <v>46</v>
      </c>
      <c r="L716" s="39" t="str">
        <f>VLOOKUP(Tabla81015[[#This Row],[CODIGO DEL PRODUCTO]],Tabla797[],2,FALSE)</f>
        <v>PIEDRA 10-30</v>
      </c>
      <c r="M716" s="37">
        <v>31.62</v>
      </c>
      <c r="N716" s="158"/>
      <c r="O716" s="76">
        <v>108774</v>
      </c>
      <c r="P716" s="78" t="s">
        <v>684</v>
      </c>
      <c r="Q716" s="77">
        <v>46125</v>
      </c>
      <c r="R716" s="78" t="s">
        <v>40</v>
      </c>
      <c r="S716" s="36" t="str">
        <f>VLOOKUP(Tabla91116[[#This Row],[CODIGO DEL PRODUCTO]],Tabla797[],2,FALSE)</f>
        <v>PIEDRA 0-6</v>
      </c>
      <c r="T716" s="37">
        <v>35.520000000000003</v>
      </c>
    </row>
    <row r="717" spans="8:23" x14ac:dyDescent="0.25">
      <c r="H717" s="34"/>
      <c r="I717" s="34"/>
      <c r="J717" s="35"/>
      <c r="K717" s="36"/>
      <c r="L717" s="39" t="e">
        <f>VLOOKUP(Tabla81015[[#This Row],[CODIGO DEL PRODUCTO]],Tabla797[],2,FALSE)</f>
        <v>#N/A</v>
      </c>
      <c r="M717" s="37"/>
      <c r="N717" s="158"/>
      <c r="O717" s="76">
        <v>155781</v>
      </c>
      <c r="P717" s="78" t="s">
        <v>679</v>
      </c>
      <c r="Q717" s="77">
        <v>46125</v>
      </c>
      <c r="R717" s="78" t="s">
        <v>43</v>
      </c>
      <c r="S717" s="36" t="str">
        <f>VLOOKUP(Tabla91116[[#This Row],[CODIGO DEL PRODUCTO]],Tabla797[],2,FALSE)</f>
        <v>PIEDRA 6-20</v>
      </c>
      <c r="T717" s="37">
        <v>35.54</v>
      </c>
    </row>
    <row r="718" spans="8:23" x14ac:dyDescent="0.25">
      <c r="H718" s="34"/>
      <c r="I718" s="34"/>
      <c r="J718" s="35"/>
      <c r="K718" s="36"/>
      <c r="L718" s="39" t="e">
        <f>VLOOKUP(Tabla81015[[#This Row],[CODIGO DEL PRODUCTO]],Tabla797[],2,FALSE)</f>
        <v>#N/A</v>
      </c>
      <c r="M718" s="37"/>
      <c r="N718" s="158"/>
      <c r="O718" s="76">
        <v>155783</v>
      </c>
      <c r="P718" s="78" t="s">
        <v>679</v>
      </c>
      <c r="Q718" s="77">
        <v>46125</v>
      </c>
      <c r="R718" s="78" t="s">
        <v>43</v>
      </c>
      <c r="S718" s="36" t="str">
        <f>VLOOKUP(Tabla91116[[#This Row],[CODIGO DEL PRODUCTO]],Tabla797[],2,FALSE)</f>
        <v>PIEDRA 6-20</v>
      </c>
      <c r="T718" s="37">
        <v>34.700000000000003</v>
      </c>
    </row>
    <row r="719" spans="8:23" x14ac:dyDescent="0.25">
      <c r="H719" s="34"/>
      <c r="I719" s="34"/>
      <c r="J719" s="35"/>
      <c r="K719" s="36"/>
      <c r="L719" s="39" t="e">
        <f>VLOOKUP(Tabla81015[[#This Row],[CODIGO DEL PRODUCTO]],Tabla797[],2,FALSE)</f>
        <v>#N/A</v>
      </c>
      <c r="M719" s="37"/>
      <c r="N719" s="158"/>
      <c r="O719" s="76">
        <v>2701397</v>
      </c>
      <c r="P719" s="78" t="s">
        <v>679</v>
      </c>
      <c r="Q719" s="77">
        <v>46125</v>
      </c>
      <c r="R719" s="78" t="s">
        <v>286</v>
      </c>
      <c r="S719" s="36" t="str">
        <f>VLOOKUP(Tabla91116[[#This Row],[CODIGO DEL PRODUCTO]],Tabla797[],2,FALSE)</f>
        <v>CPF 40 AVELLANEDA</v>
      </c>
      <c r="T719" s="37">
        <v>35.840000000000003</v>
      </c>
    </row>
    <row r="720" spans="8:23" x14ac:dyDescent="0.25">
      <c r="H720" s="34"/>
      <c r="I720" s="34"/>
      <c r="J720" s="35"/>
      <c r="K720" s="36"/>
      <c r="L720" s="39" t="e">
        <f>VLOOKUP(Tabla81015[[#This Row],[CODIGO DEL PRODUCTO]],Tabla797[],2,FALSE)</f>
        <v>#N/A</v>
      </c>
      <c r="M720" s="37"/>
      <c r="N720" s="158"/>
      <c r="O720" s="76">
        <v>2701410</v>
      </c>
      <c r="P720" s="78" t="s">
        <v>679</v>
      </c>
      <c r="Q720" s="77">
        <v>46125</v>
      </c>
      <c r="R720" s="78" t="s">
        <v>286</v>
      </c>
      <c r="S720" s="36" t="str">
        <f>VLOOKUP(Tabla91116[[#This Row],[CODIGO DEL PRODUCTO]],Tabla797[],2,FALSE)</f>
        <v>CPF 40 AVELLANEDA</v>
      </c>
      <c r="T720" s="37">
        <v>36.200000000000003</v>
      </c>
    </row>
    <row r="721" spans="8:23" x14ac:dyDescent="0.25">
      <c r="H721" s="34"/>
      <c r="I721" s="34"/>
      <c r="J721" s="35"/>
      <c r="K721" s="36"/>
      <c r="L721" s="39" t="e">
        <f>VLOOKUP(Tabla81015[[#This Row],[CODIGO DEL PRODUCTO]],Tabla797[],2,FALSE)</f>
        <v>#N/A</v>
      </c>
      <c r="M721" s="37"/>
      <c r="N721" s="158"/>
      <c r="O721" s="76">
        <v>103980</v>
      </c>
      <c r="P721" s="78" t="s">
        <v>683</v>
      </c>
      <c r="Q721" s="77">
        <v>46126</v>
      </c>
      <c r="R721" s="78" t="s">
        <v>42</v>
      </c>
      <c r="S721" s="36" t="str">
        <f>VLOOKUP(Tabla91116[[#This Row],[CODIGO DEL PRODUCTO]],Tabla797[],2,FALSE)</f>
        <v>ARENA FINA</v>
      </c>
      <c r="T721" s="37">
        <v>36.56</v>
      </c>
      <c r="U721" s="7">
        <v>46126</v>
      </c>
      <c r="V721" t="s">
        <v>785</v>
      </c>
      <c r="W721" t="s">
        <v>786</v>
      </c>
    </row>
    <row r="722" spans="8:23" x14ac:dyDescent="0.25">
      <c r="H722" s="34"/>
      <c r="I722" s="34"/>
      <c r="J722" s="35"/>
      <c r="K722" s="36"/>
      <c r="L722" s="39" t="e">
        <f>VLOOKUP(Tabla81015[[#This Row],[CODIGO DEL PRODUCTO]],Tabla797[],2,FALSE)</f>
        <v>#N/A</v>
      </c>
      <c r="M722" s="37"/>
      <c r="N722" s="158"/>
      <c r="O722" s="76">
        <v>103981</v>
      </c>
      <c r="P722" s="78" t="s">
        <v>683</v>
      </c>
      <c r="Q722" s="77">
        <v>46126</v>
      </c>
      <c r="R722" s="78" t="s">
        <v>42</v>
      </c>
      <c r="S722" s="36" t="str">
        <f>VLOOKUP(Tabla91116[[#This Row],[CODIGO DEL PRODUCTO]],Tabla797[],2,FALSE)</f>
        <v>ARENA FINA</v>
      </c>
      <c r="T722" s="37">
        <v>35.479999999999997</v>
      </c>
    </row>
    <row r="723" spans="8:23" x14ac:dyDescent="0.25">
      <c r="H723" s="34"/>
      <c r="I723" s="34"/>
      <c r="J723" s="35"/>
      <c r="K723" s="36"/>
      <c r="L723" s="39" t="e">
        <f>VLOOKUP(Tabla81015[[#This Row],[CODIGO DEL PRODUCTO]],Tabla797[],2,FALSE)</f>
        <v>#N/A</v>
      </c>
      <c r="M723" s="37"/>
      <c r="N723" s="158"/>
      <c r="O723" s="76">
        <v>103988</v>
      </c>
      <c r="P723" s="78" t="s">
        <v>683</v>
      </c>
      <c r="Q723" s="77">
        <v>46126</v>
      </c>
      <c r="R723" s="78" t="s">
        <v>42</v>
      </c>
      <c r="S723" s="36" t="str">
        <f>VLOOKUP(Tabla91116[[#This Row],[CODIGO DEL PRODUCTO]],Tabla797[],2,FALSE)</f>
        <v>ARENA FINA</v>
      </c>
      <c r="T723" s="37">
        <v>35.880000000000003</v>
      </c>
    </row>
    <row r="724" spans="8:23" x14ac:dyDescent="0.25">
      <c r="H724" s="34"/>
      <c r="I724" s="34"/>
      <c r="J724" s="35"/>
      <c r="K724" s="36"/>
      <c r="L724" s="39" t="e">
        <f>VLOOKUP(Tabla81015[[#This Row],[CODIGO DEL PRODUCTO]],Tabla797[],2,FALSE)</f>
        <v>#N/A</v>
      </c>
      <c r="M724" s="37"/>
      <c r="N724" s="158"/>
      <c r="O724" s="76">
        <v>103989</v>
      </c>
      <c r="P724" s="78" t="s">
        <v>683</v>
      </c>
      <c r="Q724" s="77">
        <v>46126</v>
      </c>
      <c r="R724" s="78" t="s">
        <v>42</v>
      </c>
      <c r="S724" s="36" t="str">
        <f>VLOOKUP(Tabla91116[[#This Row],[CODIGO DEL PRODUCTO]],Tabla797[],2,FALSE)</f>
        <v>ARENA FINA</v>
      </c>
      <c r="T724" s="37">
        <v>33.76</v>
      </c>
    </row>
    <row r="725" spans="8:23" x14ac:dyDescent="0.25">
      <c r="H725" s="34"/>
      <c r="I725" s="34"/>
      <c r="J725" s="35"/>
      <c r="K725" s="36"/>
      <c r="L725" s="39" t="e">
        <f>VLOOKUP(Tabla81015[[#This Row],[CODIGO DEL PRODUCTO]],Tabla797[],2,FALSE)</f>
        <v>#N/A</v>
      </c>
      <c r="M725" s="37"/>
      <c r="N725" s="158"/>
      <c r="O725" s="76">
        <v>108777</v>
      </c>
      <c r="P725" s="78" t="s">
        <v>684</v>
      </c>
      <c r="Q725" s="77">
        <v>46126</v>
      </c>
      <c r="R725" s="78" t="s">
        <v>43</v>
      </c>
      <c r="S725" s="36" t="str">
        <f>VLOOKUP(Tabla91116[[#This Row],[CODIGO DEL PRODUCTO]],Tabla797[],2,FALSE)</f>
        <v>PIEDRA 6-20</v>
      </c>
      <c r="T725" s="37">
        <v>34.42</v>
      </c>
    </row>
    <row r="726" spans="8:23" x14ac:dyDescent="0.25">
      <c r="H726" s="34"/>
      <c r="I726" s="34"/>
      <c r="J726" s="35"/>
      <c r="K726" s="36"/>
      <c r="L726" s="39" t="e">
        <f>VLOOKUP(Tabla81015[[#This Row],[CODIGO DEL PRODUCTO]],Tabla797[],2,FALSE)</f>
        <v>#N/A</v>
      </c>
      <c r="M726" s="37"/>
      <c r="N726" s="158"/>
      <c r="O726" s="76">
        <v>108778</v>
      </c>
      <c r="P726" s="78" t="s">
        <v>684</v>
      </c>
      <c r="Q726" s="77">
        <v>46126</v>
      </c>
      <c r="R726" s="78" t="s">
        <v>43</v>
      </c>
      <c r="S726" s="36" t="str">
        <f>VLOOKUP(Tabla91116[[#This Row],[CODIGO DEL PRODUCTO]],Tabla797[],2,FALSE)</f>
        <v>PIEDRA 6-20</v>
      </c>
      <c r="T726" s="37">
        <v>36.04</v>
      </c>
    </row>
    <row r="727" spans="8:23" x14ac:dyDescent="0.25">
      <c r="H727" s="34"/>
      <c r="I727" s="34"/>
      <c r="J727" s="35"/>
      <c r="K727" s="36"/>
      <c r="L727" s="39" t="e">
        <f>VLOOKUP(Tabla81015[[#This Row],[CODIGO DEL PRODUCTO]],Tabla797[],2,FALSE)</f>
        <v>#N/A</v>
      </c>
      <c r="M727" s="37"/>
      <c r="N727" s="158"/>
      <c r="O727" s="76">
        <v>108783</v>
      </c>
      <c r="P727" s="78" t="s">
        <v>684</v>
      </c>
      <c r="Q727" s="77">
        <v>46126</v>
      </c>
      <c r="R727" s="78" t="s">
        <v>43</v>
      </c>
      <c r="S727" s="36" t="str">
        <f>VLOOKUP(Tabla91116[[#This Row],[CODIGO DEL PRODUCTO]],Tabla797[],2,FALSE)</f>
        <v>PIEDRA 6-20</v>
      </c>
      <c r="T727" s="37">
        <v>34.92</v>
      </c>
    </row>
    <row r="728" spans="8:23" x14ac:dyDescent="0.25">
      <c r="H728" s="34"/>
      <c r="I728" s="34"/>
      <c r="J728" s="35"/>
      <c r="K728" s="36"/>
      <c r="L728" s="39" t="e">
        <f>VLOOKUP(Tabla81015[[#This Row],[CODIGO DEL PRODUCTO]],Tabla797[],2,FALSE)</f>
        <v>#N/A</v>
      </c>
      <c r="M728" s="37"/>
      <c r="N728" s="158"/>
      <c r="O728" s="76">
        <v>108792</v>
      </c>
      <c r="P728" s="78" t="s">
        <v>684</v>
      </c>
      <c r="Q728" s="77">
        <v>46126</v>
      </c>
      <c r="R728" s="78" t="s">
        <v>43</v>
      </c>
      <c r="S728" s="36" t="str">
        <f>VLOOKUP(Tabla91116[[#This Row],[CODIGO DEL PRODUCTO]],Tabla797[],2,FALSE)</f>
        <v>PIEDRA 6-20</v>
      </c>
      <c r="T728" s="37">
        <v>35.4</v>
      </c>
    </row>
    <row r="729" spans="8:23" x14ac:dyDescent="0.25">
      <c r="H729" s="34"/>
      <c r="I729" s="34"/>
      <c r="J729" s="35"/>
      <c r="K729" s="36"/>
      <c r="L729" s="39" t="e">
        <f>VLOOKUP(Tabla81015[[#This Row],[CODIGO DEL PRODUCTO]],Tabla797[],2,FALSE)</f>
        <v>#N/A</v>
      </c>
      <c r="M729" s="37"/>
      <c r="N729" s="158"/>
      <c r="O729" s="76">
        <v>108797</v>
      </c>
      <c r="P729" s="78" t="s">
        <v>684</v>
      </c>
      <c r="Q729" s="77">
        <v>46126</v>
      </c>
      <c r="R729" s="78" t="s">
        <v>40</v>
      </c>
      <c r="S729" s="36" t="str">
        <f>VLOOKUP(Tabla91116[[#This Row],[CODIGO DEL PRODUCTO]],Tabla797[],2,FALSE)</f>
        <v>PIEDRA 0-6</v>
      </c>
      <c r="T729" s="37">
        <v>34.58</v>
      </c>
    </row>
    <row r="730" spans="8:23" x14ac:dyDescent="0.25">
      <c r="H730" s="34"/>
      <c r="I730" s="34"/>
      <c r="J730" s="35"/>
      <c r="K730" s="36"/>
      <c r="L730" s="39" t="e">
        <f>VLOOKUP(Tabla81015[[#This Row],[CODIGO DEL PRODUCTO]],Tabla797[],2,FALSE)</f>
        <v>#N/A</v>
      </c>
      <c r="M730" s="37"/>
      <c r="N730" s="158"/>
      <c r="O730" s="76">
        <v>108804</v>
      </c>
      <c r="P730" s="78" t="s">
        <v>684</v>
      </c>
      <c r="Q730" s="77">
        <v>46126</v>
      </c>
      <c r="R730" s="78" t="s">
        <v>40</v>
      </c>
      <c r="S730" s="36" t="str">
        <f>VLOOKUP(Tabla91116[[#This Row],[CODIGO DEL PRODUCTO]],Tabla797[],2,FALSE)</f>
        <v>PIEDRA 0-6</v>
      </c>
      <c r="T730" s="37">
        <v>35.46</v>
      </c>
    </row>
    <row r="731" spans="8:23" x14ac:dyDescent="0.25">
      <c r="H731" s="34"/>
      <c r="I731" s="34"/>
      <c r="J731" s="35"/>
      <c r="K731" s="36"/>
      <c r="L731" s="39" t="e">
        <f>VLOOKUP(Tabla81015[[#This Row],[CODIGO DEL PRODUCTO]],Tabla797[],2,FALSE)</f>
        <v>#N/A</v>
      </c>
      <c r="M731" s="37"/>
      <c r="N731" s="158"/>
      <c r="O731" s="76">
        <v>2701681</v>
      </c>
      <c r="P731" s="78" t="s">
        <v>679</v>
      </c>
      <c r="Q731" s="77">
        <v>46127</v>
      </c>
      <c r="R731" s="78" t="s">
        <v>286</v>
      </c>
      <c r="S731" s="36" t="str">
        <f>VLOOKUP(Tabla91116[[#This Row],[CODIGO DEL PRODUCTO]],Tabla797[],2,FALSE)</f>
        <v>CPF 40 AVELLANEDA</v>
      </c>
      <c r="T731" s="37">
        <v>35.700000000000003</v>
      </c>
    </row>
    <row r="732" spans="8:23" x14ac:dyDescent="0.25">
      <c r="H732" s="34"/>
      <c r="I732" s="34"/>
      <c r="J732" s="35"/>
      <c r="K732" s="36"/>
      <c r="L732" s="39" t="e">
        <f>VLOOKUP(Tabla81015[[#This Row],[CODIGO DEL PRODUCTO]],Tabla797[],2,FALSE)</f>
        <v>#N/A</v>
      </c>
      <c r="M732" s="37"/>
      <c r="N732" s="158"/>
      <c r="O732" s="76">
        <v>2701756</v>
      </c>
      <c r="P732" s="78" t="s">
        <v>679</v>
      </c>
      <c r="Q732" s="77">
        <v>46127</v>
      </c>
      <c r="R732" s="78" t="s">
        <v>286</v>
      </c>
      <c r="S732" s="36" t="str">
        <f>VLOOKUP(Tabla91116[[#This Row],[CODIGO DEL PRODUCTO]],Tabla797[],2,FALSE)</f>
        <v>CPF 40 AVELLANEDA</v>
      </c>
      <c r="T732" s="37">
        <v>36.08</v>
      </c>
    </row>
    <row r="733" spans="8:23" x14ac:dyDescent="0.25">
      <c r="H733" s="34"/>
      <c r="I733" s="34"/>
      <c r="J733" s="35"/>
      <c r="K733" s="36"/>
      <c r="L733" s="39" t="e">
        <f>VLOOKUP(Tabla81015[[#This Row],[CODIGO DEL PRODUCTO]],Tabla797[],2,FALSE)</f>
        <v>#N/A</v>
      </c>
      <c r="M733" s="37"/>
      <c r="N733" s="158"/>
      <c r="O733" s="76">
        <v>103997</v>
      </c>
      <c r="P733" s="78" t="s">
        <v>683</v>
      </c>
      <c r="Q733" s="77">
        <v>46127</v>
      </c>
      <c r="R733" s="78" t="s">
        <v>42</v>
      </c>
      <c r="S733" s="36" t="str">
        <f>VLOOKUP(Tabla91116[[#This Row],[CODIGO DEL PRODUCTO]],Tabla797[],2,FALSE)</f>
        <v>ARENA FINA</v>
      </c>
      <c r="T733" s="37">
        <v>37.46</v>
      </c>
    </row>
    <row r="734" spans="8:23" x14ac:dyDescent="0.25">
      <c r="H734" s="34"/>
      <c r="I734" s="34"/>
      <c r="J734" s="35"/>
      <c r="K734" s="36"/>
      <c r="L734" s="39" t="e">
        <f>VLOOKUP(Tabla81015[[#This Row],[CODIGO DEL PRODUCTO]],Tabla797[],2,FALSE)</f>
        <v>#N/A</v>
      </c>
      <c r="M734" s="37"/>
      <c r="N734" s="158"/>
      <c r="O734" s="76">
        <v>104002</v>
      </c>
      <c r="P734" s="78" t="s">
        <v>683</v>
      </c>
      <c r="Q734" s="77">
        <v>46127</v>
      </c>
      <c r="R734" s="78" t="s">
        <v>42</v>
      </c>
      <c r="S734" s="36" t="str">
        <f>VLOOKUP(Tabla91116[[#This Row],[CODIGO DEL PRODUCTO]],Tabla797[],2,FALSE)</f>
        <v>ARENA FINA</v>
      </c>
      <c r="T734" s="37">
        <v>36.119999999999997</v>
      </c>
    </row>
    <row r="735" spans="8:23" x14ac:dyDescent="0.25">
      <c r="H735" s="34"/>
      <c r="I735" s="34"/>
      <c r="J735" s="35"/>
      <c r="K735" s="36"/>
      <c r="L735" s="39" t="e">
        <f>VLOOKUP(Tabla81015[[#This Row],[CODIGO DEL PRODUCTO]],Tabla797[],2,FALSE)</f>
        <v>#N/A</v>
      </c>
      <c r="M735" s="37"/>
      <c r="N735" s="158"/>
      <c r="O735" s="76">
        <v>108807</v>
      </c>
      <c r="P735" s="78" t="s">
        <v>684</v>
      </c>
      <c r="Q735" s="77">
        <v>46127</v>
      </c>
      <c r="R735" s="78" t="s">
        <v>43</v>
      </c>
      <c r="S735" s="36" t="str">
        <f>VLOOKUP(Tabla91116[[#This Row],[CODIGO DEL PRODUCTO]],Tabla797[],2,FALSE)</f>
        <v>PIEDRA 6-20</v>
      </c>
      <c r="T735" s="37">
        <v>35.18</v>
      </c>
    </row>
    <row r="736" spans="8:23" x14ac:dyDescent="0.25">
      <c r="H736" s="34"/>
      <c r="I736" s="34"/>
      <c r="J736" s="35"/>
      <c r="K736" s="36"/>
      <c r="L736" s="39" t="e">
        <f>VLOOKUP(Tabla81015[[#This Row],[CODIGO DEL PRODUCTO]],Tabla797[],2,FALSE)</f>
        <v>#N/A</v>
      </c>
      <c r="M736" s="37"/>
      <c r="N736" s="158"/>
      <c r="O736" s="76">
        <v>108808</v>
      </c>
      <c r="P736" s="78" t="s">
        <v>684</v>
      </c>
      <c r="Q736" s="77">
        <v>46127</v>
      </c>
      <c r="R736" s="78" t="s">
        <v>43</v>
      </c>
      <c r="S736" s="36" t="str">
        <f>VLOOKUP(Tabla91116[[#This Row],[CODIGO DEL PRODUCTO]],Tabla797[],2,FALSE)</f>
        <v>PIEDRA 6-20</v>
      </c>
      <c r="T736" s="37">
        <v>36</v>
      </c>
    </row>
    <row r="737" spans="8:20" x14ac:dyDescent="0.25">
      <c r="H737" s="34"/>
      <c r="I737" s="34"/>
      <c r="J737" s="35"/>
      <c r="K737" s="36"/>
      <c r="L737" s="39" t="e">
        <f>VLOOKUP(Tabla81015[[#This Row],[CODIGO DEL PRODUCTO]],Tabla797[],2,FALSE)</f>
        <v>#N/A</v>
      </c>
      <c r="M737" s="37"/>
      <c r="N737" s="158"/>
      <c r="O737" s="76">
        <v>108812</v>
      </c>
      <c r="P737" s="78" t="s">
        <v>684</v>
      </c>
      <c r="Q737" s="77">
        <v>46127</v>
      </c>
      <c r="R737" s="78" t="s">
        <v>43</v>
      </c>
      <c r="S737" s="36" t="str">
        <f>VLOOKUP(Tabla91116[[#This Row],[CODIGO DEL PRODUCTO]],Tabla797[],2,FALSE)</f>
        <v>PIEDRA 6-20</v>
      </c>
      <c r="T737" s="37">
        <v>33.979999999999997</v>
      </c>
    </row>
    <row r="738" spans="8:20" x14ac:dyDescent="0.25">
      <c r="H738" s="34"/>
      <c r="I738" s="34"/>
      <c r="J738" s="35"/>
      <c r="K738" s="36"/>
      <c r="L738" s="39" t="e">
        <f>VLOOKUP(Tabla81015[[#This Row],[CODIGO DEL PRODUCTO]],Tabla797[],2,FALSE)</f>
        <v>#N/A</v>
      </c>
      <c r="M738" s="37"/>
      <c r="N738" s="158"/>
      <c r="O738" s="76">
        <v>108835</v>
      </c>
      <c r="P738" s="78" t="s">
        <v>684</v>
      </c>
      <c r="Q738" s="77">
        <v>46127</v>
      </c>
      <c r="R738" s="78" t="s">
        <v>40</v>
      </c>
      <c r="S738" s="36" t="str">
        <f>VLOOKUP(Tabla91116[[#This Row],[CODIGO DEL PRODUCTO]],Tabla797[],2,FALSE)</f>
        <v>PIEDRA 0-6</v>
      </c>
      <c r="T738" s="37">
        <v>35.08</v>
      </c>
    </row>
    <row r="739" spans="8:20" x14ac:dyDescent="0.25">
      <c r="H739" s="34"/>
      <c r="I739" s="34"/>
      <c r="J739" s="35"/>
      <c r="K739" s="36"/>
      <c r="L739" s="39" t="e">
        <f>VLOOKUP(Tabla81015[[#This Row],[CODIGO DEL PRODUCTO]],Tabla797[],2,FALSE)</f>
        <v>#N/A</v>
      </c>
      <c r="M739" s="37"/>
      <c r="N739" s="158"/>
      <c r="O739" s="76">
        <v>104003</v>
      </c>
      <c r="P739" s="78" t="s">
        <v>683</v>
      </c>
      <c r="Q739" s="77">
        <v>46127</v>
      </c>
      <c r="R739" s="78" t="s">
        <v>42</v>
      </c>
      <c r="S739" s="36" t="str">
        <f>VLOOKUP(Tabla91116[[#This Row],[CODIGO DEL PRODUCTO]],Tabla797[],2,FALSE)</f>
        <v>ARENA FINA</v>
      </c>
      <c r="T739" s="37">
        <v>35.54</v>
      </c>
    </row>
    <row r="740" spans="8:20" x14ac:dyDescent="0.25">
      <c r="H740" s="34"/>
      <c r="I740" s="34"/>
      <c r="J740" s="35"/>
      <c r="K740" s="36"/>
      <c r="L740" s="39" t="e">
        <f>VLOOKUP(Tabla81015[[#This Row],[CODIGO DEL PRODUCTO]],Tabla797[],2,FALSE)</f>
        <v>#N/A</v>
      </c>
      <c r="M740" s="37"/>
      <c r="N740" s="158"/>
      <c r="O740" s="76">
        <v>108838</v>
      </c>
      <c r="P740" s="78" t="s">
        <v>684</v>
      </c>
      <c r="Q740" s="77">
        <v>46127</v>
      </c>
      <c r="R740" s="78" t="s">
        <v>40</v>
      </c>
      <c r="S740" s="36" t="str">
        <f>VLOOKUP(Tabla91116[[#This Row],[CODIGO DEL PRODUCTO]],Tabla797[],2,FALSE)</f>
        <v>PIEDRA 0-6</v>
      </c>
      <c r="T740" s="37">
        <v>34.54</v>
      </c>
    </row>
    <row r="741" spans="8:20" x14ac:dyDescent="0.25">
      <c r="H741" s="34"/>
      <c r="I741" s="34"/>
      <c r="J741" s="35"/>
      <c r="K741" s="36"/>
      <c r="L741" s="39" t="e">
        <f>VLOOKUP(Tabla81015[[#This Row],[CODIGO DEL PRODUCTO]],Tabla797[],2,FALSE)</f>
        <v>#N/A</v>
      </c>
      <c r="M741" s="37"/>
      <c r="N741" s="158"/>
      <c r="O741" s="76">
        <v>108839</v>
      </c>
      <c r="P741" s="78" t="s">
        <v>684</v>
      </c>
      <c r="Q741" s="77">
        <v>46127</v>
      </c>
      <c r="R741" s="78" t="s">
        <v>40</v>
      </c>
      <c r="S741" s="36" t="str">
        <f>VLOOKUP(Tabla91116[[#This Row],[CODIGO DEL PRODUCTO]],Tabla797[],2,FALSE)</f>
        <v>PIEDRA 0-6</v>
      </c>
      <c r="T741" s="37">
        <v>34.32</v>
      </c>
    </row>
    <row r="742" spans="8:20" x14ac:dyDescent="0.25">
      <c r="H742" s="34"/>
      <c r="I742" s="34"/>
      <c r="J742" s="35"/>
      <c r="K742" s="36"/>
      <c r="L742" s="39" t="e">
        <f>VLOOKUP(Tabla81015[[#This Row],[CODIGO DEL PRODUCTO]],Tabla797[],2,FALSE)</f>
        <v>#N/A</v>
      </c>
      <c r="M742" s="37"/>
      <c r="N742" s="158"/>
      <c r="O742" s="76">
        <v>2702003</v>
      </c>
      <c r="P742" s="78" t="s">
        <v>679</v>
      </c>
      <c r="Q742" s="77">
        <v>46127</v>
      </c>
      <c r="R742" s="78" t="s">
        <v>286</v>
      </c>
      <c r="S742" s="36" t="str">
        <f>VLOOKUP(Tabla91116[[#This Row],[CODIGO DEL PRODUCTO]],Tabla797[],2,FALSE)</f>
        <v>CPF 40 AVELLANEDA</v>
      </c>
      <c r="T742" s="37">
        <v>35.76</v>
      </c>
    </row>
    <row r="743" spans="8:20" x14ac:dyDescent="0.25">
      <c r="H743" s="34"/>
      <c r="I743" s="34"/>
      <c r="J743" s="35"/>
      <c r="K743" s="36"/>
      <c r="L743" s="39" t="e">
        <f>VLOOKUP(Tabla81015[[#This Row],[CODIGO DEL PRODUCTO]],Tabla797[],2,FALSE)</f>
        <v>#N/A</v>
      </c>
      <c r="M743" s="37"/>
      <c r="N743" s="158"/>
      <c r="O743" s="76">
        <v>104010</v>
      </c>
      <c r="P743" s="78" t="s">
        <v>683</v>
      </c>
      <c r="Q743" s="77">
        <v>46128</v>
      </c>
      <c r="R743" s="78" t="s">
        <v>42</v>
      </c>
      <c r="S743" s="36" t="str">
        <f>VLOOKUP(Tabla91116[[#This Row],[CODIGO DEL PRODUCTO]],Tabla797[],2,FALSE)</f>
        <v>ARENA FINA</v>
      </c>
      <c r="T743" s="37">
        <v>34.44</v>
      </c>
    </row>
    <row r="744" spans="8:20" x14ac:dyDescent="0.25">
      <c r="H744" s="34"/>
      <c r="I744" s="34"/>
      <c r="J744" s="35"/>
      <c r="K744" s="36"/>
      <c r="L744" s="39" t="e">
        <f>VLOOKUP(Tabla81015[[#This Row],[CODIGO DEL PRODUCTO]],Tabla797[],2,FALSE)</f>
        <v>#N/A</v>
      </c>
      <c r="M744" s="37"/>
      <c r="N744" s="158"/>
      <c r="O744" s="76">
        <v>104012</v>
      </c>
      <c r="P744" s="78" t="s">
        <v>683</v>
      </c>
      <c r="Q744" s="77">
        <v>46128</v>
      </c>
      <c r="R744" s="78" t="s">
        <v>42</v>
      </c>
      <c r="S744" s="36" t="str">
        <f>VLOOKUP(Tabla91116[[#This Row],[CODIGO DEL PRODUCTO]],Tabla797[],2,FALSE)</f>
        <v>ARENA FINA</v>
      </c>
      <c r="T744" s="37">
        <v>35.72</v>
      </c>
    </row>
    <row r="745" spans="8:20" x14ac:dyDescent="0.25">
      <c r="H745" s="34"/>
      <c r="I745" s="34"/>
      <c r="J745" s="35"/>
      <c r="K745" s="36"/>
      <c r="L745" s="39" t="e">
        <f>VLOOKUP(Tabla81015[[#This Row],[CODIGO DEL PRODUCTO]],Tabla797[],2,FALSE)</f>
        <v>#N/A</v>
      </c>
      <c r="M745" s="37"/>
      <c r="N745" s="158"/>
      <c r="O745" s="76">
        <v>104020</v>
      </c>
      <c r="P745" s="78" t="s">
        <v>683</v>
      </c>
      <c r="Q745" s="77">
        <v>46128</v>
      </c>
      <c r="R745" s="78" t="s">
        <v>42</v>
      </c>
      <c r="S745" s="36" t="str">
        <f>VLOOKUP(Tabla91116[[#This Row],[CODIGO DEL PRODUCTO]],Tabla797[],2,FALSE)</f>
        <v>ARENA FINA</v>
      </c>
      <c r="T745" s="37">
        <v>34.72</v>
      </c>
    </row>
    <row r="746" spans="8:20" x14ac:dyDescent="0.25">
      <c r="H746" s="34"/>
      <c r="I746" s="34"/>
      <c r="J746" s="35"/>
      <c r="K746" s="36"/>
      <c r="L746" s="39" t="e">
        <f>VLOOKUP(Tabla81015[[#This Row],[CODIGO DEL PRODUCTO]],Tabla797[],2,FALSE)</f>
        <v>#N/A</v>
      </c>
      <c r="M746" s="37"/>
      <c r="N746" s="158"/>
      <c r="O746" s="76">
        <v>104021</v>
      </c>
      <c r="P746" s="78" t="s">
        <v>683</v>
      </c>
      <c r="Q746" s="77">
        <v>46128</v>
      </c>
      <c r="R746" s="78" t="s">
        <v>42</v>
      </c>
      <c r="S746" s="36" t="str">
        <f>VLOOKUP(Tabla91116[[#This Row],[CODIGO DEL PRODUCTO]],Tabla797[],2,FALSE)</f>
        <v>ARENA FINA</v>
      </c>
      <c r="T746" s="37">
        <v>36.56</v>
      </c>
    </row>
    <row r="747" spans="8:20" x14ac:dyDescent="0.25">
      <c r="H747" s="34"/>
      <c r="I747" s="34"/>
      <c r="J747" s="35"/>
      <c r="K747" s="36"/>
      <c r="L747" s="39" t="e">
        <f>VLOOKUP(Tabla81015[[#This Row],[CODIGO DEL PRODUCTO]],Tabla797[],2,FALSE)</f>
        <v>#N/A</v>
      </c>
      <c r="M747" s="37"/>
      <c r="N747" s="158"/>
      <c r="O747" s="76">
        <v>108844</v>
      </c>
      <c r="P747" s="78" t="s">
        <v>684</v>
      </c>
      <c r="Q747" s="77">
        <v>46128</v>
      </c>
      <c r="R747" s="78" t="s">
        <v>43</v>
      </c>
      <c r="S747" s="36" t="str">
        <f>VLOOKUP(Tabla91116[[#This Row],[CODIGO DEL PRODUCTO]],Tabla797[],2,FALSE)</f>
        <v>PIEDRA 6-20</v>
      </c>
      <c r="T747" s="37">
        <v>34.72</v>
      </c>
    </row>
    <row r="748" spans="8:20" x14ac:dyDescent="0.25">
      <c r="H748" s="34"/>
      <c r="I748" s="34"/>
      <c r="J748" s="35"/>
      <c r="K748" s="36"/>
      <c r="L748" s="39" t="e">
        <f>VLOOKUP(Tabla81015[[#This Row],[CODIGO DEL PRODUCTO]],Tabla797[],2,FALSE)</f>
        <v>#N/A</v>
      </c>
      <c r="M748" s="37"/>
      <c r="N748" s="158"/>
      <c r="O748" s="76">
        <v>108850</v>
      </c>
      <c r="P748" s="78" t="s">
        <v>684</v>
      </c>
      <c r="Q748" s="77">
        <v>46128</v>
      </c>
      <c r="R748" s="78" t="s">
        <v>43</v>
      </c>
      <c r="S748" s="36" t="str">
        <f>VLOOKUP(Tabla91116[[#This Row],[CODIGO DEL PRODUCTO]],Tabla797[],2,FALSE)</f>
        <v>PIEDRA 6-20</v>
      </c>
      <c r="T748" s="37">
        <v>35.1</v>
      </c>
    </row>
    <row r="749" spans="8:20" x14ac:dyDescent="0.25">
      <c r="H749" s="34"/>
      <c r="I749" s="34"/>
      <c r="J749" s="35"/>
      <c r="K749" s="36"/>
      <c r="L749" s="39" t="e">
        <f>VLOOKUP(Tabla81015[[#This Row],[CODIGO DEL PRODUCTO]],Tabla797[],2,FALSE)</f>
        <v>#N/A</v>
      </c>
      <c r="M749" s="37"/>
      <c r="N749" s="158"/>
      <c r="O749" s="76">
        <v>108851</v>
      </c>
      <c r="P749" s="78" t="s">
        <v>684</v>
      </c>
      <c r="Q749" s="77">
        <v>46128</v>
      </c>
      <c r="R749" s="78" t="s">
        <v>43</v>
      </c>
      <c r="S749" s="36" t="str">
        <f>VLOOKUP(Tabla91116[[#This Row],[CODIGO DEL PRODUCTO]],Tabla797[],2,FALSE)</f>
        <v>PIEDRA 6-20</v>
      </c>
      <c r="T749" s="37">
        <v>35.18</v>
      </c>
    </row>
    <row r="750" spans="8:20" x14ac:dyDescent="0.25">
      <c r="H750" s="34"/>
      <c r="I750" s="34"/>
      <c r="J750" s="35"/>
      <c r="K750" s="36"/>
      <c r="L750" s="39" t="e">
        <f>VLOOKUP(Tabla81015[[#This Row],[CODIGO DEL PRODUCTO]],Tabla797[],2,FALSE)</f>
        <v>#N/A</v>
      </c>
      <c r="M750" s="37"/>
      <c r="N750" s="158"/>
      <c r="O750" s="76">
        <v>108871</v>
      </c>
      <c r="P750" s="78" t="s">
        <v>684</v>
      </c>
      <c r="Q750" s="77">
        <v>46128</v>
      </c>
      <c r="R750" s="78" t="s">
        <v>40</v>
      </c>
      <c r="S750" s="36" t="str">
        <f>VLOOKUP(Tabla91116[[#This Row],[CODIGO DEL PRODUCTO]],Tabla797[],2,FALSE)</f>
        <v>PIEDRA 0-6</v>
      </c>
      <c r="T750" s="37">
        <v>35.340000000000003</v>
      </c>
    </row>
    <row r="751" spans="8:20" x14ac:dyDescent="0.25">
      <c r="H751" s="34"/>
      <c r="I751" s="34"/>
      <c r="J751" s="35"/>
      <c r="K751" s="36"/>
      <c r="L751" s="39" t="e">
        <f>VLOOKUP(Tabla81015[[#This Row],[CODIGO DEL PRODUCTO]],Tabla797[],2,FALSE)</f>
        <v>#N/A</v>
      </c>
      <c r="M751" s="37"/>
      <c r="N751" s="158"/>
      <c r="O751" s="76">
        <v>108879</v>
      </c>
      <c r="P751" s="78" t="s">
        <v>684</v>
      </c>
      <c r="Q751" s="77">
        <v>46128</v>
      </c>
      <c r="R751" s="78" t="s">
        <v>40</v>
      </c>
      <c r="S751" s="36" t="str">
        <f>VLOOKUP(Tabla91116[[#This Row],[CODIGO DEL PRODUCTO]],Tabla797[],2,FALSE)</f>
        <v>PIEDRA 0-6</v>
      </c>
      <c r="T751" s="37">
        <v>35.700000000000003</v>
      </c>
    </row>
    <row r="752" spans="8:20" x14ac:dyDescent="0.25">
      <c r="H752" s="34"/>
      <c r="I752" s="34"/>
      <c r="J752" s="35"/>
      <c r="K752" s="36"/>
      <c r="L752" s="39" t="e">
        <f>VLOOKUP(Tabla81015[[#This Row],[CODIGO DEL PRODUCTO]],Tabla797[],2,FALSE)</f>
        <v>#N/A</v>
      </c>
      <c r="M752" s="37"/>
      <c r="N752" s="158"/>
      <c r="O752" s="76">
        <v>108881</v>
      </c>
      <c r="P752" s="78" t="s">
        <v>684</v>
      </c>
      <c r="Q752" s="77">
        <v>46128</v>
      </c>
      <c r="R752" s="78" t="s">
        <v>40</v>
      </c>
      <c r="S752" s="36" t="str">
        <f>VLOOKUP(Tabla91116[[#This Row],[CODIGO DEL PRODUCTO]],Tabla797[],2,FALSE)</f>
        <v>PIEDRA 0-6</v>
      </c>
      <c r="T752" s="37">
        <v>35.76</v>
      </c>
    </row>
    <row r="753" spans="8:21" x14ac:dyDescent="0.25">
      <c r="H753" s="34"/>
      <c r="I753" s="34"/>
      <c r="J753" s="35"/>
      <c r="K753" s="36"/>
      <c r="L753" s="39" t="e">
        <f>VLOOKUP(Tabla81015[[#This Row],[CODIGO DEL PRODUCTO]],Tabla797[],2,FALSE)</f>
        <v>#N/A</v>
      </c>
      <c r="M753" s="37"/>
      <c r="N753" s="158"/>
      <c r="O753" s="76">
        <v>2702271</v>
      </c>
      <c r="P753" s="78" t="s">
        <v>679</v>
      </c>
      <c r="Q753" s="77">
        <v>46128</v>
      </c>
      <c r="R753" s="78" t="s">
        <v>286</v>
      </c>
      <c r="S753" s="36" t="str">
        <f>VLOOKUP(Tabla91116[[#This Row],[CODIGO DEL PRODUCTO]],Tabla797[],2,FALSE)</f>
        <v>CPF 40 AVELLANEDA</v>
      </c>
      <c r="T753" s="37">
        <v>35.78</v>
      </c>
    </row>
    <row r="754" spans="8:21" x14ac:dyDescent="0.25">
      <c r="H754" s="34"/>
      <c r="I754" s="34"/>
      <c r="J754" s="35"/>
      <c r="K754" s="36"/>
      <c r="L754" s="39" t="e">
        <f>VLOOKUP(Tabla81015[[#This Row],[CODIGO DEL PRODUCTO]],Tabla797[],2,FALSE)</f>
        <v>#N/A</v>
      </c>
      <c r="M754" s="37"/>
      <c r="N754" s="158"/>
      <c r="O754" s="76">
        <v>104027</v>
      </c>
      <c r="P754" s="78" t="s">
        <v>683</v>
      </c>
      <c r="Q754" s="77">
        <v>46129</v>
      </c>
      <c r="R754" s="78" t="s">
        <v>42</v>
      </c>
      <c r="S754" s="36" t="str">
        <f>VLOOKUP(Tabla91116[[#This Row],[CODIGO DEL PRODUCTO]],Tabla797[],2,FALSE)</f>
        <v>ARENA FINA</v>
      </c>
      <c r="T754" s="37">
        <v>34.76</v>
      </c>
    </row>
    <row r="755" spans="8:21" x14ac:dyDescent="0.25">
      <c r="H755" s="34"/>
      <c r="I755" s="34"/>
      <c r="J755" s="35"/>
      <c r="K755" s="36"/>
      <c r="L755" s="39" t="e">
        <f>VLOOKUP(Tabla81015[[#This Row],[CODIGO DEL PRODUCTO]],Tabla797[],2,FALSE)</f>
        <v>#N/A</v>
      </c>
      <c r="M755" s="37"/>
      <c r="N755" s="158"/>
      <c r="O755" s="76">
        <v>104028</v>
      </c>
      <c r="P755" s="78" t="s">
        <v>683</v>
      </c>
      <c r="Q755" s="77">
        <v>46129</v>
      </c>
      <c r="R755" s="78" t="s">
        <v>42</v>
      </c>
      <c r="S755" s="36" t="str">
        <f>VLOOKUP(Tabla91116[[#This Row],[CODIGO DEL PRODUCTO]],Tabla797[],2,FALSE)</f>
        <v>ARENA FINA</v>
      </c>
      <c r="T755" s="37">
        <v>34.9</v>
      </c>
    </row>
    <row r="756" spans="8:21" x14ac:dyDescent="0.25">
      <c r="H756" s="34"/>
      <c r="I756" s="34"/>
      <c r="J756" s="35"/>
      <c r="K756" s="36"/>
      <c r="L756" s="39" t="e">
        <f>VLOOKUP(Tabla81015[[#This Row],[CODIGO DEL PRODUCTO]],Tabla797[],2,FALSE)</f>
        <v>#N/A</v>
      </c>
      <c r="M756" s="37"/>
      <c r="N756" s="158"/>
      <c r="O756" s="76">
        <v>104033</v>
      </c>
      <c r="P756" s="78" t="s">
        <v>683</v>
      </c>
      <c r="Q756" s="77">
        <v>46129</v>
      </c>
      <c r="R756" s="78" t="s">
        <v>42</v>
      </c>
      <c r="S756" s="36" t="str">
        <f>VLOOKUP(Tabla91116[[#This Row],[CODIGO DEL PRODUCTO]],Tabla797[],2,FALSE)</f>
        <v>ARENA FINA</v>
      </c>
      <c r="T756" s="37">
        <v>34.74</v>
      </c>
    </row>
    <row r="757" spans="8:21" x14ac:dyDescent="0.25">
      <c r="H757" s="34"/>
      <c r="I757" s="34"/>
      <c r="J757" s="35"/>
      <c r="K757" s="36"/>
      <c r="L757" s="39" t="e">
        <f>VLOOKUP(Tabla81015[[#This Row],[CODIGO DEL PRODUCTO]],Tabla797[],2,FALSE)</f>
        <v>#N/A</v>
      </c>
      <c r="M757" s="37"/>
      <c r="N757" s="158"/>
      <c r="O757" s="76">
        <v>104036</v>
      </c>
      <c r="P757" s="78" t="s">
        <v>683</v>
      </c>
      <c r="Q757" s="77">
        <v>46129</v>
      </c>
      <c r="R757" s="78" t="s">
        <v>42</v>
      </c>
      <c r="S757" s="36" t="str">
        <f>VLOOKUP(Tabla91116[[#This Row],[CODIGO DEL PRODUCTO]],Tabla797[],2,FALSE)</f>
        <v>ARENA FINA</v>
      </c>
      <c r="T757" s="37">
        <v>35.78</v>
      </c>
      <c r="U757" s="7"/>
    </row>
    <row r="758" spans="8:21" x14ac:dyDescent="0.25">
      <c r="H758" s="34"/>
      <c r="I758" s="34"/>
      <c r="J758" s="35"/>
      <c r="K758" s="36"/>
      <c r="L758" s="39" t="e">
        <f>VLOOKUP(Tabla81015[[#This Row],[CODIGO DEL PRODUCTO]],Tabla797[],2,FALSE)</f>
        <v>#N/A</v>
      </c>
      <c r="M758" s="37"/>
      <c r="N758" s="158"/>
      <c r="O758" s="76">
        <v>108888</v>
      </c>
      <c r="P758" s="78" t="s">
        <v>684</v>
      </c>
      <c r="Q758" s="77">
        <v>46129</v>
      </c>
      <c r="R758" s="78" t="s">
        <v>43</v>
      </c>
      <c r="S758" s="36" t="str">
        <f>VLOOKUP(Tabla91116[[#This Row],[CODIGO DEL PRODUCTO]],Tabla797[],2,FALSE)</f>
        <v>PIEDRA 6-20</v>
      </c>
      <c r="T758" s="37">
        <v>34.94</v>
      </c>
    </row>
    <row r="759" spans="8:21" x14ac:dyDescent="0.25">
      <c r="H759" s="34"/>
      <c r="I759" s="34"/>
      <c r="J759" s="35"/>
      <c r="K759" s="36"/>
      <c r="L759" s="39" t="e">
        <f>VLOOKUP(Tabla81015[[#This Row],[CODIGO DEL PRODUCTO]],Tabla797[],2,FALSE)</f>
        <v>#N/A</v>
      </c>
      <c r="M759" s="37"/>
      <c r="N759" s="158"/>
      <c r="O759" s="76">
        <v>108889</v>
      </c>
      <c r="P759" s="78" t="s">
        <v>684</v>
      </c>
      <c r="Q759" s="77">
        <v>46129</v>
      </c>
      <c r="R759" s="78" t="s">
        <v>43</v>
      </c>
      <c r="S759" s="36" t="str">
        <f>VLOOKUP(Tabla91116[[#This Row],[CODIGO DEL PRODUCTO]],Tabla797[],2,FALSE)</f>
        <v>PIEDRA 6-20</v>
      </c>
      <c r="T759" s="37">
        <v>35.1</v>
      </c>
    </row>
    <row r="760" spans="8:21" x14ac:dyDescent="0.25">
      <c r="H760" s="34"/>
      <c r="I760" s="34"/>
      <c r="J760" s="35"/>
      <c r="K760" s="36"/>
      <c r="L760" s="39" t="e">
        <f>VLOOKUP(Tabla81015[[#This Row],[CODIGO DEL PRODUCTO]],Tabla797[],2,FALSE)</f>
        <v>#N/A</v>
      </c>
      <c r="M760" s="37"/>
      <c r="N760" s="158"/>
      <c r="O760" s="76">
        <v>108892</v>
      </c>
      <c r="P760" s="78" t="s">
        <v>684</v>
      </c>
      <c r="Q760" s="77">
        <v>46129</v>
      </c>
      <c r="R760" s="78" t="s">
        <v>43</v>
      </c>
      <c r="S760" s="36" t="str">
        <f>VLOOKUP(Tabla91116[[#This Row],[CODIGO DEL PRODUCTO]],Tabla797[],2,FALSE)</f>
        <v>PIEDRA 6-20</v>
      </c>
      <c r="T760" s="37">
        <v>34.44</v>
      </c>
    </row>
    <row r="761" spans="8:21" x14ac:dyDescent="0.25">
      <c r="H761" s="34"/>
      <c r="I761" s="34"/>
      <c r="J761" s="35"/>
      <c r="K761" s="36"/>
      <c r="L761" s="39" t="e">
        <f>VLOOKUP(Tabla81015[[#This Row],[CODIGO DEL PRODUCTO]],Tabla797[],2,FALSE)</f>
        <v>#N/A</v>
      </c>
      <c r="M761" s="37"/>
      <c r="N761" s="158"/>
      <c r="O761" s="76">
        <v>108914</v>
      </c>
      <c r="P761" s="78" t="s">
        <v>684</v>
      </c>
      <c r="Q761" s="77">
        <v>46129</v>
      </c>
      <c r="R761" s="78" t="s">
        <v>40</v>
      </c>
      <c r="S761" s="36" t="str">
        <f>VLOOKUP(Tabla91116[[#This Row],[CODIGO DEL PRODUCTO]],Tabla797[],2,FALSE)</f>
        <v>PIEDRA 0-6</v>
      </c>
      <c r="T761" s="37">
        <v>35.4</v>
      </c>
    </row>
    <row r="762" spans="8:21" x14ac:dyDescent="0.25">
      <c r="H762" s="34"/>
      <c r="I762" s="34"/>
      <c r="J762" s="35"/>
      <c r="K762" s="36"/>
      <c r="L762" s="39" t="e">
        <f>VLOOKUP(Tabla81015[[#This Row],[CODIGO DEL PRODUCTO]],Tabla797[],2,FALSE)</f>
        <v>#N/A</v>
      </c>
      <c r="M762" s="37"/>
      <c r="N762" s="158"/>
      <c r="O762" s="76">
        <v>108919</v>
      </c>
      <c r="P762" s="78" t="s">
        <v>684</v>
      </c>
      <c r="Q762" s="77">
        <v>46129</v>
      </c>
      <c r="R762" s="78" t="s">
        <v>40</v>
      </c>
      <c r="S762" s="36" t="str">
        <f>VLOOKUP(Tabla91116[[#This Row],[CODIGO DEL PRODUCTO]],Tabla797[],2,FALSE)</f>
        <v>PIEDRA 0-6</v>
      </c>
      <c r="T762" s="37">
        <v>34.72</v>
      </c>
    </row>
    <row r="763" spans="8:21" x14ac:dyDescent="0.25">
      <c r="H763" s="34"/>
      <c r="I763" s="34"/>
      <c r="J763" s="35"/>
      <c r="K763" s="36"/>
      <c r="L763" s="39" t="e">
        <f>VLOOKUP(Tabla81015[[#This Row],[CODIGO DEL PRODUCTO]],Tabla797[],2,FALSE)</f>
        <v>#N/A</v>
      </c>
      <c r="M763" s="37"/>
      <c r="N763" s="158"/>
      <c r="O763" s="76">
        <v>108920</v>
      </c>
      <c r="P763" s="78" t="s">
        <v>684</v>
      </c>
      <c r="Q763" s="77">
        <v>46129</v>
      </c>
      <c r="R763" s="78" t="s">
        <v>43</v>
      </c>
      <c r="S763" s="36" t="str">
        <f>VLOOKUP(Tabla91116[[#This Row],[CODIGO DEL PRODUCTO]],Tabla797[],2,FALSE)</f>
        <v>PIEDRA 6-20</v>
      </c>
      <c r="T763" s="37">
        <v>34.700000000000003</v>
      </c>
    </row>
    <row r="764" spans="8:21" x14ac:dyDescent="0.25">
      <c r="H764" s="34"/>
      <c r="I764" s="34"/>
      <c r="J764" s="35"/>
      <c r="K764" s="36"/>
      <c r="L764" s="39" t="e">
        <f>VLOOKUP(Tabla81015[[#This Row],[CODIGO DEL PRODUCTO]],Tabla797[],2,FALSE)</f>
        <v>#N/A</v>
      </c>
      <c r="M764" s="37"/>
      <c r="N764" s="158"/>
      <c r="O764" s="76">
        <v>156075</v>
      </c>
      <c r="P764" s="78" t="s">
        <v>679</v>
      </c>
      <c r="Q764" s="77">
        <v>46129</v>
      </c>
      <c r="R764" s="78" t="s">
        <v>43</v>
      </c>
      <c r="S764" s="36" t="str">
        <f>VLOOKUP(Tabla91116[[#This Row],[CODIGO DEL PRODUCTO]],Tabla797[],2,FALSE)</f>
        <v>PIEDRA 6-20</v>
      </c>
      <c r="T764" s="37">
        <v>36.14</v>
      </c>
    </row>
    <row r="765" spans="8:21" x14ac:dyDescent="0.25">
      <c r="H765" s="34"/>
      <c r="I765" s="34"/>
      <c r="J765" s="35"/>
      <c r="K765" s="36"/>
      <c r="L765" s="39" t="e">
        <f>VLOOKUP(Tabla81015[[#This Row],[CODIGO DEL PRODUCTO]],Tabla797[],2,FALSE)</f>
        <v>#N/A</v>
      </c>
      <c r="M765" s="37"/>
      <c r="N765" s="158"/>
      <c r="O765" s="76">
        <v>2702480</v>
      </c>
      <c r="P765" s="78" t="s">
        <v>679</v>
      </c>
      <c r="Q765" s="77">
        <v>46129</v>
      </c>
      <c r="R765" s="78" t="s">
        <v>286</v>
      </c>
      <c r="S765" s="36" t="str">
        <f>VLOOKUP(Tabla91116[[#This Row],[CODIGO DEL PRODUCTO]],Tabla797[],2,FALSE)</f>
        <v>CPF 40 AVELLANEDA</v>
      </c>
      <c r="T765" s="37">
        <v>35.44</v>
      </c>
    </row>
    <row r="766" spans="8:21" x14ac:dyDescent="0.25">
      <c r="H766" s="34"/>
      <c r="I766" s="34"/>
      <c r="J766" s="35"/>
      <c r="K766" s="36"/>
      <c r="L766" s="39" t="e">
        <f>VLOOKUP(Tabla81015[[#This Row],[CODIGO DEL PRODUCTO]],Tabla797[],2,FALSE)</f>
        <v>#N/A</v>
      </c>
      <c r="M766" s="37"/>
      <c r="N766" s="158"/>
      <c r="O766" s="76">
        <v>44278</v>
      </c>
      <c r="P766" s="78" t="s">
        <v>449</v>
      </c>
      <c r="Q766" s="77">
        <v>46129</v>
      </c>
      <c r="R766" s="78" t="s">
        <v>425</v>
      </c>
      <c r="S766" s="36" t="str">
        <f>VLOOKUP(Tabla91116[[#This Row],[CODIGO DEL PRODUCTO]],Tabla797[],2,FALSE)</f>
        <v>W351R</v>
      </c>
      <c r="T766" s="37">
        <v>1000</v>
      </c>
    </row>
    <row r="767" spans="8:21" x14ac:dyDescent="0.25">
      <c r="H767" s="34"/>
      <c r="I767" s="34"/>
      <c r="J767" s="35"/>
      <c r="K767" s="36"/>
      <c r="L767" s="39" t="e">
        <f>VLOOKUP(Tabla81015[[#This Row],[CODIGO DEL PRODUCTO]],Tabla797[],2,FALSE)</f>
        <v>#N/A</v>
      </c>
      <c r="M767" s="37"/>
      <c r="N767" s="158"/>
      <c r="O767" s="76">
        <v>44279</v>
      </c>
      <c r="P767" s="78" t="s">
        <v>449</v>
      </c>
      <c r="Q767" s="77">
        <v>46129</v>
      </c>
      <c r="R767" s="78" t="s">
        <v>425</v>
      </c>
      <c r="S767" s="36" t="str">
        <f>VLOOKUP(Tabla91116[[#This Row],[CODIGO DEL PRODUCTO]],Tabla797[],2,FALSE)</f>
        <v>W351R</v>
      </c>
      <c r="T767" s="37">
        <v>1000</v>
      </c>
    </row>
    <row r="768" spans="8:21" x14ac:dyDescent="0.25">
      <c r="H768" s="34"/>
      <c r="I768" s="34"/>
      <c r="J768" s="35"/>
      <c r="K768" s="36"/>
      <c r="L768" s="39" t="e">
        <f>VLOOKUP(Tabla81015[[#This Row],[CODIGO DEL PRODUCTO]],Tabla797[],2,FALSE)</f>
        <v>#N/A</v>
      </c>
      <c r="M768" s="37"/>
      <c r="N768" s="158"/>
      <c r="O768" s="76">
        <v>104043</v>
      </c>
      <c r="P768" s="78" t="s">
        <v>683</v>
      </c>
      <c r="Q768" s="77">
        <v>46130</v>
      </c>
      <c r="R768" s="78" t="s">
        <v>42</v>
      </c>
      <c r="S768" s="36" t="str">
        <f>VLOOKUP(Tabla91116[[#This Row],[CODIGO DEL PRODUCTO]],Tabla797[],2,FALSE)</f>
        <v>ARENA FINA</v>
      </c>
      <c r="T768" s="37">
        <v>35.08</v>
      </c>
    </row>
    <row r="769" spans="8:20" x14ac:dyDescent="0.25">
      <c r="H769" s="34"/>
      <c r="I769" s="34"/>
      <c r="J769" s="35"/>
      <c r="K769" s="36"/>
      <c r="L769" s="39" t="e">
        <f>VLOOKUP(Tabla81015[[#This Row],[CODIGO DEL PRODUCTO]],Tabla797[],2,FALSE)</f>
        <v>#N/A</v>
      </c>
      <c r="M769" s="37"/>
      <c r="N769" s="158"/>
      <c r="O769" s="76">
        <v>222330</v>
      </c>
      <c r="P769" s="78" t="s">
        <v>516</v>
      </c>
      <c r="Q769" s="77">
        <v>46130</v>
      </c>
      <c r="R769" s="78" t="s">
        <v>43</v>
      </c>
      <c r="S769" s="36" t="str">
        <f>VLOOKUP(Tabla91116[[#This Row],[CODIGO DEL PRODUCTO]],Tabla797[],2,FALSE)</f>
        <v>PIEDRA 6-20</v>
      </c>
      <c r="T769" s="37">
        <v>35.32</v>
      </c>
    </row>
    <row r="770" spans="8:20" x14ac:dyDescent="0.25">
      <c r="H770" s="34"/>
      <c r="I770" s="34"/>
      <c r="J770" s="35"/>
      <c r="K770" s="36"/>
      <c r="L770" s="39" t="e">
        <f>VLOOKUP(Tabla81015[[#This Row],[CODIGO DEL PRODUCTO]],Tabla797[],2,FALSE)</f>
        <v>#N/A</v>
      </c>
      <c r="M770" s="37"/>
      <c r="N770" s="158"/>
      <c r="O770" s="76">
        <v>108929</v>
      </c>
      <c r="P770" s="78" t="s">
        <v>684</v>
      </c>
      <c r="Q770" s="77">
        <v>46130</v>
      </c>
      <c r="R770" s="78" t="s">
        <v>43</v>
      </c>
      <c r="S770" s="36" t="str">
        <f>VLOOKUP(Tabla91116[[#This Row],[CODIGO DEL PRODUCTO]],Tabla797[],2,FALSE)</f>
        <v>PIEDRA 6-20</v>
      </c>
      <c r="T770" s="37">
        <v>34.9</v>
      </c>
    </row>
    <row r="771" spans="8:20" x14ac:dyDescent="0.25">
      <c r="H771" s="34"/>
      <c r="I771" s="34"/>
      <c r="J771" s="35"/>
      <c r="K771" s="36"/>
      <c r="L771" s="39" t="e">
        <f>VLOOKUP(Tabla81015[[#This Row],[CODIGO DEL PRODUCTO]],Tabla797[],2,FALSE)</f>
        <v>#N/A</v>
      </c>
      <c r="M771" s="37"/>
      <c r="N771" s="158"/>
      <c r="O771" s="76">
        <v>108930</v>
      </c>
      <c r="P771" s="78" t="s">
        <v>684</v>
      </c>
      <c r="Q771" s="77">
        <v>46130</v>
      </c>
      <c r="R771" s="78" t="s">
        <v>43</v>
      </c>
      <c r="S771" s="36" t="str">
        <f>VLOOKUP(Tabla91116[[#This Row],[CODIGO DEL PRODUCTO]],Tabla797[],2,FALSE)</f>
        <v>PIEDRA 6-20</v>
      </c>
      <c r="T771" s="37">
        <v>34.380000000000003</v>
      </c>
    </row>
    <row r="772" spans="8:20" x14ac:dyDescent="0.25">
      <c r="H772" s="34"/>
      <c r="I772" s="34"/>
      <c r="J772" s="35"/>
      <c r="K772" s="36"/>
      <c r="L772" s="39" t="e">
        <f>VLOOKUP(Tabla81015[[#This Row],[CODIGO DEL PRODUCTO]],Tabla797[],2,FALSE)</f>
        <v>#N/A</v>
      </c>
      <c r="M772" s="37"/>
      <c r="N772" s="158"/>
      <c r="O772" s="76">
        <v>108931</v>
      </c>
      <c r="P772" s="78" t="s">
        <v>684</v>
      </c>
      <c r="Q772" s="77">
        <v>46130</v>
      </c>
      <c r="R772" s="78" t="s">
        <v>43</v>
      </c>
      <c r="S772" s="36" t="str">
        <f>VLOOKUP(Tabla91116[[#This Row],[CODIGO DEL PRODUCTO]],Tabla797[],2,FALSE)</f>
        <v>PIEDRA 6-20</v>
      </c>
      <c r="T772" s="37">
        <v>34.6</v>
      </c>
    </row>
    <row r="773" spans="8:20" x14ac:dyDescent="0.25">
      <c r="H773" s="34"/>
      <c r="I773" s="34"/>
      <c r="J773" s="35"/>
      <c r="K773" s="36"/>
      <c r="L773" s="39" t="e">
        <f>VLOOKUP(Tabla81015[[#This Row],[CODIGO DEL PRODUCTO]],Tabla797[],2,FALSE)</f>
        <v>#N/A</v>
      </c>
      <c r="M773" s="37"/>
      <c r="N773" s="158"/>
      <c r="O773" s="76">
        <v>108933</v>
      </c>
      <c r="P773" s="78" t="s">
        <v>684</v>
      </c>
      <c r="Q773" s="77">
        <v>46130</v>
      </c>
      <c r="R773" s="78" t="s">
        <v>43</v>
      </c>
      <c r="S773" s="36" t="str">
        <f>VLOOKUP(Tabla91116[[#This Row],[CODIGO DEL PRODUCTO]],Tabla797[],2,FALSE)</f>
        <v>PIEDRA 6-20</v>
      </c>
      <c r="T773" s="37">
        <v>34.76</v>
      </c>
    </row>
    <row r="774" spans="8:20" x14ac:dyDescent="0.25">
      <c r="H774" s="34"/>
      <c r="I774" s="34"/>
      <c r="J774" s="35"/>
      <c r="K774" s="36"/>
      <c r="L774" s="39" t="e">
        <f>VLOOKUP(Tabla81015[[#This Row],[CODIGO DEL PRODUCTO]],Tabla797[],2,FALSE)</f>
        <v>#N/A</v>
      </c>
      <c r="M774" s="37"/>
      <c r="N774" s="158"/>
      <c r="O774" s="76">
        <v>108936</v>
      </c>
      <c r="P774" s="78" t="s">
        <v>684</v>
      </c>
      <c r="Q774" s="77">
        <v>46130</v>
      </c>
      <c r="R774" s="78" t="s">
        <v>40</v>
      </c>
      <c r="S774" s="36" t="str">
        <f>VLOOKUP(Tabla91116[[#This Row],[CODIGO DEL PRODUCTO]],Tabla797[],2,FALSE)</f>
        <v>PIEDRA 0-6</v>
      </c>
      <c r="T774" s="37">
        <v>35.44</v>
      </c>
    </row>
    <row r="775" spans="8:20" x14ac:dyDescent="0.25">
      <c r="H775" s="34"/>
      <c r="I775" s="34"/>
      <c r="J775" s="35"/>
      <c r="K775" s="36"/>
      <c r="L775" s="39" t="e">
        <f>VLOOKUP(Tabla81015[[#This Row],[CODIGO DEL PRODUCTO]],Tabla797[],2,FALSE)</f>
        <v>#N/A</v>
      </c>
      <c r="M775" s="37"/>
      <c r="N775" s="158"/>
      <c r="O775" s="76">
        <v>156133</v>
      </c>
      <c r="P775" s="78" t="s">
        <v>679</v>
      </c>
      <c r="Q775" s="77">
        <v>46130</v>
      </c>
      <c r="R775" s="78" t="s">
        <v>43</v>
      </c>
      <c r="S775" s="36" t="str">
        <f>VLOOKUP(Tabla91116[[#This Row],[CODIGO DEL PRODUCTO]],Tabla797[],2,FALSE)</f>
        <v>PIEDRA 6-20</v>
      </c>
      <c r="T775" s="37">
        <v>36.299999999999997</v>
      </c>
    </row>
    <row r="776" spans="8:20" x14ac:dyDescent="0.25">
      <c r="H776" s="34"/>
      <c r="I776" s="34"/>
      <c r="J776" s="35"/>
      <c r="K776" s="36"/>
      <c r="L776" s="39" t="e">
        <f>VLOOKUP(Tabla81015[[#This Row],[CODIGO DEL PRODUCTO]],Tabla797[],2,FALSE)</f>
        <v>#N/A</v>
      </c>
      <c r="M776" s="37"/>
      <c r="N776" s="158"/>
      <c r="O776" s="76">
        <v>156155</v>
      </c>
      <c r="P776" s="78" t="s">
        <v>679</v>
      </c>
      <c r="Q776" s="77">
        <v>46130</v>
      </c>
      <c r="R776" s="78" t="s">
        <v>43</v>
      </c>
      <c r="S776" s="36" t="str">
        <f>VLOOKUP(Tabla91116[[#This Row],[CODIGO DEL PRODUCTO]],Tabla797[],2,FALSE)</f>
        <v>PIEDRA 6-20</v>
      </c>
      <c r="T776" s="37">
        <v>35.76</v>
      </c>
    </row>
    <row r="777" spans="8:20" x14ac:dyDescent="0.25">
      <c r="H777" s="34"/>
      <c r="I777" s="34"/>
      <c r="J777" s="35"/>
      <c r="K777" s="36"/>
      <c r="L777" s="39" t="e">
        <f>VLOOKUP(Tabla81015[[#This Row],[CODIGO DEL PRODUCTO]],Tabla797[],2,FALSE)</f>
        <v>#N/A</v>
      </c>
      <c r="M777" s="37"/>
      <c r="N777" s="158"/>
      <c r="O777" s="76">
        <v>2702588</v>
      </c>
      <c r="P777" s="78" t="s">
        <v>679</v>
      </c>
      <c r="Q777" s="77">
        <v>46130</v>
      </c>
      <c r="R777" s="78" t="s">
        <v>286</v>
      </c>
      <c r="S777" s="36" t="str">
        <f>VLOOKUP(Tabla91116[[#This Row],[CODIGO DEL PRODUCTO]],Tabla797[],2,FALSE)</f>
        <v>CPF 40 AVELLANEDA</v>
      </c>
      <c r="T777" s="37">
        <v>35.700000000000003</v>
      </c>
    </row>
    <row r="778" spans="8:20" x14ac:dyDescent="0.25">
      <c r="H778" s="34"/>
      <c r="I778" s="34"/>
      <c r="J778" s="35"/>
      <c r="K778" s="36"/>
      <c r="L778" s="39" t="e">
        <f>VLOOKUP(Tabla81015[[#This Row],[CODIGO DEL PRODUCTO]],Tabla797[],2,FALSE)</f>
        <v>#N/A</v>
      </c>
      <c r="M778" s="37"/>
      <c r="N778" s="158"/>
      <c r="O778" s="76">
        <v>104050</v>
      </c>
      <c r="P778" s="78" t="s">
        <v>683</v>
      </c>
      <c r="Q778" s="77">
        <v>46132</v>
      </c>
      <c r="R778" s="78" t="s">
        <v>42</v>
      </c>
      <c r="S778" s="36" t="str">
        <f>VLOOKUP(Tabla91116[[#This Row],[CODIGO DEL PRODUCTO]],Tabla797[],2,FALSE)</f>
        <v>ARENA FINA</v>
      </c>
      <c r="T778" s="37">
        <v>35.64</v>
      </c>
    </row>
    <row r="779" spans="8:20" x14ac:dyDescent="0.25">
      <c r="H779" s="34"/>
      <c r="I779" s="34"/>
      <c r="J779" s="35"/>
      <c r="K779" s="36"/>
      <c r="L779" s="39" t="e">
        <f>VLOOKUP(Tabla81015[[#This Row],[CODIGO DEL PRODUCTO]],Tabla797[],2,FALSE)</f>
        <v>#N/A</v>
      </c>
      <c r="M779" s="37"/>
      <c r="N779" s="158"/>
      <c r="O779" s="76">
        <v>104052</v>
      </c>
      <c r="P779" s="78" t="s">
        <v>683</v>
      </c>
      <c r="Q779" s="77">
        <v>46132</v>
      </c>
      <c r="R779" s="78" t="s">
        <v>42</v>
      </c>
      <c r="S779" s="36" t="str">
        <f>VLOOKUP(Tabla91116[[#This Row],[CODIGO DEL PRODUCTO]],Tabla797[],2,FALSE)</f>
        <v>ARENA FINA</v>
      </c>
      <c r="T779" s="37">
        <v>33.54</v>
      </c>
    </row>
    <row r="780" spans="8:20" x14ac:dyDescent="0.25">
      <c r="H780" s="34"/>
      <c r="I780" s="34"/>
      <c r="J780" s="35"/>
      <c r="K780" s="36"/>
      <c r="L780" s="39" t="e">
        <f>VLOOKUP(Tabla81015[[#This Row],[CODIGO DEL PRODUCTO]],Tabla797[],2,FALSE)</f>
        <v>#N/A</v>
      </c>
      <c r="M780" s="37"/>
      <c r="N780" s="158"/>
      <c r="O780" s="76">
        <v>104057</v>
      </c>
      <c r="P780" s="78" t="s">
        <v>683</v>
      </c>
      <c r="Q780" s="77">
        <v>46132</v>
      </c>
      <c r="R780" s="78" t="s">
        <v>42</v>
      </c>
      <c r="S780" s="36" t="str">
        <f>VLOOKUP(Tabla91116[[#This Row],[CODIGO DEL PRODUCTO]],Tabla797[],2,FALSE)</f>
        <v>ARENA FINA</v>
      </c>
      <c r="T780" s="37">
        <v>35.200000000000003</v>
      </c>
    </row>
    <row r="781" spans="8:20" x14ac:dyDescent="0.25">
      <c r="H781" s="34"/>
      <c r="I781" s="34"/>
      <c r="J781" s="35"/>
      <c r="K781" s="36"/>
      <c r="L781" s="39" t="e">
        <f>VLOOKUP(Tabla81015[[#This Row],[CODIGO DEL PRODUCTO]],Tabla797[],2,FALSE)</f>
        <v>#N/A</v>
      </c>
      <c r="M781" s="37"/>
      <c r="N781" s="158"/>
      <c r="O781" s="76">
        <v>104058</v>
      </c>
      <c r="P781" s="78" t="s">
        <v>683</v>
      </c>
      <c r="Q781" s="77">
        <v>46132</v>
      </c>
      <c r="R781" s="78" t="s">
        <v>42</v>
      </c>
      <c r="S781" s="36" t="str">
        <f>VLOOKUP(Tabla91116[[#This Row],[CODIGO DEL PRODUCTO]],Tabla797[],2,FALSE)</f>
        <v>ARENA FINA</v>
      </c>
      <c r="T781" s="37">
        <v>35.44</v>
      </c>
    </row>
    <row r="782" spans="8:20" x14ac:dyDescent="0.25">
      <c r="H782" s="34"/>
      <c r="I782" s="34"/>
      <c r="J782" s="35"/>
      <c r="K782" s="36"/>
      <c r="L782" s="39" t="e">
        <f>VLOOKUP(Tabla81015[[#This Row],[CODIGO DEL PRODUCTO]],Tabla797[],2,FALSE)</f>
        <v>#N/A</v>
      </c>
      <c r="M782" s="37"/>
      <c r="N782" s="158"/>
      <c r="O782" s="76">
        <v>108956</v>
      </c>
      <c r="P782" s="78" t="s">
        <v>684</v>
      </c>
      <c r="Q782" s="77">
        <v>46132</v>
      </c>
      <c r="R782" s="78" t="s">
        <v>43</v>
      </c>
      <c r="S782" s="36" t="str">
        <f>VLOOKUP(Tabla91116[[#This Row],[CODIGO DEL PRODUCTO]],Tabla797[],2,FALSE)</f>
        <v>PIEDRA 6-20</v>
      </c>
      <c r="T782" s="37">
        <v>34.700000000000003</v>
      </c>
    </row>
    <row r="783" spans="8:20" x14ac:dyDescent="0.25">
      <c r="H783" s="34"/>
      <c r="I783" s="34"/>
      <c r="J783" s="35"/>
      <c r="K783" s="36"/>
      <c r="L783" s="39" t="e">
        <f>VLOOKUP(Tabla81015[[#This Row],[CODIGO DEL PRODUCTO]],Tabla797[],2,FALSE)</f>
        <v>#N/A</v>
      </c>
      <c r="M783" s="37"/>
      <c r="N783" s="158"/>
      <c r="O783" s="76">
        <v>108967</v>
      </c>
      <c r="P783" s="78" t="s">
        <v>684</v>
      </c>
      <c r="Q783" s="77">
        <v>46132</v>
      </c>
      <c r="R783" s="78" t="s">
        <v>43</v>
      </c>
      <c r="S783" s="36" t="str">
        <f>VLOOKUP(Tabla91116[[#This Row],[CODIGO DEL PRODUCTO]],Tabla797[],2,FALSE)</f>
        <v>PIEDRA 6-20</v>
      </c>
      <c r="T783" s="37">
        <v>35.340000000000003</v>
      </c>
    </row>
    <row r="784" spans="8:20" x14ac:dyDescent="0.25">
      <c r="H784" s="34"/>
      <c r="I784" s="34"/>
      <c r="J784" s="35"/>
      <c r="K784" s="36"/>
      <c r="L784" s="39" t="e">
        <f>VLOOKUP(Tabla81015[[#This Row],[CODIGO DEL PRODUCTO]],Tabla797[],2,FALSE)</f>
        <v>#N/A</v>
      </c>
      <c r="M784" s="37"/>
      <c r="N784" s="158"/>
      <c r="O784" s="76">
        <v>108968</v>
      </c>
      <c r="P784" s="78" t="s">
        <v>684</v>
      </c>
      <c r="Q784" s="77">
        <v>46132</v>
      </c>
      <c r="R784" s="78" t="s">
        <v>43</v>
      </c>
      <c r="S784" s="36" t="str">
        <f>VLOOKUP(Tabla91116[[#This Row],[CODIGO DEL PRODUCTO]],Tabla797[],2,FALSE)</f>
        <v>PIEDRA 6-20</v>
      </c>
      <c r="T784" s="37">
        <v>35.96</v>
      </c>
    </row>
    <row r="785" spans="8:20" x14ac:dyDescent="0.25">
      <c r="H785" s="34"/>
      <c r="I785" s="34"/>
      <c r="J785" s="35"/>
      <c r="K785" s="36"/>
      <c r="L785" s="39" t="e">
        <f>VLOOKUP(Tabla81015[[#This Row],[CODIGO DEL PRODUCTO]],Tabla797[],2,FALSE)</f>
        <v>#N/A</v>
      </c>
      <c r="M785" s="37"/>
      <c r="N785" s="158"/>
      <c r="O785" s="76">
        <v>108969</v>
      </c>
      <c r="P785" s="78" t="s">
        <v>684</v>
      </c>
      <c r="Q785" s="77">
        <v>46132</v>
      </c>
      <c r="R785" s="78" t="s">
        <v>43</v>
      </c>
      <c r="S785" s="36" t="str">
        <f>VLOOKUP(Tabla91116[[#This Row],[CODIGO DEL PRODUCTO]],Tabla797[],2,FALSE)</f>
        <v>PIEDRA 6-20</v>
      </c>
      <c r="T785" s="37">
        <v>34.94</v>
      </c>
    </row>
    <row r="786" spans="8:20" x14ac:dyDescent="0.25">
      <c r="H786" s="34"/>
      <c r="I786" s="34"/>
      <c r="J786" s="35"/>
      <c r="K786" s="36"/>
      <c r="L786" s="39" t="e">
        <f>VLOOKUP(Tabla81015[[#This Row],[CODIGO DEL PRODUCTO]],Tabla797[],2,FALSE)</f>
        <v>#N/A</v>
      </c>
      <c r="M786" s="37"/>
      <c r="N786" s="158"/>
      <c r="O786" s="76">
        <v>108971</v>
      </c>
      <c r="P786" s="78" t="s">
        <v>684</v>
      </c>
      <c r="Q786" s="77">
        <v>46132</v>
      </c>
      <c r="R786" s="78" t="s">
        <v>40</v>
      </c>
      <c r="S786" s="36" t="str">
        <f>VLOOKUP(Tabla91116[[#This Row],[CODIGO DEL PRODUCTO]],Tabla797[],2,FALSE)</f>
        <v>PIEDRA 0-6</v>
      </c>
      <c r="T786" s="37">
        <v>35.200000000000003</v>
      </c>
    </row>
    <row r="787" spans="8:20" x14ac:dyDescent="0.25">
      <c r="H787" s="34"/>
      <c r="I787" s="34"/>
      <c r="J787" s="35"/>
      <c r="K787" s="36"/>
      <c r="L787" s="39" t="e">
        <f>VLOOKUP(Tabla81015[[#This Row],[CODIGO DEL PRODUCTO]],Tabla797[],2,FALSE)</f>
        <v>#N/A</v>
      </c>
      <c r="M787" s="37"/>
      <c r="N787" s="158"/>
      <c r="O787" s="76">
        <v>108975</v>
      </c>
      <c r="P787" s="78" t="s">
        <v>684</v>
      </c>
      <c r="Q787" s="77">
        <v>46132</v>
      </c>
      <c r="R787" s="78" t="s">
        <v>40</v>
      </c>
      <c r="S787" s="36" t="str">
        <f>VLOOKUP(Tabla91116[[#This Row],[CODIGO DEL PRODUCTO]],Tabla797[],2,FALSE)</f>
        <v>PIEDRA 0-6</v>
      </c>
      <c r="T787" s="37">
        <v>34.700000000000003</v>
      </c>
    </row>
    <row r="788" spans="8:20" x14ac:dyDescent="0.25">
      <c r="H788" s="34"/>
      <c r="I788" s="34"/>
      <c r="J788" s="35"/>
      <c r="K788" s="36"/>
      <c r="L788" s="39" t="e">
        <f>VLOOKUP(Tabla81015[[#This Row],[CODIGO DEL PRODUCTO]],Tabla797[],2,FALSE)</f>
        <v>#N/A</v>
      </c>
      <c r="M788" s="37"/>
      <c r="N788" s="158"/>
      <c r="O788" s="76">
        <v>108977</v>
      </c>
      <c r="P788" s="78" t="s">
        <v>684</v>
      </c>
      <c r="Q788" s="77">
        <v>46132</v>
      </c>
      <c r="R788" s="78" t="s">
        <v>43</v>
      </c>
      <c r="S788" s="36" t="str">
        <f>VLOOKUP(Tabla91116[[#This Row],[CODIGO DEL PRODUCTO]],Tabla797[],2,FALSE)</f>
        <v>PIEDRA 6-20</v>
      </c>
      <c r="T788" s="37">
        <v>35.44</v>
      </c>
    </row>
    <row r="789" spans="8:20" x14ac:dyDescent="0.25">
      <c r="H789" s="34"/>
      <c r="I789" s="34"/>
      <c r="J789" s="35"/>
      <c r="K789" s="36"/>
      <c r="L789" s="39" t="e">
        <f>VLOOKUP(Tabla81015[[#This Row],[CODIGO DEL PRODUCTO]],Tabla797[],2,FALSE)</f>
        <v>#N/A</v>
      </c>
      <c r="M789" s="37"/>
      <c r="N789" s="158"/>
      <c r="O789" s="76">
        <v>108980</v>
      </c>
      <c r="P789" s="78" t="s">
        <v>684</v>
      </c>
      <c r="Q789" s="77">
        <v>46132</v>
      </c>
      <c r="R789" s="78" t="s">
        <v>40</v>
      </c>
      <c r="S789" s="36" t="str">
        <f>VLOOKUP(Tabla91116[[#This Row],[CODIGO DEL PRODUCTO]],Tabla797[],2,FALSE)</f>
        <v>PIEDRA 0-6</v>
      </c>
      <c r="T789" s="37">
        <v>35.119999999999997</v>
      </c>
    </row>
    <row r="790" spans="8:20" x14ac:dyDescent="0.25">
      <c r="H790" s="34"/>
      <c r="I790" s="34"/>
      <c r="J790" s="35"/>
      <c r="K790" s="36"/>
      <c r="L790" s="39" t="e">
        <f>VLOOKUP(Tabla81015[[#This Row],[CODIGO DEL PRODUCTO]],Tabla797[],2,FALSE)</f>
        <v>#N/A</v>
      </c>
      <c r="M790" s="37"/>
      <c r="N790" s="158"/>
      <c r="O790" s="76">
        <v>108981</v>
      </c>
      <c r="P790" s="78" t="s">
        <v>684</v>
      </c>
      <c r="Q790" s="77">
        <v>46132</v>
      </c>
      <c r="R790" s="78" t="s">
        <v>40</v>
      </c>
      <c r="S790" s="36" t="str">
        <f>VLOOKUP(Tabla91116[[#This Row],[CODIGO DEL PRODUCTO]],Tabla797[],2,FALSE)</f>
        <v>PIEDRA 0-6</v>
      </c>
      <c r="T790" s="37">
        <v>35.200000000000003</v>
      </c>
    </row>
    <row r="791" spans="8:20" x14ac:dyDescent="0.25">
      <c r="H791" s="34"/>
      <c r="I791" s="34"/>
      <c r="J791" s="35"/>
      <c r="K791" s="36"/>
      <c r="L791" s="39" t="e">
        <f>VLOOKUP(Tabla81015[[#This Row],[CODIGO DEL PRODUCTO]],Tabla797[],2,FALSE)</f>
        <v>#N/A</v>
      </c>
      <c r="M791" s="37"/>
      <c r="N791" s="158"/>
      <c r="O791" s="76">
        <v>156199</v>
      </c>
      <c r="P791" s="78" t="s">
        <v>679</v>
      </c>
      <c r="Q791" s="77">
        <v>46132</v>
      </c>
      <c r="R791" s="78" t="s">
        <v>43</v>
      </c>
      <c r="S791" s="36" t="str">
        <f>VLOOKUP(Tabla91116[[#This Row],[CODIGO DEL PRODUCTO]],Tabla797[],2,FALSE)</f>
        <v>PIEDRA 6-20</v>
      </c>
      <c r="T791" s="37">
        <v>36.06</v>
      </c>
    </row>
    <row r="792" spans="8:20" x14ac:dyDescent="0.25">
      <c r="H792" s="34"/>
      <c r="I792" s="34"/>
      <c r="J792" s="35"/>
      <c r="K792" s="36"/>
      <c r="L792" s="39" t="e">
        <f>VLOOKUP(Tabla81015[[#This Row],[CODIGO DEL PRODUCTO]],Tabla797[],2,FALSE)</f>
        <v>#N/A</v>
      </c>
      <c r="M792" s="37"/>
      <c r="N792" s="158"/>
      <c r="O792" s="76">
        <v>156222</v>
      </c>
      <c r="P792" s="78" t="s">
        <v>679</v>
      </c>
      <c r="Q792" s="77">
        <v>46132</v>
      </c>
      <c r="R792" s="78" t="s">
        <v>43</v>
      </c>
      <c r="S792" s="36" t="str">
        <f>VLOOKUP(Tabla91116[[#This Row],[CODIGO DEL PRODUCTO]],Tabla797[],2,FALSE)</f>
        <v>PIEDRA 6-20</v>
      </c>
      <c r="T792" s="37">
        <v>35.159999999999997</v>
      </c>
    </row>
    <row r="793" spans="8:20" x14ac:dyDescent="0.25">
      <c r="H793" s="34"/>
      <c r="I793" s="34"/>
      <c r="J793" s="35"/>
      <c r="K793" s="36"/>
      <c r="L793" s="39" t="e">
        <f>VLOOKUP(Tabla81015[[#This Row],[CODIGO DEL PRODUCTO]],Tabla797[],2,FALSE)</f>
        <v>#N/A</v>
      </c>
      <c r="M793" s="37"/>
      <c r="N793" s="158"/>
      <c r="O793" s="76">
        <v>2702867</v>
      </c>
      <c r="P793" s="78" t="s">
        <v>679</v>
      </c>
      <c r="Q793" s="77">
        <v>46132</v>
      </c>
      <c r="R793" s="78" t="s">
        <v>286</v>
      </c>
      <c r="S793" s="36" t="str">
        <f>VLOOKUP(Tabla91116[[#This Row],[CODIGO DEL PRODUCTO]],Tabla797[],2,FALSE)</f>
        <v>CPF 40 AVELLANEDA</v>
      </c>
      <c r="T793" s="37">
        <v>35.56</v>
      </c>
    </row>
    <row r="794" spans="8:20" x14ac:dyDescent="0.25">
      <c r="H794" s="34"/>
      <c r="I794" s="34"/>
      <c r="J794" s="35"/>
      <c r="K794" s="36"/>
      <c r="L794" s="39" t="e">
        <f>VLOOKUP(Tabla81015[[#This Row],[CODIGO DEL PRODUCTO]],Tabla797[],2,FALSE)</f>
        <v>#N/A</v>
      </c>
      <c r="M794" s="37"/>
      <c r="N794" s="158"/>
      <c r="O794" s="76">
        <v>104071</v>
      </c>
      <c r="P794" s="78" t="s">
        <v>683</v>
      </c>
      <c r="Q794" s="77">
        <v>46133</v>
      </c>
      <c r="R794" s="78" t="s">
        <v>42</v>
      </c>
      <c r="S794" s="36" t="str">
        <f>VLOOKUP(Tabla91116[[#This Row],[CODIGO DEL PRODUCTO]],Tabla797[],2,FALSE)</f>
        <v>ARENA FINA</v>
      </c>
      <c r="T794" s="37">
        <v>36.22</v>
      </c>
    </row>
    <row r="795" spans="8:20" x14ac:dyDescent="0.25">
      <c r="H795" s="34"/>
      <c r="I795" s="34"/>
      <c r="J795" s="35"/>
      <c r="K795" s="36"/>
      <c r="L795" s="39" t="e">
        <f>VLOOKUP(Tabla81015[[#This Row],[CODIGO DEL PRODUCTO]],Tabla797[],2,FALSE)</f>
        <v>#N/A</v>
      </c>
      <c r="M795" s="37"/>
      <c r="N795" s="158"/>
      <c r="O795" s="76">
        <v>104073</v>
      </c>
      <c r="P795" s="78" t="s">
        <v>683</v>
      </c>
      <c r="Q795" s="77">
        <v>46133</v>
      </c>
      <c r="R795" s="78" t="s">
        <v>42</v>
      </c>
      <c r="S795" s="36" t="str">
        <f>VLOOKUP(Tabla91116[[#This Row],[CODIGO DEL PRODUCTO]],Tabla797[],2,FALSE)</f>
        <v>ARENA FINA</v>
      </c>
      <c r="T795" s="37">
        <v>35.78</v>
      </c>
    </row>
    <row r="796" spans="8:20" x14ac:dyDescent="0.25">
      <c r="H796" s="34"/>
      <c r="I796" s="34"/>
      <c r="J796" s="35"/>
      <c r="K796" s="36"/>
      <c r="L796" s="39" t="e">
        <f>VLOOKUP(Tabla81015[[#This Row],[CODIGO DEL PRODUCTO]],Tabla797[],2,FALSE)</f>
        <v>#N/A</v>
      </c>
      <c r="M796" s="37"/>
      <c r="N796" s="158"/>
      <c r="O796" s="76">
        <v>104075</v>
      </c>
      <c r="P796" s="78" t="s">
        <v>683</v>
      </c>
      <c r="Q796" s="77">
        <v>46133</v>
      </c>
      <c r="R796" s="78" t="s">
        <v>42</v>
      </c>
      <c r="S796" s="36" t="str">
        <f>VLOOKUP(Tabla91116[[#This Row],[CODIGO DEL PRODUCTO]],Tabla797[],2,FALSE)</f>
        <v>ARENA FINA</v>
      </c>
      <c r="T796" s="37">
        <v>34.299999999999997</v>
      </c>
    </row>
    <row r="797" spans="8:20" x14ac:dyDescent="0.25">
      <c r="H797" s="34"/>
      <c r="I797" s="34"/>
      <c r="J797" s="35"/>
      <c r="K797" s="36"/>
      <c r="L797" s="39" t="e">
        <f>VLOOKUP(Tabla81015[[#This Row],[CODIGO DEL PRODUCTO]],Tabla797[],2,FALSE)</f>
        <v>#N/A</v>
      </c>
      <c r="M797" s="37"/>
      <c r="N797" s="158"/>
      <c r="O797" s="76">
        <v>108985</v>
      </c>
      <c r="P797" s="78" t="s">
        <v>684</v>
      </c>
      <c r="Q797" s="77">
        <v>46133</v>
      </c>
      <c r="R797" s="78" t="s">
        <v>43</v>
      </c>
      <c r="S797" s="36" t="str">
        <f>VLOOKUP(Tabla91116[[#This Row],[CODIGO DEL PRODUCTO]],Tabla797[],2,FALSE)</f>
        <v>PIEDRA 6-20</v>
      </c>
      <c r="T797" s="37">
        <v>34.92</v>
      </c>
    </row>
    <row r="798" spans="8:20" x14ac:dyDescent="0.25">
      <c r="H798" s="34"/>
      <c r="I798" s="34"/>
      <c r="J798" s="35"/>
      <c r="K798" s="36"/>
      <c r="L798" s="39" t="e">
        <f>VLOOKUP(Tabla81015[[#This Row],[CODIGO DEL PRODUCTO]],Tabla797[],2,FALSE)</f>
        <v>#N/A</v>
      </c>
      <c r="M798" s="37"/>
      <c r="N798" s="158"/>
      <c r="O798" s="76">
        <v>108990</v>
      </c>
      <c r="P798" s="78" t="s">
        <v>684</v>
      </c>
      <c r="Q798" s="77">
        <v>46133</v>
      </c>
      <c r="R798" s="78" t="s">
        <v>40</v>
      </c>
      <c r="S798" s="36" t="str">
        <f>VLOOKUP(Tabla91116[[#This Row],[CODIGO DEL PRODUCTO]],Tabla797[],2,FALSE)</f>
        <v>PIEDRA 0-6</v>
      </c>
      <c r="T798" s="37">
        <v>34.94</v>
      </c>
    </row>
    <row r="799" spans="8:20" x14ac:dyDescent="0.25">
      <c r="H799" s="34"/>
      <c r="I799" s="34"/>
      <c r="J799" s="35"/>
      <c r="K799" s="36"/>
      <c r="L799" s="39" t="e">
        <f>VLOOKUP(Tabla81015[[#This Row],[CODIGO DEL PRODUCTO]],Tabla797[],2,FALSE)</f>
        <v>#N/A</v>
      </c>
      <c r="M799" s="37"/>
      <c r="N799" s="158"/>
      <c r="O799" s="76">
        <v>108999</v>
      </c>
      <c r="P799" s="78" t="s">
        <v>684</v>
      </c>
      <c r="Q799" s="77">
        <v>46133</v>
      </c>
      <c r="R799" s="78" t="s">
        <v>43</v>
      </c>
      <c r="S799" s="36" t="str">
        <f>VLOOKUP(Tabla91116[[#This Row],[CODIGO DEL PRODUCTO]],Tabla797[],2,FALSE)</f>
        <v>PIEDRA 6-20</v>
      </c>
      <c r="T799" s="37">
        <v>35.880000000000003</v>
      </c>
    </row>
    <row r="800" spans="8:20" x14ac:dyDescent="0.25">
      <c r="H800" s="34"/>
      <c r="I800" s="34"/>
      <c r="J800" s="35"/>
      <c r="K800" s="36"/>
      <c r="L800" s="39" t="e">
        <f>VLOOKUP(Tabla81015[[#This Row],[CODIGO DEL PRODUCTO]],Tabla797[],2,FALSE)</f>
        <v>#N/A</v>
      </c>
      <c r="M800" s="37"/>
      <c r="N800" s="158"/>
      <c r="O800" s="76">
        <v>109003</v>
      </c>
      <c r="P800" s="78" t="s">
        <v>684</v>
      </c>
      <c r="Q800" s="77">
        <v>46133</v>
      </c>
      <c r="R800" s="78" t="s">
        <v>43</v>
      </c>
      <c r="S800" s="36" t="str">
        <f>VLOOKUP(Tabla91116[[#This Row],[CODIGO DEL PRODUCTO]],Tabla797[],2,FALSE)</f>
        <v>PIEDRA 6-20</v>
      </c>
      <c r="T800" s="37">
        <v>34.56</v>
      </c>
    </row>
    <row r="801" spans="8:21" x14ac:dyDescent="0.25">
      <c r="H801" s="34"/>
      <c r="I801" s="34"/>
      <c r="J801" s="35"/>
      <c r="K801" s="36"/>
      <c r="L801" s="39" t="e">
        <f>VLOOKUP(Tabla81015[[#This Row],[CODIGO DEL PRODUCTO]],Tabla797[],2,FALSE)</f>
        <v>#N/A</v>
      </c>
      <c r="M801" s="37"/>
      <c r="N801" s="158"/>
      <c r="O801" s="76">
        <v>108997</v>
      </c>
      <c r="P801" s="78" t="s">
        <v>684</v>
      </c>
      <c r="Q801" s="77">
        <v>46133</v>
      </c>
      <c r="R801" s="78" t="s">
        <v>43</v>
      </c>
      <c r="S801" s="36" t="str">
        <f>VLOOKUP(Tabla91116[[#This Row],[CODIGO DEL PRODUCTO]],Tabla797[],2,FALSE)</f>
        <v>PIEDRA 6-20</v>
      </c>
      <c r="T801" s="37">
        <v>36.26</v>
      </c>
    </row>
    <row r="802" spans="8:21" x14ac:dyDescent="0.25">
      <c r="H802" s="34"/>
      <c r="I802" s="34"/>
      <c r="J802" s="35"/>
      <c r="K802" s="36"/>
      <c r="L802" s="39" t="e">
        <f>VLOOKUP(Tabla81015[[#This Row],[CODIGO DEL PRODUCTO]],Tabla797[],2,FALSE)</f>
        <v>#N/A</v>
      </c>
      <c r="M802" s="37"/>
      <c r="N802" s="158"/>
      <c r="O802" s="76">
        <v>108998</v>
      </c>
      <c r="P802" s="78" t="s">
        <v>684</v>
      </c>
      <c r="Q802" s="77">
        <v>46133</v>
      </c>
      <c r="R802" s="78" t="s">
        <v>43</v>
      </c>
      <c r="S802" s="36" t="str">
        <f>VLOOKUP(Tabla91116[[#This Row],[CODIGO DEL PRODUCTO]],Tabla797[],2,FALSE)</f>
        <v>PIEDRA 6-20</v>
      </c>
      <c r="T802" s="37">
        <v>35.479999999999997</v>
      </c>
    </row>
    <row r="803" spans="8:21" x14ac:dyDescent="0.25">
      <c r="H803" s="34"/>
      <c r="I803" s="34"/>
      <c r="J803" s="35"/>
      <c r="K803" s="36"/>
      <c r="L803" s="39" t="e">
        <f>VLOOKUP(Tabla81015[[#This Row],[CODIGO DEL PRODUCTO]],Tabla797[],2,FALSE)</f>
        <v>#N/A</v>
      </c>
      <c r="M803" s="37"/>
      <c r="N803" s="158"/>
      <c r="O803" s="76">
        <v>109002</v>
      </c>
      <c r="P803" s="78" t="s">
        <v>684</v>
      </c>
      <c r="Q803" s="77">
        <v>46133</v>
      </c>
      <c r="R803" s="78" t="s">
        <v>40</v>
      </c>
      <c r="S803" s="36" t="str">
        <f>VLOOKUP(Tabla91116[[#This Row],[CODIGO DEL PRODUCTO]],Tabla797[],2,FALSE)</f>
        <v>PIEDRA 0-6</v>
      </c>
      <c r="T803" s="37">
        <v>35.4</v>
      </c>
    </row>
    <row r="804" spans="8:21" x14ac:dyDescent="0.25">
      <c r="H804" s="34"/>
      <c r="I804" s="34"/>
      <c r="J804" s="35"/>
      <c r="K804" s="36"/>
      <c r="L804" s="39" t="e">
        <f>VLOOKUP(Tabla81015[[#This Row],[CODIGO DEL PRODUCTO]],Tabla797[],2,FALSE)</f>
        <v>#N/A</v>
      </c>
      <c r="M804" s="37"/>
      <c r="N804" s="158"/>
      <c r="O804" s="76">
        <v>109006</v>
      </c>
      <c r="P804" s="78" t="s">
        <v>684</v>
      </c>
      <c r="Q804" s="77">
        <v>46133</v>
      </c>
      <c r="R804" s="78" t="s">
        <v>40</v>
      </c>
      <c r="S804" s="36" t="str">
        <f>VLOOKUP(Tabla91116[[#This Row],[CODIGO DEL PRODUCTO]],Tabla797[],2,FALSE)</f>
        <v>PIEDRA 0-6</v>
      </c>
      <c r="T804" s="37">
        <v>34.880000000000003</v>
      </c>
      <c r="U804" s="7"/>
    </row>
    <row r="805" spans="8:21" x14ac:dyDescent="0.25">
      <c r="H805" s="34"/>
      <c r="I805" s="34"/>
      <c r="J805" s="35"/>
      <c r="K805" s="36"/>
      <c r="L805" s="39" t="e">
        <f>VLOOKUP(Tabla81015[[#This Row],[CODIGO DEL PRODUCTO]],Tabla797[],2,FALSE)</f>
        <v>#N/A</v>
      </c>
      <c r="M805" s="37"/>
      <c r="N805" s="158"/>
      <c r="O805" s="76">
        <v>109007</v>
      </c>
      <c r="P805" s="78" t="s">
        <v>684</v>
      </c>
      <c r="Q805" s="77">
        <v>46133</v>
      </c>
      <c r="R805" s="78" t="s">
        <v>40</v>
      </c>
      <c r="S805" s="36" t="str">
        <f>VLOOKUP(Tabla91116[[#This Row],[CODIGO DEL PRODUCTO]],Tabla797[],2,FALSE)</f>
        <v>PIEDRA 0-6</v>
      </c>
      <c r="T805" s="37">
        <v>36.28</v>
      </c>
    </row>
    <row r="806" spans="8:21" x14ac:dyDescent="0.25">
      <c r="H806" s="34"/>
      <c r="I806" s="34"/>
      <c r="J806" s="35"/>
      <c r="K806" s="36"/>
      <c r="L806" s="39" t="e">
        <f>VLOOKUP(Tabla81015[[#This Row],[CODIGO DEL PRODUCTO]],Tabla797[],2,FALSE)</f>
        <v>#N/A</v>
      </c>
      <c r="M806" s="37"/>
      <c r="N806" s="158"/>
      <c r="O806" s="76">
        <v>2703086</v>
      </c>
      <c r="P806" s="78" t="s">
        <v>679</v>
      </c>
      <c r="Q806" s="77">
        <v>46133</v>
      </c>
      <c r="R806" s="78" t="s">
        <v>286</v>
      </c>
      <c r="S806" s="36" t="str">
        <f>VLOOKUP(Tabla91116[[#This Row],[CODIGO DEL PRODUCTO]],Tabla797[],2,FALSE)</f>
        <v>CPF 40 AVELLANEDA</v>
      </c>
      <c r="T806" s="37">
        <v>35.76</v>
      </c>
    </row>
    <row r="807" spans="8:21" x14ac:dyDescent="0.25">
      <c r="H807" s="34"/>
      <c r="I807" s="34"/>
      <c r="J807" s="35"/>
      <c r="K807" s="36"/>
      <c r="L807" s="39" t="e">
        <f>VLOOKUP(Tabla81015[[#This Row],[CODIGO DEL PRODUCTO]],Tabla797[],2,FALSE)</f>
        <v>#N/A</v>
      </c>
      <c r="M807" s="37"/>
      <c r="N807" s="158"/>
      <c r="O807" s="76">
        <v>104081</v>
      </c>
      <c r="P807" s="78" t="s">
        <v>683</v>
      </c>
      <c r="Q807" s="77">
        <v>46134</v>
      </c>
      <c r="R807" s="78" t="s">
        <v>42</v>
      </c>
      <c r="S807" s="36" t="str">
        <f>VLOOKUP(Tabla91116[[#This Row],[CODIGO DEL PRODUCTO]],Tabla797[],2,FALSE)</f>
        <v>ARENA FINA</v>
      </c>
      <c r="T807" s="37">
        <v>35.78</v>
      </c>
    </row>
    <row r="808" spans="8:21" x14ac:dyDescent="0.25">
      <c r="H808" s="34"/>
      <c r="I808" s="34"/>
      <c r="J808" s="35"/>
      <c r="K808" s="36"/>
      <c r="L808" s="39" t="e">
        <f>VLOOKUP(Tabla81015[[#This Row],[CODIGO DEL PRODUCTO]],Tabla797[],2,FALSE)</f>
        <v>#N/A</v>
      </c>
      <c r="M808" s="37"/>
      <c r="N808" s="158"/>
      <c r="O808" s="76">
        <v>104083</v>
      </c>
      <c r="P808" s="78" t="s">
        <v>683</v>
      </c>
      <c r="Q808" s="77">
        <v>46134</v>
      </c>
      <c r="R808" s="78" t="s">
        <v>42</v>
      </c>
      <c r="S808" s="36" t="str">
        <f>VLOOKUP(Tabla91116[[#This Row],[CODIGO DEL PRODUCTO]],Tabla797[],2,FALSE)</f>
        <v>ARENA FINA</v>
      </c>
      <c r="T808" s="37">
        <v>35.159999999999997</v>
      </c>
    </row>
    <row r="809" spans="8:21" x14ac:dyDescent="0.25">
      <c r="H809" s="34"/>
      <c r="I809" s="34"/>
      <c r="J809" s="35"/>
      <c r="K809" s="36"/>
      <c r="L809" s="39" t="e">
        <f>VLOOKUP(Tabla81015[[#This Row],[CODIGO DEL PRODUCTO]],Tabla797[],2,FALSE)</f>
        <v>#N/A</v>
      </c>
      <c r="M809" s="37"/>
      <c r="N809" s="158"/>
      <c r="O809" s="76">
        <v>104088</v>
      </c>
      <c r="P809" s="78" t="s">
        <v>683</v>
      </c>
      <c r="Q809" s="77">
        <v>46134</v>
      </c>
      <c r="R809" s="78" t="s">
        <v>42</v>
      </c>
      <c r="S809" s="36" t="str">
        <f>VLOOKUP(Tabla91116[[#This Row],[CODIGO DEL PRODUCTO]],Tabla797[],2,FALSE)</f>
        <v>ARENA FINA</v>
      </c>
      <c r="T809" s="37">
        <v>36</v>
      </c>
    </row>
    <row r="810" spans="8:21" x14ac:dyDescent="0.25">
      <c r="H810" s="34"/>
      <c r="I810" s="34"/>
      <c r="J810" s="35"/>
      <c r="K810" s="36"/>
      <c r="L810" s="39" t="e">
        <f>VLOOKUP(Tabla81015[[#This Row],[CODIGO DEL PRODUCTO]],Tabla797[],2,FALSE)</f>
        <v>#N/A</v>
      </c>
      <c r="M810" s="37"/>
      <c r="N810" s="158"/>
      <c r="O810" s="76">
        <v>104091</v>
      </c>
      <c r="P810" s="78" t="s">
        <v>683</v>
      </c>
      <c r="Q810" s="77">
        <v>46134</v>
      </c>
      <c r="R810" s="78" t="s">
        <v>42</v>
      </c>
      <c r="S810" s="36" t="str">
        <f>VLOOKUP(Tabla91116[[#This Row],[CODIGO DEL PRODUCTO]],Tabla797[],2,FALSE)</f>
        <v>ARENA FINA</v>
      </c>
      <c r="T810" s="37">
        <v>36.32</v>
      </c>
    </row>
    <row r="811" spans="8:21" x14ac:dyDescent="0.25">
      <c r="H811" s="34"/>
      <c r="I811" s="34"/>
      <c r="J811" s="35"/>
      <c r="K811" s="36"/>
      <c r="L811" s="39" t="e">
        <f>VLOOKUP(Tabla81015[[#This Row],[CODIGO DEL PRODUCTO]],Tabla797[],2,FALSE)</f>
        <v>#N/A</v>
      </c>
      <c r="M811" s="37"/>
      <c r="N811" s="158"/>
      <c r="O811" s="76">
        <v>109012</v>
      </c>
      <c r="P811" s="78" t="s">
        <v>684</v>
      </c>
      <c r="Q811" s="77">
        <v>46134</v>
      </c>
      <c r="R811" s="78" t="s">
        <v>43</v>
      </c>
      <c r="S811" s="36" t="str">
        <f>VLOOKUP(Tabla91116[[#This Row],[CODIGO DEL PRODUCTO]],Tabla797[],2,FALSE)</f>
        <v>PIEDRA 6-20</v>
      </c>
      <c r="T811" s="37">
        <v>35.14</v>
      </c>
    </row>
    <row r="812" spans="8:21" x14ac:dyDescent="0.25">
      <c r="H812" s="34"/>
      <c r="I812" s="34"/>
      <c r="J812" s="35"/>
      <c r="K812" s="36"/>
      <c r="L812" s="39" t="e">
        <f>VLOOKUP(Tabla81015[[#This Row],[CODIGO DEL PRODUCTO]],Tabla797[],2,FALSE)</f>
        <v>#N/A</v>
      </c>
      <c r="M812" s="37"/>
      <c r="N812" s="158"/>
      <c r="O812" s="76">
        <v>109018</v>
      </c>
      <c r="P812" s="78" t="s">
        <v>684</v>
      </c>
      <c r="Q812" s="77">
        <v>46134</v>
      </c>
      <c r="R812" s="78" t="s">
        <v>40</v>
      </c>
      <c r="S812" s="36" t="str">
        <f>VLOOKUP(Tabla91116[[#This Row],[CODIGO DEL PRODUCTO]],Tabla797[],2,FALSE)</f>
        <v>PIEDRA 0-6</v>
      </c>
      <c r="T812" s="37">
        <v>34.92</v>
      </c>
    </row>
    <row r="813" spans="8:21" x14ac:dyDescent="0.25">
      <c r="H813" s="34"/>
      <c r="I813" s="34"/>
      <c r="J813" s="35"/>
      <c r="K813" s="36"/>
      <c r="L813" s="39" t="e">
        <f>VLOOKUP(Tabla81015[[#This Row],[CODIGO DEL PRODUCTO]],Tabla797[],2,FALSE)</f>
        <v>#N/A</v>
      </c>
      <c r="M813" s="37"/>
      <c r="N813" s="158"/>
      <c r="O813" s="76">
        <v>109021</v>
      </c>
      <c r="P813" s="78" t="s">
        <v>684</v>
      </c>
      <c r="Q813" s="77">
        <v>46134</v>
      </c>
      <c r="R813" s="78" t="s">
        <v>43</v>
      </c>
      <c r="S813" s="36" t="str">
        <f>VLOOKUP(Tabla91116[[#This Row],[CODIGO DEL PRODUCTO]],Tabla797[],2,FALSE)</f>
        <v>PIEDRA 6-20</v>
      </c>
      <c r="T813" s="37">
        <v>35.880000000000003</v>
      </c>
      <c r="U813" s="7"/>
    </row>
    <row r="814" spans="8:21" x14ac:dyDescent="0.25">
      <c r="H814" s="34"/>
      <c r="I814" s="34"/>
      <c r="J814" s="35"/>
      <c r="K814" s="36"/>
      <c r="L814" s="39" t="e">
        <f>VLOOKUP(Tabla81015[[#This Row],[CODIGO DEL PRODUCTO]],Tabla797[],2,FALSE)</f>
        <v>#N/A</v>
      </c>
      <c r="M814" s="37"/>
      <c r="N814" s="158"/>
      <c r="O814" s="76">
        <v>109023</v>
      </c>
      <c r="P814" s="78" t="s">
        <v>684</v>
      </c>
      <c r="Q814" s="77">
        <v>46134</v>
      </c>
      <c r="R814" s="78" t="s">
        <v>43</v>
      </c>
      <c r="S814" s="36" t="str">
        <f>VLOOKUP(Tabla91116[[#This Row],[CODIGO DEL PRODUCTO]],Tabla797[],2,FALSE)</f>
        <v>PIEDRA 6-20</v>
      </c>
      <c r="T814" s="37">
        <v>36.72</v>
      </c>
    </row>
    <row r="815" spans="8:21" x14ac:dyDescent="0.25">
      <c r="H815" s="34"/>
      <c r="I815" s="34"/>
      <c r="J815" s="35"/>
      <c r="K815" s="36"/>
      <c r="L815" s="39" t="e">
        <f>VLOOKUP(Tabla81015[[#This Row],[CODIGO DEL PRODUCTO]],Tabla797[],2,FALSE)</f>
        <v>#N/A</v>
      </c>
      <c r="M815" s="37"/>
      <c r="N815" s="158"/>
      <c r="O815" s="76">
        <v>109024</v>
      </c>
      <c r="P815" s="78" t="s">
        <v>684</v>
      </c>
      <c r="Q815" s="77">
        <v>46134</v>
      </c>
      <c r="R815" s="78" t="s">
        <v>43</v>
      </c>
      <c r="S815" s="36" t="str">
        <f>VLOOKUP(Tabla91116[[#This Row],[CODIGO DEL PRODUCTO]],Tabla797[],2,FALSE)</f>
        <v>PIEDRA 6-20</v>
      </c>
      <c r="T815" s="37">
        <v>35.92</v>
      </c>
    </row>
    <row r="816" spans="8:21" x14ac:dyDescent="0.25">
      <c r="H816" s="34"/>
      <c r="I816" s="34"/>
      <c r="J816" s="35"/>
      <c r="K816" s="36"/>
      <c r="L816" s="39" t="e">
        <f>VLOOKUP(Tabla81015[[#This Row],[CODIGO DEL PRODUCTO]],Tabla797[],2,FALSE)</f>
        <v>#N/A</v>
      </c>
      <c r="M816" s="37"/>
      <c r="N816" s="158"/>
      <c r="O816" s="76">
        <v>109025</v>
      </c>
      <c r="P816" s="78" t="s">
        <v>684</v>
      </c>
      <c r="Q816" s="77">
        <v>46134</v>
      </c>
      <c r="R816" s="78" t="s">
        <v>40</v>
      </c>
      <c r="S816" s="36" t="str">
        <f>VLOOKUP(Tabla91116[[#This Row],[CODIGO DEL PRODUCTO]],Tabla797[],2,FALSE)</f>
        <v>PIEDRA 0-6</v>
      </c>
      <c r="T816" s="37">
        <v>34.659999999999997</v>
      </c>
    </row>
    <row r="817" spans="8:21" x14ac:dyDescent="0.25">
      <c r="H817" s="34"/>
      <c r="I817" s="34"/>
      <c r="J817" s="35"/>
      <c r="K817" s="36"/>
      <c r="L817" s="39" t="e">
        <f>VLOOKUP(Tabla81015[[#This Row],[CODIGO DEL PRODUCTO]],Tabla797[],2,FALSE)</f>
        <v>#N/A</v>
      </c>
      <c r="M817" s="37"/>
      <c r="N817" s="158"/>
      <c r="O817" s="76">
        <v>109026</v>
      </c>
      <c r="P817" s="78" t="s">
        <v>684</v>
      </c>
      <c r="Q817" s="77">
        <v>46134</v>
      </c>
      <c r="R817" s="78" t="s">
        <v>40</v>
      </c>
      <c r="S817" s="36" t="str">
        <f>VLOOKUP(Tabla91116[[#This Row],[CODIGO DEL PRODUCTO]],Tabla797[],2,FALSE)</f>
        <v>PIEDRA 0-6</v>
      </c>
      <c r="T817" s="37">
        <v>35.58</v>
      </c>
    </row>
    <row r="818" spans="8:21" x14ac:dyDescent="0.25">
      <c r="H818" s="34"/>
      <c r="I818" s="34"/>
      <c r="J818" s="35"/>
      <c r="K818" s="36"/>
      <c r="L818" s="39" t="e">
        <f>VLOOKUP(Tabla81015[[#This Row],[CODIGO DEL PRODUCTO]],Tabla797[],2,FALSE)</f>
        <v>#N/A</v>
      </c>
      <c r="M818" s="37"/>
      <c r="N818" s="158"/>
      <c r="O818" s="76">
        <v>109028</v>
      </c>
      <c r="P818" s="78" t="s">
        <v>684</v>
      </c>
      <c r="Q818" s="77">
        <v>46134</v>
      </c>
      <c r="R818" s="78" t="s">
        <v>40</v>
      </c>
      <c r="S818" s="36" t="str">
        <f>VLOOKUP(Tabla91116[[#This Row],[CODIGO DEL PRODUCTO]],Tabla797[],2,FALSE)</f>
        <v>PIEDRA 0-6</v>
      </c>
      <c r="T818" s="37">
        <v>34.119999999999997</v>
      </c>
    </row>
    <row r="819" spans="8:21" x14ac:dyDescent="0.25">
      <c r="H819" s="34"/>
      <c r="I819" s="34"/>
      <c r="J819" s="35"/>
      <c r="K819" s="36"/>
      <c r="L819" s="39" t="e">
        <f>VLOOKUP(Tabla81015[[#This Row],[CODIGO DEL PRODUCTO]],Tabla797[],2,FALSE)</f>
        <v>#N/A</v>
      </c>
      <c r="M819" s="37"/>
      <c r="N819" s="158"/>
      <c r="O819" s="76">
        <v>2703294</v>
      </c>
      <c r="P819" s="78" t="s">
        <v>679</v>
      </c>
      <c r="Q819" s="77">
        <v>46134</v>
      </c>
      <c r="R819" s="78" t="s">
        <v>286</v>
      </c>
      <c r="S819" s="36" t="str">
        <f>VLOOKUP(Tabla91116[[#This Row],[CODIGO DEL PRODUCTO]],Tabla797[],2,FALSE)</f>
        <v>CPF 40 AVELLANEDA</v>
      </c>
      <c r="T819" s="37">
        <v>35.46</v>
      </c>
    </row>
    <row r="820" spans="8:21" x14ac:dyDescent="0.25">
      <c r="H820" s="34"/>
      <c r="I820" s="34"/>
      <c r="J820" s="35"/>
      <c r="K820" s="36"/>
      <c r="L820" s="39" t="e">
        <f>VLOOKUP(Tabla81015[[#This Row],[CODIGO DEL PRODUCTO]],Tabla797[],2,FALSE)</f>
        <v>#N/A</v>
      </c>
      <c r="M820" s="37"/>
      <c r="N820" s="158"/>
      <c r="O820" s="76">
        <v>104097</v>
      </c>
      <c r="P820" s="78" t="s">
        <v>683</v>
      </c>
      <c r="Q820" s="77">
        <v>46135</v>
      </c>
      <c r="R820" s="78" t="s">
        <v>42</v>
      </c>
      <c r="S820" s="36" t="str">
        <f>VLOOKUP(Tabla91116[[#This Row],[CODIGO DEL PRODUCTO]],Tabla797[],2,FALSE)</f>
        <v>ARENA FINA</v>
      </c>
      <c r="T820" s="37">
        <v>35.6</v>
      </c>
    </row>
    <row r="821" spans="8:21" x14ac:dyDescent="0.25">
      <c r="H821" s="34"/>
      <c r="I821" s="34"/>
      <c r="J821" s="35"/>
      <c r="K821" s="36"/>
      <c r="L821" s="39" t="e">
        <f>VLOOKUP(Tabla81015[[#This Row],[CODIGO DEL PRODUCTO]],Tabla797[],2,FALSE)</f>
        <v>#N/A</v>
      </c>
      <c r="M821" s="37"/>
      <c r="N821" s="158"/>
      <c r="O821" s="76">
        <v>104100</v>
      </c>
      <c r="P821" s="78" t="s">
        <v>683</v>
      </c>
      <c r="Q821" s="77">
        <v>46135</v>
      </c>
      <c r="R821" s="78" t="s">
        <v>42</v>
      </c>
      <c r="S821" s="36" t="str">
        <f>VLOOKUP(Tabla91116[[#This Row],[CODIGO DEL PRODUCTO]],Tabla797[],2,FALSE)</f>
        <v>ARENA FINA</v>
      </c>
      <c r="T821" s="37">
        <v>35.92</v>
      </c>
    </row>
    <row r="822" spans="8:21" x14ac:dyDescent="0.25">
      <c r="H822" s="34"/>
      <c r="I822" s="34"/>
      <c r="J822" s="35"/>
      <c r="K822" s="36"/>
      <c r="L822" s="39" t="e">
        <f>VLOOKUP(Tabla81015[[#This Row],[CODIGO DEL PRODUCTO]],Tabla797[],2,FALSE)</f>
        <v>#N/A</v>
      </c>
      <c r="M822" s="37"/>
      <c r="N822" s="158"/>
      <c r="O822" s="76">
        <v>104106</v>
      </c>
      <c r="P822" s="78" t="s">
        <v>683</v>
      </c>
      <c r="Q822" s="77">
        <v>46135</v>
      </c>
      <c r="R822" s="78" t="s">
        <v>42</v>
      </c>
      <c r="S822" s="36" t="str">
        <f>VLOOKUP(Tabla91116[[#This Row],[CODIGO DEL PRODUCTO]],Tabla797[],2,FALSE)</f>
        <v>ARENA FINA</v>
      </c>
      <c r="T822" s="37">
        <v>36.380000000000003</v>
      </c>
    </row>
    <row r="823" spans="8:21" x14ac:dyDescent="0.25">
      <c r="H823" s="34"/>
      <c r="I823" s="34"/>
      <c r="J823" s="35"/>
      <c r="K823" s="36"/>
      <c r="L823" s="39" t="e">
        <f>VLOOKUP(Tabla81015[[#This Row],[CODIGO DEL PRODUCTO]],Tabla797[],2,FALSE)</f>
        <v>#N/A</v>
      </c>
      <c r="M823" s="37"/>
      <c r="N823" s="158"/>
      <c r="O823" s="76">
        <v>104110</v>
      </c>
      <c r="P823" s="78" t="s">
        <v>683</v>
      </c>
      <c r="Q823" s="77">
        <v>46135</v>
      </c>
      <c r="R823" s="78" t="s">
        <v>42</v>
      </c>
      <c r="S823" s="36" t="str">
        <f>VLOOKUP(Tabla91116[[#This Row],[CODIGO DEL PRODUCTO]],Tabla797[],2,FALSE)</f>
        <v>ARENA FINA</v>
      </c>
      <c r="T823" s="37">
        <v>34.78</v>
      </c>
    </row>
    <row r="824" spans="8:21" x14ac:dyDescent="0.25">
      <c r="H824" s="34"/>
      <c r="I824" s="34"/>
      <c r="J824" s="35"/>
      <c r="K824" s="36"/>
      <c r="L824" s="39" t="e">
        <f>VLOOKUP(Tabla81015[[#This Row],[CODIGO DEL PRODUCTO]],Tabla797[],2,FALSE)</f>
        <v>#N/A</v>
      </c>
      <c r="M824" s="37"/>
      <c r="N824" s="158"/>
      <c r="O824" s="76">
        <v>109033</v>
      </c>
      <c r="P824" s="78" t="s">
        <v>684</v>
      </c>
      <c r="Q824" s="77">
        <v>46135</v>
      </c>
      <c r="R824" s="78" t="s">
        <v>43</v>
      </c>
      <c r="S824" s="36" t="str">
        <f>VLOOKUP(Tabla91116[[#This Row],[CODIGO DEL PRODUCTO]],Tabla797[],2,FALSE)</f>
        <v>PIEDRA 6-20</v>
      </c>
      <c r="T824" s="37">
        <v>35.58</v>
      </c>
    </row>
    <row r="825" spans="8:21" x14ac:dyDescent="0.25">
      <c r="H825" s="34"/>
      <c r="I825" s="34"/>
      <c r="J825" s="35"/>
      <c r="K825" s="36"/>
      <c r="L825" s="39" t="e">
        <f>VLOOKUP(Tabla81015[[#This Row],[CODIGO DEL PRODUCTO]],Tabla797[],2,FALSE)</f>
        <v>#N/A</v>
      </c>
      <c r="M825" s="37"/>
      <c r="N825" s="158"/>
      <c r="O825" s="76">
        <v>109039</v>
      </c>
      <c r="P825" s="78" t="s">
        <v>684</v>
      </c>
      <c r="Q825" s="77">
        <v>46135</v>
      </c>
      <c r="R825" s="78" t="s">
        <v>40</v>
      </c>
      <c r="S825" s="36" t="str">
        <f>VLOOKUP(Tabla91116[[#This Row],[CODIGO DEL PRODUCTO]],Tabla797[],2,FALSE)</f>
        <v>PIEDRA 0-6</v>
      </c>
      <c r="T825" s="37">
        <v>34.880000000000003</v>
      </c>
    </row>
    <row r="826" spans="8:21" x14ac:dyDescent="0.25">
      <c r="H826" s="34"/>
      <c r="I826" s="34"/>
      <c r="J826" s="35"/>
      <c r="K826" s="36"/>
      <c r="L826" s="39" t="e">
        <f>VLOOKUP(Tabla81015[[#This Row],[CODIGO DEL PRODUCTO]],Tabla797[],2,FALSE)</f>
        <v>#N/A</v>
      </c>
      <c r="M826" s="37"/>
      <c r="N826" s="158"/>
      <c r="O826" s="76">
        <v>109045</v>
      </c>
      <c r="P826" s="78" t="s">
        <v>684</v>
      </c>
      <c r="Q826" s="77">
        <v>46135</v>
      </c>
      <c r="R826" s="78" t="s">
        <v>43</v>
      </c>
      <c r="S826" s="36" t="str">
        <f>VLOOKUP(Tabla91116[[#This Row],[CODIGO DEL PRODUCTO]],Tabla797[],2,FALSE)</f>
        <v>PIEDRA 6-20</v>
      </c>
      <c r="T826" s="37">
        <v>35.799999999999997</v>
      </c>
    </row>
    <row r="827" spans="8:21" x14ac:dyDescent="0.25">
      <c r="H827" s="34"/>
      <c r="I827" s="34"/>
      <c r="J827" s="35"/>
      <c r="K827" s="36"/>
      <c r="L827" s="39" t="e">
        <f>VLOOKUP(Tabla81015[[#This Row],[CODIGO DEL PRODUCTO]],Tabla797[],2,FALSE)</f>
        <v>#N/A</v>
      </c>
      <c r="M827" s="37"/>
      <c r="N827" s="158"/>
      <c r="O827" s="76">
        <v>109047</v>
      </c>
      <c r="P827" s="78" t="s">
        <v>684</v>
      </c>
      <c r="Q827" s="77">
        <v>46135</v>
      </c>
      <c r="R827" s="78" t="s">
        <v>43</v>
      </c>
      <c r="S827" s="36" t="str">
        <f>VLOOKUP(Tabla91116[[#This Row],[CODIGO DEL PRODUCTO]],Tabla797[],2,FALSE)</f>
        <v>PIEDRA 6-20</v>
      </c>
      <c r="T827" s="37">
        <v>35.86</v>
      </c>
    </row>
    <row r="828" spans="8:21" x14ac:dyDescent="0.25">
      <c r="H828" s="34"/>
      <c r="I828" s="34"/>
      <c r="J828" s="35"/>
      <c r="K828" s="36"/>
      <c r="L828" s="39" t="e">
        <f>VLOOKUP(Tabla81015[[#This Row],[CODIGO DEL PRODUCTO]],Tabla797[],2,FALSE)</f>
        <v>#N/A</v>
      </c>
      <c r="M828" s="37"/>
      <c r="N828" s="158"/>
      <c r="O828" s="76">
        <v>109051</v>
      </c>
      <c r="P828" s="78" t="s">
        <v>684</v>
      </c>
      <c r="Q828" s="77">
        <v>46135</v>
      </c>
      <c r="R828" s="78" t="s">
        <v>43</v>
      </c>
      <c r="S828" s="36" t="str">
        <f>VLOOKUP(Tabla91116[[#This Row],[CODIGO DEL PRODUCTO]],Tabla797[],2,FALSE)</f>
        <v>PIEDRA 6-20</v>
      </c>
      <c r="T828" s="37">
        <v>35.78</v>
      </c>
    </row>
    <row r="829" spans="8:21" x14ac:dyDescent="0.25">
      <c r="H829" s="34"/>
      <c r="I829" s="34"/>
      <c r="J829" s="35"/>
      <c r="K829" s="36"/>
      <c r="L829" s="39" t="e">
        <f>VLOOKUP(Tabla81015[[#This Row],[CODIGO DEL PRODUCTO]],Tabla797[],2,FALSE)</f>
        <v>#N/A</v>
      </c>
      <c r="M829" s="37"/>
      <c r="N829" s="158"/>
      <c r="O829" s="76">
        <v>109055</v>
      </c>
      <c r="P829" s="78" t="s">
        <v>684</v>
      </c>
      <c r="Q829" s="77">
        <v>46135</v>
      </c>
      <c r="R829" s="78" t="s">
        <v>40</v>
      </c>
      <c r="S829" s="36" t="str">
        <f>VLOOKUP(Tabla91116[[#This Row],[CODIGO DEL PRODUCTO]],Tabla797[],2,FALSE)</f>
        <v>PIEDRA 0-6</v>
      </c>
      <c r="T829" s="37">
        <v>35.6</v>
      </c>
      <c r="U829" s="7"/>
    </row>
    <row r="830" spans="8:21" x14ac:dyDescent="0.25">
      <c r="H830" s="34"/>
      <c r="I830" s="34"/>
      <c r="J830" s="35"/>
      <c r="K830" s="36"/>
      <c r="L830" s="39" t="e">
        <f>VLOOKUP(Tabla81015[[#This Row],[CODIGO DEL PRODUCTO]],Tabla797[],2,FALSE)</f>
        <v>#N/A</v>
      </c>
      <c r="M830" s="37"/>
      <c r="N830" s="158"/>
      <c r="O830" s="76">
        <v>109056</v>
      </c>
      <c r="P830" s="78" t="s">
        <v>684</v>
      </c>
      <c r="Q830" s="77">
        <v>46135</v>
      </c>
      <c r="R830" s="78" t="s">
        <v>43</v>
      </c>
      <c r="S830" s="36" t="str">
        <f>VLOOKUP(Tabla91116[[#This Row],[CODIGO DEL PRODUCTO]],Tabla797[],2,FALSE)</f>
        <v>PIEDRA 6-20</v>
      </c>
      <c r="T830" s="37">
        <v>35.24</v>
      </c>
    </row>
    <row r="831" spans="8:21" x14ac:dyDescent="0.25">
      <c r="H831" s="34"/>
      <c r="I831" s="34"/>
      <c r="J831" s="35"/>
      <c r="K831" s="36"/>
      <c r="L831" s="39" t="e">
        <f>VLOOKUP(Tabla81015[[#This Row],[CODIGO DEL PRODUCTO]],Tabla797[],2,FALSE)</f>
        <v>#N/A</v>
      </c>
      <c r="M831" s="37"/>
      <c r="N831" s="158"/>
      <c r="O831" s="76">
        <v>109057</v>
      </c>
      <c r="P831" s="78" t="s">
        <v>684</v>
      </c>
      <c r="Q831" s="77">
        <v>46135</v>
      </c>
      <c r="R831" s="78" t="s">
        <v>40</v>
      </c>
      <c r="S831" s="36" t="str">
        <f>VLOOKUP(Tabla91116[[#This Row],[CODIGO DEL PRODUCTO]],Tabla797[],2,FALSE)</f>
        <v>PIEDRA 0-6</v>
      </c>
      <c r="T831" s="37">
        <v>36.14</v>
      </c>
    </row>
    <row r="832" spans="8:21" x14ac:dyDescent="0.25">
      <c r="H832" s="34"/>
      <c r="I832" s="34"/>
      <c r="J832" s="35"/>
      <c r="K832" s="36"/>
      <c r="L832" s="39" t="e">
        <f>VLOOKUP(Tabla81015[[#This Row],[CODIGO DEL PRODUCTO]],Tabla797[],2,FALSE)</f>
        <v>#N/A</v>
      </c>
      <c r="M832" s="37"/>
      <c r="N832" s="158"/>
      <c r="O832" s="76">
        <v>109058</v>
      </c>
      <c r="P832" s="78" t="s">
        <v>684</v>
      </c>
      <c r="Q832" s="77">
        <v>46135</v>
      </c>
      <c r="R832" s="78" t="s">
        <v>40</v>
      </c>
      <c r="S832" s="36" t="str">
        <f>VLOOKUP(Tabla91116[[#This Row],[CODIGO DEL PRODUCTO]],Tabla797[],2,FALSE)</f>
        <v>PIEDRA 0-6</v>
      </c>
      <c r="T832" s="37">
        <v>36.14</v>
      </c>
    </row>
    <row r="833" spans="8:20" x14ac:dyDescent="0.25">
      <c r="H833" s="34"/>
      <c r="I833" s="34"/>
      <c r="J833" s="35"/>
      <c r="K833" s="36"/>
      <c r="L833" s="39" t="e">
        <f>VLOOKUP(Tabla81015[[#This Row],[CODIGO DEL PRODUCTO]],Tabla797[],2,FALSE)</f>
        <v>#N/A</v>
      </c>
      <c r="M833" s="37"/>
      <c r="N833" s="158"/>
      <c r="O833" s="76">
        <v>2703527</v>
      </c>
      <c r="P833" s="78" t="s">
        <v>679</v>
      </c>
      <c r="Q833" s="77">
        <v>46135</v>
      </c>
      <c r="R833" s="78" t="s">
        <v>286</v>
      </c>
      <c r="S833" s="36" t="str">
        <f>VLOOKUP(Tabla91116[[#This Row],[CODIGO DEL PRODUCTO]],Tabla797[],2,FALSE)</f>
        <v>CPF 40 AVELLANEDA</v>
      </c>
      <c r="T833" s="37">
        <v>35.299999999999997</v>
      </c>
    </row>
    <row r="834" spans="8:20" x14ac:dyDescent="0.25">
      <c r="H834" s="34"/>
      <c r="I834" s="34"/>
      <c r="J834" s="35"/>
      <c r="K834" s="36"/>
      <c r="L834" s="39" t="e">
        <f>VLOOKUP(Tabla81015[[#This Row],[CODIGO DEL PRODUCTO]],Tabla797[],2,FALSE)</f>
        <v>#N/A</v>
      </c>
      <c r="M834" s="37"/>
      <c r="N834" s="158"/>
      <c r="O834" s="76">
        <v>104119</v>
      </c>
      <c r="P834" s="78" t="s">
        <v>683</v>
      </c>
      <c r="Q834" s="77">
        <v>46136</v>
      </c>
      <c r="R834" s="78" t="s">
        <v>42</v>
      </c>
      <c r="S834" s="36" t="str">
        <f>VLOOKUP(Tabla91116[[#This Row],[CODIGO DEL PRODUCTO]],Tabla797[],2,FALSE)</f>
        <v>ARENA FINA</v>
      </c>
      <c r="T834" s="37">
        <v>37.44</v>
      </c>
    </row>
    <row r="835" spans="8:20" x14ac:dyDescent="0.25">
      <c r="H835" s="34"/>
      <c r="I835" s="34"/>
      <c r="J835" s="35"/>
      <c r="K835" s="36"/>
      <c r="L835" s="39" t="e">
        <f>VLOOKUP(Tabla81015[[#This Row],[CODIGO DEL PRODUCTO]],Tabla797[],2,FALSE)</f>
        <v>#N/A</v>
      </c>
      <c r="M835" s="37"/>
      <c r="N835" s="158"/>
      <c r="O835" s="76">
        <v>104120</v>
      </c>
      <c r="P835" s="78" t="s">
        <v>683</v>
      </c>
      <c r="Q835" s="77">
        <v>46136</v>
      </c>
      <c r="R835" s="78" t="s">
        <v>42</v>
      </c>
      <c r="S835" s="36" t="str">
        <f>VLOOKUP(Tabla91116[[#This Row],[CODIGO DEL PRODUCTO]],Tabla797[],2,FALSE)</f>
        <v>ARENA FINA</v>
      </c>
      <c r="T835" s="37">
        <v>35.479999999999997</v>
      </c>
    </row>
    <row r="836" spans="8:20" x14ac:dyDescent="0.25">
      <c r="H836" s="34"/>
      <c r="I836" s="34"/>
      <c r="J836" s="35"/>
      <c r="K836" s="36"/>
      <c r="L836" s="39" t="e">
        <f>VLOOKUP(Tabla81015[[#This Row],[CODIGO DEL PRODUCTO]],Tabla797[],2,FALSE)</f>
        <v>#N/A</v>
      </c>
      <c r="M836" s="37"/>
      <c r="N836" s="158"/>
      <c r="O836" s="76">
        <v>104128</v>
      </c>
      <c r="P836" s="78" t="s">
        <v>683</v>
      </c>
      <c r="Q836" s="77">
        <v>46136</v>
      </c>
      <c r="R836" s="78" t="s">
        <v>42</v>
      </c>
      <c r="S836" s="36" t="str">
        <f>VLOOKUP(Tabla91116[[#This Row],[CODIGO DEL PRODUCTO]],Tabla797[],2,FALSE)</f>
        <v>ARENA FINA</v>
      </c>
      <c r="T836" s="37">
        <v>36.24</v>
      </c>
    </row>
    <row r="837" spans="8:20" x14ac:dyDescent="0.25">
      <c r="H837" s="34"/>
      <c r="I837" s="34"/>
      <c r="J837" s="35"/>
      <c r="K837" s="36"/>
      <c r="L837" s="39" t="e">
        <f>VLOOKUP(Tabla81015[[#This Row],[CODIGO DEL PRODUCTO]],Tabla797[],2,FALSE)</f>
        <v>#N/A</v>
      </c>
      <c r="M837" s="37"/>
      <c r="N837" s="158"/>
      <c r="O837" s="76">
        <v>104129</v>
      </c>
      <c r="P837" s="78" t="s">
        <v>683</v>
      </c>
      <c r="Q837" s="77">
        <v>46136</v>
      </c>
      <c r="R837" s="78" t="s">
        <v>42</v>
      </c>
      <c r="S837" s="36" t="str">
        <f>VLOOKUP(Tabla91116[[#This Row],[CODIGO DEL PRODUCTO]],Tabla797[],2,FALSE)</f>
        <v>ARENA FINA</v>
      </c>
      <c r="T837" s="37">
        <v>35.44</v>
      </c>
    </row>
    <row r="838" spans="8:20" x14ac:dyDescent="0.25">
      <c r="H838" s="34"/>
      <c r="I838" s="34"/>
      <c r="J838" s="35"/>
      <c r="K838" s="36"/>
      <c r="L838" s="39" t="e">
        <f>VLOOKUP(Tabla81015[[#This Row],[CODIGO DEL PRODUCTO]],Tabla797[],2,FALSE)</f>
        <v>#N/A</v>
      </c>
      <c r="M838" s="37"/>
      <c r="N838" s="158"/>
      <c r="O838" s="76">
        <v>109063</v>
      </c>
      <c r="P838" s="78" t="s">
        <v>684</v>
      </c>
      <c r="Q838" s="77">
        <v>46136</v>
      </c>
      <c r="R838" s="78" t="s">
        <v>43</v>
      </c>
      <c r="S838" s="36" t="str">
        <f>VLOOKUP(Tabla91116[[#This Row],[CODIGO DEL PRODUCTO]],Tabla797[],2,FALSE)</f>
        <v>PIEDRA 6-20</v>
      </c>
      <c r="T838" s="37">
        <v>35.479999999999997</v>
      </c>
    </row>
    <row r="839" spans="8:20" x14ac:dyDescent="0.25">
      <c r="H839" s="34"/>
      <c r="I839" s="34"/>
      <c r="J839" s="35"/>
      <c r="K839" s="36"/>
      <c r="L839" s="39" t="e">
        <f>VLOOKUP(Tabla81015[[#This Row],[CODIGO DEL PRODUCTO]],Tabla797[],2,FALSE)</f>
        <v>#N/A</v>
      </c>
      <c r="M839" s="37"/>
      <c r="N839" s="158"/>
      <c r="O839" s="76">
        <v>109067</v>
      </c>
      <c r="P839" s="78" t="s">
        <v>684</v>
      </c>
      <c r="Q839" s="77">
        <v>46136</v>
      </c>
      <c r="R839" s="78" t="s">
        <v>40</v>
      </c>
      <c r="S839" s="36" t="str">
        <f>VLOOKUP(Tabla91116[[#This Row],[CODIGO DEL PRODUCTO]],Tabla797[],2,FALSE)</f>
        <v>PIEDRA 0-6</v>
      </c>
      <c r="T839" s="37">
        <v>35.299999999999997</v>
      </c>
    </row>
    <row r="840" spans="8:20" x14ac:dyDescent="0.25">
      <c r="H840" s="34"/>
      <c r="I840" s="34"/>
      <c r="J840" s="35"/>
      <c r="K840" s="36"/>
      <c r="L840" s="39" t="e">
        <f>VLOOKUP(Tabla81015[[#This Row],[CODIGO DEL PRODUCTO]],Tabla797[],2,FALSE)</f>
        <v>#N/A</v>
      </c>
      <c r="M840" s="37"/>
      <c r="N840" s="158"/>
      <c r="O840" s="76">
        <v>109072</v>
      </c>
      <c r="P840" s="78" t="s">
        <v>684</v>
      </c>
      <c r="Q840" s="77">
        <v>46136</v>
      </c>
      <c r="R840" s="78" t="s">
        <v>43</v>
      </c>
      <c r="S840" s="36" t="str">
        <f>VLOOKUP(Tabla91116[[#This Row],[CODIGO DEL PRODUCTO]],Tabla797[],2,FALSE)</f>
        <v>PIEDRA 6-20</v>
      </c>
      <c r="T840" s="37">
        <v>35.24</v>
      </c>
    </row>
    <row r="841" spans="8:20" x14ac:dyDescent="0.25">
      <c r="H841" s="34"/>
      <c r="I841" s="34"/>
      <c r="J841" s="35"/>
      <c r="K841" s="36"/>
      <c r="L841" s="39" t="e">
        <f>VLOOKUP(Tabla81015[[#This Row],[CODIGO DEL PRODUCTO]],Tabla797[],2,FALSE)</f>
        <v>#N/A</v>
      </c>
      <c r="M841" s="37"/>
      <c r="N841" s="158"/>
      <c r="O841" s="76">
        <v>109073</v>
      </c>
      <c r="P841" s="78" t="s">
        <v>684</v>
      </c>
      <c r="Q841" s="77">
        <v>46136</v>
      </c>
      <c r="R841" s="78" t="s">
        <v>40</v>
      </c>
      <c r="S841" s="36" t="str">
        <f>VLOOKUP(Tabla91116[[#This Row],[CODIGO DEL PRODUCTO]],Tabla797[],2,FALSE)</f>
        <v>PIEDRA 0-6</v>
      </c>
      <c r="T841" s="37">
        <v>33.799999999999997</v>
      </c>
    </row>
    <row r="842" spans="8:20" x14ac:dyDescent="0.25">
      <c r="H842" s="34"/>
      <c r="I842" s="34"/>
      <c r="J842" s="35"/>
      <c r="K842" s="36"/>
      <c r="L842" s="39" t="e">
        <f>VLOOKUP(Tabla81015[[#This Row],[CODIGO DEL PRODUCTO]],Tabla797[],2,FALSE)</f>
        <v>#N/A</v>
      </c>
      <c r="M842" s="37"/>
      <c r="N842" s="158"/>
      <c r="O842" s="76">
        <v>109074</v>
      </c>
      <c r="P842" s="78" t="s">
        <v>684</v>
      </c>
      <c r="Q842" s="77">
        <v>46136</v>
      </c>
      <c r="R842" s="78" t="s">
        <v>43</v>
      </c>
      <c r="S842" s="36" t="str">
        <f>VLOOKUP(Tabla91116[[#This Row],[CODIGO DEL PRODUCTO]],Tabla797[],2,FALSE)</f>
        <v>PIEDRA 6-20</v>
      </c>
      <c r="T842" s="37">
        <v>34.840000000000003</v>
      </c>
    </row>
    <row r="843" spans="8:20" x14ac:dyDescent="0.25">
      <c r="H843" s="34"/>
      <c r="I843" s="34"/>
      <c r="J843" s="35"/>
      <c r="K843" s="36"/>
      <c r="L843" s="39" t="e">
        <f>VLOOKUP(Tabla81015[[#This Row],[CODIGO DEL PRODUCTO]],Tabla797[],2,FALSE)</f>
        <v>#N/A</v>
      </c>
      <c r="M843" s="37"/>
      <c r="N843" s="158"/>
      <c r="O843" s="76">
        <v>109079</v>
      </c>
      <c r="P843" s="78" t="s">
        <v>684</v>
      </c>
      <c r="Q843" s="77">
        <v>46136</v>
      </c>
      <c r="R843" s="78" t="s">
        <v>40</v>
      </c>
      <c r="S843" s="36" t="str">
        <f>VLOOKUP(Tabla91116[[#This Row],[CODIGO DEL PRODUCTO]],Tabla797[],2,FALSE)</f>
        <v>PIEDRA 0-6</v>
      </c>
      <c r="T843" s="37">
        <v>35.520000000000003</v>
      </c>
    </row>
    <row r="844" spans="8:20" x14ac:dyDescent="0.25">
      <c r="H844" s="34"/>
      <c r="I844" s="34"/>
      <c r="J844" s="35"/>
      <c r="K844" s="36"/>
      <c r="L844" s="39" t="e">
        <f>VLOOKUP(Tabla81015[[#This Row],[CODIGO DEL PRODUCTO]],Tabla797[],2,FALSE)</f>
        <v>#N/A</v>
      </c>
      <c r="M844" s="37"/>
      <c r="N844" s="158"/>
      <c r="O844" s="76">
        <v>109085</v>
      </c>
      <c r="P844" s="78" t="s">
        <v>684</v>
      </c>
      <c r="Q844" s="77">
        <v>46136</v>
      </c>
      <c r="R844" s="78" t="s">
        <v>40</v>
      </c>
      <c r="S844" s="36" t="str">
        <f>VLOOKUP(Tabla91116[[#This Row],[CODIGO DEL PRODUCTO]],Tabla797[],2,FALSE)</f>
        <v>PIEDRA 0-6</v>
      </c>
      <c r="T844" s="37">
        <v>35.96</v>
      </c>
    </row>
    <row r="845" spans="8:20" x14ac:dyDescent="0.25">
      <c r="H845" s="34"/>
      <c r="I845" s="34"/>
      <c r="J845" s="35"/>
      <c r="K845" s="36"/>
      <c r="L845" s="39" t="e">
        <f>VLOOKUP(Tabla81015[[#This Row],[CODIGO DEL PRODUCTO]],Tabla797[],2,FALSE)</f>
        <v>#N/A</v>
      </c>
      <c r="M845" s="37"/>
      <c r="N845" s="158"/>
      <c r="O845" s="76">
        <v>156457</v>
      </c>
      <c r="P845" s="78" t="s">
        <v>679</v>
      </c>
      <c r="Q845" s="77">
        <v>46136</v>
      </c>
      <c r="R845" s="78" t="s">
        <v>43</v>
      </c>
      <c r="S845" s="36" t="str">
        <f>VLOOKUP(Tabla91116[[#This Row],[CODIGO DEL PRODUCTO]],Tabla797[],2,FALSE)</f>
        <v>PIEDRA 6-20</v>
      </c>
      <c r="T845" s="37">
        <v>35.78</v>
      </c>
    </row>
    <row r="846" spans="8:20" x14ac:dyDescent="0.25">
      <c r="H846" s="34"/>
      <c r="I846" s="34"/>
      <c r="J846" s="35"/>
      <c r="K846" s="36"/>
      <c r="L846" s="39" t="e">
        <f>VLOOKUP(Tabla81015[[#This Row],[CODIGO DEL PRODUCTO]],Tabla797[],2,FALSE)</f>
        <v>#N/A</v>
      </c>
      <c r="M846" s="37"/>
      <c r="N846" s="158"/>
      <c r="O846" s="76">
        <v>156461</v>
      </c>
      <c r="P846" s="78" t="s">
        <v>679</v>
      </c>
      <c r="Q846" s="77">
        <v>46136</v>
      </c>
      <c r="R846" s="78" t="s">
        <v>43</v>
      </c>
      <c r="S846" s="36" t="str">
        <f>VLOOKUP(Tabla91116[[#This Row],[CODIGO DEL PRODUCTO]],Tabla797[],2,FALSE)</f>
        <v>PIEDRA 6-20</v>
      </c>
      <c r="T846" s="37">
        <v>35.299999999999997</v>
      </c>
    </row>
    <row r="847" spans="8:20" x14ac:dyDescent="0.25">
      <c r="H847" s="34"/>
      <c r="I847" s="34"/>
      <c r="J847" s="35"/>
      <c r="K847" s="36"/>
      <c r="L847" s="39" t="e">
        <f>VLOOKUP(Tabla81015[[#This Row],[CODIGO DEL PRODUCTO]],Tabla797[],2,FALSE)</f>
        <v>#N/A</v>
      </c>
      <c r="M847" s="37"/>
      <c r="N847" s="158"/>
      <c r="O847" s="76">
        <v>156464</v>
      </c>
      <c r="P847" s="78" t="s">
        <v>679</v>
      </c>
      <c r="Q847" s="77">
        <v>46136</v>
      </c>
      <c r="R847" s="78" t="s">
        <v>43</v>
      </c>
      <c r="S847" s="36" t="str">
        <f>VLOOKUP(Tabla91116[[#This Row],[CODIGO DEL PRODUCTO]],Tabla797[],2,FALSE)</f>
        <v>PIEDRA 6-20</v>
      </c>
      <c r="T847" s="37">
        <v>35.32</v>
      </c>
    </row>
    <row r="848" spans="8:20" x14ac:dyDescent="0.25">
      <c r="H848" s="34"/>
      <c r="I848" s="34"/>
      <c r="J848" s="35"/>
      <c r="K848" s="36"/>
      <c r="L848" s="39" t="e">
        <f>VLOOKUP(Tabla81015[[#This Row],[CODIGO DEL PRODUCTO]],Tabla797[],2,FALSE)</f>
        <v>#N/A</v>
      </c>
      <c r="M848" s="37"/>
      <c r="N848" s="158"/>
      <c r="O848" s="76">
        <v>2703757</v>
      </c>
      <c r="P848" s="78" t="s">
        <v>679</v>
      </c>
      <c r="Q848" s="77">
        <v>46136</v>
      </c>
      <c r="R848" s="78" t="s">
        <v>286</v>
      </c>
      <c r="S848" s="36" t="str">
        <f>VLOOKUP(Tabla91116[[#This Row],[CODIGO DEL PRODUCTO]],Tabla797[],2,FALSE)</f>
        <v>CPF 40 AVELLANEDA</v>
      </c>
      <c r="T848" s="37">
        <v>35.68</v>
      </c>
    </row>
    <row r="849" spans="8:23" x14ac:dyDescent="0.25">
      <c r="H849" s="34"/>
      <c r="I849" s="34"/>
      <c r="J849" s="35"/>
      <c r="K849" s="36"/>
      <c r="L849" s="39" t="e">
        <f>VLOOKUP(Tabla81015[[#This Row],[CODIGO DEL PRODUCTO]],Tabla797[],2,FALSE)</f>
        <v>#N/A</v>
      </c>
      <c r="M849" s="37"/>
      <c r="N849" s="158"/>
      <c r="O849" s="76">
        <v>104134</v>
      </c>
      <c r="P849" s="78" t="s">
        <v>683</v>
      </c>
      <c r="Q849" s="77">
        <v>46137</v>
      </c>
      <c r="R849" s="78" t="s">
        <v>42</v>
      </c>
      <c r="S849" s="36" t="str">
        <f>VLOOKUP(Tabla91116[[#This Row],[CODIGO DEL PRODUCTO]],Tabla797[],2,FALSE)</f>
        <v>ARENA FINA</v>
      </c>
      <c r="T849" s="37">
        <v>36.799999999999997</v>
      </c>
      <c r="U849" s="7">
        <v>46137</v>
      </c>
      <c r="V849" t="s">
        <v>788</v>
      </c>
      <c r="W849" t="s">
        <v>789</v>
      </c>
    </row>
    <row r="850" spans="8:23" x14ac:dyDescent="0.25">
      <c r="H850" s="34"/>
      <c r="I850" s="34"/>
      <c r="J850" s="35"/>
      <c r="K850" s="36"/>
      <c r="L850" s="39" t="e">
        <f>VLOOKUP(Tabla81015[[#This Row],[CODIGO DEL PRODUCTO]],Tabla797[],2,FALSE)</f>
        <v>#N/A</v>
      </c>
      <c r="M850" s="37"/>
      <c r="N850" s="158"/>
      <c r="O850" s="76">
        <v>109088</v>
      </c>
      <c r="P850" s="78" t="s">
        <v>684</v>
      </c>
      <c r="Q850" s="77">
        <v>46137</v>
      </c>
      <c r="R850" s="78" t="s">
        <v>43</v>
      </c>
      <c r="S850" s="36" t="str">
        <f>VLOOKUP(Tabla91116[[#This Row],[CODIGO DEL PRODUCTO]],Tabla797[],2,FALSE)</f>
        <v>PIEDRA 6-20</v>
      </c>
      <c r="T850" s="37">
        <v>35.26</v>
      </c>
    </row>
    <row r="851" spans="8:23" x14ac:dyDescent="0.25">
      <c r="H851" s="34"/>
      <c r="I851" s="34"/>
      <c r="J851" s="35"/>
      <c r="K851" s="36"/>
      <c r="L851" s="39" t="e">
        <f>VLOOKUP(Tabla81015[[#This Row],[CODIGO DEL PRODUCTO]],Tabla797[],2,FALSE)</f>
        <v>#N/A</v>
      </c>
      <c r="M851" s="37"/>
      <c r="N851" s="158"/>
      <c r="O851" s="76">
        <v>109090</v>
      </c>
      <c r="P851" s="78" t="s">
        <v>684</v>
      </c>
      <c r="Q851" s="77">
        <v>46137</v>
      </c>
      <c r="R851" s="78" t="s">
        <v>40</v>
      </c>
      <c r="S851" s="36" t="str">
        <f>VLOOKUP(Tabla91116[[#This Row],[CODIGO DEL PRODUCTO]],Tabla797[],2,FALSE)</f>
        <v>PIEDRA 0-6</v>
      </c>
      <c r="T851" s="37">
        <v>35.08</v>
      </c>
    </row>
    <row r="852" spans="8:23" x14ac:dyDescent="0.25">
      <c r="H852" s="34"/>
      <c r="I852" s="34"/>
      <c r="J852" s="35"/>
      <c r="K852" s="36"/>
      <c r="L852" s="39" t="e">
        <f>VLOOKUP(Tabla81015[[#This Row],[CODIGO DEL PRODUCTO]],Tabla797[],2,FALSE)</f>
        <v>#N/A</v>
      </c>
      <c r="M852" s="37"/>
      <c r="N852" s="158"/>
      <c r="O852" s="76">
        <v>109091</v>
      </c>
      <c r="P852" s="78" t="s">
        <v>684</v>
      </c>
      <c r="Q852" s="77">
        <v>46137</v>
      </c>
      <c r="R852" s="78" t="s">
        <v>48</v>
      </c>
      <c r="S852" s="36" t="str">
        <f>VLOOKUP(Tabla91116[[#This Row],[CODIGO DEL PRODUCTO]],Tabla797[],2,FALSE)</f>
        <v>PIEDRA 6-12</v>
      </c>
      <c r="T852" s="37">
        <v>35.1</v>
      </c>
    </row>
    <row r="853" spans="8:23" x14ac:dyDescent="0.25">
      <c r="H853" s="34"/>
      <c r="I853" s="34"/>
      <c r="J853" s="35"/>
      <c r="K853" s="36"/>
      <c r="L853" s="39" t="e">
        <f>VLOOKUP(Tabla81015[[#This Row],[CODIGO DEL PRODUCTO]],Tabla797[],2,FALSE)</f>
        <v>#N/A</v>
      </c>
      <c r="M853" s="37"/>
      <c r="N853" s="158"/>
      <c r="O853" s="76">
        <v>109093</v>
      </c>
      <c r="P853" s="78" t="s">
        <v>684</v>
      </c>
      <c r="Q853" s="77">
        <v>46137</v>
      </c>
      <c r="R853" s="78" t="s">
        <v>40</v>
      </c>
      <c r="S853" s="36" t="str">
        <f>VLOOKUP(Tabla91116[[#This Row],[CODIGO DEL PRODUCTO]],Tabla797[],2,FALSE)</f>
        <v>PIEDRA 0-6</v>
      </c>
      <c r="T853" s="37">
        <v>34.520000000000003</v>
      </c>
    </row>
    <row r="854" spans="8:23" x14ac:dyDescent="0.25">
      <c r="H854" s="34"/>
      <c r="I854" s="34"/>
      <c r="J854" s="35"/>
      <c r="K854" s="36"/>
      <c r="L854" s="39" t="e">
        <f>VLOOKUP(Tabla81015[[#This Row],[CODIGO DEL PRODUCTO]],Tabla797[],2,FALSE)</f>
        <v>#N/A</v>
      </c>
      <c r="M854" s="37"/>
      <c r="N854" s="158"/>
      <c r="O854" s="76">
        <v>156523</v>
      </c>
      <c r="P854" s="78" t="s">
        <v>679</v>
      </c>
      <c r="Q854" s="77">
        <v>46137</v>
      </c>
      <c r="R854" s="78" t="s">
        <v>43</v>
      </c>
      <c r="S854" s="36" t="str">
        <f>VLOOKUP(Tabla91116[[#This Row],[CODIGO DEL PRODUCTO]],Tabla797[],2,FALSE)</f>
        <v>PIEDRA 6-20</v>
      </c>
      <c r="T854" s="37">
        <v>34.94</v>
      </c>
    </row>
    <row r="855" spans="8:23" x14ac:dyDescent="0.25">
      <c r="H855" s="34"/>
      <c r="I855" s="34"/>
      <c r="J855" s="35"/>
      <c r="K855" s="36"/>
      <c r="L855" s="39" t="e">
        <f>VLOOKUP(Tabla81015[[#This Row],[CODIGO DEL PRODUCTO]],Tabla797[],2,FALSE)</f>
        <v>#N/A</v>
      </c>
      <c r="M855" s="37"/>
      <c r="N855" s="158"/>
      <c r="O855" s="76">
        <v>2703844</v>
      </c>
      <c r="P855" s="78" t="s">
        <v>679</v>
      </c>
      <c r="Q855" s="77">
        <v>46137</v>
      </c>
      <c r="R855" s="78" t="s">
        <v>286</v>
      </c>
      <c r="S855" s="36" t="str">
        <f>VLOOKUP(Tabla91116[[#This Row],[CODIGO DEL PRODUCTO]],Tabla797[],2,FALSE)</f>
        <v>CPF 40 AVELLANEDA</v>
      </c>
      <c r="T855" s="37">
        <v>35.36</v>
      </c>
    </row>
    <row r="856" spans="8:23" x14ac:dyDescent="0.25">
      <c r="H856" s="34"/>
      <c r="I856" s="34"/>
      <c r="J856" s="35"/>
      <c r="K856" s="36"/>
      <c r="L856" s="39" t="e">
        <f>VLOOKUP(Tabla81015[[#This Row],[CODIGO DEL PRODUCTO]],Tabla797[],2,FALSE)</f>
        <v>#N/A</v>
      </c>
      <c r="M856" s="37"/>
      <c r="N856" s="158"/>
      <c r="O856" s="76">
        <v>104138</v>
      </c>
      <c r="P856" s="78" t="s">
        <v>683</v>
      </c>
      <c r="Q856" s="77">
        <v>46139</v>
      </c>
      <c r="R856" s="78" t="s">
        <v>42</v>
      </c>
      <c r="S856" s="36" t="str">
        <f>VLOOKUP(Tabla91116[[#This Row],[CODIGO DEL PRODUCTO]],Tabla797[],2,FALSE)</f>
        <v>ARENA FINA</v>
      </c>
      <c r="T856" s="37">
        <v>34.979999999999997</v>
      </c>
    </row>
    <row r="857" spans="8:23" x14ac:dyDescent="0.25">
      <c r="H857" s="34"/>
      <c r="I857" s="34"/>
      <c r="J857" s="35"/>
      <c r="K857" s="36"/>
      <c r="L857" s="39" t="e">
        <f>VLOOKUP(Tabla81015[[#This Row],[CODIGO DEL PRODUCTO]],Tabla797[],2,FALSE)</f>
        <v>#N/A</v>
      </c>
      <c r="M857" s="37"/>
      <c r="N857" s="158"/>
      <c r="O857" s="76">
        <v>104147</v>
      </c>
      <c r="P857" s="78" t="s">
        <v>683</v>
      </c>
      <c r="Q857" s="77">
        <v>46139</v>
      </c>
      <c r="R857" s="78" t="s">
        <v>42</v>
      </c>
      <c r="S857" s="36" t="str">
        <f>VLOOKUP(Tabla91116[[#This Row],[CODIGO DEL PRODUCTO]],Tabla797[],2,FALSE)</f>
        <v>ARENA FINA</v>
      </c>
      <c r="T857" s="37">
        <v>35.28</v>
      </c>
    </row>
    <row r="858" spans="8:23" x14ac:dyDescent="0.25">
      <c r="H858" s="34"/>
      <c r="I858" s="34"/>
      <c r="J858" s="35"/>
      <c r="K858" s="36"/>
      <c r="L858" s="39" t="e">
        <f>VLOOKUP(Tabla81015[[#This Row],[CODIGO DEL PRODUCTO]],Tabla797[],2,FALSE)</f>
        <v>#N/A</v>
      </c>
      <c r="M858" s="37"/>
      <c r="N858" s="158"/>
      <c r="O858" s="76">
        <v>39975</v>
      </c>
      <c r="P858" s="78" t="s">
        <v>149</v>
      </c>
      <c r="Q858" s="77">
        <v>46139</v>
      </c>
      <c r="R858" s="78" t="s">
        <v>42</v>
      </c>
      <c r="S858" s="36" t="str">
        <f>VLOOKUP(Tabla91116[[#This Row],[CODIGO DEL PRODUCTO]],Tabla797[],2,FALSE)</f>
        <v>ARENA FINA</v>
      </c>
      <c r="T858" s="37">
        <v>37.74</v>
      </c>
    </row>
    <row r="859" spans="8:23" x14ac:dyDescent="0.25">
      <c r="H859" s="34"/>
      <c r="I859" s="34"/>
      <c r="J859" s="35"/>
      <c r="K859" s="36"/>
      <c r="L859" s="39" t="e">
        <f>VLOOKUP(Tabla81015[[#This Row],[CODIGO DEL PRODUCTO]],Tabla797[],2,FALSE)</f>
        <v>#N/A</v>
      </c>
      <c r="M859" s="37"/>
      <c r="N859" s="158"/>
      <c r="O859" s="76">
        <v>109102</v>
      </c>
      <c r="P859" s="78" t="s">
        <v>684</v>
      </c>
      <c r="Q859" s="77">
        <v>46139</v>
      </c>
      <c r="R859" s="78" t="s">
        <v>43</v>
      </c>
      <c r="S859" s="36" t="str">
        <f>VLOOKUP(Tabla91116[[#This Row],[CODIGO DEL PRODUCTO]],Tabla797[],2,FALSE)</f>
        <v>PIEDRA 6-20</v>
      </c>
      <c r="T859" s="37">
        <v>35.08</v>
      </c>
    </row>
    <row r="860" spans="8:23" x14ac:dyDescent="0.25">
      <c r="H860" s="34"/>
      <c r="I860" s="34"/>
      <c r="J860" s="35"/>
      <c r="K860" s="36"/>
      <c r="L860" s="39" t="e">
        <f>VLOOKUP(Tabla81015[[#This Row],[CODIGO DEL PRODUCTO]],Tabla797[],2,FALSE)</f>
        <v>#N/A</v>
      </c>
      <c r="M860" s="37"/>
      <c r="N860" s="158"/>
      <c r="O860" s="76">
        <v>109107</v>
      </c>
      <c r="P860" s="78" t="s">
        <v>684</v>
      </c>
      <c r="Q860" s="77">
        <v>46139</v>
      </c>
      <c r="R860" s="78" t="s">
        <v>43</v>
      </c>
      <c r="S860" s="36" t="str">
        <f>VLOOKUP(Tabla91116[[#This Row],[CODIGO DEL PRODUCTO]],Tabla797[],2,FALSE)</f>
        <v>PIEDRA 6-20</v>
      </c>
      <c r="T860" s="37">
        <v>35.479999999999997</v>
      </c>
    </row>
    <row r="861" spans="8:23" x14ac:dyDescent="0.25">
      <c r="H861" s="34"/>
      <c r="I861" s="34"/>
      <c r="J861" s="35"/>
      <c r="K861" s="36"/>
      <c r="L861" s="39" t="e">
        <f>VLOOKUP(Tabla81015[[#This Row],[CODIGO DEL PRODUCTO]],Tabla797[],2,FALSE)</f>
        <v>#N/A</v>
      </c>
      <c r="M861" s="37"/>
      <c r="N861" s="158"/>
      <c r="O861" s="76">
        <v>109116</v>
      </c>
      <c r="P861" s="78" t="s">
        <v>684</v>
      </c>
      <c r="Q861" s="77">
        <v>46139</v>
      </c>
      <c r="R861" s="78" t="s">
        <v>43</v>
      </c>
      <c r="S861" s="36" t="str">
        <f>VLOOKUP(Tabla91116[[#This Row],[CODIGO DEL PRODUCTO]],Tabla797[],2,FALSE)</f>
        <v>PIEDRA 6-20</v>
      </c>
      <c r="T861" s="37">
        <v>34.659999999999997</v>
      </c>
    </row>
    <row r="862" spans="8:23" x14ac:dyDescent="0.25">
      <c r="H862" s="34"/>
      <c r="I862" s="34"/>
      <c r="J862" s="35"/>
      <c r="K862" s="36"/>
      <c r="L862" s="39" t="e">
        <f>VLOOKUP(Tabla81015[[#This Row],[CODIGO DEL PRODUCTO]],Tabla797[],2,FALSE)</f>
        <v>#N/A</v>
      </c>
      <c r="M862" s="37"/>
      <c r="N862" s="158"/>
      <c r="O862" s="76">
        <v>109117</v>
      </c>
      <c r="P862" s="78" t="s">
        <v>684</v>
      </c>
      <c r="Q862" s="77">
        <v>46139</v>
      </c>
      <c r="R862" s="78" t="s">
        <v>40</v>
      </c>
      <c r="S862" s="36" t="str">
        <f>VLOOKUP(Tabla91116[[#This Row],[CODIGO DEL PRODUCTO]],Tabla797[],2,FALSE)</f>
        <v>PIEDRA 0-6</v>
      </c>
      <c r="T862" s="37">
        <v>35.799999999999997</v>
      </c>
    </row>
    <row r="863" spans="8:23" x14ac:dyDescent="0.25">
      <c r="H863" s="34"/>
      <c r="I863" s="34"/>
      <c r="J863" s="35"/>
      <c r="K863" s="36"/>
      <c r="L863" s="39" t="e">
        <f>VLOOKUP(Tabla81015[[#This Row],[CODIGO DEL PRODUCTO]],Tabla797[],2,FALSE)</f>
        <v>#N/A</v>
      </c>
      <c r="M863" s="37"/>
      <c r="N863" s="158"/>
      <c r="O863" s="76">
        <v>109118</v>
      </c>
      <c r="P863" s="78" t="s">
        <v>684</v>
      </c>
      <c r="Q863" s="77">
        <v>46139</v>
      </c>
      <c r="R863" s="78" t="s">
        <v>40</v>
      </c>
      <c r="S863" s="36" t="str">
        <f>VLOOKUP(Tabla91116[[#This Row],[CODIGO DEL PRODUCTO]],Tabla797[],2,FALSE)</f>
        <v>PIEDRA 0-6</v>
      </c>
      <c r="T863" s="37">
        <v>35.28</v>
      </c>
    </row>
    <row r="864" spans="8:23" x14ac:dyDescent="0.25">
      <c r="H864" s="34"/>
      <c r="I864" s="34"/>
      <c r="J864" s="35"/>
      <c r="K864" s="36"/>
      <c r="L864" s="39" t="e">
        <f>VLOOKUP(Tabla81015[[#This Row],[CODIGO DEL PRODUCTO]],Tabla797[],2,FALSE)</f>
        <v>#N/A</v>
      </c>
      <c r="M864" s="37"/>
      <c r="N864" s="158"/>
      <c r="O864" s="76">
        <v>2704180</v>
      </c>
      <c r="P864" s="78" t="s">
        <v>679</v>
      </c>
      <c r="Q864" s="77">
        <v>46139</v>
      </c>
      <c r="R864" s="78" t="s">
        <v>286</v>
      </c>
      <c r="S864" s="36" t="str">
        <f>VLOOKUP(Tabla91116[[#This Row],[CODIGO DEL PRODUCTO]],Tabla797[],2,FALSE)</f>
        <v>CPF 40 AVELLANEDA</v>
      </c>
      <c r="T864" s="37">
        <v>35.58</v>
      </c>
    </row>
    <row r="865" spans="8:20" x14ac:dyDescent="0.25">
      <c r="H865" s="34"/>
      <c r="I865" s="34"/>
      <c r="J865" s="35"/>
      <c r="K865" s="36"/>
      <c r="L865" s="39" t="e">
        <f>VLOOKUP(Tabla81015[[#This Row],[CODIGO DEL PRODUCTO]],Tabla797[],2,FALSE)</f>
        <v>#N/A</v>
      </c>
      <c r="M865" s="37"/>
      <c r="N865" s="158"/>
      <c r="O865" s="76">
        <v>2704200</v>
      </c>
      <c r="P865" s="78" t="s">
        <v>679</v>
      </c>
      <c r="Q865" s="77">
        <v>46139</v>
      </c>
      <c r="R865" s="78" t="s">
        <v>286</v>
      </c>
      <c r="S865" s="36" t="str">
        <f>VLOOKUP(Tabla91116[[#This Row],[CODIGO DEL PRODUCTO]],Tabla797[],2,FALSE)</f>
        <v>CPF 40 AVELLANEDA</v>
      </c>
      <c r="T865" s="37">
        <v>36.5</v>
      </c>
    </row>
    <row r="866" spans="8:20" x14ac:dyDescent="0.25">
      <c r="H866" s="34"/>
      <c r="I866" s="34"/>
      <c r="J866" s="35"/>
      <c r="K866" s="36"/>
      <c r="L866" s="39" t="e">
        <f>VLOOKUP(Tabla81015[[#This Row],[CODIGO DEL PRODUCTO]],Tabla797[],2,FALSE)</f>
        <v>#N/A</v>
      </c>
      <c r="M866" s="37"/>
      <c r="N866" s="158"/>
      <c r="O866" s="76">
        <v>44721</v>
      </c>
      <c r="P866" s="78" t="s">
        <v>449</v>
      </c>
      <c r="Q866" s="77">
        <v>46140</v>
      </c>
      <c r="R866" s="78" t="s">
        <v>425</v>
      </c>
      <c r="S866" s="36" t="str">
        <f>VLOOKUP(Tabla91116[[#This Row],[CODIGO DEL PRODUCTO]],Tabla797[],2,FALSE)</f>
        <v>W351R</v>
      </c>
      <c r="T866" s="37">
        <v>3000</v>
      </c>
    </row>
    <row r="867" spans="8:20" x14ac:dyDescent="0.25">
      <c r="H867" s="34"/>
      <c r="I867" s="34"/>
      <c r="J867" s="35"/>
      <c r="K867" s="36"/>
      <c r="L867" s="39" t="e">
        <f>VLOOKUP(Tabla81015[[#This Row],[CODIGO DEL PRODUCTO]],Tabla797[],2,FALSE)</f>
        <v>#N/A</v>
      </c>
      <c r="M867" s="37"/>
      <c r="N867" s="158"/>
      <c r="O867" s="76">
        <v>104157</v>
      </c>
      <c r="P867" s="78" t="s">
        <v>683</v>
      </c>
      <c r="Q867" s="77">
        <v>46140</v>
      </c>
      <c r="R867" s="78" t="s">
        <v>42</v>
      </c>
      <c r="S867" s="36" t="str">
        <f>VLOOKUP(Tabla91116[[#This Row],[CODIGO DEL PRODUCTO]],Tabla797[],2,FALSE)</f>
        <v>ARENA FINA</v>
      </c>
      <c r="T867" s="37">
        <v>35.5</v>
      </c>
    </row>
    <row r="868" spans="8:20" x14ac:dyDescent="0.25">
      <c r="H868" s="34"/>
      <c r="I868" s="34"/>
      <c r="J868" s="35"/>
      <c r="K868" s="36"/>
      <c r="L868" s="39" t="e">
        <f>VLOOKUP(Tabla81015[[#This Row],[CODIGO DEL PRODUCTO]],Tabla797[],2,FALSE)</f>
        <v>#N/A</v>
      </c>
      <c r="M868" s="37"/>
      <c r="N868" s="158"/>
      <c r="O868" s="76">
        <v>104161</v>
      </c>
      <c r="P868" s="78" t="s">
        <v>683</v>
      </c>
      <c r="Q868" s="77">
        <v>46140</v>
      </c>
      <c r="R868" s="78" t="s">
        <v>42</v>
      </c>
      <c r="S868" s="36" t="str">
        <f>VLOOKUP(Tabla91116[[#This Row],[CODIGO DEL PRODUCTO]],Tabla797[],2,FALSE)</f>
        <v>ARENA FINA</v>
      </c>
      <c r="T868" s="37">
        <v>34.46</v>
      </c>
    </row>
    <row r="869" spans="8:20" x14ac:dyDescent="0.25">
      <c r="H869" s="34"/>
      <c r="I869" s="34"/>
      <c r="J869" s="35"/>
      <c r="K869" s="36"/>
      <c r="L869" s="39" t="e">
        <f>VLOOKUP(Tabla81015[[#This Row],[CODIGO DEL PRODUCTO]],Tabla797[],2,FALSE)</f>
        <v>#N/A</v>
      </c>
      <c r="M869" s="37"/>
      <c r="N869" s="158"/>
      <c r="O869" s="76">
        <v>39985</v>
      </c>
      <c r="P869" s="78" t="s">
        <v>149</v>
      </c>
      <c r="Q869" s="77">
        <v>46140</v>
      </c>
      <c r="R869" s="78" t="s">
        <v>42</v>
      </c>
      <c r="S869" s="36" t="str">
        <f>VLOOKUP(Tabla91116[[#This Row],[CODIGO DEL PRODUCTO]],Tabla797[],2,FALSE)</f>
        <v>ARENA FINA</v>
      </c>
      <c r="T869" s="37">
        <v>37</v>
      </c>
    </row>
    <row r="870" spans="8:20" x14ac:dyDescent="0.25">
      <c r="H870" s="34"/>
      <c r="I870" s="34"/>
      <c r="J870" s="35"/>
      <c r="K870" s="36"/>
      <c r="L870" s="39" t="e">
        <f>VLOOKUP(Tabla81015[[#This Row],[CODIGO DEL PRODUCTO]],Tabla797[],2,FALSE)</f>
        <v>#N/A</v>
      </c>
      <c r="M870" s="37"/>
      <c r="N870" s="158"/>
      <c r="O870" s="76">
        <v>40006</v>
      </c>
      <c r="P870" s="78" t="s">
        <v>149</v>
      </c>
      <c r="Q870" s="77">
        <v>46140</v>
      </c>
      <c r="R870" s="78" t="s">
        <v>42</v>
      </c>
      <c r="S870" s="36" t="str">
        <f>VLOOKUP(Tabla91116[[#This Row],[CODIGO DEL PRODUCTO]],Tabla797[],2,FALSE)</f>
        <v>ARENA FINA</v>
      </c>
      <c r="T870" s="37">
        <v>35.44</v>
      </c>
    </row>
    <row r="871" spans="8:20" x14ac:dyDescent="0.25">
      <c r="H871" s="34"/>
      <c r="I871" s="34"/>
      <c r="J871" s="35"/>
      <c r="K871" s="36"/>
      <c r="L871" s="39" t="e">
        <f>VLOOKUP(Tabla81015[[#This Row],[CODIGO DEL PRODUCTO]],Tabla797[],2,FALSE)</f>
        <v>#N/A</v>
      </c>
      <c r="M871" s="37"/>
      <c r="N871" s="158"/>
      <c r="O871" s="76">
        <v>40018</v>
      </c>
      <c r="P871" s="78" t="s">
        <v>149</v>
      </c>
      <c r="Q871" s="77">
        <v>46140</v>
      </c>
      <c r="R871" s="78" t="s">
        <v>42</v>
      </c>
      <c r="S871" s="36" t="str">
        <f>VLOOKUP(Tabla91116[[#This Row],[CODIGO DEL PRODUCTO]],Tabla797[],2,FALSE)</f>
        <v>ARENA FINA</v>
      </c>
      <c r="T871" s="37">
        <v>39.840000000000003</v>
      </c>
    </row>
    <row r="872" spans="8:20" x14ac:dyDescent="0.25">
      <c r="H872" s="34"/>
      <c r="I872" s="34"/>
      <c r="J872" s="35"/>
      <c r="K872" s="36"/>
      <c r="L872" s="39" t="e">
        <f>VLOOKUP(Tabla81015[[#This Row],[CODIGO DEL PRODUCTO]],Tabla797[],2,FALSE)</f>
        <v>#N/A</v>
      </c>
      <c r="M872" s="37"/>
      <c r="N872" s="158"/>
      <c r="O872" s="76">
        <v>109121</v>
      </c>
      <c r="P872" s="78" t="s">
        <v>684</v>
      </c>
      <c r="Q872" s="77">
        <v>46140</v>
      </c>
      <c r="R872" s="78" t="s">
        <v>40</v>
      </c>
      <c r="S872" s="36" t="str">
        <f>VLOOKUP(Tabla91116[[#This Row],[CODIGO DEL PRODUCTO]],Tabla797[],2,FALSE)</f>
        <v>PIEDRA 0-6</v>
      </c>
      <c r="T872" s="37">
        <v>33.72</v>
      </c>
    </row>
    <row r="873" spans="8:20" x14ac:dyDescent="0.25">
      <c r="H873" s="34"/>
      <c r="I873" s="34"/>
      <c r="J873" s="35"/>
      <c r="K873" s="36"/>
      <c r="L873" s="39" t="e">
        <f>VLOOKUP(Tabla81015[[#This Row],[CODIGO DEL PRODUCTO]],Tabla797[],2,FALSE)</f>
        <v>#N/A</v>
      </c>
      <c r="M873" s="37"/>
      <c r="N873" s="158"/>
      <c r="O873" s="76">
        <v>109123</v>
      </c>
      <c r="P873" s="78" t="s">
        <v>684</v>
      </c>
      <c r="Q873" s="77">
        <v>46140</v>
      </c>
      <c r="R873" s="78" t="s">
        <v>43</v>
      </c>
      <c r="S873" s="36" t="str">
        <f>VLOOKUP(Tabla91116[[#This Row],[CODIGO DEL PRODUCTO]],Tabla797[],2,FALSE)</f>
        <v>PIEDRA 6-20</v>
      </c>
      <c r="T873" s="37">
        <v>35.26</v>
      </c>
    </row>
    <row r="874" spans="8:20" x14ac:dyDescent="0.25">
      <c r="H874" s="34"/>
      <c r="I874" s="34"/>
      <c r="J874" s="35"/>
      <c r="K874" s="36"/>
      <c r="L874" s="39" t="e">
        <f>VLOOKUP(Tabla81015[[#This Row],[CODIGO DEL PRODUCTO]],Tabla797[],2,FALSE)</f>
        <v>#N/A</v>
      </c>
      <c r="M874" s="37"/>
      <c r="N874" s="158"/>
      <c r="O874" s="76">
        <v>109127</v>
      </c>
      <c r="P874" s="78" t="s">
        <v>684</v>
      </c>
      <c r="Q874" s="77">
        <v>46140</v>
      </c>
      <c r="R874" s="78" t="s">
        <v>43</v>
      </c>
      <c r="S874" s="36" t="str">
        <f>VLOOKUP(Tabla91116[[#This Row],[CODIGO DEL PRODUCTO]],Tabla797[],2,FALSE)</f>
        <v>PIEDRA 6-20</v>
      </c>
      <c r="T874" s="37">
        <v>35.4</v>
      </c>
    </row>
    <row r="875" spans="8:20" x14ac:dyDescent="0.25">
      <c r="H875" s="34"/>
      <c r="I875" s="34"/>
      <c r="J875" s="35"/>
      <c r="K875" s="36"/>
      <c r="L875" s="39" t="e">
        <f>VLOOKUP(Tabla81015[[#This Row],[CODIGO DEL PRODUCTO]],Tabla797[],2,FALSE)</f>
        <v>#N/A</v>
      </c>
      <c r="M875" s="37"/>
      <c r="N875" s="158"/>
      <c r="O875" s="76">
        <v>109135</v>
      </c>
      <c r="P875" s="78" t="s">
        <v>684</v>
      </c>
      <c r="Q875" s="77">
        <v>46140</v>
      </c>
      <c r="R875" s="78" t="s">
        <v>40</v>
      </c>
      <c r="S875" s="36" t="str">
        <f>VLOOKUP(Tabla91116[[#This Row],[CODIGO DEL PRODUCTO]],Tabla797[],2,FALSE)</f>
        <v>PIEDRA 0-6</v>
      </c>
      <c r="T875" s="37">
        <v>36.020000000000003</v>
      </c>
    </row>
    <row r="876" spans="8:20" x14ac:dyDescent="0.25">
      <c r="H876" s="34"/>
      <c r="I876" s="34"/>
      <c r="J876" s="35"/>
      <c r="K876" s="36"/>
      <c r="L876" s="39" t="e">
        <f>VLOOKUP(Tabla81015[[#This Row],[CODIGO DEL PRODUCTO]],Tabla797[],2,FALSE)</f>
        <v>#N/A</v>
      </c>
      <c r="M876" s="37"/>
      <c r="N876" s="158"/>
      <c r="O876" s="76">
        <v>109136</v>
      </c>
      <c r="P876" s="78" t="s">
        <v>684</v>
      </c>
      <c r="Q876" s="77">
        <v>46140</v>
      </c>
      <c r="R876" s="78" t="s">
        <v>43</v>
      </c>
      <c r="S876" s="36" t="str">
        <f>VLOOKUP(Tabla91116[[#This Row],[CODIGO DEL PRODUCTO]],Tabla797[],2,FALSE)</f>
        <v>PIEDRA 6-20</v>
      </c>
      <c r="T876" s="37">
        <v>35.76</v>
      </c>
    </row>
    <row r="877" spans="8:20" x14ac:dyDescent="0.25">
      <c r="H877" s="34"/>
      <c r="I877" s="34"/>
      <c r="J877" s="35"/>
      <c r="K877" s="36"/>
      <c r="L877" s="39" t="e">
        <f>VLOOKUP(Tabla81015[[#This Row],[CODIGO DEL PRODUCTO]],Tabla797[],2,FALSE)</f>
        <v>#N/A</v>
      </c>
      <c r="M877" s="37"/>
      <c r="N877" s="158"/>
      <c r="O877" s="76">
        <v>109141</v>
      </c>
      <c r="P877" s="78" t="s">
        <v>684</v>
      </c>
      <c r="Q877" s="77">
        <v>46140</v>
      </c>
      <c r="R877" s="78" t="s">
        <v>43</v>
      </c>
      <c r="S877" s="36" t="str">
        <f>VLOOKUP(Tabla91116[[#This Row],[CODIGO DEL PRODUCTO]],Tabla797[],2,FALSE)</f>
        <v>PIEDRA 6-20</v>
      </c>
      <c r="T877" s="37">
        <v>35.340000000000003</v>
      </c>
    </row>
    <row r="878" spans="8:20" x14ac:dyDescent="0.25">
      <c r="H878" s="34"/>
      <c r="I878" s="34"/>
      <c r="J878" s="35"/>
      <c r="K878" s="36"/>
      <c r="L878" s="39" t="e">
        <f>VLOOKUP(Tabla81015[[#This Row],[CODIGO DEL PRODUCTO]],Tabla797[],2,FALSE)</f>
        <v>#N/A</v>
      </c>
      <c r="M878" s="37"/>
      <c r="N878" s="158"/>
      <c r="O878" s="76">
        <v>109142</v>
      </c>
      <c r="P878" s="78" t="s">
        <v>684</v>
      </c>
      <c r="Q878" s="77">
        <v>46140</v>
      </c>
      <c r="R878" s="78" t="s">
        <v>40</v>
      </c>
      <c r="S878" s="36" t="str">
        <f>VLOOKUP(Tabla91116[[#This Row],[CODIGO DEL PRODUCTO]],Tabla797[],2,FALSE)</f>
        <v>PIEDRA 0-6</v>
      </c>
      <c r="T878" s="37">
        <v>35.380000000000003</v>
      </c>
    </row>
    <row r="879" spans="8:20" x14ac:dyDescent="0.25">
      <c r="H879" s="34"/>
      <c r="I879" s="34"/>
      <c r="J879" s="35"/>
      <c r="K879" s="36"/>
      <c r="L879" s="39" t="e">
        <f>VLOOKUP(Tabla81015[[#This Row],[CODIGO DEL PRODUCTO]],Tabla797[],2,FALSE)</f>
        <v>#N/A</v>
      </c>
      <c r="M879" s="37"/>
      <c r="N879" s="158"/>
      <c r="O879" s="76">
        <v>2704432</v>
      </c>
      <c r="P879" s="78" t="s">
        <v>679</v>
      </c>
      <c r="Q879" s="77">
        <v>46140</v>
      </c>
      <c r="R879" s="78" t="s">
        <v>286</v>
      </c>
      <c r="S879" s="36" t="str">
        <f>VLOOKUP(Tabla91116[[#This Row],[CODIGO DEL PRODUCTO]],Tabla797[],2,FALSE)</f>
        <v>CPF 40 AVELLANEDA</v>
      </c>
      <c r="T879" s="37">
        <v>35.58</v>
      </c>
    </row>
    <row r="880" spans="8:20" x14ac:dyDescent="0.25">
      <c r="H880" s="34"/>
      <c r="I880" s="34"/>
      <c r="J880" s="35"/>
      <c r="K880" s="36"/>
      <c r="L880" s="39" t="e">
        <f>VLOOKUP(Tabla81015[[#This Row],[CODIGO DEL PRODUCTO]],Tabla797[],2,FALSE)</f>
        <v>#N/A</v>
      </c>
      <c r="M880" s="37"/>
      <c r="N880" s="158"/>
      <c r="O880" s="76">
        <v>2704514</v>
      </c>
      <c r="P880" s="78" t="s">
        <v>679</v>
      </c>
      <c r="Q880" s="77">
        <v>46140</v>
      </c>
      <c r="R880" s="78" t="s">
        <v>286</v>
      </c>
      <c r="S880" s="36" t="str">
        <f>VLOOKUP(Tabla91116[[#This Row],[CODIGO DEL PRODUCTO]],Tabla797[],2,FALSE)</f>
        <v>CPF 40 AVELLANEDA</v>
      </c>
      <c r="T880" s="37">
        <v>36.340000000000003</v>
      </c>
    </row>
    <row r="881" spans="8:20" x14ac:dyDescent="0.25">
      <c r="H881" s="34"/>
      <c r="I881" s="34"/>
      <c r="J881" s="35"/>
      <c r="K881" s="36"/>
      <c r="L881" s="39" t="e">
        <f>VLOOKUP(Tabla81015[[#This Row],[CODIGO DEL PRODUCTO]],Tabla797[],2,FALSE)</f>
        <v>#N/A</v>
      </c>
      <c r="M881" s="37"/>
      <c r="N881" s="158"/>
      <c r="O881" s="76">
        <v>44802</v>
      </c>
      <c r="P881" s="78" t="s">
        <v>449</v>
      </c>
      <c r="Q881" s="77">
        <v>46140</v>
      </c>
      <c r="R881" s="78" t="s">
        <v>450</v>
      </c>
      <c r="S881" s="36" t="str">
        <f>VLOOKUP(Tabla91116[[#This Row],[CODIGO DEL PRODUCTO]],Tabla797[],2,FALSE)</f>
        <v>W500R</v>
      </c>
      <c r="T881" s="37">
        <v>1</v>
      </c>
    </row>
    <row r="882" spans="8:20" x14ac:dyDescent="0.25">
      <c r="H882" s="34"/>
      <c r="I882" s="34"/>
      <c r="J882" s="35"/>
      <c r="K882" s="36"/>
      <c r="L882" s="39" t="e">
        <f>VLOOKUP(Tabla81015[[#This Row],[CODIGO DEL PRODUCTO]],Tabla797[],2,FALSE)</f>
        <v>#N/A</v>
      </c>
      <c r="M882" s="37"/>
      <c r="N882" s="158"/>
      <c r="O882" s="76">
        <v>104168</v>
      </c>
      <c r="P882" s="78" t="s">
        <v>683</v>
      </c>
      <c r="Q882" s="77">
        <v>46141</v>
      </c>
      <c r="R882" s="78" t="s">
        <v>42</v>
      </c>
      <c r="S882" s="36" t="str">
        <f>VLOOKUP(Tabla91116[[#This Row],[CODIGO DEL PRODUCTO]],Tabla797[],2,FALSE)</f>
        <v>ARENA FINA</v>
      </c>
      <c r="T882" s="37">
        <v>35.6</v>
      </c>
    </row>
    <row r="883" spans="8:20" x14ac:dyDescent="0.25">
      <c r="H883" s="34"/>
      <c r="I883" s="34"/>
      <c r="J883" s="35"/>
      <c r="K883" s="36"/>
      <c r="L883" s="39" t="e">
        <f>VLOOKUP(Tabla81015[[#This Row],[CODIGO DEL PRODUCTO]],Tabla797[],2,FALSE)</f>
        <v>#N/A</v>
      </c>
      <c r="M883" s="37"/>
      <c r="N883" s="158"/>
      <c r="O883" s="76">
        <v>104175</v>
      </c>
      <c r="P883" s="78" t="s">
        <v>683</v>
      </c>
      <c r="Q883" s="77">
        <v>46141</v>
      </c>
      <c r="R883" s="78" t="s">
        <v>42</v>
      </c>
      <c r="S883" s="36" t="str">
        <f>VLOOKUP(Tabla91116[[#This Row],[CODIGO DEL PRODUCTO]],Tabla797[],2,FALSE)</f>
        <v>ARENA FINA</v>
      </c>
      <c r="T883" s="37">
        <v>34.58</v>
      </c>
    </row>
    <row r="884" spans="8:20" x14ac:dyDescent="0.25">
      <c r="H884" s="34"/>
      <c r="I884" s="34"/>
      <c r="J884" s="35"/>
      <c r="K884" s="36"/>
      <c r="L884" s="39" t="e">
        <f>VLOOKUP(Tabla81015[[#This Row],[CODIGO DEL PRODUCTO]],Tabla797[],2,FALSE)</f>
        <v>#N/A</v>
      </c>
      <c r="M884" s="37"/>
      <c r="N884" s="158"/>
      <c r="O884" s="76">
        <v>40033</v>
      </c>
      <c r="P884" s="78" t="s">
        <v>149</v>
      </c>
      <c r="Q884" s="77">
        <v>46141</v>
      </c>
      <c r="R884" s="78" t="s">
        <v>42</v>
      </c>
      <c r="S884" s="36" t="str">
        <f>VLOOKUP(Tabla91116[[#This Row],[CODIGO DEL PRODUCTO]],Tabla797[],2,FALSE)</f>
        <v>ARENA FINA</v>
      </c>
      <c r="T884" s="37">
        <v>37.380000000000003</v>
      </c>
    </row>
    <row r="885" spans="8:20" x14ac:dyDescent="0.25">
      <c r="H885" s="34"/>
      <c r="I885" s="34"/>
      <c r="J885" s="35"/>
      <c r="K885" s="36"/>
      <c r="L885" s="39" t="e">
        <f>VLOOKUP(Tabla81015[[#This Row],[CODIGO DEL PRODUCTO]],Tabla797[],2,FALSE)</f>
        <v>#N/A</v>
      </c>
      <c r="M885" s="37"/>
      <c r="N885" s="158"/>
      <c r="O885" s="76">
        <v>40037</v>
      </c>
      <c r="P885" s="78" t="s">
        <v>149</v>
      </c>
      <c r="Q885" s="77">
        <v>46141</v>
      </c>
      <c r="R885" s="78" t="s">
        <v>42</v>
      </c>
      <c r="S885" s="36" t="str">
        <f>VLOOKUP(Tabla91116[[#This Row],[CODIGO DEL PRODUCTO]],Tabla797[],2,FALSE)</f>
        <v>ARENA FINA</v>
      </c>
      <c r="T885" s="37">
        <v>37.68</v>
      </c>
    </row>
    <row r="886" spans="8:20" x14ac:dyDescent="0.25">
      <c r="H886" s="34"/>
      <c r="I886" s="34"/>
      <c r="J886" s="35"/>
      <c r="K886" s="36"/>
      <c r="L886" s="39" t="e">
        <f>VLOOKUP(Tabla81015[[#This Row],[CODIGO DEL PRODUCTO]],Tabla797[],2,FALSE)</f>
        <v>#N/A</v>
      </c>
      <c r="M886" s="37"/>
      <c r="N886" s="158"/>
      <c r="O886" s="76">
        <v>109143</v>
      </c>
      <c r="P886" s="78" t="s">
        <v>684</v>
      </c>
      <c r="Q886" s="77">
        <v>46141</v>
      </c>
      <c r="R886" s="78" t="s">
        <v>43</v>
      </c>
      <c r="S886" s="36" t="str">
        <f>VLOOKUP(Tabla91116[[#This Row],[CODIGO DEL PRODUCTO]],Tabla797[],2,FALSE)</f>
        <v>PIEDRA 6-20</v>
      </c>
      <c r="T886" s="37">
        <v>35.06</v>
      </c>
    </row>
    <row r="887" spans="8:20" x14ac:dyDescent="0.25">
      <c r="H887" s="34"/>
      <c r="I887" s="34"/>
      <c r="J887" s="35"/>
      <c r="K887" s="36"/>
      <c r="L887" s="39" t="e">
        <f>VLOOKUP(Tabla81015[[#This Row],[CODIGO DEL PRODUCTO]],Tabla797[],2,FALSE)</f>
        <v>#N/A</v>
      </c>
      <c r="M887" s="37"/>
      <c r="N887" s="158"/>
      <c r="O887" s="76">
        <v>109147</v>
      </c>
      <c r="P887" s="78" t="s">
        <v>684</v>
      </c>
      <c r="Q887" s="77">
        <v>46141</v>
      </c>
      <c r="R887" s="78" t="s">
        <v>40</v>
      </c>
      <c r="S887" s="36" t="str">
        <f>VLOOKUP(Tabla91116[[#This Row],[CODIGO DEL PRODUCTO]],Tabla797[],2,FALSE)</f>
        <v>PIEDRA 0-6</v>
      </c>
      <c r="T887" s="37">
        <v>34.840000000000003</v>
      </c>
    </row>
    <row r="888" spans="8:20" x14ac:dyDescent="0.25">
      <c r="H888" s="34"/>
      <c r="I888" s="34"/>
      <c r="J888" s="35"/>
      <c r="K888" s="36"/>
      <c r="L888" s="39" t="e">
        <f>VLOOKUP(Tabla81015[[#This Row],[CODIGO DEL PRODUCTO]],Tabla797[],2,FALSE)</f>
        <v>#N/A</v>
      </c>
      <c r="M888" s="37"/>
      <c r="N888" s="158"/>
      <c r="O888" s="76">
        <v>109156</v>
      </c>
      <c r="P888" s="78" t="s">
        <v>684</v>
      </c>
      <c r="Q888" s="77">
        <v>46141</v>
      </c>
      <c r="R888" s="78" t="s">
        <v>40</v>
      </c>
      <c r="S888" s="36" t="str">
        <f>VLOOKUP(Tabla91116[[#This Row],[CODIGO DEL PRODUCTO]],Tabla797[],2,FALSE)</f>
        <v>PIEDRA 0-6</v>
      </c>
      <c r="T888" s="37">
        <v>35.78</v>
      </c>
    </row>
    <row r="889" spans="8:20" x14ac:dyDescent="0.25">
      <c r="H889" s="34"/>
      <c r="I889" s="34"/>
      <c r="J889" s="35"/>
      <c r="K889" s="36"/>
      <c r="L889" s="39" t="e">
        <f>VLOOKUP(Tabla81015[[#This Row],[CODIGO DEL PRODUCTO]],Tabla797[],2,FALSE)</f>
        <v>#N/A</v>
      </c>
      <c r="M889" s="37"/>
      <c r="N889" s="158"/>
      <c r="O889" s="76">
        <v>109157</v>
      </c>
      <c r="P889" s="78" t="s">
        <v>684</v>
      </c>
      <c r="Q889" s="77">
        <v>46141</v>
      </c>
      <c r="R889" s="78" t="s">
        <v>43</v>
      </c>
      <c r="S889" s="36" t="str">
        <f>VLOOKUP(Tabla91116[[#This Row],[CODIGO DEL PRODUCTO]],Tabla797[],2,FALSE)</f>
        <v>PIEDRA 6-20</v>
      </c>
      <c r="T889" s="37">
        <v>34.979999999999997</v>
      </c>
    </row>
    <row r="890" spans="8:20" x14ac:dyDescent="0.25">
      <c r="H890" s="34"/>
      <c r="I890" s="34"/>
      <c r="J890" s="35"/>
      <c r="K890" s="36"/>
      <c r="L890" s="39" t="e">
        <f>VLOOKUP(Tabla81015[[#This Row],[CODIGO DEL PRODUCTO]],Tabla797[],2,FALSE)</f>
        <v>#N/A</v>
      </c>
      <c r="M890" s="37"/>
      <c r="N890" s="158"/>
      <c r="O890" s="76">
        <v>109164</v>
      </c>
      <c r="P890" s="78" t="s">
        <v>684</v>
      </c>
      <c r="Q890" s="77">
        <v>46141</v>
      </c>
      <c r="R890" s="78" t="s">
        <v>40</v>
      </c>
      <c r="S890" s="36" t="str">
        <f>VLOOKUP(Tabla91116[[#This Row],[CODIGO DEL PRODUCTO]],Tabla797[],2,FALSE)</f>
        <v>PIEDRA 0-6</v>
      </c>
      <c r="T890" s="37">
        <v>34.479999999999997</v>
      </c>
    </row>
    <row r="891" spans="8:20" x14ac:dyDescent="0.25">
      <c r="H891" s="34"/>
      <c r="I891" s="34"/>
      <c r="J891" s="35"/>
      <c r="K891" s="36"/>
      <c r="L891" s="39" t="e">
        <f>VLOOKUP(Tabla81015[[#This Row],[CODIGO DEL PRODUCTO]],Tabla797[],2,FALSE)</f>
        <v>#N/A</v>
      </c>
      <c r="M891" s="37"/>
      <c r="N891" s="158"/>
      <c r="O891" s="76">
        <v>109165</v>
      </c>
      <c r="P891" s="78" t="s">
        <v>684</v>
      </c>
      <c r="Q891" s="77">
        <v>46141</v>
      </c>
      <c r="R891" s="78" t="s">
        <v>43</v>
      </c>
      <c r="S891" s="36" t="str">
        <f>VLOOKUP(Tabla91116[[#This Row],[CODIGO DEL PRODUCTO]],Tabla797[],2,FALSE)</f>
        <v>PIEDRA 6-20</v>
      </c>
      <c r="T891" s="37">
        <v>35.08</v>
      </c>
    </row>
    <row r="892" spans="8:20" x14ac:dyDescent="0.25">
      <c r="H892" s="34"/>
      <c r="I892" s="34"/>
      <c r="J892" s="35"/>
      <c r="K892" s="36"/>
      <c r="L892" s="39" t="e">
        <f>VLOOKUP(Tabla81015[[#This Row],[CODIGO DEL PRODUCTO]],Tabla797[],2,FALSE)</f>
        <v>#N/A</v>
      </c>
      <c r="M892" s="37"/>
      <c r="N892" s="158"/>
      <c r="O892" s="76">
        <v>2704721</v>
      </c>
      <c r="P892" s="78" t="s">
        <v>679</v>
      </c>
      <c r="Q892" s="77">
        <v>46141</v>
      </c>
      <c r="R892" s="78" t="s">
        <v>286</v>
      </c>
      <c r="S892" s="36" t="str">
        <f>VLOOKUP(Tabla91116[[#This Row],[CODIGO DEL PRODUCTO]],Tabla797[],2,FALSE)</f>
        <v>CPF 40 AVELLANEDA</v>
      </c>
      <c r="T892" s="37">
        <v>35.78</v>
      </c>
    </row>
    <row r="893" spans="8:20" x14ac:dyDescent="0.25">
      <c r="H893" s="34"/>
      <c r="I893" s="34"/>
      <c r="J893" s="35"/>
      <c r="K893" s="36"/>
      <c r="L893" s="39" t="e">
        <f>VLOOKUP(Tabla81015[[#This Row],[CODIGO DEL PRODUCTO]],Tabla797[],2,FALSE)</f>
        <v>#N/A</v>
      </c>
      <c r="M893" s="37"/>
      <c r="N893" s="158"/>
      <c r="O893" s="76">
        <v>2704814</v>
      </c>
      <c r="P893" s="78" t="s">
        <v>679</v>
      </c>
      <c r="Q893" s="77">
        <v>46141</v>
      </c>
      <c r="R893" s="78" t="s">
        <v>286</v>
      </c>
      <c r="S893" s="36" t="str">
        <f>VLOOKUP(Tabla91116[[#This Row],[CODIGO DEL PRODUCTO]],Tabla797[],2,FALSE)</f>
        <v>CPF 40 AVELLANEDA</v>
      </c>
      <c r="T893" s="37">
        <v>36.04</v>
      </c>
    </row>
    <row r="894" spans="8:20" x14ac:dyDescent="0.25">
      <c r="H894" s="34"/>
      <c r="I894" s="34"/>
      <c r="J894" s="35"/>
      <c r="K894" s="36"/>
      <c r="L894" s="39" t="e">
        <f>VLOOKUP(Tabla81015[[#This Row],[CODIGO DEL PRODUCTO]],Tabla797[],2,FALSE)</f>
        <v>#N/A</v>
      </c>
      <c r="M894" s="37"/>
      <c r="N894" s="158"/>
      <c r="O894" s="76">
        <v>40056</v>
      </c>
      <c r="P894" s="78" t="s">
        <v>149</v>
      </c>
      <c r="Q894" s="77">
        <v>46142</v>
      </c>
      <c r="R894" s="78" t="s">
        <v>42</v>
      </c>
      <c r="S894" s="36" t="str">
        <f>VLOOKUP(Tabla91116[[#This Row],[CODIGO DEL PRODUCTO]],Tabla797[],2,FALSE)</f>
        <v>ARENA FINA</v>
      </c>
      <c r="T894" s="37">
        <v>38.659999999999997</v>
      </c>
    </row>
    <row r="895" spans="8:20" x14ac:dyDescent="0.25">
      <c r="H895" s="34"/>
      <c r="I895" s="34"/>
      <c r="J895" s="35"/>
      <c r="K895" s="36"/>
      <c r="L895" s="39" t="e">
        <f>VLOOKUP(Tabla81015[[#This Row],[CODIGO DEL PRODUCTO]],Tabla797[],2,FALSE)</f>
        <v>#N/A</v>
      </c>
      <c r="M895" s="37"/>
      <c r="N895" s="158"/>
      <c r="O895" s="76">
        <v>40073</v>
      </c>
      <c r="P895" s="78" t="s">
        <v>149</v>
      </c>
      <c r="Q895" s="77">
        <v>46142</v>
      </c>
      <c r="R895" s="78" t="s">
        <v>42</v>
      </c>
      <c r="S895" s="36" t="str">
        <f>VLOOKUP(Tabla91116[[#This Row],[CODIGO DEL PRODUCTO]],Tabla797[],2,FALSE)</f>
        <v>ARENA FINA</v>
      </c>
      <c r="T895" s="37">
        <v>39.1</v>
      </c>
    </row>
    <row r="896" spans="8:20" x14ac:dyDescent="0.25">
      <c r="H896" s="34"/>
      <c r="I896" s="34"/>
      <c r="J896" s="35"/>
      <c r="K896" s="36"/>
      <c r="L896" s="39" t="e">
        <f>VLOOKUP(Tabla81015[[#This Row],[CODIGO DEL PRODUCTO]],Tabla797[],2,FALSE)</f>
        <v>#N/A</v>
      </c>
      <c r="M896" s="37"/>
      <c r="N896" s="158"/>
      <c r="O896" s="76">
        <v>104184</v>
      </c>
      <c r="P896" s="78" t="s">
        <v>683</v>
      </c>
      <c r="Q896" s="77">
        <v>46142</v>
      </c>
      <c r="R896" s="78" t="s">
        <v>42</v>
      </c>
      <c r="S896" s="36" t="str">
        <f>VLOOKUP(Tabla91116[[#This Row],[CODIGO DEL PRODUCTO]],Tabla797[],2,FALSE)</f>
        <v>ARENA FINA</v>
      </c>
      <c r="T896" s="37">
        <v>34.299999999999997</v>
      </c>
    </row>
    <row r="897" spans="8:20" x14ac:dyDescent="0.25">
      <c r="H897" s="34"/>
      <c r="I897" s="34"/>
      <c r="J897" s="35"/>
      <c r="K897" s="36"/>
      <c r="L897" s="39" t="e">
        <f>VLOOKUP(Tabla81015[[#This Row],[CODIGO DEL PRODUCTO]],Tabla797[],2,FALSE)</f>
        <v>#N/A</v>
      </c>
      <c r="M897" s="37"/>
      <c r="N897" s="158"/>
      <c r="O897" s="76">
        <v>104189</v>
      </c>
      <c r="P897" s="78" t="s">
        <v>683</v>
      </c>
      <c r="Q897" s="77">
        <v>46142</v>
      </c>
      <c r="R897" s="78" t="s">
        <v>42</v>
      </c>
      <c r="S897" s="36" t="str">
        <f>VLOOKUP(Tabla91116[[#This Row],[CODIGO DEL PRODUCTO]],Tabla797[],2,FALSE)</f>
        <v>ARENA FINA</v>
      </c>
      <c r="T897" s="37">
        <v>35.299999999999997</v>
      </c>
    </row>
    <row r="898" spans="8:20" x14ac:dyDescent="0.25">
      <c r="H898" s="34"/>
      <c r="I898" s="34"/>
      <c r="J898" s="35"/>
      <c r="K898" s="36"/>
      <c r="L898" s="39" t="e">
        <f>VLOOKUP(Tabla81015[[#This Row],[CODIGO DEL PRODUCTO]],Tabla797[],2,FALSE)</f>
        <v>#N/A</v>
      </c>
      <c r="M898" s="37"/>
      <c r="N898" s="158"/>
      <c r="O898" s="76">
        <v>222789</v>
      </c>
      <c r="P898" s="78" t="s">
        <v>516</v>
      </c>
      <c r="Q898" s="77">
        <v>46142</v>
      </c>
      <c r="R898" s="78" t="s">
        <v>43</v>
      </c>
      <c r="S898" s="36" t="str">
        <f>VLOOKUP(Tabla91116[[#This Row],[CODIGO DEL PRODUCTO]],Tabla797[],2,FALSE)</f>
        <v>PIEDRA 6-20</v>
      </c>
      <c r="T898" s="37">
        <v>34.46</v>
      </c>
    </row>
    <row r="899" spans="8:20" x14ac:dyDescent="0.25">
      <c r="H899" s="34"/>
      <c r="I899" s="34"/>
      <c r="J899" s="35"/>
      <c r="K899" s="36"/>
      <c r="L899" s="39" t="e">
        <f>VLOOKUP(Tabla81015[[#This Row],[CODIGO DEL PRODUCTO]],Tabla797[],2,FALSE)</f>
        <v>#N/A</v>
      </c>
      <c r="M899" s="37"/>
      <c r="N899" s="158"/>
      <c r="O899" s="76">
        <v>40056</v>
      </c>
      <c r="P899" s="78" t="s">
        <v>149</v>
      </c>
      <c r="Q899" s="77">
        <v>46142</v>
      </c>
      <c r="R899" s="78" t="s">
        <v>42</v>
      </c>
      <c r="S899" s="36" t="str">
        <f>VLOOKUP(Tabla91116[[#This Row],[CODIGO DEL PRODUCTO]],Tabla797[],2,FALSE)</f>
        <v>ARENA FINA</v>
      </c>
      <c r="T899" s="37">
        <v>38.659999999999997</v>
      </c>
    </row>
    <row r="900" spans="8:20" x14ac:dyDescent="0.25">
      <c r="H900" s="34"/>
      <c r="I900" s="34"/>
      <c r="J900" s="35"/>
      <c r="K900" s="36"/>
      <c r="L900" s="39" t="e">
        <f>VLOOKUP(Tabla81015[[#This Row],[CODIGO DEL PRODUCTO]],Tabla797[],2,FALSE)</f>
        <v>#N/A</v>
      </c>
      <c r="M900" s="37"/>
      <c r="N900" s="158"/>
      <c r="O900" s="76">
        <v>40073</v>
      </c>
      <c r="P900" s="78" t="s">
        <v>149</v>
      </c>
      <c r="Q900" s="77">
        <v>46142</v>
      </c>
      <c r="R900" s="78" t="s">
        <v>42</v>
      </c>
      <c r="S900" s="36" t="str">
        <f>VLOOKUP(Tabla91116[[#This Row],[CODIGO DEL PRODUCTO]],Tabla797[],2,FALSE)</f>
        <v>ARENA FINA</v>
      </c>
      <c r="T900" s="37">
        <v>39.1</v>
      </c>
    </row>
    <row r="901" spans="8:20" x14ac:dyDescent="0.25">
      <c r="H901" s="34"/>
      <c r="I901" s="34"/>
      <c r="J901" s="35"/>
      <c r="K901" s="36"/>
      <c r="L901" s="39" t="e">
        <f>VLOOKUP(Tabla81015[[#This Row],[CODIGO DEL PRODUCTO]],Tabla797[],2,FALSE)</f>
        <v>#N/A</v>
      </c>
      <c r="M901" s="37"/>
      <c r="N901" s="158"/>
      <c r="O901" s="76">
        <v>109167</v>
      </c>
      <c r="P901" s="78" t="s">
        <v>684</v>
      </c>
      <c r="Q901" s="77">
        <v>46142</v>
      </c>
      <c r="R901" s="78" t="s">
        <v>40</v>
      </c>
      <c r="S901" s="36" t="str">
        <f>VLOOKUP(Tabla91116[[#This Row],[CODIGO DEL PRODUCTO]],Tabla797[],2,FALSE)</f>
        <v>PIEDRA 0-6</v>
      </c>
      <c r="T901" s="37">
        <v>34.76</v>
      </c>
    </row>
    <row r="902" spans="8:20" x14ac:dyDescent="0.25">
      <c r="H902" s="34"/>
      <c r="I902" s="34"/>
      <c r="J902" s="35"/>
      <c r="K902" s="36"/>
      <c r="L902" s="39" t="e">
        <f>VLOOKUP(Tabla81015[[#This Row],[CODIGO DEL PRODUCTO]],Tabla797[],2,FALSE)</f>
        <v>#N/A</v>
      </c>
      <c r="M902" s="37"/>
      <c r="N902" s="158"/>
      <c r="O902" s="76">
        <v>109168</v>
      </c>
      <c r="P902" s="78" t="s">
        <v>684</v>
      </c>
      <c r="Q902" s="77">
        <v>46142</v>
      </c>
      <c r="R902" s="78" t="s">
        <v>43</v>
      </c>
      <c r="S902" s="36" t="str">
        <f>VLOOKUP(Tabla91116[[#This Row],[CODIGO DEL PRODUCTO]],Tabla797[],2,FALSE)</f>
        <v>PIEDRA 6-20</v>
      </c>
      <c r="T902" s="37">
        <v>35.54</v>
      </c>
    </row>
    <row r="903" spans="8:20" x14ac:dyDescent="0.25">
      <c r="H903" s="34"/>
      <c r="I903" s="34"/>
      <c r="J903" s="35"/>
      <c r="K903" s="36"/>
      <c r="L903" s="39" t="e">
        <f>VLOOKUP(Tabla81015[[#This Row],[CODIGO DEL PRODUCTO]],Tabla797[],2,FALSE)</f>
        <v>#N/A</v>
      </c>
      <c r="M903" s="37"/>
      <c r="N903" s="158"/>
      <c r="O903" s="76">
        <v>109170</v>
      </c>
      <c r="P903" s="78" t="s">
        <v>684</v>
      </c>
      <c r="Q903" s="77">
        <v>46142</v>
      </c>
      <c r="R903" s="78" t="s">
        <v>43</v>
      </c>
      <c r="S903" s="36" t="str">
        <f>VLOOKUP(Tabla91116[[#This Row],[CODIGO DEL PRODUCTO]],Tabla797[],2,FALSE)</f>
        <v>PIEDRA 6-20</v>
      </c>
      <c r="T903" s="37">
        <v>34.799999999999997</v>
      </c>
    </row>
    <row r="904" spans="8:20" x14ac:dyDescent="0.25">
      <c r="H904" s="34"/>
      <c r="I904" s="34"/>
      <c r="J904" s="35"/>
      <c r="K904" s="36"/>
      <c r="L904" s="39" t="e">
        <f>VLOOKUP(Tabla81015[[#This Row],[CODIGO DEL PRODUCTO]],Tabla797[],2,FALSE)</f>
        <v>#N/A</v>
      </c>
      <c r="M904" s="37"/>
      <c r="N904" s="158"/>
      <c r="O904" s="76">
        <v>109179</v>
      </c>
      <c r="P904" s="78" t="s">
        <v>684</v>
      </c>
      <c r="Q904" s="77">
        <v>46142</v>
      </c>
      <c r="R904" s="78" t="s">
        <v>40</v>
      </c>
      <c r="S904" s="36" t="str">
        <f>VLOOKUP(Tabla91116[[#This Row],[CODIGO DEL PRODUCTO]],Tabla797[],2,FALSE)</f>
        <v>PIEDRA 0-6</v>
      </c>
      <c r="T904" s="37">
        <v>36.24</v>
      </c>
    </row>
    <row r="905" spans="8:20" x14ac:dyDescent="0.25">
      <c r="H905" s="34"/>
      <c r="I905" s="34"/>
      <c r="J905" s="35"/>
      <c r="K905" s="36"/>
      <c r="L905" s="39" t="e">
        <f>VLOOKUP(Tabla81015[[#This Row],[CODIGO DEL PRODUCTO]],Tabla797[],2,FALSE)</f>
        <v>#N/A</v>
      </c>
      <c r="M905" s="37"/>
      <c r="N905" s="158"/>
      <c r="O905" s="76">
        <v>109184</v>
      </c>
      <c r="P905" s="78" t="s">
        <v>684</v>
      </c>
      <c r="Q905" s="77">
        <v>46142</v>
      </c>
      <c r="R905" s="78" t="s">
        <v>43</v>
      </c>
      <c r="S905" s="36" t="str">
        <f>VLOOKUP(Tabla91116[[#This Row],[CODIGO DEL PRODUCTO]],Tabla797[],2,FALSE)</f>
        <v>PIEDRA 6-20</v>
      </c>
      <c r="T905" s="37">
        <v>35.14</v>
      </c>
    </row>
    <row r="906" spans="8:20" x14ac:dyDescent="0.25">
      <c r="H906" s="34"/>
      <c r="I906" s="34"/>
      <c r="J906" s="35"/>
      <c r="K906" s="36"/>
      <c r="L906" s="39" t="e">
        <f>VLOOKUP(Tabla81015[[#This Row],[CODIGO DEL PRODUCTO]],Tabla797[],2,FALSE)</f>
        <v>#N/A</v>
      </c>
      <c r="M906" s="37"/>
      <c r="N906" s="158"/>
      <c r="O906" s="76">
        <v>109185</v>
      </c>
      <c r="P906" s="78" t="s">
        <v>684</v>
      </c>
      <c r="Q906" s="77">
        <v>46142</v>
      </c>
      <c r="R906" s="78" t="s">
        <v>40</v>
      </c>
      <c r="S906" s="36" t="str">
        <f>VLOOKUP(Tabla91116[[#This Row],[CODIGO DEL PRODUCTO]],Tabla797[],2,FALSE)</f>
        <v>PIEDRA 0-6</v>
      </c>
      <c r="T906" s="37">
        <v>34.799999999999997</v>
      </c>
    </row>
    <row r="907" spans="8:20" x14ac:dyDescent="0.25">
      <c r="H907" s="34"/>
      <c r="I907" s="34"/>
      <c r="J907" s="35"/>
      <c r="K907" s="36"/>
      <c r="L907" s="39" t="e">
        <f>VLOOKUP(Tabla81015[[#This Row],[CODIGO DEL PRODUCTO]],Tabla797[],2,FALSE)</f>
        <v>#N/A</v>
      </c>
      <c r="M907" s="37"/>
      <c r="N907" s="158"/>
      <c r="O907" s="76">
        <v>109186</v>
      </c>
      <c r="P907" s="78" t="s">
        <v>684</v>
      </c>
      <c r="Q907" s="77">
        <v>46142</v>
      </c>
      <c r="R907" s="78" t="s">
        <v>43</v>
      </c>
      <c r="S907" s="36" t="str">
        <f>VLOOKUP(Tabla91116[[#This Row],[CODIGO DEL PRODUCTO]],Tabla797[],2,FALSE)</f>
        <v>PIEDRA 6-20</v>
      </c>
      <c r="T907" s="37">
        <v>35.380000000000003</v>
      </c>
    </row>
    <row r="908" spans="8:20" x14ac:dyDescent="0.25">
      <c r="H908" s="34"/>
      <c r="I908" s="34"/>
      <c r="J908" s="35"/>
      <c r="K908" s="36"/>
      <c r="L908" s="39" t="e">
        <f>VLOOKUP(Tabla81015[[#This Row],[CODIGO DEL PRODUCTO]],Tabla797[],2,FALSE)</f>
        <v>#N/A</v>
      </c>
      <c r="M908" s="37"/>
      <c r="N908" s="158"/>
      <c r="O908" s="76">
        <v>2705061</v>
      </c>
      <c r="P908" s="78" t="s">
        <v>679</v>
      </c>
      <c r="Q908" s="77">
        <v>46142</v>
      </c>
      <c r="R908" s="78" t="s">
        <v>286</v>
      </c>
      <c r="S908" s="36" t="str">
        <f>VLOOKUP(Tabla91116[[#This Row],[CODIGO DEL PRODUCTO]],Tabla797[],2,FALSE)</f>
        <v>CPF 40 AVELLANEDA</v>
      </c>
      <c r="T908" s="37">
        <v>35.56</v>
      </c>
    </row>
    <row r="909" spans="8:20" x14ac:dyDescent="0.25">
      <c r="H909" s="34"/>
      <c r="I909" s="34"/>
      <c r="J909" s="35"/>
      <c r="K909" s="36"/>
      <c r="L909" s="39" t="e">
        <f>VLOOKUP(Tabla81015[[#This Row],[CODIGO DEL PRODUCTO]],Tabla797[],2,FALSE)</f>
        <v>#N/A</v>
      </c>
      <c r="M909" s="37"/>
      <c r="N909" s="158"/>
      <c r="O909" s="76">
        <v>2705093</v>
      </c>
      <c r="P909" s="78" t="s">
        <v>679</v>
      </c>
      <c r="Q909" s="77">
        <v>46142</v>
      </c>
      <c r="R909" s="78" t="s">
        <v>286</v>
      </c>
      <c r="S909" s="36" t="str">
        <f>VLOOKUP(Tabla91116[[#This Row],[CODIGO DEL PRODUCTO]],Tabla797[],2,FALSE)</f>
        <v>CPF 40 AVELLANEDA</v>
      </c>
      <c r="T909" s="37">
        <v>35.94</v>
      </c>
    </row>
    <row r="910" spans="8:20" x14ac:dyDescent="0.25">
      <c r="H910" s="34"/>
      <c r="I910" s="34"/>
      <c r="J910" s="35"/>
      <c r="K910" s="36"/>
      <c r="L910" s="39" t="e">
        <f>VLOOKUP(Tabla81015[[#This Row],[CODIGO DEL PRODUCTO]],Tabla797[],2,FALSE)</f>
        <v>#N/A</v>
      </c>
      <c r="M910" s="37"/>
      <c r="N910" s="158"/>
      <c r="O910" s="76">
        <v>40086</v>
      </c>
      <c r="P910" s="78" t="s">
        <v>149</v>
      </c>
      <c r="Q910" s="77">
        <v>46144</v>
      </c>
      <c r="R910" s="78" t="s">
        <v>42</v>
      </c>
      <c r="S910" s="36" t="str">
        <f>VLOOKUP(Tabla91116[[#This Row],[CODIGO DEL PRODUCTO]],Tabla797[],2,FALSE)</f>
        <v>ARENA FINA</v>
      </c>
      <c r="T910" s="37">
        <v>37.159999999999997</v>
      </c>
    </row>
    <row r="911" spans="8:20" x14ac:dyDescent="0.25">
      <c r="H911" s="34"/>
      <c r="I911" s="34"/>
      <c r="J911" s="35"/>
      <c r="K911" s="36"/>
      <c r="L911" s="39" t="e">
        <f>VLOOKUP(Tabla81015[[#This Row],[CODIGO DEL PRODUCTO]],Tabla797[],2,FALSE)</f>
        <v>#N/A</v>
      </c>
      <c r="M911" s="37"/>
      <c r="N911" s="158"/>
      <c r="O911" s="76">
        <v>109188</v>
      </c>
      <c r="P911" s="78" t="s">
        <v>684</v>
      </c>
      <c r="Q911" s="77">
        <v>46144</v>
      </c>
      <c r="R911" s="78" t="s">
        <v>40</v>
      </c>
      <c r="S911" s="36" t="str">
        <f>VLOOKUP(Tabla91116[[#This Row],[CODIGO DEL PRODUCTO]],Tabla797[],2,FALSE)</f>
        <v>PIEDRA 0-6</v>
      </c>
      <c r="T911" s="37">
        <v>35.06</v>
      </c>
    </row>
    <row r="912" spans="8:20" x14ac:dyDescent="0.25">
      <c r="H912" s="34"/>
      <c r="I912" s="34"/>
      <c r="J912" s="35"/>
      <c r="K912" s="36"/>
      <c r="L912" s="39" t="e">
        <f>VLOOKUP(Tabla81015[[#This Row],[CODIGO DEL PRODUCTO]],Tabla797[],2,FALSE)</f>
        <v>#N/A</v>
      </c>
      <c r="M912" s="37"/>
      <c r="N912" s="158"/>
      <c r="O912" s="76">
        <v>2705182</v>
      </c>
      <c r="P912" s="78" t="s">
        <v>679</v>
      </c>
      <c r="Q912" s="77">
        <v>46144</v>
      </c>
      <c r="R912" s="78" t="s">
        <v>286</v>
      </c>
      <c r="S912" s="36" t="str">
        <f>VLOOKUP(Tabla91116[[#This Row],[CODIGO DEL PRODUCTO]],Tabla797[],2,FALSE)</f>
        <v>CPF 40 AVELLANEDA</v>
      </c>
      <c r="T912" s="37">
        <v>35.54</v>
      </c>
    </row>
    <row r="913" spans="8:20" x14ac:dyDescent="0.25">
      <c r="H913" s="34"/>
      <c r="I913" s="34"/>
      <c r="J913" s="35"/>
      <c r="K913" s="36"/>
      <c r="L913" s="39" t="e">
        <f>VLOOKUP(Tabla81015[[#This Row],[CODIGO DEL PRODUCTO]],Tabla797[],2,FALSE)</f>
        <v>#N/A</v>
      </c>
      <c r="M913" s="37"/>
      <c r="N913" s="158"/>
      <c r="O913" s="76">
        <v>2705255</v>
      </c>
      <c r="P913" s="78" t="s">
        <v>679</v>
      </c>
      <c r="Q913" s="77">
        <v>46144</v>
      </c>
      <c r="R913" s="78" t="s">
        <v>286</v>
      </c>
      <c r="S913" s="36" t="str">
        <f>VLOOKUP(Tabla91116[[#This Row],[CODIGO DEL PRODUCTO]],Tabla797[],2,FALSE)</f>
        <v>CPF 40 AVELLANEDA</v>
      </c>
      <c r="T913" s="37">
        <v>36.020000000000003</v>
      </c>
    </row>
    <row r="914" spans="8:20" x14ac:dyDescent="0.25">
      <c r="H914" s="34"/>
      <c r="I914" s="34"/>
      <c r="J914" s="35"/>
      <c r="K914" s="36"/>
      <c r="L914" s="39" t="e">
        <f>VLOOKUP(Tabla81015[[#This Row],[CODIGO DEL PRODUCTO]],Tabla797[],2,FALSE)</f>
        <v>#N/A</v>
      </c>
      <c r="M914" s="37"/>
      <c r="N914" s="158"/>
      <c r="O914" s="76">
        <v>104202</v>
      </c>
      <c r="P914" s="78" t="s">
        <v>683</v>
      </c>
      <c r="Q914" s="77">
        <v>46146</v>
      </c>
      <c r="R914" s="78" t="s">
        <v>42</v>
      </c>
      <c r="S914" s="36" t="str">
        <f>VLOOKUP(Tabla91116[[#This Row],[CODIGO DEL PRODUCTO]],Tabla797[],2,FALSE)</f>
        <v>ARENA FINA</v>
      </c>
      <c r="T914" s="37">
        <v>35.299999999999997</v>
      </c>
    </row>
    <row r="915" spans="8:20" x14ac:dyDescent="0.25">
      <c r="H915" s="34"/>
      <c r="I915" s="34"/>
      <c r="J915" s="35"/>
      <c r="K915" s="36"/>
      <c r="L915" s="39" t="e">
        <f>VLOOKUP(Tabla81015[[#This Row],[CODIGO DEL PRODUCTO]],Tabla797[],2,FALSE)</f>
        <v>#N/A</v>
      </c>
      <c r="M915" s="37"/>
      <c r="N915" s="158"/>
      <c r="O915" s="76">
        <v>104209</v>
      </c>
      <c r="P915" s="78" t="s">
        <v>683</v>
      </c>
      <c r="Q915" s="77">
        <v>46146</v>
      </c>
      <c r="R915" s="78" t="s">
        <v>42</v>
      </c>
      <c r="S915" s="36" t="str">
        <f>VLOOKUP(Tabla91116[[#This Row],[CODIGO DEL PRODUCTO]],Tabla797[],2,FALSE)</f>
        <v>ARENA FINA</v>
      </c>
      <c r="T915" s="37">
        <v>35.72</v>
      </c>
    </row>
    <row r="916" spans="8:20" x14ac:dyDescent="0.25">
      <c r="H916" s="34"/>
      <c r="I916" s="34"/>
      <c r="J916" s="35"/>
      <c r="K916" s="36"/>
      <c r="L916" s="39" t="e">
        <f>VLOOKUP(Tabla81015[[#This Row],[CODIGO DEL PRODUCTO]],Tabla797[],2,FALSE)</f>
        <v>#N/A</v>
      </c>
      <c r="M916" s="37"/>
      <c r="N916" s="158"/>
      <c r="O916" s="76">
        <v>40102</v>
      </c>
      <c r="P916" s="78" t="s">
        <v>149</v>
      </c>
      <c r="Q916" s="77">
        <v>46146</v>
      </c>
      <c r="R916" s="78" t="s">
        <v>42</v>
      </c>
      <c r="S916" s="36" t="str">
        <f>VLOOKUP(Tabla91116[[#This Row],[CODIGO DEL PRODUCTO]],Tabla797[],2,FALSE)</f>
        <v>ARENA FINA</v>
      </c>
      <c r="T916" s="37">
        <v>36.28</v>
      </c>
    </row>
    <row r="917" spans="8:20" x14ac:dyDescent="0.25">
      <c r="H917" s="34"/>
      <c r="I917" s="34"/>
      <c r="J917" s="35"/>
      <c r="K917" s="36"/>
      <c r="L917" s="39" t="e">
        <f>VLOOKUP(Tabla81015[[#This Row],[CODIGO DEL PRODUCTO]],Tabla797[],2,FALSE)</f>
        <v>#N/A</v>
      </c>
      <c r="M917" s="37"/>
      <c r="N917" s="158"/>
      <c r="O917" s="76">
        <v>10113</v>
      </c>
      <c r="P917" s="78" t="s">
        <v>149</v>
      </c>
      <c r="Q917" s="77">
        <v>46146</v>
      </c>
      <c r="R917" s="78" t="s">
        <v>42</v>
      </c>
      <c r="S917" s="36" t="str">
        <f>VLOOKUP(Tabla91116[[#This Row],[CODIGO DEL PRODUCTO]],Tabla797[],2,FALSE)</f>
        <v>ARENA FINA</v>
      </c>
      <c r="T917" s="37">
        <v>36.880000000000003</v>
      </c>
    </row>
    <row r="918" spans="8:20" x14ac:dyDescent="0.25">
      <c r="H918" s="34"/>
      <c r="I918" s="34"/>
      <c r="J918" s="35"/>
      <c r="K918" s="36"/>
      <c r="L918" s="39" t="e">
        <f>VLOOKUP(Tabla81015[[#This Row],[CODIGO DEL PRODUCTO]],Tabla797[],2,FALSE)</f>
        <v>#N/A</v>
      </c>
      <c r="M918" s="37"/>
      <c r="N918" s="158"/>
      <c r="O918" s="76">
        <v>109193</v>
      </c>
      <c r="P918" s="78" t="s">
        <v>684</v>
      </c>
      <c r="Q918" s="77">
        <v>46146</v>
      </c>
      <c r="R918" s="78" t="s">
        <v>40</v>
      </c>
      <c r="S918" s="36" t="str">
        <f>VLOOKUP(Tabla91116[[#This Row],[CODIGO DEL PRODUCTO]],Tabla797[],2,FALSE)</f>
        <v>PIEDRA 0-6</v>
      </c>
      <c r="T918" s="37">
        <v>34.54</v>
      </c>
    </row>
    <row r="919" spans="8:20" x14ac:dyDescent="0.25">
      <c r="H919" s="34"/>
      <c r="I919" s="34"/>
      <c r="J919" s="35"/>
      <c r="K919" s="36"/>
      <c r="L919" s="39" t="e">
        <f>VLOOKUP(Tabla81015[[#This Row],[CODIGO DEL PRODUCTO]],Tabla797[],2,FALSE)</f>
        <v>#N/A</v>
      </c>
      <c r="M919" s="37"/>
      <c r="N919" s="158"/>
      <c r="O919" s="76">
        <v>109197</v>
      </c>
      <c r="P919" s="78" t="s">
        <v>684</v>
      </c>
      <c r="Q919" s="77">
        <v>46146</v>
      </c>
      <c r="R919" s="78" t="s">
        <v>40</v>
      </c>
      <c r="S919" s="36" t="str">
        <f>VLOOKUP(Tabla91116[[#This Row],[CODIGO DEL PRODUCTO]],Tabla797[],2,FALSE)</f>
        <v>PIEDRA 0-6</v>
      </c>
      <c r="T919" s="37">
        <v>34.94</v>
      </c>
    </row>
    <row r="920" spans="8:20" x14ac:dyDescent="0.25">
      <c r="H920" s="34"/>
      <c r="I920" s="34"/>
      <c r="J920" s="35"/>
      <c r="K920" s="36"/>
      <c r="L920" s="39" t="e">
        <f>VLOOKUP(Tabla81015[[#This Row],[CODIGO DEL PRODUCTO]],Tabla797[],2,FALSE)</f>
        <v>#N/A</v>
      </c>
      <c r="M920" s="37"/>
      <c r="N920" s="158"/>
      <c r="O920" s="76">
        <v>109201</v>
      </c>
      <c r="P920" s="78" t="s">
        <v>684</v>
      </c>
      <c r="Q920" s="77">
        <v>46146</v>
      </c>
      <c r="R920" s="78" t="s">
        <v>40</v>
      </c>
      <c r="S920" s="36" t="str">
        <f>VLOOKUP(Tabla91116[[#This Row],[CODIGO DEL PRODUCTO]],Tabla797[],2,FALSE)</f>
        <v>PIEDRA 0-6</v>
      </c>
      <c r="T920" s="37">
        <v>34.96</v>
      </c>
    </row>
    <row r="921" spans="8:20" x14ac:dyDescent="0.25">
      <c r="H921" s="34"/>
      <c r="I921" s="34"/>
      <c r="J921" s="35"/>
      <c r="K921" s="36"/>
      <c r="L921" s="39" t="e">
        <f>VLOOKUP(Tabla81015[[#This Row],[CODIGO DEL PRODUCTO]],Tabla797[],2,FALSE)</f>
        <v>#N/A</v>
      </c>
      <c r="M921" s="37"/>
      <c r="N921" s="158"/>
      <c r="O921" s="76">
        <v>156959</v>
      </c>
      <c r="P921" s="78" t="s">
        <v>679</v>
      </c>
      <c r="Q921" s="77">
        <v>46146</v>
      </c>
      <c r="R921" s="78" t="s">
        <v>43</v>
      </c>
      <c r="S921" s="36" t="str">
        <f>VLOOKUP(Tabla91116[[#This Row],[CODIGO DEL PRODUCTO]],Tabla797[],2,FALSE)</f>
        <v>PIEDRA 6-20</v>
      </c>
      <c r="T921" s="37">
        <v>35.340000000000003</v>
      </c>
    </row>
    <row r="922" spans="8:20" x14ac:dyDescent="0.25">
      <c r="H922" s="34"/>
      <c r="I922" s="34"/>
      <c r="J922" s="35"/>
      <c r="K922" s="36"/>
      <c r="L922" s="39" t="e">
        <f>VLOOKUP(Tabla81015[[#This Row],[CODIGO DEL PRODUCTO]],Tabla797[],2,FALSE)</f>
        <v>#N/A</v>
      </c>
      <c r="M922" s="37"/>
      <c r="N922" s="158"/>
      <c r="O922" s="76">
        <v>157007</v>
      </c>
      <c r="P922" s="78" t="s">
        <v>679</v>
      </c>
      <c r="Q922" s="77">
        <v>46146</v>
      </c>
      <c r="R922" s="78" t="s">
        <v>43</v>
      </c>
      <c r="S922" s="36" t="str">
        <f>VLOOKUP(Tabla91116[[#This Row],[CODIGO DEL PRODUCTO]],Tabla797[],2,FALSE)</f>
        <v>PIEDRA 6-20</v>
      </c>
      <c r="T922" s="37">
        <v>35.54</v>
      </c>
    </row>
    <row r="923" spans="8:20" x14ac:dyDescent="0.25">
      <c r="H923" s="34"/>
      <c r="I923" s="34"/>
      <c r="J923" s="35"/>
      <c r="K923" s="36"/>
      <c r="L923" s="39" t="e">
        <f>VLOOKUP(Tabla81015[[#This Row],[CODIGO DEL PRODUCTO]],Tabla797[],2,FALSE)</f>
        <v>#N/A</v>
      </c>
      <c r="M923" s="37"/>
      <c r="N923" s="158"/>
      <c r="O923" s="76">
        <v>157014</v>
      </c>
      <c r="P923" s="78" t="s">
        <v>679</v>
      </c>
      <c r="Q923" s="77">
        <v>46146</v>
      </c>
      <c r="R923" s="78" t="s">
        <v>43</v>
      </c>
      <c r="S923" s="36" t="str">
        <f>VLOOKUP(Tabla91116[[#This Row],[CODIGO DEL PRODUCTO]],Tabla797[],2,FALSE)</f>
        <v>PIEDRA 6-20</v>
      </c>
      <c r="T923" s="37">
        <v>35.22</v>
      </c>
    </row>
    <row r="924" spans="8:20" x14ac:dyDescent="0.25">
      <c r="H924" s="34"/>
      <c r="I924" s="34"/>
      <c r="J924" s="35"/>
      <c r="K924" s="36"/>
      <c r="L924" s="39" t="e">
        <f>VLOOKUP(Tabla81015[[#This Row],[CODIGO DEL PRODUCTO]],Tabla797[],2,FALSE)</f>
        <v>#N/A</v>
      </c>
      <c r="M924" s="37"/>
      <c r="N924" s="158"/>
      <c r="O924" s="76">
        <v>157021</v>
      </c>
      <c r="P924" s="78" t="s">
        <v>679</v>
      </c>
      <c r="Q924" s="77">
        <v>46146</v>
      </c>
      <c r="R924" s="78" t="s">
        <v>43</v>
      </c>
      <c r="S924" s="36" t="str">
        <f>VLOOKUP(Tabla91116[[#This Row],[CODIGO DEL PRODUCTO]],Tabla797[],2,FALSE)</f>
        <v>PIEDRA 6-20</v>
      </c>
      <c r="T924" s="37">
        <v>36.020000000000003</v>
      </c>
    </row>
    <row r="925" spans="8:20" x14ac:dyDescent="0.25">
      <c r="H925" s="34"/>
      <c r="I925" s="34"/>
      <c r="J925" s="35"/>
      <c r="K925" s="36"/>
      <c r="L925" s="39" t="e">
        <f>VLOOKUP(Tabla81015[[#This Row],[CODIGO DEL PRODUCTO]],Tabla797[],2,FALSE)</f>
        <v>#N/A</v>
      </c>
      <c r="M925" s="37"/>
      <c r="N925" s="158"/>
      <c r="O925" s="76">
        <v>2705540</v>
      </c>
      <c r="P925" s="78" t="s">
        <v>679</v>
      </c>
      <c r="Q925" s="77">
        <v>46146</v>
      </c>
      <c r="R925" s="78" t="s">
        <v>286</v>
      </c>
      <c r="S925" s="36" t="str">
        <f>VLOOKUP(Tabla91116[[#This Row],[CODIGO DEL PRODUCTO]],Tabla797[],2,FALSE)</f>
        <v>CPF 40 AVELLANEDA</v>
      </c>
      <c r="T925" s="37">
        <v>35.44</v>
      </c>
    </row>
    <row r="926" spans="8:20" x14ac:dyDescent="0.25">
      <c r="H926" s="34"/>
      <c r="I926" s="34"/>
      <c r="J926" s="35"/>
      <c r="K926" s="36"/>
      <c r="L926" s="39" t="e">
        <f>VLOOKUP(Tabla81015[[#This Row],[CODIGO DEL PRODUCTO]],Tabla797[],2,FALSE)</f>
        <v>#N/A</v>
      </c>
      <c r="M926" s="37"/>
      <c r="N926" s="158"/>
      <c r="O926" s="76">
        <v>2705570</v>
      </c>
      <c r="P926" s="78" t="s">
        <v>679</v>
      </c>
      <c r="Q926" s="77">
        <v>46146</v>
      </c>
      <c r="R926" s="78" t="s">
        <v>286</v>
      </c>
      <c r="S926" s="36" t="str">
        <f>VLOOKUP(Tabla91116[[#This Row],[CODIGO DEL PRODUCTO]],Tabla797[],2,FALSE)</f>
        <v>CPF 40 AVELLANEDA</v>
      </c>
      <c r="T926" s="37">
        <v>35.92</v>
      </c>
    </row>
    <row r="927" spans="8:20" x14ac:dyDescent="0.25">
      <c r="H927" s="34"/>
      <c r="I927" s="34"/>
      <c r="J927" s="35"/>
      <c r="K927" s="36"/>
      <c r="L927" s="39" t="e">
        <f>VLOOKUP(Tabla81015[[#This Row],[CODIGO DEL PRODUCTO]],Tabla797[],2,FALSE)</f>
        <v>#N/A</v>
      </c>
      <c r="M927" s="37"/>
      <c r="N927" s="158"/>
      <c r="O927" s="76">
        <v>26316</v>
      </c>
      <c r="P927" s="78" t="s">
        <v>426</v>
      </c>
      <c r="Q927" s="77">
        <v>46147</v>
      </c>
      <c r="R927" s="78" t="s">
        <v>42</v>
      </c>
      <c r="S927" s="36" t="str">
        <f>VLOOKUP(Tabla91116[[#This Row],[CODIGO DEL PRODUCTO]],Tabla797[],2,FALSE)</f>
        <v>ARENA FINA</v>
      </c>
      <c r="T927" s="37">
        <v>20.32</v>
      </c>
    </row>
    <row r="928" spans="8:20" x14ac:dyDescent="0.25">
      <c r="H928" s="34"/>
      <c r="I928" s="34"/>
      <c r="J928" s="35"/>
      <c r="K928" s="36"/>
      <c r="L928" s="39" t="e">
        <f>VLOOKUP(Tabla81015[[#This Row],[CODIGO DEL PRODUCTO]],Tabla797[],2,FALSE)</f>
        <v>#N/A</v>
      </c>
      <c r="M928" s="37"/>
      <c r="N928" s="158"/>
      <c r="O928" s="76">
        <v>26327</v>
      </c>
      <c r="P928" s="78" t="s">
        <v>426</v>
      </c>
      <c r="Q928" s="77">
        <v>46147</v>
      </c>
      <c r="R928" s="78" t="s">
        <v>42</v>
      </c>
      <c r="S928" s="36" t="str">
        <f>VLOOKUP(Tabla91116[[#This Row],[CODIGO DEL PRODUCTO]],Tabla797[],2,FALSE)</f>
        <v>ARENA FINA</v>
      </c>
      <c r="T928" s="37">
        <v>18.68</v>
      </c>
    </row>
    <row r="929" spans="8:20" x14ac:dyDescent="0.25">
      <c r="H929" s="34"/>
      <c r="I929" s="34"/>
      <c r="J929" s="35"/>
      <c r="K929" s="36"/>
      <c r="L929" s="39" t="e">
        <f>VLOOKUP(Tabla81015[[#This Row],[CODIGO DEL PRODUCTO]],Tabla797[],2,FALSE)</f>
        <v>#N/A</v>
      </c>
      <c r="M929" s="37"/>
      <c r="N929" s="158"/>
      <c r="O929" s="76">
        <v>104221</v>
      </c>
      <c r="P929" s="78" t="s">
        <v>683</v>
      </c>
      <c r="Q929" s="77">
        <v>46147</v>
      </c>
      <c r="R929" s="78" t="s">
        <v>42</v>
      </c>
      <c r="S929" s="36" t="str">
        <f>VLOOKUP(Tabla91116[[#This Row],[CODIGO DEL PRODUCTO]],Tabla797[],2,FALSE)</f>
        <v>ARENA FINA</v>
      </c>
      <c r="T929" s="37">
        <v>35.36</v>
      </c>
    </row>
    <row r="930" spans="8:20" x14ac:dyDescent="0.25">
      <c r="H930" s="34"/>
      <c r="I930" s="34"/>
      <c r="J930" s="35"/>
      <c r="K930" s="36"/>
      <c r="L930" s="39" t="e">
        <f>VLOOKUP(Tabla81015[[#This Row],[CODIGO DEL PRODUCTO]],Tabla797[],2,FALSE)</f>
        <v>#N/A</v>
      </c>
      <c r="M930" s="37"/>
      <c r="N930" s="158"/>
      <c r="O930" s="76">
        <v>40120</v>
      </c>
      <c r="P930" s="78" t="s">
        <v>149</v>
      </c>
      <c r="Q930" s="77">
        <v>46147</v>
      </c>
      <c r="R930" s="78" t="s">
        <v>42</v>
      </c>
      <c r="S930" s="36" t="str">
        <f>VLOOKUP(Tabla91116[[#This Row],[CODIGO DEL PRODUCTO]],Tabla797[],2,FALSE)</f>
        <v>ARENA FINA</v>
      </c>
      <c r="T930" s="37">
        <v>18.68</v>
      </c>
    </row>
    <row r="931" spans="8:20" x14ac:dyDescent="0.25">
      <c r="H931" s="34"/>
      <c r="I931" s="34"/>
      <c r="J931" s="35"/>
      <c r="K931" s="36"/>
      <c r="L931" s="39" t="e">
        <f>VLOOKUP(Tabla81015[[#This Row],[CODIGO DEL PRODUCTO]],Tabla797[],2,FALSE)</f>
        <v>#N/A</v>
      </c>
      <c r="M931" s="37"/>
      <c r="N931" s="158"/>
      <c r="O931" s="76">
        <v>40144</v>
      </c>
      <c r="P931" s="78" t="s">
        <v>149</v>
      </c>
      <c r="Q931" s="77">
        <v>46147</v>
      </c>
      <c r="R931" s="78" t="s">
        <v>42</v>
      </c>
      <c r="S931" s="36" t="str">
        <f>VLOOKUP(Tabla91116[[#This Row],[CODIGO DEL PRODUCTO]],Tabla797[],2,FALSE)</f>
        <v>ARENA FINA</v>
      </c>
      <c r="T931" s="37">
        <v>38.56</v>
      </c>
    </row>
    <row r="932" spans="8:20" x14ac:dyDescent="0.25">
      <c r="H932" s="34"/>
      <c r="I932" s="34"/>
      <c r="J932" s="35"/>
      <c r="K932" s="36"/>
      <c r="L932" s="39" t="e">
        <f>VLOOKUP(Tabla81015[[#This Row],[CODIGO DEL PRODUCTO]],Tabla797[],2,FALSE)</f>
        <v>#N/A</v>
      </c>
      <c r="M932" s="37"/>
      <c r="N932" s="158"/>
      <c r="O932" s="76">
        <v>40154</v>
      </c>
      <c r="P932" s="78" t="s">
        <v>149</v>
      </c>
      <c r="Q932" s="77">
        <v>46147</v>
      </c>
      <c r="R932" s="78" t="s">
        <v>42</v>
      </c>
      <c r="S932" s="36" t="str">
        <f>VLOOKUP(Tabla91116[[#This Row],[CODIGO DEL PRODUCTO]],Tabla797[],2,FALSE)</f>
        <v>ARENA FINA</v>
      </c>
      <c r="T932" s="37">
        <v>22.36</v>
      </c>
    </row>
    <row r="933" spans="8:20" x14ac:dyDescent="0.25">
      <c r="H933" s="34"/>
      <c r="I933" s="34"/>
      <c r="J933" s="35"/>
      <c r="K933" s="36"/>
      <c r="L933" s="39" t="e">
        <f>VLOOKUP(Tabla81015[[#This Row],[CODIGO DEL PRODUCTO]],Tabla797[],2,FALSE)</f>
        <v>#N/A</v>
      </c>
      <c r="M933" s="37"/>
      <c r="N933" s="158"/>
      <c r="O933" s="76">
        <v>40167</v>
      </c>
      <c r="P933" s="78" t="s">
        <v>149</v>
      </c>
      <c r="Q933" s="77">
        <v>46147</v>
      </c>
      <c r="R933" s="78" t="s">
        <v>42</v>
      </c>
      <c r="S933" s="36" t="str">
        <f>VLOOKUP(Tabla91116[[#This Row],[CODIGO DEL PRODUCTO]],Tabla797[],2,FALSE)</f>
        <v>ARENA FINA</v>
      </c>
      <c r="T933" s="37">
        <v>34.44</v>
      </c>
    </row>
    <row r="934" spans="8:20" x14ac:dyDescent="0.25">
      <c r="H934" s="34"/>
      <c r="I934" s="34"/>
      <c r="J934" s="35"/>
      <c r="K934" s="36"/>
      <c r="L934" s="39" t="e">
        <f>VLOOKUP(Tabla81015[[#This Row],[CODIGO DEL PRODUCTO]],Tabla797[],2,FALSE)</f>
        <v>#N/A</v>
      </c>
      <c r="M934" s="37"/>
      <c r="N934" s="158"/>
      <c r="O934" s="76">
        <v>40175</v>
      </c>
      <c r="P934" s="78" t="s">
        <v>149</v>
      </c>
      <c r="Q934" s="77">
        <v>46147</v>
      </c>
      <c r="R934" s="78" t="s">
        <v>42</v>
      </c>
      <c r="S934" s="36" t="str">
        <f>VLOOKUP(Tabla91116[[#This Row],[CODIGO DEL PRODUCTO]],Tabla797[],2,FALSE)</f>
        <v>ARENA FINA</v>
      </c>
      <c r="T934" s="37">
        <v>19.68</v>
      </c>
    </row>
    <row r="935" spans="8:20" x14ac:dyDescent="0.25">
      <c r="H935" s="34"/>
      <c r="I935" s="34"/>
      <c r="J935" s="35"/>
      <c r="K935" s="36"/>
      <c r="L935" s="39" t="e">
        <f>VLOOKUP(Tabla81015[[#This Row],[CODIGO DEL PRODUCTO]],Tabla797[],2,FALSE)</f>
        <v>#N/A</v>
      </c>
      <c r="M935" s="37"/>
      <c r="N935" s="158"/>
      <c r="O935" s="76">
        <v>109202</v>
      </c>
      <c r="P935" s="78" t="s">
        <v>684</v>
      </c>
      <c r="Q935" s="77">
        <v>46147</v>
      </c>
      <c r="R935" s="78" t="s">
        <v>40</v>
      </c>
      <c r="S935" s="36" t="str">
        <f>VLOOKUP(Tabla91116[[#This Row],[CODIGO DEL PRODUCTO]],Tabla797[],2,FALSE)</f>
        <v>PIEDRA 0-6</v>
      </c>
      <c r="T935" s="37">
        <v>35.44</v>
      </c>
    </row>
    <row r="936" spans="8:20" x14ac:dyDescent="0.25">
      <c r="H936" s="34"/>
      <c r="I936" s="34"/>
      <c r="J936" s="35"/>
      <c r="K936" s="36"/>
      <c r="L936" s="39" t="e">
        <f>VLOOKUP(Tabla81015[[#This Row],[CODIGO DEL PRODUCTO]],Tabla797[],2,FALSE)</f>
        <v>#N/A</v>
      </c>
      <c r="M936" s="37"/>
      <c r="N936" s="158"/>
      <c r="O936" s="76">
        <v>109210</v>
      </c>
      <c r="P936" s="78" t="s">
        <v>684</v>
      </c>
      <c r="Q936" s="77">
        <v>46147</v>
      </c>
      <c r="R936" s="78" t="s">
        <v>40</v>
      </c>
      <c r="S936" s="36" t="str">
        <f>VLOOKUP(Tabla91116[[#This Row],[CODIGO DEL PRODUCTO]],Tabla797[],2,FALSE)</f>
        <v>PIEDRA 0-6</v>
      </c>
      <c r="T936" s="37">
        <v>33.96</v>
      </c>
    </row>
    <row r="937" spans="8:20" x14ac:dyDescent="0.25">
      <c r="H937" s="34"/>
      <c r="I937" s="34"/>
      <c r="J937" s="35"/>
      <c r="K937" s="36"/>
      <c r="L937" s="39" t="e">
        <f>VLOOKUP(Tabla81015[[#This Row],[CODIGO DEL PRODUCTO]],Tabla797[],2,FALSE)</f>
        <v>#N/A</v>
      </c>
      <c r="M937" s="37"/>
      <c r="N937" s="158"/>
      <c r="O937" s="76">
        <v>109214</v>
      </c>
      <c r="P937" s="78" t="s">
        <v>684</v>
      </c>
      <c r="Q937" s="77">
        <v>46147</v>
      </c>
      <c r="R937" s="78" t="s">
        <v>40</v>
      </c>
      <c r="S937" s="36" t="str">
        <f>VLOOKUP(Tabla91116[[#This Row],[CODIGO DEL PRODUCTO]],Tabla797[],2,FALSE)</f>
        <v>PIEDRA 0-6</v>
      </c>
      <c r="T937" s="37">
        <v>34.520000000000003</v>
      </c>
    </row>
    <row r="938" spans="8:20" x14ac:dyDescent="0.25">
      <c r="H938" s="34"/>
      <c r="I938" s="34"/>
      <c r="J938" s="35"/>
      <c r="K938" s="36"/>
      <c r="L938" s="39" t="e">
        <f>VLOOKUP(Tabla81015[[#This Row],[CODIGO DEL PRODUCTO]],Tabla797[],2,FALSE)</f>
        <v>#N/A</v>
      </c>
      <c r="M938" s="37"/>
      <c r="N938" s="158"/>
      <c r="O938" s="76">
        <v>109216</v>
      </c>
      <c r="P938" s="78" t="s">
        <v>684</v>
      </c>
      <c r="Q938" s="77">
        <v>46147</v>
      </c>
      <c r="R938" s="78" t="s">
        <v>48</v>
      </c>
      <c r="S938" s="36" t="str">
        <f>VLOOKUP(Tabla91116[[#This Row],[CODIGO DEL PRODUCTO]],Tabla797[],2,FALSE)</f>
        <v>PIEDRA 6-12</v>
      </c>
      <c r="T938" s="37">
        <v>34.54</v>
      </c>
    </row>
    <row r="939" spans="8:20" x14ac:dyDescent="0.25">
      <c r="H939" s="34"/>
      <c r="I939" s="34"/>
      <c r="J939" s="35"/>
      <c r="K939" s="36"/>
      <c r="L939" s="39" t="e">
        <f>VLOOKUP(Tabla81015[[#This Row],[CODIGO DEL PRODUCTO]],Tabla797[],2,FALSE)</f>
        <v>#N/A</v>
      </c>
      <c r="M939" s="37"/>
      <c r="N939" s="158"/>
      <c r="O939" s="76">
        <v>157052</v>
      </c>
      <c r="P939" s="78" t="s">
        <v>679</v>
      </c>
      <c r="Q939" s="77">
        <v>46147</v>
      </c>
      <c r="R939" s="78" t="s">
        <v>43</v>
      </c>
      <c r="S939" s="36" t="str">
        <f>VLOOKUP(Tabla91116[[#This Row],[CODIGO DEL PRODUCTO]],Tabla797[],2,FALSE)</f>
        <v>PIEDRA 6-20</v>
      </c>
      <c r="T939" s="37">
        <v>35.18</v>
      </c>
    </row>
    <row r="940" spans="8:20" x14ac:dyDescent="0.25">
      <c r="H940" s="34"/>
      <c r="I940" s="34"/>
      <c r="J940" s="35"/>
      <c r="K940" s="36"/>
      <c r="L940" s="39" t="e">
        <f>VLOOKUP(Tabla81015[[#This Row],[CODIGO DEL PRODUCTO]],Tabla797[],2,FALSE)</f>
        <v>#N/A</v>
      </c>
      <c r="M940" s="37"/>
      <c r="N940" s="158"/>
      <c r="O940" s="76">
        <v>157064</v>
      </c>
      <c r="P940" s="78" t="s">
        <v>679</v>
      </c>
      <c r="Q940" s="77">
        <v>46147</v>
      </c>
      <c r="R940" s="78" t="s">
        <v>43</v>
      </c>
      <c r="S940" s="36" t="str">
        <f>VLOOKUP(Tabla91116[[#This Row],[CODIGO DEL PRODUCTO]],Tabla797[],2,FALSE)</f>
        <v>PIEDRA 6-20</v>
      </c>
      <c r="T940" s="37">
        <v>35.64</v>
      </c>
    </row>
    <row r="941" spans="8:20" x14ac:dyDescent="0.25">
      <c r="H941" s="34"/>
      <c r="I941" s="34"/>
      <c r="J941" s="35"/>
      <c r="K941" s="36"/>
      <c r="L941" s="39" t="e">
        <f>VLOOKUP(Tabla81015[[#This Row],[CODIGO DEL PRODUCTO]],Tabla797[],2,FALSE)</f>
        <v>#N/A</v>
      </c>
      <c r="M941" s="37"/>
      <c r="N941" s="158"/>
      <c r="O941" s="76">
        <v>157088</v>
      </c>
      <c r="P941" s="78" t="s">
        <v>679</v>
      </c>
      <c r="Q941" s="77">
        <v>46147</v>
      </c>
      <c r="R941" s="78" t="s">
        <v>43</v>
      </c>
      <c r="S941" s="36" t="str">
        <f>VLOOKUP(Tabla91116[[#This Row],[CODIGO DEL PRODUCTO]],Tabla797[],2,FALSE)</f>
        <v>PIEDRA 6-20</v>
      </c>
      <c r="T941" s="37">
        <v>35.64</v>
      </c>
    </row>
    <row r="942" spans="8:20" x14ac:dyDescent="0.25">
      <c r="H942" s="34"/>
      <c r="I942" s="34"/>
      <c r="J942" s="35"/>
      <c r="K942" s="36"/>
      <c r="L942" s="39" t="e">
        <f>VLOOKUP(Tabla81015[[#This Row],[CODIGO DEL PRODUCTO]],Tabla797[],2,FALSE)</f>
        <v>#N/A</v>
      </c>
      <c r="M942" s="37"/>
      <c r="N942" s="158"/>
      <c r="O942" s="76">
        <v>157094</v>
      </c>
      <c r="P942" s="78" t="s">
        <v>679</v>
      </c>
      <c r="Q942" s="77">
        <v>46147</v>
      </c>
      <c r="R942" s="78" t="s">
        <v>43</v>
      </c>
      <c r="S942" s="36" t="str">
        <f>VLOOKUP(Tabla91116[[#This Row],[CODIGO DEL PRODUCTO]],Tabla797[],2,FALSE)</f>
        <v>PIEDRA 6-20</v>
      </c>
      <c r="T942" s="37">
        <v>35.96</v>
      </c>
    </row>
    <row r="943" spans="8:20" x14ac:dyDescent="0.25">
      <c r="H943" s="34"/>
      <c r="I943" s="34"/>
      <c r="J943" s="35"/>
      <c r="K943" s="36"/>
      <c r="L943" s="39" t="e">
        <f>VLOOKUP(Tabla81015[[#This Row],[CODIGO DEL PRODUCTO]],Tabla797[],2,FALSE)</f>
        <v>#N/A</v>
      </c>
      <c r="M943" s="37"/>
      <c r="N943" s="158"/>
      <c r="O943" s="76">
        <v>2705815</v>
      </c>
      <c r="P943" s="78" t="s">
        <v>679</v>
      </c>
      <c r="Q943" s="77">
        <v>46147</v>
      </c>
      <c r="R943" s="78" t="s">
        <v>286</v>
      </c>
      <c r="S943" s="36" t="str">
        <f>VLOOKUP(Tabla91116[[#This Row],[CODIGO DEL PRODUCTO]],Tabla797[],2,FALSE)</f>
        <v>CPF 40 AVELLANEDA</v>
      </c>
      <c r="T943" s="37">
        <v>35.68</v>
      </c>
    </row>
    <row r="944" spans="8:20" x14ac:dyDescent="0.25">
      <c r="H944" s="34"/>
      <c r="I944" s="34"/>
      <c r="J944" s="35"/>
      <c r="K944" s="36"/>
      <c r="L944" s="39" t="e">
        <f>VLOOKUP(Tabla81015[[#This Row],[CODIGO DEL PRODUCTO]],Tabla797[],2,FALSE)</f>
        <v>#N/A</v>
      </c>
      <c r="M944" s="37"/>
      <c r="N944" s="158"/>
      <c r="O944" s="76">
        <v>2705843</v>
      </c>
      <c r="P944" s="78" t="s">
        <v>679</v>
      </c>
      <c r="Q944" s="77">
        <v>46147</v>
      </c>
      <c r="R944" s="78" t="s">
        <v>286</v>
      </c>
      <c r="S944" s="36" t="str">
        <f>VLOOKUP(Tabla91116[[#This Row],[CODIGO DEL PRODUCTO]],Tabla797[],2,FALSE)</f>
        <v>CPF 40 AVELLANEDA</v>
      </c>
      <c r="T944" s="37">
        <v>36.26</v>
      </c>
    </row>
    <row r="945" spans="8:20" x14ac:dyDescent="0.25">
      <c r="H945" s="34"/>
      <c r="I945" s="34"/>
      <c r="J945" s="35"/>
      <c r="K945" s="36"/>
      <c r="L945" s="39" t="e">
        <f>VLOOKUP(Tabla81015[[#This Row],[CODIGO DEL PRODUCTO]],Tabla797[],2,FALSE)</f>
        <v>#N/A</v>
      </c>
      <c r="M945" s="37"/>
      <c r="N945" s="158"/>
      <c r="O945" s="76">
        <v>104224</v>
      </c>
      <c r="P945" s="78" t="s">
        <v>683</v>
      </c>
      <c r="Q945" s="77">
        <v>46148</v>
      </c>
      <c r="R945" s="78" t="s">
        <v>42</v>
      </c>
      <c r="S945" s="36" t="str">
        <f>VLOOKUP(Tabla91116[[#This Row],[CODIGO DEL PRODUCTO]],Tabla797[],2,FALSE)</f>
        <v>ARENA FINA</v>
      </c>
      <c r="T945" s="37">
        <v>34.82</v>
      </c>
    </row>
    <row r="946" spans="8:20" x14ac:dyDescent="0.25">
      <c r="H946" s="34"/>
      <c r="I946" s="34"/>
      <c r="J946" s="35"/>
      <c r="K946" s="36"/>
      <c r="L946" s="39" t="e">
        <f>VLOOKUP(Tabla81015[[#This Row],[CODIGO DEL PRODUCTO]],Tabla797[],2,FALSE)</f>
        <v>#N/A</v>
      </c>
      <c r="M946" s="37"/>
      <c r="N946" s="158"/>
      <c r="O946" s="76">
        <v>104234</v>
      </c>
      <c r="P946" s="78" t="s">
        <v>683</v>
      </c>
      <c r="Q946" s="77">
        <v>46148</v>
      </c>
      <c r="R946" s="78" t="s">
        <v>42</v>
      </c>
      <c r="S946" s="36" t="str">
        <f>VLOOKUP(Tabla91116[[#This Row],[CODIGO DEL PRODUCTO]],Tabla797[],2,FALSE)</f>
        <v>ARENA FINA</v>
      </c>
      <c r="T946" s="37">
        <v>33.82</v>
      </c>
    </row>
    <row r="947" spans="8:20" x14ac:dyDescent="0.25">
      <c r="H947" s="34"/>
      <c r="I947" s="34"/>
      <c r="J947" s="35"/>
      <c r="K947" s="36"/>
      <c r="L947" s="39" t="e">
        <f>VLOOKUP(Tabla81015[[#This Row],[CODIGO DEL PRODUCTO]],Tabla797[],2,FALSE)</f>
        <v>#N/A</v>
      </c>
      <c r="M947" s="37"/>
      <c r="N947" s="158"/>
      <c r="O947" s="76">
        <v>40193</v>
      </c>
      <c r="P947" s="78" t="s">
        <v>149</v>
      </c>
      <c r="Q947" s="77">
        <v>46148</v>
      </c>
      <c r="R947" s="78" t="s">
        <v>42</v>
      </c>
      <c r="S947" s="36" t="str">
        <f>VLOOKUP(Tabla91116[[#This Row],[CODIGO DEL PRODUCTO]],Tabla797[],2,FALSE)</f>
        <v>ARENA FINA</v>
      </c>
      <c r="T947" s="37">
        <v>34.94</v>
      </c>
    </row>
    <row r="948" spans="8:20" x14ac:dyDescent="0.25">
      <c r="H948" s="34"/>
      <c r="I948" s="34"/>
      <c r="J948" s="35"/>
      <c r="K948" s="36"/>
      <c r="L948" s="39" t="e">
        <f>VLOOKUP(Tabla81015[[#This Row],[CODIGO DEL PRODUCTO]],Tabla797[],2,FALSE)</f>
        <v>#N/A</v>
      </c>
      <c r="M948" s="37"/>
      <c r="N948" s="158"/>
      <c r="O948" s="76">
        <v>40202</v>
      </c>
      <c r="P948" s="78" t="s">
        <v>149</v>
      </c>
      <c r="Q948" s="77">
        <v>46148</v>
      </c>
      <c r="R948" s="78" t="s">
        <v>42</v>
      </c>
      <c r="S948" s="36" t="str">
        <f>VLOOKUP(Tabla91116[[#This Row],[CODIGO DEL PRODUCTO]],Tabla797[],2,FALSE)</f>
        <v>ARENA FINA</v>
      </c>
      <c r="T948" s="37">
        <v>36.68</v>
      </c>
    </row>
    <row r="949" spans="8:20" x14ac:dyDescent="0.25">
      <c r="H949" s="34"/>
      <c r="I949" s="34"/>
      <c r="J949" s="35"/>
      <c r="K949" s="36"/>
      <c r="L949" s="39" t="e">
        <f>VLOOKUP(Tabla81015[[#This Row],[CODIGO DEL PRODUCTO]],Tabla797[],2,FALSE)</f>
        <v>#N/A</v>
      </c>
      <c r="M949" s="37"/>
      <c r="N949" s="158"/>
      <c r="O949" s="76">
        <v>109217</v>
      </c>
      <c r="P949" s="78" t="s">
        <v>684</v>
      </c>
      <c r="Q949" s="77">
        <v>46148</v>
      </c>
      <c r="R949" s="78" t="s">
        <v>40</v>
      </c>
      <c r="S949" s="36" t="str">
        <f>VLOOKUP(Tabla91116[[#This Row],[CODIGO DEL PRODUCTO]],Tabla797[],2,FALSE)</f>
        <v>PIEDRA 0-6</v>
      </c>
      <c r="T949" s="37">
        <v>35.36</v>
      </c>
    </row>
    <row r="950" spans="8:20" x14ac:dyDescent="0.25">
      <c r="H950" s="34"/>
      <c r="I950" s="34"/>
      <c r="J950" s="35"/>
      <c r="K950" s="36"/>
      <c r="L950" s="39" t="e">
        <f>VLOOKUP(Tabla81015[[#This Row],[CODIGO DEL PRODUCTO]],Tabla797[],2,FALSE)</f>
        <v>#N/A</v>
      </c>
      <c r="M950" s="37"/>
      <c r="N950" s="158"/>
      <c r="O950" s="76">
        <v>109222</v>
      </c>
      <c r="P950" s="78" t="s">
        <v>684</v>
      </c>
      <c r="Q950" s="77">
        <v>46148</v>
      </c>
      <c r="R950" s="78" t="s">
        <v>40</v>
      </c>
      <c r="S950" s="36" t="str">
        <f>VLOOKUP(Tabla91116[[#This Row],[CODIGO DEL PRODUCTO]],Tabla797[],2,FALSE)</f>
        <v>PIEDRA 0-6</v>
      </c>
      <c r="T950" s="37">
        <v>33.74</v>
      </c>
    </row>
    <row r="951" spans="8:20" x14ac:dyDescent="0.25">
      <c r="H951" s="34"/>
      <c r="I951" s="34"/>
      <c r="J951" s="35"/>
      <c r="K951" s="36"/>
      <c r="L951" s="39" t="e">
        <f>VLOOKUP(Tabla81015[[#This Row],[CODIGO DEL PRODUCTO]],Tabla797[],2,FALSE)</f>
        <v>#N/A</v>
      </c>
      <c r="M951" s="37"/>
      <c r="N951" s="158"/>
      <c r="O951" s="76">
        <v>109224</v>
      </c>
      <c r="P951" s="78" t="s">
        <v>684</v>
      </c>
      <c r="Q951" s="77">
        <v>46148</v>
      </c>
      <c r="R951" s="78" t="s">
        <v>43</v>
      </c>
      <c r="S951" s="36" t="str">
        <f>VLOOKUP(Tabla91116[[#This Row],[CODIGO DEL PRODUCTO]],Tabla797[],2,FALSE)</f>
        <v>PIEDRA 6-20</v>
      </c>
      <c r="T951" s="37">
        <v>35.880000000000003</v>
      </c>
    </row>
    <row r="952" spans="8:20" x14ac:dyDescent="0.25">
      <c r="H952" s="34"/>
      <c r="I952" s="34"/>
      <c r="J952" s="35"/>
      <c r="K952" s="36"/>
      <c r="L952" s="39" t="e">
        <f>VLOOKUP(Tabla81015[[#This Row],[CODIGO DEL PRODUCTO]],Tabla797[],2,FALSE)</f>
        <v>#N/A</v>
      </c>
      <c r="M952" s="37"/>
      <c r="N952" s="158"/>
      <c r="O952" s="76">
        <v>109228</v>
      </c>
      <c r="P952" s="78" t="s">
        <v>684</v>
      </c>
      <c r="Q952" s="77">
        <v>46148</v>
      </c>
      <c r="R952" s="78" t="s">
        <v>48</v>
      </c>
      <c r="S952" s="36" t="str">
        <f>VLOOKUP(Tabla91116[[#This Row],[CODIGO DEL PRODUCTO]],Tabla797[],2,FALSE)</f>
        <v>PIEDRA 6-12</v>
      </c>
      <c r="T952" s="37">
        <v>35.44</v>
      </c>
    </row>
    <row r="953" spans="8:20" x14ac:dyDescent="0.25">
      <c r="H953" s="34"/>
      <c r="I953" s="34"/>
      <c r="J953" s="35"/>
      <c r="K953" s="36"/>
      <c r="L953" s="39" t="e">
        <f>VLOOKUP(Tabla81015[[#This Row],[CODIGO DEL PRODUCTO]],Tabla797[],2,FALSE)</f>
        <v>#N/A</v>
      </c>
      <c r="M953" s="37"/>
      <c r="N953" s="158"/>
      <c r="O953" s="76">
        <v>109230</v>
      </c>
      <c r="P953" s="78" t="s">
        <v>684</v>
      </c>
      <c r="Q953" s="77">
        <v>46148</v>
      </c>
      <c r="R953" s="78" t="s">
        <v>43</v>
      </c>
      <c r="S953" s="36" t="str">
        <f>VLOOKUP(Tabla91116[[#This Row],[CODIGO DEL PRODUCTO]],Tabla797[],2,FALSE)</f>
        <v>PIEDRA 6-20</v>
      </c>
      <c r="T953" s="37">
        <v>35.340000000000003</v>
      </c>
    </row>
    <row r="954" spans="8:20" x14ac:dyDescent="0.25">
      <c r="H954" s="34"/>
      <c r="I954" s="34"/>
      <c r="J954" s="35"/>
      <c r="K954" s="36"/>
      <c r="L954" s="39" t="e">
        <f>VLOOKUP(Tabla81015[[#This Row],[CODIGO DEL PRODUCTO]],Tabla797[],2,FALSE)</f>
        <v>#N/A</v>
      </c>
      <c r="M954" s="37"/>
      <c r="N954" s="158"/>
      <c r="O954" s="76">
        <v>109231</v>
      </c>
      <c r="P954" s="78" t="s">
        <v>684</v>
      </c>
      <c r="Q954" s="77">
        <v>46148</v>
      </c>
      <c r="R954" s="78" t="s">
        <v>40</v>
      </c>
      <c r="S954" s="36" t="str">
        <f>VLOOKUP(Tabla91116[[#This Row],[CODIGO DEL PRODUCTO]],Tabla797[],2,FALSE)</f>
        <v>PIEDRA 0-6</v>
      </c>
      <c r="T954" s="37">
        <v>35.979999999999997</v>
      </c>
    </row>
    <row r="955" spans="8:20" x14ac:dyDescent="0.25">
      <c r="H955" s="34"/>
      <c r="I955" s="34"/>
      <c r="J955" s="35"/>
      <c r="K955" s="36"/>
      <c r="L955" s="39" t="e">
        <f>VLOOKUP(Tabla81015[[#This Row],[CODIGO DEL PRODUCTO]],Tabla797[],2,FALSE)</f>
        <v>#N/A</v>
      </c>
      <c r="M955" s="37"/>
      <c r="N955" s="158"/>
      <c r="O955" s="76">
        <v>157120</v>
      </c>
      <c r="P955" s="78" t="s">
        <v>679</v>
      </c>
      <c r="Q955" s="77">
        <v>46148</v>
      </c>
      <c r="R955" s="78" t="s">
        <v>43</v>
      </c>
      <c r="S955" s="36" t="str">
        <f>VLOOKUP(Tabla91116[[#This Row],[CODIGO DEL PRODUCTO]],Tabla797[],2,FALSE)</f>
        <v>PIEDRA 6-20</v>
      </c>
      <c r="T955" s="37">
        <v>35.979999999999997</v>
      </c>
    </row>
    <row r="956" spans="8:20" x14ac:dyDescent="0.25">
      <c r="H956" s="34"/>
      <c r="I956" s="34"/>
      <c r="J956" s="35"/>
      <c r="K956" s="36"/>
      <c r="L956" s="39" t="e">
        <f>VLOOKUP(Tabla81015[[#This Row],[CODIGO DEL PRODUCTO]],Tabla797[],2,FALSE)</f>
        <v>#N/A</v>
      </c>
      <c r="M956" s="37"/>
      <c r="N956" s="158"/>
      <c r="O956" s="76">
        <v>2706114</v>
      </c>
      <c r="P956" s="78" t="s">
        <v>679</v>
      </c>
      <c r="Q956" s="77">
        <v>46148</v>
      </c>
      <c r="R956" s="78" t="s">
        <v>286</v>
      </c>
      <c r="S956" s="36" t="str">
        <f>VLOOKUP(Tabla91116[[#This Row],[CODIGO DEL PRODUCTO]],Tabla797[],2,FALSE)</f>
        <v>CPF 40 AVELLANEDA</v>
      </c>
      <c r="T956" s="37">
        <v>35.340000000000003</v>
      </c>
    </row>
    <row r="957" spans="8:20" x14ac:dyDescent="0.25">
      <c r="H957" s="34"/>
      <c r="I957" s="34"/>
      <c r="J957" s="35"/>
      <c r="K957" s="36"/>
      <c r="L957" s="39" t="e">
        <f>VLOOKUP(Tabla81015[[#This Row],[CODIGO DEL PRODUCTO]],Tabla797[],2,FALSE)</f>
        <v>#N/A</v>
      </c>
      <c r="M957" s="37"/>
      <c r="N957" s="158"/>
      <c r="O957" s="76">
        <v>2706136</v>
      </c>
      <c r="P957" s="78" t="s">
        <v>679</v>
      </c>
      <c r="Q957" s="77">
        <v>46148</v>
      </c>
      <c r="R957" s="78" t="s">
        <v>286</v>
      </c>
      <c r="S957" s="36" t="str">
        <f>VLOOKUP(Tabla91116[[#This Row],[CODIGO DEL PRODUCTO]],Tabla797[],2,FALSE)</f>
        <v>CPF 40 AVELLANEDA</v>
      </c>
      <c r="T957" s="37">
        <v>36.1</v>
      </c>
    </row>
    <row r="958" spans="8:20" x14ac:dyDescent="0.25">
      <c r="H958" s="34"/>
      <c r="I958" s="34"/>
      <c r="J958" s="35"/>
      <c r="K958" s="36"/>
      <c r="L958" s="39" t="e">
        <f>VLOOKUP(Tabla81015[[#This Row],[CODIGO DEL PRODUCTO]],Tabla797[],2,FALSE)</f>
        <v>#N/A</v>
      </c>
      <c r="M958" s="37"/>
      <c r="N958" s="158"/>
      <c r="O958" s="76">
        <v>104244</v>
      </c>
      <c r="P958" s="78" t="s">
        <v>683</v>
      </c>
      <c r="Q958" s="77">
        <v>46149</v>
      </c>
      <c r="R958" s="78" t="s">
        <v>42</v>
      </c>
      <c r="S958" s="36" t="str">
        <f>VLOOKUP(Tabla91116[[#This Row],[CODIGO DEL PRODUCTO]],Tabla797[],2,FALSE)</f>
        <v>ARENA FINA</v>
      </c>
      <c r="T958" s="37">
        <v>34.700000000000003</v>
      </c>
    </row>
    <row r="959" spans="8:20" x14ac:dyDescent="0.25">
      <c r="H959" s="34"/>
      <c r="I959" s="34"/>
      <c r="J959" s="35"/>
      <c r="K959" s="36"/>
      <c r="L959" s="39" t="e">
        <f>VLOOKUP(Tabla81015[[#This Row],[CODIGO DEL PRODUCTO]],Tabla797[],2,FALSE)</f>
        <v>#N/A</v>
      </c>
      <c r="M959" s="37"/>
      <c r="N959" s="158"/>
      <c r="O959" s="76">
        <v>104252</v>
      </c>
      <c r="P959" s="78" t="s">
        <v>683</v>
      </c>
      <c r="Q959" s="77">
        <v>46149</v>
      </c>
      <c r="R959" s="78" t="s">
        <v>42</v>
      </c>
      <c r="S959" s="36" t="str">
        <f>VLOOKUP(Tabla91116[[#This Row],[CODIGO DEL PRODUCTO]],Tabla797[],2,FALSE)</f>
        <v>ARENA FINA</v>
      </c>
      <c r="T959" s="37">
        <v>35.020000000000003</v>
      </c>
    </row>
    <row r="960" spans="8:20" x14ac:dyDescent="0.25">
      <c r="H960" s="34"/>
      <c r="I960" s="34"/>
      <c r="J960" s="35"/>
      <c r="K960" s="36"/>
      <c r="L960" s="39" t="e">
        <f>VLOOKUP(Tabla81015[[#This Row],[CODIGO DEL PRODUCTO]],Tabla797[],2,FALSE)</f>
        <v>#N/A</v>
      </c>
      <c r="M960" s="37"/>
      <c r="N960" s="158"/>
      <c r="O960" s="76">
        <v>40210</v>
      </c>
      <c r="P960" s="78" t="s">
        <v>149</v>
      </c>
      <c r="Q960" s="77">
        <v>46149</v>
      </c>
      <c r="R960" s="78" t="s">
        <v>42</v>
      </c>
      <c r="S960" s="36" t="str">
        <f>VLOOKUP(Tabla91116[[#This Row],[CODIGO DEL PRODUCTO]],Tabla797[],2,FALSE)</f>
        <v>ARENA FINA</v>
      </c>
      <c r="T960" s="37">
        <v>36.979999999999997</v>
      </c>
    </row>
    <row r="961" spans="8:20" x14ac:dyDescent="0.25">
      <c r="H961" s="34"/>
      <c r="I961" s="34"/>
      <c r="J961" s="35"/>
      <c r="K961" s="36"/>
      <c r="L961" s="39" t="e">
        <f>VLOOKUP(Tabla81015[[#This Row],[CODIGO DEL PRODUCTO]],Tabla797[],2,FALSE)</f>
        <v>#N/A</v>
      </c>
      <c r="M961" s="37"/>
      <c r="N961" s="158"/>
      <c r="O961" s="76">
        <v>40219</v>
      </c>
      <c r="P961" s="78" t="s">
        <v>149</v>
      </c>
      <c r="Q961" s="77">
        <v>46149</v>
      </c>
      <c r="R961" s="78" t="s">
        <v>42</v>
      </c>
      <c r="S961" s="36" t="str">
        <f>VLOOKUP(Tabla91116[[#This Row],[CODIGO DEL PRODUCTO]],Tabla797[],2,FALSE)</f>
        <v>ARENA FINA</v>
      </c>
      <c r="T961" s="37">
        <v>37.28</v>
      </c>
    </row>
    <row r="962" spans="8:20" x14ac:dyDescent="0.25">
      <c r="H962" s="34"/>
      <c r="I962" s="34"/>
      <c r="J962" s="35"/>
      <c r="K962" s="36"/>
      <c r="L962" s="39" t="e">
        <f>VLOOKUP(Tabla81015[[#This Row],[CODIGO DEL PRODUCTO]],Tabla797[],2,FALSE)</f>
        <v>#N/A</v>
      </c>
      <c r="M962" s="37"/>
      <c r="N962" s="158"/>
      <c r="O962" s="76">
        <v>109236</v>
      </c>
      <c r="P962" s="78" t="s">
        <v>684</v>
      </c>
      <c r="Q962" s="77">
        <v>46149</v>
      </c>
      <c r="R962" s="78" t="s">
        <v>40</v>
      </c>
      <c r="S962" s="36" t="str">
        <f>VLOOKUP(Tabla91116[[#This Row],[CODIGO DEL PRODUCTO]],Tabla797[],2,FALSE)</f>
        <v>PIEDRA 0-6</v>
      </c>
      <c r="T962" s="37">
        <v>34.56</v>
      </c>
    </row>
    <row r="963" spans="8:20" x14ac:dyDescent="0.25">
      <c r="H963" s="34"/>
      <c r="I963" s="34"/>
      <c r="J963" s="35"/>
      <c r="K963" s="36"/>
      <c r="L963" s="39" t="e">
        <f>VLOOKUP(Tabla81015[[#This Row],[CODIGO DEL PRODUCTO]],Tabla797[],2,FALSE)</f>
        <v>#N/A</v>
      </c>
      <c r="M963" s="37"/>
      <c r="N963" s="158"/>
      <c r="O963" s="76">
        <v>109238</v>
      </c>
      <c r="P963" s="78" t="s">
        <v>684</v>
      </c>
      <c r="Q963" s="77">
        <v>46149</v>
      </c>
      <c r="R963" s="78" t="s">
        <v>43</v>
      </c>
      <c r="S963" s="36" t="str">
        <f>VLOOKUP(Tabla91116[[#This Row],[CODIGO DEL PRODUCTO]],Tabla797[],2,FALSE)</f>
        <v>PIEDRA 6-20</v>
      </c>
      <c r="T963" s="37">
        <v>35.28</v>
      </c>
    </row>
    <row r="964" spans="8:20" x14ac:dyDescent="0.25">
      <c r="H964" s="34"/>
      <c r="I964" s="34"/>
      <c r="J964" s="35"/>
      <c r="K964" s="36"/>
      <c r="L964" s="39" t="e">
        <f>VLOOKUP(Tabla81015[[#This Row],[CODIGO DEL PRODUCTO]],Tabla797[],2,FALSE)</f>
        <v>#N/A</v>
      </c>
      <c r="M964" s="37"/>
      <c r="N964" s="158"/>
      <c r="O964" s="76">
        <v>109246</v>
      </c>
      <c r="P964" s="78" t="s">
        <v>684</v>
      </c>
      <c r="Q964" s="77">
        <v>46149</v>
      </c>
      <c r="R964" s="78" t="s">
        <v>40</v>
      </c>
      <c r="S964" s="36" t="str">
        <f>VLOOKUP(Tabla91116[[#This Row],[CODIGO DEL PRODUCTO]],Tabla797[],2,FALSE)</f>
        <v>PIEDRA 0-6</v>
      </c>
      <c r="T964" s="37">
        <v>33.72</v>
      </c>
    </row>
    <row r="965" spans="8:20" x14ac:dyDescent="0.25">
      <c r="H965" s="34"/>
      <c r="I965" s="34"/>
      <c r="J965" s="35"/>
      <c r="K965" s="36"/>
      <c r="L965" s="39" t="e">
        <f>VLOOKUP(Tabla81015[[#This Row],[CODIGO DEL PRODUCTO]],Tabla797[],2,FALSE)</f>
        <v>#N/A</v>
      </c>
      <c r="M965" s="37"/>
      <c r="N965" s="158"/>
      <c r="O965" s="76">
        <v>109247</v>
      </c>
      <c r="P965" s="78" t="s">
        <v>684</v>
      </c>
      <c r="Q965" s="77">
        <v>46149</v>
      </c>
      <c r="R965" s="78" t="s">
        <v>40</v>
      </c>
      <c r="S965" s="36" t="str">
        <f>VLOOKUP(Tabla91116[[#This Row],[CODIGO DEL PRODUCTO]],Tabla797[],2,FALSE)</f>
        <v>PIEDRA 0-6</v>
      </c>
      <c r="T965" s="37">
        <v>35.200000000000003</v>
      </c>
    </row>
    <row r="966" spans="8:20" x14ac:dyDescent="0.25">
      <c r="H966" s="34"/>
      <c r="I966" s="34"/>
      <c r="J966" s="35"/>
      <c r="K966" s="36"/>
      <c r="L966" s="39" t="e">
        <f>VLOOKUP(Tabla81015[[#This Row],[CODIGO DEL PRODUCTO]],Tabla797[],2,FALSE)</f>
        <v>#N/A</v>
      </c>
      <c r="M966" s="37"/>
      <c r="N966" s="158"/>
      <c r="O966" s="76">
        <v>109249</v>
      </c>
      <c r="P966" s="78" t="s">
        <v>684</v>
      </c>
      <c r="Q966" s="77">
        <v>46149</v>
      </c>
      <c r="R966" s="78" t="s">
        <v>43</v>
      </c>
      <c r="S966" s="36" t="str">
        <f>VLOOKUP(Tabla91116[[#This Row],[CODIGO DEL PRODUCTO]],Tabla797[],2,FALSE)</f>
        <v>PIEDRA 6-20</v>
      </c>
      <c r="T966" s="37">
        <v>36.659999999999997</v>
      </c>
    </row>
    <row r="967" spans="8:20" x14ac:dyDescent="0.25">
      <c r="H967" s="34"/>
      <c r="I967" s="34"/>
      <c r="J967" s="35"/>
      <c r="K967" s="36"/>
      <c r="L967" s="39" t="e">
        <f>VLOOKUP(Tabla81015[[#This Row],[CODIGO DEL PRODUCTO]],Tabla797[],2,FALSE)</f>
        <v>#N/A</v>
      </c>
      <c r="M967" s="37"/>
      <c r="N967" s="158"/>
      <c r="O967" s="76">
        <v>109251</v>
      </c>
      <c r="P967" s="78" t="s">
        <v>684</v>
      </c>
      <c r="Q967" s="77">
        <v>46149</v>
      </c>
      <c r="R967" s="78" t="s">
        <v>43</v>
      </c>
      <c r="S967" s="36" t="str">
        <f>VLOOKUP(Tabla91116[[#This Row],[CODIGO DEL PRODUCTO]],Tabla797[],2,FALSE)</f>
        <v>PIEDRA 6-20</v>
      </c>
      <c r="T967" s="37">
        <v>35.46</v>
      </c>
    </row>
    <row r="968" spans="8:20" x14ac:dyDescent="0.25">
      <c r="H968" s="34"/>
      <c r="I968" s="34"/>
      <c r="J968" s="35"/>
      <c r="K968" s="36"/>
      <c r="L968" s="39" t="e">
        <f>VLOOKUP(Tabla81015[[#This Row],[CODIGO DEL PRODUCTO]],Tabla797[],2,FALSE)</f>
        <v>#N/A</v>
      </c>
      <c r="M968" s="37"/>
      <c r="N968" s="158"/>
      <c r="O968" s="76">
        <v>109252</v>
      </c>
      <c r="P968" s="78" t="s">
        <v>684</v>
      </c>
      <c r="Q968" s="77">
        <v>46149</v>
      </c>
      <c r="R968" s="78" t="s">
        <v>48</v>
      </c>
      <c r="S968" s="36" t="str">
        <f>VLOOKUP(Tabla91116[[#This Row],[CODIGO DEL PRODUCTO]],Tabla797[],2,FALSE)</f>
        <v>PIEDRA 6-12</v>
      </c>
      <c r="T968" s="37">
        <v>35.5</v>
      </c>
    </row>
    <row r="969" spans="8:20" x14ac:dyDescent="0.25">
      <c r="H969" s="34"/>
      <c r="I969" s="34"/>
      <c r="J969" s="35"/>
      <c r="K969" s="36"/>
      <c r="L969" s="39" t="e">
        <f>VLOOKUP(Tabla81015[[#This Row],[CODIGO DEL PRODUCTO]],Tabla797[],2,FALSE)</f>
        <v>#N/A</v>
      </c>
      <c r="M969" s="37"/>
      <c r="N969" s="158"/>
      <c r="O969" s="76">
        <v>2706387</v>
      </c>
      <c r="P969" s="78" t="s">
        <v>679</v>
      </c>
      <c r="Q969" s="77">
        <v>46149</v>
      </c>
      <c r="R969" s="78" t="s">
        <v>286</v>
      </c>
      <c r="S969" s="36" t="str">
        <f>VLOOKUP(Tabla91116[[#This Row],[CODIGO DEL PRODUCTO]],Tabla797[],2,FALSE)</f>
        <v>CPF 40 AVELLANEDA</v>
      </c>
      <c r="T969" s="37">
        <v>35.700000000000003</v>
      </c>
    </row>
    <row r="970" spans="8:20" x14ac:dyDescent="0.25">
      <c r="H970" s="34"/>
      <c r="I970" s="34"/>
      <c r="J970" s="35"/>
      <c r="K970" s="36"/>
      <c r="L970" s="39" t="e">
        <f>VLOOKUP(Tabla81015[[#This Row],[CODIGO DEL PRODUCTO]],Tabla797[],2,FALSE)</f>
        <v>#N/A</v>
      </c>
      <c r="M970" s="37"/>
      <c r="N970" s="158"/>
      <c r="O970" s="76">
        <v>2706446</v>
      </c>
      <c r="P970" s="78" t="s">
        <v>679</v>
      </c>
      <c r="Q970" s="77">
        <v>46149</v>
      </c>
      <c r="R970" s="78" t="s">
        <v>286</v>
      </c>
      <c r="S970" s="36" t="str">
        <f>VLOOKUP(Tabla91116[[#This Row],[CODIGO DEL PRODUCTO]],Tabla797[],2,FALSE)</f>
        <v>CPF 40 AVELLANEDA</v>
      </c>
      <c r="T970" s="37">
        <v>35.96</v>
      </c>
    </row>
    <row r="971" spans="8:20" x14ac:dyDescent="0.25">
      <c r="H971" s="34"/>
      <c r="I971" s="34"/>
      <c r="J971" s="35"/>
      <c r="K971" s="36"/>
      <c r="L971" s="39" t="e">
        <f>VLOOKUP(Tabla81015[[#This Row],[CODIGO DEL PRODUCTO]],Tabla797[],2,FALSE)</f>
        <v>#N/A</v>
      </c>
      <c r="M971" s="37"/>
      <c r="N971" s="158"/>
      <c r="O971" s="76">
        <v>104265</v>
      </c>
      <c r="P971" s="78" t="s">
        <v>683</v>
      </c>
      <c r="Q971" s="77">
        <v>46150</v>
      </c>
      <c r="R971" s="78" t="s">
        <v>42</v>
      </c>
      <c r="S971" s="36" t="str">
        <f>VLOOKUP(Tabla91116[[#This Row],[CODIGO DEL PRODUCTO]],Tabla797[],2,FALSE)</f>
        <v>ARENA FINA</v>
      </c>
      <c r="T971" s="37">
        <v>34.340000000000003</v>
      </c>
    </row>
    <row r="972" spans="8:20" x14ac:dyDescent="0.25">
      <c r="H972" s="34"/>
      <c r="I972" s="34"/>
      <c r="J972" s="35"/>
      <c r="K972" s="36"/>
      <c r="L972" s="39" t="e">
        <f>VLOOKUP(Tabla81015[[#This Row],[CODIGO DEL PRODUCTO]],Tabla797[],2,FALSE)</f>
        <v>#N/A</v>
      </c>
      <c r="M972" s="37"/>
      <c r="N972" s="158"/>
      <c r="O972" s="76">
        <v>104272</v>
      </c>
      <c r="P972" s="78" t="s">
        <v>683</v>
      </c>
      <c r="Q972" s="77">
        <v>46150</v>
      </c>
      <c r="R972" s="78" t="s">
        <v>42</v>
      </c>
      <c r="S972" s="36" t="str">
        <f>VLOOKUP(Tabla91116[[#This Row],[CODIGO DEL PRODUCTO]],Tabla797[],2,FALSE)</f>
        <v>ARENA FINA</v>
      </c>
      <c r="T972" s="37">
        <v>34.92</v>
      </c>
    </row>
    <row r="973" spans="8:20" x14ac:dyDescent="0.25">
      <c r="H973" s="34"/>
      <c r="I973" s="34"/>
      <c r="J973" s="35"/>
      <c r="K973" s="36"/>
      <c r="L973" s="39" t="e">
        <f>VLOOKUP(Tabla81015[[#This Row],[CODIGO DEL PRODUCTO]],Tabla797[],2,FALSE)</f>
        <v>#N/A</v>
      </c>
      <c r="M973" s="37"/>
      <c r="N973" s="158"/>
      <c r="O973" s="76">
        <v>40236</v>
      </c>
      <c r="P973" s="78" t="s">
        <v>149</v>
      </c>
      <c r="Q973" s="77">
        <v>46150</v>
      </c>
      <c r="R973" s="78" t="s">
        <v>42</v>
      </c>
      <c r="S973" s="36" t="str">
        <f>VLOOKUP(Tabla91116[[#This Row],[CODIGO DEL PRODUCTO]],Tabla797[],2,FALSE)</f>
        <v>ARENA FINA</v>
      </c>
      <c r="T973" s="37">
        <v>36.44</v>
      </c>
    </row>
    <row r="974" spans="8:20" x14ac:dyDescent="0.25">
      <c r="H974" s="34"/>
      <c r="I974" s="34"/>
      <c r="J974" s="35"/>
      <c r="K974" s="36"/>
      <c r="L974" s="39" t="e">
        <f>VLOOKUP(Tabla81015[[#This Row],[CODIGO DEL PRODUCTO]],Tabla797[],2,FALSE)</f>
        <v>#N/A</v>
      </c>
      <c r="M974" s="37"/>
      <c r="N974" s="158"/>
      <c r="O974" s="76">
        <v>109253</v>
      </c>
      <c r="P974" s="78" t="s">
        <v>684</v>
      </c>
      <c r="Q974" s="77">
        <v>46150</v>
      </c>
      <c r="R974" s="78" t="s">
        <v>40</v>
      </c>
      <c r="S974" s="36" t="str">
        <f>VLOOKUP(Tabla91116[[#This Row],[CODIGO DEL PRODUCTO]],Tabla797[],2,FALSE)</f>
        <v>PIEDRA 0-6</v>
      </c>
      <c r="T974" s="37">
        <v>35.619999999999997</v>
      </c>
    </row>
    <row r="975" spans="8:20" x14ac:dyDescent="0.25">
      <c r="H975" s="34"/>
      <c r="I975" s="34"/>
      <c r="J975" s="35"/>
      <c r="K975" s="36"/>
      <c r="L975" s="39" t="e">
        <f>VLOOKUP(Tabla81015[[#This Row],[CODIGO DEL PRODUCTO]],Tabla797[],2,FALSE)</f>
        <v>#N/A</v>
      </c>
      <c r="M975" s="37"/>
      <c r="N975" s="158"/>
      <c r="O975" s="76">
        <v>109254</v>
      </c>
      <c r="P975" s="78" t="s">
        <v>684</v>
      </c>
      <c r="Q975" s="77">
        <v>46150</v>
      </c>
      <c r="R975" s="78" t="s">
        <v>43</v>
      </c>
      <c r="S975" s="36" t="str">
        <f>VLOOKUP(Tabla91116[[#This Row],[CODIGO DEL PRODUCTO]],Tabla797[],2,FALSE)</f>
        <v>PIEDRA 6-20</v>
      </c>
      <c r="T975" s="37">
        <v>35.58</v>
      </c>
    </row>
    <row r="976" spans="8:20" x14ac:dyDescent="0.25">
      <c r="H976" s="34"/>
      <c r="I976" s="34"/>
      <c r="J976" s="35"/>
      <c r="K976" s="36"/>
      <c r="L976" s="39" t="e">
        <f>VLOOKUP(Tabla81015[[#This Row],[CODIGO DEL PRODUCTO]],Tabla797[],2,FALSE)</f>
        <v>#N/A</v>
      </c>
      <c r="M976" s="37"/>
      <c r="N976" s="158"/>
      <c r="O976" s="76">
        <v>109274</v>
      </c>
      <c r="P976" s="78" t="s">
        <v>684</v>
      </c>
      <c r="Q976" s="77">
        <v>46150</v>
      </c>
      <c r="R976" s="78" t="s">
        <v>40</v>
      </c>
      <c r="S976" s="36" t="str">
        <f>VLOOKUP(Tabla91116[[#This Row],[CODIGO DEL PRODUCTO]],Tabla797[],2,FALSE)</f>
        <v>PIEDRA 0-6</v>
      </c>
      <c r="T976" s="37">
        <v>34.619999999999997</v>
      </c>
    </row>
    <row r="977" spans="8:20" x14ac:dyDescent="0.25">
      <c r="H977" s="34"/>
      <c r="I977" s="34"/>
      <c r="J977" s="35"/>
      <c r="K977" s="36"/>
      <c r="L977" s="39" t="e">
        <f>VLOOKUP(Tabla81015[[#This Row],[CODIGO DEL PRODUCTO]],Tabla797[],2,FALSE)</f>
        <v>#N/A</v>
      </c>
      <c r="M977" s="37"/>
      <c r="N977" s="158"/>
      <c r="O977" s="76">
        <v>109279</v>
      </c>
      <c r="P977" s="78" t="s">
        <v>684</v>
      </c>
      <c r="Q977" s="77">
        <v>46150</v>
      </c>
      <c r="R977" s="78" t="s">
        <v>48</v>
      </c>
      <c r="S977" s="36" t="str">
        <f>VLOOKUP(Tabla91116[[#This Row],[CODIGO DEL PRODUCTO]],Tabla797[],2,FALSE)</f>
        <v>PIEDRA 6-12</v>
      </c>
      <c r="T977" s="37">
        <v>34.74</v>
      </c>
    </row>
    <row r="978" spans="8:20" x14ac:dyDescent="0.25">
      <c r="H978" s="34"/>
      <c r="I978" s="34"/>
      <c r="J978" s="35"/>
      <c r="K978" s="36"/>
      <c r="L978" s="39" t="e">
        <f>VLOOKUP(Tabla81015[[#This Row],[CODIGO DEL PRODUCTO]],Tabla797[],2,FALSE)</f>
        <v>#N/A</v>
      </c>
      <c r="M978" s="37"/>
      <c r="N978" s="158"/>
      <c r="O978" s="76">
        <v>109280</v>
      </c>
      <c r="P978" s="78" t="s">
        <v>684</v>
      </c>
      <c r="Q978" s="77">
        <v>46150</v>
      </c>
      <c r="R978" s="78" t="s">
        <v>43</v>
      </c>
      <c r="S978" s="36" t="str">
        <f>VLOOKUP(Tabla91116[[#This Row],[CODIGO DEL PRODUCTO]],Tabla797[],2,FALSE)</f>
        <v>PIEDRA 6-20</v>
      </c>
      <c r="T978" s="37">
        <v>35.6</v>
      </c>
    </row>
    <row r="979" spans="8:20" x14ac:dyDescent="0.25">
      <c r="H979" s="34"/>
      <c r="I979" s="34"/>
      <c r="J979" s="35"/>
      <c r="K979" s="36"/>
      <c r="L979" s="39" t="e">
        <f>VLOOKUP(Tabla81015[[#This Row],[CODIGO DEL PRODUCTO]],Tabla797[],2,FALSE)</f>
        <v>#N/A</v>
      </c>
      <c r="M979" s="37"/>
      <c r="N979" s="158"/>
      <c r="O979" s="76">
        <v>109282</v>
      </c>
      <c r="P979" s="78" t="s">
        <v>684</v>
      </c>
      <c r="Q979" s="77">
        <v>46150</v>
      </c>
      <c r="R979" s="78" t="s">
        <v>43</v>
      </c>
      <c r="S979" s="36" t="str">
        <f>VLOOKUP(Tabla91116[[#This Row],[CODIGO DEL PRODUCTO]],Tabla797[],2,FALSE)</f>
        <v>PIEDRA 6-20</v>
      </c>
      <c r="T979" s="37">
        <v>34.799999999999997</v>
      </c>
    </row>
    <row r="980" spans="8:20" x14ac:dyDescent="0.25">
      <c r="H980" s="34"/>
      <c r="I980" s="34"/>
      <c r="J980" s="35"/>
      <c r="K980" s="36"/>
      <c r="L980" s="39" t="e">
        <f>VLOOKUP(Tabla81015[[#This Row],[CODIGO DEL PRODUCTO]],Tabla797[],2,FALSE)</f>
        <v>#N/A</v>
      </c>
      <c r="M980" s="37"/>
      <c r="N980" s="158"/>
      <c r="O980" s="76">
        <v>109283</v>
      </c>
      <c r="P980" s="78" t="s">
        <v>684</v>
      </c>
      <c r="Q980" s="77">
        <v>46150</v>
      </c>
      <c r="R980" s="78" t="s">
        <v>40</v>
      </c>
      <c r="S980" s="36" t="str">
        <f>VLOOKUP(Tabla91116[[#This Row],[CODIGO DEL PRODUCTO]],Tabla797[],2,FALSE)</f>
        <v>PIEDRA 0-6</v>
      </c>
      <c r="T980" s="37">
        <v>34.659999999999997</v>
      </c>
    </row>
    <row r="981" spans="8:20" x14ac:dyDescent="0.25">
      <c r="H981" s="34"/>
      <c r="I981" s="34"/>
      <c r="J981" s="35"/>
      <c r="K981" s="36"/>
      <c r="L981" s="39" t="e">
        <f>VLOOKUP(Tabla81015[[#This Row],[CODIGO DEL PRODUCTO]],Tabla797[],2,FALSE)</f>
        <v>#N/A</v>
      </c>
      <c r="M981" s="37"/>
      <c r="N981" s="158"/>
      <c r="O981" s="76">
        <v>157338</v>
      </c>
      <c r="P981" s="78" t="s">
        <v>679</v>
      </c>
      <c r="Q981" s="77">
        <v>46150</v>
      </c>
      <c r="R981" s="78" t="s">
        <v>43</v>
      </c>
      <c r="S981" s="36" t="str">
        <f>VLOOKUP(Tabla91116[[#This Row],[CODIGO DEL PRODUCTO]],Tabla797[],2,FALSE)</f>
        <v>PIEDRA 6-20</v>
      </c>
      <c r="T981" s="37">
        <v>35.619999999999997</v>
      </c>
    </row>
    <row r="982" spans="8:20" x14ac:dyDescent="0.25">
      <c r="H982" s="34"/>
      <c r="I982" s="34"/>
      <c r="J982" s="35"/>
      <c r="K982" s="36"/>
      <c r="L982" s="39" t="e">
        <f>VLOOKUP(Tabla81015[[#This Row],[CODIGO DEL PRODUCTO]],Tabla797[],2,FALSE)</f>
        <v>#N/A</v>
      </c>
      <c r="M982" s="37"/>
      <c r="N982" s="158"/>
      <c r="O982" s="76">
        <v>2706608</v>
      </c>
      <c r="P982" s="78" t="s">
        <v>679</v>
      </c>
      <c r="Q982" s="77">
        <v>46150</v>
      </c>
      <c r="R982" s="78" t="s">
        <v>286</v>
      </c>
      <c r="S982" s="36" t="str">
        <f>VLOOKUP(Tabla91116[[#This Row],[CODIGO DEL PRODUCTO]],Tabla797[],2,FALSE)</f>
        <v>CPF 40 AVELLANEDA</v>
      </c>
      <c r="T982" s="37">
        <v>36.26</v>
      </c>
    </row>
    <row r="983" spans="8:20" x14ac:dyDescent="0.25">
      <c r="H983" s="34"/>
      <c r="I983" s="34"/>
      <c r="J983" s="35"/>
      <c r="K983" s="36"/>
      <c r="L983" s="39" t="e">
        <f>VLOOKUP(Tabla81015[[#This Row],[CODIGO DEL PRODUCTO]],Tabla797[],2,FALSE)</f>
        <v>#N/A</v>
      </c>
      <c r="M983" s="37"/>
      <c r="N983" s="158"/>
      <c r="O983" s="76">
        <v>2706626</v>
      </c>
      <c r="P983" s="78" t="s">
        <v>679</v>
      </c>
      <c r="Q983" s="77">
        <v>46150</v>
      </c>
      <c r="R983" s="78" t="s">
        <v>286</v>
      </c>
      <c r="S983" s="36" t="str">
        <f>VLOOKUP(Tabla91116[[#This Row],[CODIGO DEL PRODUCTO]],Tabla797[],2,FALSE)</f>
        <v>CPF 40 AVELLANEDA</v>
      </c>
      <c r="T983" s="37">
        <v>35.74</v>
      </c>
    </row>
    <row r="984" spans="8:20" x14ac:dyDescent="0.25">
      <c r="H984" s="34"/>
      <c r="I984" s="34"/>
      <c r="J984" s="35"/>
      <c r="K984" s="36"/>
      <c r="L984" s="39" t="e">
        <f>VLOOKUP(Tabla81015[[#This Row],[CODIGO DEL PRODUCTO]],Tabla797[],2,FALSE)</f>
        <v>#N/A</v>
      </c>
      <c r="M984" s="37"/>
      <c r="N984" s="158"/>
      <c r="O984" s="76">
        <v>2706743</v>
      </c>
      <c r="P984" s="78" t="s">
        <v>679</v>
      </c>
      <c r="Q984" s="77">
        <v>46150</v>
      </c>
      <c r="R984" s="78" t="s">
        <v>286</v>
      </c>
      <c r="S984" s="36" t="str">
        <f>VLOOKUP(Tabla91116[[#This Row],[CODIGO DEL PRODUCTO]],Tabla797[],2,FALSE)</f>
        <v>CPF 40 AVELLANEDA</v>
      </c>
      <c r="T984" s="37">
        <v>35.4</v>
      </c>
    </row>
    <row r="985" spans="8:20" x14ac:dyDescent="0.25">
      <c r="H985" s="34"/>
      <c r="I985" s="34"/>
      <c r="J985" s="35"/>
      <c r="K985" s="36"/>
      <c r="L985" s="39" t="e">
        <f>VLOOKUP(Tabla81015[[#This Row],[CODIGO DEL PRODUCTO]],Tabla797[],2,FALSE)</f>
        <v>#N/A</v>
      </c>
      <c r="M985" s="37"/>
      <c r="N985" s="158"/>
      <c r="O985" s="76">
        <v>40264</v>
      </c>
      <c r="P985" s="78" t="s">
        <v>149</v>
      </c>
      <c r="Q985" s="77">
        <v>46151</v>
      </c>
      <c r="R985" s="78" t="s">
        <v>42</v>
      </c>
      <c r="S985" s="36" t="str">
        <f>VLOOKUP(Tabla91116[[#This Row],[CODIGO DEL PRODUCTO]],Tabla797[],2,FALSE)</f>
        <v>ARENA FINA</v>
      </c>
      <c r="T985" s="37">
        <v>37.94</v>
      </c>
    </row>
    <row r="986" spans="8:20" x14ac:dyDescent="0.25">
      <c r="H986" s="34"/>
      <c r="I986" s="34"/>
      <c r="J986" s="35"/>
      <c r="K986" s="36"/>
      <c r="L986" s="39" t="e">
        <f>VLOOKUP(Tabla81015[[#This Row],[CODIGO DEL PRODUCTO]],Tabla797[],2,FALSE)</f>
        <v>#N/A</v>
      </c>
      <c r="M986" s="37"/>
      <c r="N986" s="158"/>
      <c r="O986" s="76">
        <v>109284</v>
      </c>
      <c r="P986" s="78" t="s">
        <v>684</v>
      </c>
      <c r="Q986" s="77">
        <v>46151</v>
      </c>
      <c r="R986" s="78" t="s">
        <v>43</v>
      </c>
      <c r="S986" s="36" t="str">
        <f>VLOOKUP(Tabla91116[[#This Row],[CODIGO DEL PRODUCTO]],Tabla797[],2,FALSE)</f>
        <v>PIEDRA 6-20</v>
      </c>
      <c r="T986" s="37">
        <v>34.78</v>
      </c>
    </row>
    <row r="987" spans="8:20" x14ac:dyDescent="0.25">
      <c r="H987" s="34"/>
      <c r="I987" s="34"/>
      <c r="J987" s="35"/>
      <c r="K987" s="36"/>
      <c r="L987" s="39" t="e">
        <f>VLOOKUP(Tabla81015[[#This Row],[CODIGO DEL PRODUCTO]],Tabla797[],2,FALSE)</f>
        <v>#N/A</v>
      </c>
      <c r="M987" s="37"/>
      <c r="N987" s="158"/>
      <c r="O987" s="76">
        <v>157384</v>
      </c>
      <c r="P987" s="78" t="s">
        <v>679</v>
      </c>
      <c r="Q987" s="77">
        <v>46151</v>
      </c>
      <c r="R987" s="78" t="s">
        <v>43</v>
      </c>
      <c r="S987" s="36" t="str">
        <f>VLOOKUP(Tabla91116[[#This Row],[CODIGO DEL PRODUCTO]],Tabla797[],2,FALSE)</f>
        <v>PIEDRA 6-20</v>
      </c>
      <c r="T987" s="37">
        <v>35.18</v>
      </c>
    </row>
    <row r="988" spans="8:20" x14ac:dyDescent="0.25">
      <c r="H988" s="34"/>
      <c r="I988" s="34"/>
      <c r="J988" s="35"/>
      <c r="K988" s="36"/>
      <c r="L988" s="39" t="e">
        <f>VLOOKUP(Tabla81015[[#This Row],[CODIGO DEL PRODUCTO]],Tabla797[],2,FALSE)</f>
        <v>#N/A</v>
      </c>
      <c r="M988" s="37"/>
      <c r="N988" s="158"/>
      <c r="O988" s="76">
        <v>157396</v>
      </c>
      <c r="P988" s="78" t="s">
        <v>679</v>
      </c>
      <c r="Q988" s="77">
        <v>46151</v>
      </c>
      <c r="R988" s="78" t="s">
        <v>43</v>
      </c>
      <c r="S988" s="36" t="str">
        <f>VLOOKUP(Tabla91116[[#This Row],[CODIGO DEL PRODUCTO]],Tabla797[],2,FALSE)</f>
        <v>PIEDRA 6-20</v>
      </c>
      <c r="T988" s="37">
        <v>36.42</v>
      </c>
    </row>
    <row r="989" spans="8:20" x14ac:dyDescent="0.25">
      <c r="H989" s="34"/>
      <c r="I989" s="34"/>
      <c r="J989" s="35"/>
      <c r="K989" s="36"/>
      <c r="L989" s="39" t="e">
        <f>VLOOKUP(Tabla81015[[#This Row],[CODIGO DEL PRODUCTO]],Tabla797[],2,FALSE)</f>
        <v>#N/A</v>
      </c>
      <c r="M989" s="37"/>
      <c r="N989" s="158"/>
      <c r="O989" s="76">
        <v>104278</v>
      </c>
      <c r="P989" s="78" t="s">
        <v>683</v>
      </c>
      <c r="Q989" s="77">
        <v>46153</v>
      </c>
      <c r="R989" s="78" t="s">
        <v>42</v>
      </c>
      <c r="S989" s="36" t="str">
        <f>VLOOKUP(Tabla91116[[#This Row],[CODIGO DEL PRODUCTO]],Tabla797[],2,FALSE)</f>
        <v>ARENA FINA</v>
      </c>
      <c r="T989" s="37">
        <v>34.32</v>
      </c>
    </row>
    <row r="990" spans="8:20" x14ac:dyDescent="0.25">
      <c r="H990" s="34"/>
      <c r="I990" s="34"/>
      <c r="J990" s="35"/>
      <c r="K990" s="36"/>
      <c r="L990" s="39" t="e">
        <f>VLOOKUP(Tabla81015[[#This Row],[CODIGO DEL PRODUCTO]],Tabla797[],2,FALSE)</f>
        <v>#N/A</v>
      </c>
      <c r="M990" s="37"/>
      <c r="N990" s="158"/>
      <c r="O990" s="76">
        <v>104282</v>
      </c>
      <c r="P990" s="78" t="s">
        <v>683</v>
      </c>
      <c r="Q990" s="77">
        <v>46153</v>
      </c>
      <c r="R990" s="78" t="s">
        <v>42</v>
      </c>
      <c r="S990" s="36" t="str">
        <f>VLOOKUP(Tabla91116[[#This Row],[CODIGO DEL PRODUCTO]],Tabla797[],2,FALSE)</f>
        <v>ARENA FINA</v>
      </c>
      <c r="T990" s="37">
        <v>34.44</v>
      </c>
    </row>
    <row r="991" spans="8:20" x14ac:dyDescent="0.25">
      <c r="H991" s="34"/>
      <c r="I991" s="34"/>
      <c r="J991" s="35"/>
      <c r="K991" s="36"/>
      <c r="L991" s="39" t="e">
        <f>VLOOKUP(Tabla81015[[#This Row],[CODIGO DEL PRODUCTO]],Tabla797[],2,FALSE)</f>
        <v>#N/A</v>
      </c>
      <c r="M991" s="37"/>
      <c r="N991" s="158"/>
      <c r="O991" s="76">
        <v>40279</v>
      </c>
      <c r="P991" s="78" t="s">
        <v>149</v>
      </c>
      <c r="Q991" s="77">
        <v>46153</v>
      </c>
      <c r="R991" s="78" t="s">
        <v>42</v>
      </c>
      <c r="S991" s="36" t="str">
        <f>VLOOKUP(Tabla91116[[#This Row],[CODIGO DEL PRODUCTO]],Tabla797[],2,FALSE)</f>
        <v>ARENA FINA</v>
      </c>
      <c r="T991" s="37">
        <v>37.1</v>
      </c>
    </row>
    <row r="992" spans="8:20" x14ac:dyDescent="0.25">
      <c r="H992" s="34"/>
      <c r="I992" s="34"/>
      <c r="J992" s="35"/>
      <c r="K992" s="36"/>
      <c r="L992" s="39" t="e">
        <f>VLOOKUP(Tabla81015[[#This Row],[CODIGO DEL PRODUCTO]],Tabla797[],2,FALSE)</f>
        <v>#N/A</v>
      </c>
      <c r="M992" s="37"/>
      <c r="N992" s="158"/>
      <c r="O992" s="76">
        <v>109289</v>
      </c>
      <c r="P992" s="78" t="s">
        <v>684</v>
      </c>
      <c r="Q992" s="77">
        <v>46153</v>
      </c>
      <c r="R992" s="78" t="s">
        <v>43</v>
      </c>
      <c r="S992" s="36" t="str">
        <f>VLOOKUP(Tabla91116[[#This Row],[CODIGO DEL PRODUCTO]],Tabla797[],2,FALSE)</f>
        <v>PIEDRA 6-20</v>
      </c>
      <c r="T992" s="37">
        <v>34.08</v>
      </c>
    </row>
    <row r="993" spans="8:20" x14ac:dyDescent="0.25">
      <c r="H993" s="34"/>
      <c r="I993" s="34"/>
      <c r="J993" s="35"/>
      <c r="K993" s="36"/>
      <c r="L993" s="39" t="e">
        <f>VLOOKUP(Tabla81015[[#This Row],[CODIGO DEL PRODUCTO]],Tabla797[],2,FALSE)</f>
        <v>#N/A</v>
      </c>
      <c r="M993" s="37"/>
      <c r="N993" s="158"/>
      <c r="O993" s="76">
        <v>109293</v>
      </c>
      <c r="P993" s="78" t="s">
        <v>684</v>
      </c>
      <c r="Q993" s="77">
        <v>46153</v>
      </c>
      <c r="R993" s="78" t="s">
        <v>48</v>
      </c>
      <c r="S993" s="36" t="str">
        <f>VLOOKUP(Tabla91116[[#This Row],[CODIGO DEL PRODUCTO]],Tabla797[],2,FALSE)</f>
        <v>PIEDRA 6-12</v>
      </c>
      <c r="T993" s="37">
        <v>36.18</v>
      </c>
    </row>
    <row r="994" spans="8:20" x14ac:dyDescent="0.25">
      <c r="H994" s="34"/>
      <c r="I994" s="34"/>
      <c r="J994" s="35"/>
      <c r="K994" s="36"/>
      <c r="L994" s="39" t="e">
        <f>VLOOKUP(Tabla81015[[#This Row],[CODIGO DEL PRODUCTO]],Tabla797[],2,FALSE)</f>
        <v>#N/A</v>
      </c>
      <c r="M994" s="37"/>
      <c r="N994" s="158"/>
      <c r="O994" s="76">
        <v>109297</v>
      </c>
      <c r="P994" s="78" t="s">
        <v>684</v>
      </c>
      <c r="Q994" s="77">
        <v>46153</v>
      </c>
      <c r="R994" s="78" t="s">
        <v>43</v>
      </c>
      <c r="S994" s="36" t="str">
        <f>VLOOKUP(Tabla91116[[#This Row],[CODIGO DEL PRODUCTO]],Tabla797[],2,FALSE)</f>
        <v>PIEDRA 6-20</v>
      </c>
      <c r="T994" s="37">
        <v>35.28</v>
      </c>
    </row>
    <row r="995" spans="8:20" x14ac:dyDescent="0.25">
      <c r="H995" s="34"/>
      <c r="I995" s="34"/>
      <c r="J995" s="35"/>
      <c r="K995" s="36"/>
      <c r="L995" s="39" t="e">
        <f>VLOOKUP(Tabla81015[[#This Row],[CODIGO DEL PRODUCTO]],Tabla797[],2,FALSE)</f>
        <v>#N/A</v>
      </c>
      <c r="M995" s="37"/>
      <c r="N995" s="158"/>
      <c r="O995" s="76">
        <v>109299</v>
      </c>
      <c r="P995" s="78" t="s">
        <v>684</v>
      </c>
      <c r="Q995" s="77">
        <v>46153</v>
      </c>
      <c r="R995" s="78" t="s">
        <v>48</v>
      </c>
      <c r="S995" s="36" t="str">
        <f>VLOOKUP(Tabla91116[[#This Row],[CODIGO DEL PRODUCTO]],Tabla797[],2,FALSE)</f>
        <v>PIEDRA 6-12</v>
      </c>
      <c r="T995" s="37">
        <v>34.56</v>
      </c>
    </row>
    <row r="996" spans="8:20" x14ac:dyDescent="0.25">
      <c r="H996" s="34"/>
      <c r="I996" s="34"/>
      <c r="J996" s="35"/>
      <c r="K996" s="36"/>
      <c r="L996" s="39" t="e">
        <f>VLOOKUP(Tabla81015[[#This Row],[CODIGO DEL PRODUCTO]],Tabla797[],2,FALSE)</f>
        <v>#N/A</v>
      </c>
      <c r="M996" s="37"/>
      <c r="N996" s="158"/>
      <c r="O996" s="76">
        <v>109300</v>
      </c>
      <c r="P996" s="78" t="s">
        <v>684</v>
      </c>
      <c r="Q996" s="77">
        <v>46153</v>
      </c>
      <c r="R996" s="78" t="s">
        <v>48</v>
      </c>
      <c r="S996" s="36" t="str">
        <f>VLOOKUP(Tabla91116[[#This Row],[CODIGO DEL PRODUCTO]],Tabla797[],2,FALSE)</f>
        <v>PIEDRA 6-12</v>
      </c>
      <c r="T996" s="37">
        <v>34.08</v>
      </c>
    </row>
    <row r="997" spans="8:20" x14ac:dyDescent="0.25">
      <c r="H997" s="34"/>
      <c r="I997" s="34"/>
      <c r="J997" s="35"/>
      <c r="K997" s="36"/>
      <c r="L997" s="39" t="e">
        <f>VLOOKUP(Tabla81015[[#This Row],[CODIGO DEL PRODUCTO]],Tabla797[],2,FALSE)</f>
        <v>#N/A</v>
      </c>
      <c r="M997" s="37"/>
      <c r="N997" s="158"/>
      <c r="O997" s="76">
        <v>157495</v>
      </c>
      <c r="P997" s="78" t="s">
        <v>679</v>
      </c>
      <c r="Q997" s="77">
        <v>46153</v>
      </c>
      <c r="R997" s="78" t="s">
        <v>43</v>
      </c>
      <c r="S997" s="36" t="str">
        <f>VLOOKUP(Tabla91116[[#This Row],[CODIGO DEL PRODUCTO]],Tabla797[],2,FALSE)</f>
        <v>PIEDRA 6-20</v>
      </c>
      <c r="T997" s="37">
        <v>34.72</v>
      </c>
    </row>
    <row r="998" spans="8:20" x14ac:dyDescent="0.25">
      <c r="H998" s="34"/>
      <c r="I998" s="34"/>
      <c r="J998" s="35"/>
      <c r="K998" s="36"/>
      <c r="L998" s="39" t="e">
        <f>VLOOKUP(Tabla81015[[#This Row],[CODIGO DEL PRODUCTO]],Tabla797[],2,FALSE)</f>
        <v>#N/A</v>
      </c>
      <c r="M998" s="37"/>
      <c r="N998" s="158"/>
      <c r="O998" s="76">
        <v>157499</v>
      </c>
      <c r="P998" s="78" t="s">
        <v>679</v>
      </c>
      <c r="Q998" s="77">
        <v>46153</v>
      </c>
      <c r="R998" s="78" t="s">
        <v>43</v>
      </c>
      <c r="S998" s="36" t="str">
        <f>VLOOKUP(Tabla91116[[#This Row],[CODIGO DEL PRODUCTO]],Tabla797[],2,FALSE)</f>
        <v>PIEDRA 6-20</v>
      </c>
      <c r="T998" s="37">
        <v>35.86</v>
      </c>
    </row>
    <row r="999" spans="8:20" x14ac:dyDescent="0.25">
      <c r="H999" s="34"/>
      <c r="I999" s="34"/>
      <c r="J999" s="35"/>
      <c r="K999" s="36"/>
      <c r="L999" s="39" t="e">
        <f>VLOOKUP(Tabla81015[[#This Row],[CODIGO DEL PRODUCTO]],Tabla797[],2,FALSE)</f>
        <v>#N/A</v>
      </c>
      <c r="M999" s="37"/>
      <c r="N999" s="158"/>
      <c r="O999" s="76">
        <v>157502</v>
      </c>
      <c r="P999" s="78" t="s">
        <v>679</v>
      </c>
      <c r="Q999" s="77">
        <v>46153</v>
      </c>
      <c r="R999" s="78" t="s">
        <v>43</v>
      </c>
      <c r="S999" s="36" t="str">
        <f>VLOOKUP(Tabla91116[[#This Row],[CODIGO DEL PRODUCTO]],Tabla797[],2,FALSE)</f>
        <v>PIEDRA 6-20</v>
      </c>
      <c r="T999" s="37">
        <v>36.24</v>
      </c>
    </row>
    <row r="1000" spans="8:20" x14ac:dyDescent="0.25">
      <c r="H1000" s="34"/>
      <c r="I1000" s="34"/>
      <c r="J1000" s="35"/>
      <c r="K1000" s="36"/>
      <c r="L1000" s="39" t="e">
        <f>VLOOKUP(Tabla81015[[#This Row],[CODIGO DEL PRODUCTO]],Tabla797[],2,FALSE)</f>
        <v>#N/A</v>
      </c>
      <c r="M1000" s="37"/>
      <c r="N1000" s="158"/>
      <c r="O1000" s="76">
        <v>157505</v>
      </c>
      <c r="P1000" s="78" t="s">
        <v>679</v>
      </c>
      <c r="Q1000" s="77">
        <v>46153</v>
      </c>
      <c r="R1000" s="78" t="s">
        <v>43</v>
      </c>
      <c r="S1000" s="36" t="str">
        <f>VLOOKUP(Tabla91116[[#This Row],[CODIGO DEL PRODUCTO]],Tabla797[],2,FALSE)</f>
        <v>PIEDRA 6-20</v>
      </c>
      <c r="T1000" s="37">
        <v>35.06</v>
      </c>
    </row>
    <row r="1001" spans="8:20" x14ac:dyDescent="0.25">
      <c r="H1001" s="34"/>
      <c r="I1001" s="34"/>
      <c r="J1001" s="35"/>
      <c r="K1001" s="36"/>
      <c r="L1001" s="39" t="e">
        <f>VLOOKUP(Tabla81015[[#This Row],[CODIGO DEL PRODUCTO]],Tabla797[],2,FALSE)</f>
        <v>#N/A</v>
      </c>
      <c r="M1001" s="37"/>
      <c r="N1001" s="158"/>
      <c r="O1001" s="76">
        <v>2707063</v>
      </c>
      <c r="P1001" s="78" t="s">
        <v>679</v>
      </c>
      <c r="Q1001" s="77">
        <v>46153</v>
      </c>
      <c r="R1001" s="78" t="s">
        <v>286</v>
      </c>
      <c r="S1001" s="36" t="str">
        <f>VLOOKUP(Tabla91116[[#This Row],[CODIGO DEL PRODUCTO]],Tabla797[],2,FALSE)</f>
        <v>CPF 40 AVELLANEDA</v>
      </c>
      <c r="T1001" s="37">
        <v>36</v>
      </c>
    </row>
    <row r="1002" spans="8:20" x14ac:dyDescent="0.25">
      <c r="H1002" s="34"/>
      <c r="I1002" s="34"/>
      <c r="J1002" s="35"/>
      <c r="K1002" s="36"/>
      <c r="L1002" s="39" t="e">
        <f>VLOOKUP(Tabla81015[[#This Row],[CODIGO DEL PRODUCTO]],Tabla797[],2,FALSE)</f>
        <v>#N/A</v>
      </c>
      <c r="M1002" s="37"/>
      <c r="N1002" s="158"/>
      <c r="O1002" s="76">
        <v>104286</v>
      </c>
      <c r="P1002" s="78" t="s">
        <v>683</v>
      </c>
      <c r="Q1002" s="77">
        <v>46154</v>
      </c>
      <c r="R1002" s="78" t="s">
        <v>42</v>
      </c>
      <c r="S1002" s="36" t="str">
        <f>VLOOKUP(Tabla91116[[#This Row],[CODIGO DEL PRODUCTO]],Tabla797[],2,FALSE)</f>
        <v>ARENA FINA</v>
      </c>
      <c r="T1002" s="37">
        <v>34.9</v>
      </c>
    </row>
    <row r="1003" spans="8:20" x14ac:dyDescent="0.25">
      <c r="H1003" s="34"/>
      <c r="I1003" s="34"/>
      <c r="J1003" s="35"/>
      <c r="K1003" s="36"/>
      <c r="L1003" s="39" t="e">
        <f>VLOOKUP(Tabla81015[[#This Row],[CODIGO DEL PRODUCTO]],Tabla797[],2,FALSE)</f>
        <v>#N/A</v>
      </c>
      <c r="M1003" s="37"/>
      <c r="N1003" s="158"/>
      <c r="O1003" s="76">
        <v>104291</v>
      </c>
      <c r="P1003" s="78" t="s">
        <v>683</v>
      </c>
      <c r="Q1003" s="77">
        <v>46154</v>
      </c>
      <c r="R1003" s="78" t="s">
        <v>42</v>
      </c>
      <c r="S1003" s="36" t="str">
        <f>VLOOKUP(Tabla91116[[#This Row],[CODIGO DEL PRODUCTO]],Tabla797[],2,FALSE)</f>
        <v>ARENA FINA</v>
      </c>
      <c r="T1003" s="37">
        <v>34.82</v>
      </c>
    </row>
    <row r="1004" spans="8:20" x14ac:dyDescent="0.25">
      <c r="H1004" s="34"/>
      <c r="I1004" s="34"/>
      <c r="J1004" s="35"/>
      <c r="K1004" s="36"/>
      <c r="L1004" s="39" t="e">
        <f>VLOOKUP(Tabla81015[[#This Row],[CODIGO DEL PRODUCTO]],Tabla797[],2,FALSE)</f>
        <v>#N/A</v>
      </c>
      <c r="M1004" s="37"/>
      <c r="N1004" s="158"/>
      <c r="O1004" s="76">
        <v>40306</v>
      </c>
      <c r="P1004" s="78" t="s">
        <v>149</v>
      </c>
      <c r="Q1004" s="77">
        <v>46154</v>
      </c>
      <c r="R1004" s="78" t="s">
        <v>42</v>
      </c>
      <c r="S1004" s="36" t="str">
        <f>VLOOKUP(Tabla91116[[#This Row],[CODIGO DEL PRODUCTO]],Tabla797[],2,FALSE)</f>
        <v>ARENA FINA</v>
      </c>
      <c r="T1004" s="37">
        <v>36.74</v>
      </c>
    </row>
    <row r="1005" spans="8:20" x14ac:dyDescent="0.25">
      <c r="H1005" s="34"/>
      <c r="I1005" s="34"/>
      <c r="J1005" s="35"/>
      <c r="K1005" s="36"/>
      <c r="L1005" s="39" t="e">
        <f>VLOOKUP(Tabla81015[[#This Row],[CODIGO DEL PRODUCTO]],Tabla797[],2,FALSE)</f>
        <v>#N/A</v>
      </c>
      <c r="M1005" s="37"/>
      <c r="N1005" s="158"/>
      <c r="O1005" s="76">
        <v>40322</v>
      </c>
      <c r="P1005" s="78" t="s">
        <v>149</v>
      </c>
      <c r="Q1005" s="77">
        <v>46154</v>
      </c>
      <c r="R1005" s="78" t="s">
        <v>42</v>
      </c>
      <c r="S1005" s="36" t="str">
        <f>VLOOKUP(Tabla91116[[#This Row],[CODIGO DEL PRODUCTO]],Tabla797[],2,FALSE)</f>
        <v>ARENA FINA</v>
      </c>
      <c r="T1005" s="37">
        <v>35.26</v>
      </c>
    </row>
    <row r="1006" spans="8:20" x14ac:dyDescent="0.25">
      <c r="H1006" s="34"/>
      <c r="I1006" s="34"/>
      <c r="J1006" s="35"/>
      <c r="K1006" s="36"/>
      <c r="L1006" s="39" t="e">
        <f>VLOOKUP(Tabla81015[[#This Row],[CODIGO DEL PRODUCTO]],Tabla797[],2,FALSE)</f>
        <v>#N/A</v>
      </c>
      <c r="M1006" s="37"/>
      <c r="N1006" s="158"/>
      <c r="O1006" s="76">
        <v>109303</v>
      </c>
      <c r="P1006" s="78" t="s">
        <v>684</v>
      </c>
      <c r="Q1006" s="77">
        <v>46154</v>
      </c>
      <c r="R1006" s="78" t="s">
        <v>40</v>
      </c>
      <c r="S1006" s="36" t="str">
        <f>VLOOKUP(Tabla91116[[#This Row],[CODIGO DEL PRODUCTO]],Tabla797[],2,FALSE)</f>
        <v>PIEDRA 0-6</v>
      </c>
      <c r="T1006" s="37">
        <v>34.42</v>
      </c>
    </row>
    <row r="1007" spans="8:20" x14ac:dyDescent="0.25">
      <c r="H1007" s="34"/>
      <c r="I1007" s="34"/>
      <c r="J1007" s="35"/>
      <c r="K1007" s="36"/>
      <c r="L1007" s="39" t="e">
        <f>VLOOKUP(Tabla81015[[#This Row],[CODIGO DEL PRODUCTO]],Tabla797[],2,FALSE)</f>
        <v>#N/A</v>
      </c>
      <c r="M1007" s="37"/>
      <c r="N1007" s="158"/>
      <c r="O1007" s="76">
        <v>109306</v>
      </c>
      <c r="P1007" s="78" t="s">
        <v>684</v>
      </c>
      <c r="Q1007" s="77">
        <v>46154</v>
      </c>
      <c r="R1007" s="78" t="s">
        <v>43</v>
      </c>
      <c r="S1007" s="36" t="str">
        <f>VLOOKUP(Tabla91116[[#This Row],[CODIGO DEL PRODUCTO]],Tabla797[],2,FALSE)</f>
        <v>PIEDRA 6-20</v>
      </c>
      <c r="T1007" s="37">
        <v>34.380000000000003</v>
      </c>
    </row>
    <row r="1008" spans="8:20" x14ac:dyDescent="0.25">
      <c r="H1008" s="34"/>
      <c r="I1008" s="34"/>
      <c r="J1008" s="35"/>
      <c r="K1008" s="36"/>
      <c r="L1008" s="39" t="e">
        <f>VLOOKUP(Tabla81015[[#This Row],[CODIGO DEL PRODUCTO]],Tabla797[],2,FALSE)</f>
        <v>#N/A</v>
      </c>
      <c r="M1008" s="37"/>
      <c r="N1008" s="158"/>
      <c r="O1008" s="76">
        <v>109312</v>
      </c>
      <c r="P1008" s="78" t="s">
        <v>684</v>
      </c>
      <c r="Q1008" s="77">
        <v>46154</v>
      </c>
      <c r="R1008" s="78" t="s">
        <v>48</v>
      </c>
      <c r="S1008" s="36" t="str">
        <f>VLOOKUP(Tabla91116[[#This Row],[CODIGO DEL PRODUCTO]],Tabla797[],2,FALSE)</f>
        <v>PIEDRA 6-12</v>
      </c>
      <c r="T1008" s="37">
        <v>35.299999999999997</v>
      </c>
    </row>
    <row r="1009" spans="8:20" x14ac:dyDescent="0.25">
      <c r="H1009" s="34"/>
      <c r="I1009" s="34"/>
      <c r="J1009" s="35"/>
      <c r="K1009" s="36"/>
      <c r="L1009" s="39" t="e">
        <f>VLOOKUP(Tabla81015[[#This Row],[CODIGO DEL PRODUCTO]],Tabla797[],2,FALSE)</f>
        <v>#N/A</v>
      </c>
      <c r="M1009" s="37"/>
      <c r="N1009" s="158"/>
      <c r="O1009" s="76">
        <v>109315</v>
      </c>
      <c r="P1009" s="78" t="s">
        <v>684</v>
      </c>
      <c r="Q1009" s="77">
        <v>46154</v>
      </c>
      <c r="R1009" s="78" t="s">
        <v>48</v>
      </c>
      <c r="S1009" s="36" t="str">
        <f>VLOOKUP(Tabla91116[[#This Row],[CODIGO DEL PRODUCTO]],Tabla797[],2,FALSE)</f>
        <v>PIEDRA 6-12</v>
      </c>
      <c r="T1009" s="37">
        <v>35.380000000000003</v>
      </c>
    </row>
    <row r="1010" spans="8:20" x14ac:dyDescent="0.25">
      <c r="H1010" s="34"/>
      <c r="I1010" s="34"/>
      <c r="J1010" s="35"/>
      <c r="K1010" s="36"/>
      <c r="L1010" s="39" t="e">
        <f>VLOOKUP(Tabla81015[[#This Row],[CODIGO DEL PRODUCTO]],Tabla797[],2,FALSE)</f>
        <v>#N/A</v>
      </c>
      <c r="M1010" s="37"/>
      <c r="N1010" s="158"/>
      <c r="O1010" s="76">
        <v>109316</v>
      </c>
      <c r="P1010" s="78" t="s">
        <v>684</v>
      </c>
      <c r="Q1010" s="77">
        <v>46154</v>
      </c>
      <c r="R1010" s="78" t="s">
        <v>43</v>
      </c>
      <c r="S1010" s="36" t="str">
        <f>VLOOKUP(Tabla91116[[#This Row],[CODIGO DEL PRODUCTO]],Tabla797[],2,FALSE)</f>
        <v>PIEDRA 6-20</v>
      </c>
      <c r="T1010" s="37">
        <v>35.74</v>
      </c>
    </row>
    <row r="1011" spans="8:20" x14ac:dyDescent="0.25">
      <c r="H1011" s="34"/>
      <c r="I1011" s="40"/>
      <c r="J1011" s="35"/>
      <c r="K1011" s="36"/>
      <c r="L1011" s="42" t="e">
        <f>VLOOKUP(Tabla81015[[#This Row],[CODIGO DEL PRODUCTO]],Tabla797[],2,FALSE)</f>
        <v>#N/A</v>
      </c>
      <c r="M1011" s="37"/>
      <c r="N1011" s="158"/>
      <c r="O1011" s="76">
        <v>109318</v>
      </c>
      <c r="P1011" s="78" t="s">
        <v>684</v>
      </c>
      <c r="Q1011" s="77">
        <v>46154</v>
      </c>
      <c r="R1011" s="78" t="s">
        <v>48</v>
      </c>
      <c r="S1011" s="36" t="str">
        <f>VLOOKUP(Tabla91116[[#This Row],[CODIGO DEL PRODUCTO]],Tabla797[],2,FALSE)</f>
        <v>PIEDRA 6-12</v>
      </c>
      <c r="T1011" s="37">
        <v>35.78</v>
      </c>
    </row>
    <row r="1012" spans="8:20" x14ac:dyDescent="0.25">
      <c r="H1012" s="34"/>
      <c r="I1012" s="40"/>
      <c r="J1012" s="35"/>
      <c r="K1012" s="36"/>
      <c r="L1012" s="42" t="e">
        <f>VLOOKUP(Tabla81015[[#This Row],[CODIGO DEL PRODUCTO]],Tabla797[],2,FALSE)</f>
        <v>#N/A</v>
      </c>
      <c r="M1012" s="37"/>
      <c r="N1012" s="158"/>
      <c r="O1012" s="76">
        <v>157562</v>
      </c>
      <c r="P1012" s="78" t="s">
        <v>679</v>
      </c>
      <c r="Q1012" s="77">
        <v>46154</v>
      </c>
      <c r="R1012" s="78" t="s">
        <v>43</v>
      </c>
      <c r="S1012" s="36" t="str">
        <f>VLOOKUP(Tabla91116[[#This Row],[CODIGO DEL PRODUCTO]],Tabla797[],2,FALSE)</f>
        <v>PIEDRA 6-20</v>
      </c>
      <c r="T1012" s="37">
        <v>35.72</v>
      </c>
    </row>
    <row r="1013" spans="8:20" x14ac:dyDescent="0.25">
      <c r="H1013" s="34"/>
      <c r="I1013" s="34"/>
      <c r="J1013" s="35"/>
      <c r="K1013" s="36"/>
      <c r="L1013" s="39" t="e">
        <f>VLOOKUP(Tabla81015[[#This Row],[CODIGO DEL PRODUCTO]],Tabla797[],2,FALSE)</f>
        <v>#N/A</v>
      </c>
      <c r="M1013" s="37"/>
      <c r="N1013" s="158"/>
      <c r="O1013" s="76">
        <v>157572</v>
      </c>
      <c r="P1013" s="78" t="s">
        <v>679</v>
      </c>
      <c r="Q1013" s="77">
        <v>46154</v>
      </c>
      <c r="R1013" s="78" t="s">
        <v>43</v>
      </c>
      <c r="S1013" s="36" t="str">
        <f>VLOOKUP(Tabla91116[[#This Row],[CODIGO DEL PRODUCTO]],Tabla797[],2,FALSE)</f>
        <v>PIEDRA 6-20</v>
      </c>
      <c r="T1013" s="37">
        <v>36.18</v>
      </c>
    </row>
    <row r="1014" spans="8:20" x14ac:dyDescent="0.25">
      <c r="H1014" s="34"/>
      <c r="I1014" s="34"/>
      <c r="J1014" s="35"/>
      <c r="K1014" s="36"/>
      <c r="L1014" s="39" t="e">
        <f>VLOOKUP(Tabla81015[[#This Row],[CODIGO DEL PRODUCTO]],Tabla797[],2,FALSE)</f>
        <v>#N/A</v>
      </c>
      <c r="M1014" s="37"/>
      <c r="N1014" s="158"/>
      <c r="O1014" s="76">
        <v>157573</v>
      </c>
      <c r="P1014" s="78" t="s">
        <v>679</v>
      </c>
      <c r="Q1014" s="77">
        <v>46154</v>
      </c>
      <c r="R1014" s="78" t="s">
        <v>43</v>
      </c>
      <c r="S1014" s="36" t="str">
        <f>VLOOKUP(Tabla91116[[#This Row],[CODIGO DEL PRODUCTO]],Tabla797[],2,FALSE)</f>
        <v>PIEDRA 6-20</v>
      </c>
      <c r="T1014" s="37">
        <v>34.619999999999997</v>
      </c>
    </row>
    <row r="1015" spans="8:20" x14ac:dyDescent="0.25">
      <c r="H1015" s="34"/>
      <c r="I1015" s="34"/>
      <c r="J1015" s="35"/>
      <c r="K1015" s="36"/>
      <c r="L1015" s="39" t="e">
        <f>VLOOKUP(Tabla81015[[#This Row],[CODIGO DEL PRODUCTO]],Tabla797[],2,FALSE)</f>
        <v>#N/A</v>
      </c>
      <c r="M1015" s="37"/>
      <c r="N1015" s="158"/>
      <c r="O1015" s="76">
        <v>157584</v>
      </c>
      <c r="P1015" s="78" t="s">
        <v>679</v>
      </c>
      <c r="Q1015" s="77">
        <v>46154</v>
      </c>
      <c r="R1015" s="78" t="s">
        <v>43</v>
      </c>
      <c r="S1015" s="36" t="str">
        <f>VLOOKUP(Tabla91116[[#This Row],[CODIGO DEL PRODUCTO]],Tabla797[],2,FALSE)</f>
        <v>PIEDRA 6-20</v>
      </c>
      <c r="T1015" s="37">
        <v>36.159999999999997</v>
      </c>
    </row>
    <row r="1016" spans="8:20" x14ac:dyDescent="0.25">
      <c r="H1016" s="34"/>
      <c r="I1016" s="34"/>
      <c r="J1016" s="35"/>
      <c r="K1016" s="36"/>
      <c r="L1016" s="39" t="e">
        <f>VLOOKUP(Tabla81015[[#This Row],[CODIGO DEL PRODUCTO]],Tabla797[],2,FALSE)</f>
        <v>#N/A</v>
      </c>
      <c r="M1016" s="37"/>
      <c r="N1016" s="158"/>
      <c r="O1016" s="76">
        <v>2707298</v>
      </c>
      <c r="P1016" s="78" t="s">
        <v>679</v>
      </c>
      <c r="Q1016" s="77">
        <v>46154</v>
      </c>
      <c r="R1016" s="78" t="s">
        <v>286</v>
      </c>
      <c r="S1016" s="36" t="str">
        <f>VLOOKUP(Tabla91116[[#This Row],[CODIGO DEL PRODUCTO]],Tabla797[],2,FALSE)</f>
        <v>CPF 40 AVELLANEDA</v>
      </c>
      <c r="T1016" s="37">
        <v>35.82</v>
      </c>
    </row>
    <row r="1017" spans="8:20" x14ac:dyDescent="0.25">
      <c r="H1017" s="34"/>
      <c r="I1017" s="34"/>
      <c r="J1017" s="35"/>
      <c r="K1017" s="36"/>
      <c r="L1017" s="39" t="e">
        <f>VLOOKUP(Tabla81015[[#This Row],[CODIGO DEL PRODUCTO]],Tabla797[],2,FALSE)</f>
        <v>#N/A</v>
      </c>
      <c r="M1017" s="37"/>
      <c r="N1017" s="158"/>
      <c r="O1017" s="76">
        <v>104297</v>
      </c>
      <c r="P1017" s="78" t="s">
        <v>683</v>
      </c>
      <c r="Q1017" s="77">
        <v>46155</v>
      </c>
      <c r="R1017" s="78" t="s">
        <v>42</v>
      </c>
      <c r="S1017" s="36" t="str">
        <f>VLOOKUP(Tabla91116[[#This Row],[CODIGO DEL PRODUCTO]],Tabla797[],2,FALSE)</f>
        <v>ARENA FINA</v>
      </c>
      <c r="T1017" s="37">
        <v>35.24</v>
      </c>
    </row>
    <row r="1018" spans="8:20" x14ac:dyDescent="0.25">
      <c r="H1018" s="34"/>
      <c r="I1018" s="34"/>
      <c r="J1018" s="35"/>
      <c r="K1018" s="36"/>
      <c r="L1018" s="39" t="e">
        <f>VLOOKUP(Tabla81015[[#This Row],[CODIGO DEL PRODUCTO]],Tabla797[],2,FALSE)</f>
        <v>#N/A</v>
      </c>
      <c r="M1018" s="37"/>
      <c r="N1018" s="158"/>
      <c r="O1018" s="76">
        <v>104302</v>
      </c>
      <c r="P1018" s="78" t="s">
        <v>683</v>
      </c>
      <c r="Q1018" s="77">
        <v>46155</v>
      </c>
      <c r="R1018" s="78" t="s">
        <v>42</v>
      </c>
      <c r="S1018" s="36" t="str">
        <f>VLOOKUP(Tabla91116[[#This Row],[CODIGO DEL PRODUCTO]],Tabla797[],2,FALSE)</f>
        <v>ARENA FINA</v>
      </c>
      <c r="T1018" s="37">
        <v>34.72</v>
      </c>
    </row>
    <row r="1019" spans="8:20" x14ac:dyDescent="0.25">
      <c r="H1019" s="34"/>
      <c r="I1019" s="34"/>
      <c r="J1019" s="35"/>
      <c r="K1019" s="36"/>
      <c r="L1019" s="39" t="e">
        <f>VLOOKUP(Tabla81015[[#This Row],[CODIGO DEL PRODUCTO]],Tabla797[],2,FALSE)</f>
        <v>#N/A</v>
      </c>
      <c r="M1019" s="37"/>
      <c r="N1019" s="158"/>
      <c r="O1019" s="76">
        <v>40341</v>
      </c>
      <c r="P1019" s="78" t="s">
        <v>149</v>
      </c>
      <c r="Q1019" s="77">
        <v>46155</v>
      </c>
      <c r="R1019" s="78" t="s">
        <v>42</v>
      </c>
      <c r="S1019" s="36" t="str">
        <f>VLOOKUP(Tabla91116[[#This Row],[CODIGO DEL PRODUCTO]],Tabla797[],2,FALSE)</f>
        <v>ARENA FINA</v>
      </c>
      <c r="T1019" s="37">
        <v>38.659999999999997</v>
      </c>
    </row>
    <row r="1020" spans="8:20" x14ac:dyDescent="0.25">
      <c r="H1020" s="34"/>
      <c r="I1020" s="34"/>
      <c r="J1020" s="35"/>
      <c r="K1020" s="36"/>
      <c r="L1020" s="39" t="e">
        <f>VLOOKUP(Tabla81015[[#This Row],[CODIGO DEL PRODUCTO]],Tabla797[],2,FALSE)</f>
        <v>#N/A</v>
      </c>
      <c r="M1020" s="37"/>
      <c r="N1020" s="158"/>
      <c r="O1020" s="76">
        <v>40351</v>
      </c>
      <c r="P1020" s="78" t="s">
        <v>149</v>
      </c>
      <c r="Q1020" s="77">
        <v>46155</v>
      </c>
      <c r="R1020" s="78" t="s">
        <v>42</v>
      </c>
      <c r="S1020" s="36" t="str">
        <f>VLOOKUP(Tabla91116[[#This Row],[CODIGO DEL PRODUCTO]],Tabla797[],2,FALSE)</f>
        <v>ARENA FINA</v>
      </c>
      <c r="T1020" s="37">
        <v>38.659999999999997</v>
      </c>
    </row>
    <row r="1021" spans="8:20" x14ac:dyDescent="0.25">
      <c r="H1021" s="34"/>
      <c r="I1021" s="34"/>
      <c r="J1021" s="35"/>
      <c r="K1021" s="36"/>
      <c r="L1021" s="39" t="e">
        <f>VLOOKUP(Tabla81015[[#This Row],[CODIGO DEL PRODUCTO]],Tabla797[],2,FALSE)</f>
        <v>#N/A</v>
      </c>
      <c r="M1021" s="37"/>
      <c r="N1021" s="158"/>
      <c r="O1021" s="76">
        <v>109322</v>
      </c>
      <c r="P1021" s="78" t="s">
        <v>684</v>
      </c>
      <c r="Q1021" s="77">
        <v>46155</v>
      </c>
      <c r="R1021" s="78" t="s">
        <v>43</v>
      </c>
      <c r="S1021" s="36" t="str">
        <f>VLOOKUP(Tabla91116[[#This Row],[CODIGO DEL PRODUCTO]],Tabla797[],2,FALSE)</f>
        <v>PIEDRA 6-20</v>
      </c>
      <c r="T1021" s="37">
        <v>34.08</v>
      </c>
    </row>
    <row r="1022" spans="8:20" x14ac:dyDescent="0.25">
      <c r="H1022" s="34"/>
      <c r="I1022" s="34"/>
      <c r="J1022" s="35"/>
      <c r="K1022" s="36"/>
      <c r="L1022" s="39" t="e">
        <f>VLOOKUP(Tabla81015[[#This Row],[CODIGO DEL PRODUCTO]],Tabla797[],2,FALSE)</f>
        <v>#N/A</v>
      </c>
      <c r="M1022" s="37"/>
      <c r="N1022" s="158"/>
      <c r="O1022" s="76">
        <v>109325</v>
      </c>
      <c r="P1022" s="78" t="s">
        <v>684</v>
      </c>
      <c r="Q1022" s="77">
        <v>46155</v>
      </c>
      <c r="R1022" s="78" t="s">
        <v>43</v>
      </c>
      <c r="S1022" s="36" t="str">
        <f>VLOOKUP(Tabla91116[[#This Row],[CODIGO DEL PRODUCTO]],Tabla797[],2,FALSE)</f>
        <v>PIEDRA 6-20</v>
      </c>
      <c r="T1022" s="37">
        <v>35.06</v>
      </c>
    </row>
    <row r="1023" spans="8:20" x14ac:dyDescent="0.25">
      <c r="H1023" s="34"/>
      <c r="I1023" s="34"/>
      <c r="J1023" s="35"/>
      <c r="K1023" s="36"/>
      <c r="L1023" s="39" t="e">
        <f>VLOOKUP(Tabla81015[[#This Row],[CODIGO DEL PRODUCTO]],Tabla797[],2,FALSE)</f>
        <v>#N/A</v>
      </c>
      <c r="M1023" s="37"/>
      <c r="N1023" s="158"/>
      <c r="O1023" s="76">
        <v>109327</v>
      </c>
      <c r="P1023" s="78" t="s">
        <v>684</v>
      </c>
      <c r="Q1023" s="77">
        <v>46155</v>
      </c>
      <c r="R1023" s="78" t="s">
        <v>48</v>
      </c>
      <c r="S1023" s="36" t="str">
        <f>VLOOKUP(Tabla91116[[#This Row],[CODIGO DEL PRODUCTO]],Tabla797[],2,FALSE)</f>
        <v>PIEDRA 6-12</v>
      </c>
      <c r="T1023" s="37">
        <v>33.880000000000003</v>
      </c>
    </row>
    <row r="1024" spans="8:20" x14ac:dyDescent="0.25">
      <c r="H1024" s="34"/>
      <c r="I1024" s="34"/>
      <c r="J1024" s="35"/>
      <c r="K1024" s="36"/>
      <c r="L1024" s="39" t="e">
        <f>VLOOKUP(Tabla81015[[#This Row],[CODIGO DEL PRODUCTO]],Tabla797[],2,FALSE)</f>
        <v>#N/A</v>
      </c>
      <c r="M1024" s="37"/>
      <c r="N1024" s="158"/>
      <c r="O1024" s="76">
        <v>109328</v>
      </c>
      <c r="P1024" s="78" t="s">
        <v>684</v>
      </c>
      <c r="Q1024" s="77">
        <v>46155</v>
      </c>
      <c r="R1024" s="78" t="s">
        <v>48</v>
      </c>
      <c r="S1024" s="36" t="str">
        <f>VLOOKUP(Tabla91116[[#This Row],[CODIGO DEL PRODUCTO]],Tabla797[],2,FALSE)</f>
        <v>PIEDRA 6-12</v>
      </c>
      <c r="T1024" s="37">
        <v>35.32</v>
      </c>
    </row>
    <row r="1025" spans="8:21" x14ac:dyDescent="0.25">
      <c r="H1025" s="34"/>
      <c r="I1025" s="34"/>
      <c r="J1025" s="35"/>
      <c r="K1025" s="36"/>
      <c r="L1025" s="39" t="e">
        <f>VLOOKUP(Tabla81015[[#This Row],[CODIGO DEL PRODUCTO]],Tabla797[],2,FALSE)</f>
        <v>#N/A</v>
      </c>
      <c r="M1025" s="37"/>
      <c r="N1025" s="158"/>
      <c r="O1025" s="76">
        <v>157655</v>
      </c>
      <c r="P1025" s="78" t="s">
        <v>679</v>
      </c>
      <c r="Q1025" s="77">
        <v>46155</v>
      </c>
      <c r="R1025" s="78" t="s">
        <v>43</v>
      </c>
      <c r="S1025" s="36" t="str">
        <f>VLOOKUP(Tabla91116[[#This Row],[CODIGO DEL PRODUCTO]],Tabla797[],2,FALSE)</f>
        <v>PIEDRA 6-20</v>
      </c>
      <c r="T1025" s="37">
        <v>35.880000000000003</v>
      </c>
      <c r="U1025" s="7"/>
    </row>
    <row r="1026" spans="8:21" x14ac:dyDescent="0.25">
      <c r="H1026" s="34"/>
      <c r="I1026" s="34"/>
      <c r="J1026" s="35"/>
      <c r="K1026" s="36"/>
      <c r="L1026" s="39" t="e">
        <f>VLOOKUP(Tabla81015[[#This Row],[CODIGO DEL PRODUCTO]],Tabla797[],2,FALSE)</f>
        <v>#N/A</v>
      </c>
      <c r="M1026" s="37"/>
      <c r="N1026" s="158"/>
      <c r="O1026" s="76">
        <v>157600</v>
      </c>
      <c r="P1026" s="78" t="s">
        <v>679</v>
      </c>
      <c r="Q1026" s="77">
        <v>46155</v>
      </c>
      <c r="R1026" s="78" t="s">
        <v>43</v>
      </c>
      <c r="S1026" s="36" t="str">
        <f>VLOOKUP(Tabla91116[[#This Row],[CODIGO DEL PRODUCTO]],Tabla797[],2,FALSE)</f>
        <v>PIEDRA 6-20</v>
      </c>
      <c r="T1026" s="37">
        <v>36</v>
      </c>
      <c r="U1026" s="7"/>
    </row>
    <row r="1027" spans="8:21" x14ac:dyDescent="0.25">
      <c r="H1027" s="34"/>
      <c r="I1027" s="34"/>
      <c r="J1027" s="35"/>
      <c r="K1027" s="36"/>
      <c r="L1027" s="39" t="e">
        <f>VLOOKUP(Tabla81015[[#This Row],[CODIGO DEL PRODUCTO]],Tabla797[],2,FALSE)</f>
        <v>#N/A</v>
      </c>
      <c r="M1027" s="37"/>
      <c r="N1027" s="158"/>
      <c r="O1027" s="76">
        <v>2707565</v>
      </c>
      <c r="P1027" s="78" t="s">
        <v>679</v>
      </c>
      <c r="Q1027" s="77">
        <v>46155</v>
      </c>
      <c r="R1027" s="78" t="s">
        <v>286</v>
      </c>
      <c r="S1027" s="36" t="str">
        <f>VLOOKUP(Tabla91116[[#This Row],[CODIGO DEL PRODUCTO]],Tabla797[],2,FALSE)</f>
        <v>CPF 40 AVELLANEDA</v>
      </c>
      <c r="T1027" s="37">
        <v>35.5</v>
      </c>
    </row>
    <row r="1028" spans="8:21" x14ac:dyDescent="0.25">
      <c r="H1028" s="34"/>
      <c r="I1028" s="34"/>
      <c r="J1028" s="35"/>
      <c r="K1028" s="36"/>
      <c r="L1028" s="39" t="e">
        <f>VLOOKUP(Tabla81015[[#This Row],[CODIGO DEL PRODUCTO]],Tabla797[],2,FALSE)</f>
        <v>#N/A</v>
      </c>
      <c r="M1028" s="37"/>
      <c r="N1028" s="158"/>
      <c r="O1028" s="76">
        <v>2707584</v>
      </c>
      <c r="P1028" s="78" t="s">
        <v>679</v>
      </c>
      <c r="Q1028" s="77">
        <v>46155</v>
      </c>
      <c r="R1028" s="78" t="s">
        <v>286</v>
      </c>
      <c r="S1028" s="36" t="str">
        <f>VLOOKUP(Tabla91116[[#This Row],[CODIGO DEL PRODUCTO]],Tabla797[],2,FALSE)</f>
        <v>CPF 40 AVELLANEDA</v>
      </c>
      <c r="T1028" s="37">
        <v>36.64</v>
      </c>
    </row>
    <row r="1029" spans="8:21" x14ac:dyDescent="0.25">
      <c r="H1029" s="34"/>
      <c r="I1029" s="34"/>
      <c r="J1029" s="35"/>
      <c r="K1029" s="36"/>
      <c r="L1029" s="39" t="e">
        <f>VLOOKUP(Tabla81015[[#This Row],[CODIGO DEL PRODUCTO]],Tabla797[],2,FALSE)</f>
        <v>#N/A</v>
      </c>
      <c r="M1029" s="37"/>
      <c r="N1029" s="158"/>
      <c r="O1029" s="76">
        <v>104306</v>
      </c>
      <c r="P1029" s="78" t="s">
        <v>683</v>
      </c>
      <c r="Q1029" s="77">
        <v>46156</v>
      </c>
      <c r="R1029" s="78" t="s">
        <v>42</v>
      </c>
      <c r="S1029" s="36" t="str">
        <f>VLOOKUP(Tabla91116[[#This Row],[CODIGO DEL PRODUCTO]],Tabla797[],2,FALSE)</f>
        <v>ARENA FINA</v>
      </c>
      <c r="T1029" s="37">
        <v>34.04</v>
      </c>
    </row>
    <row r="1030" spans="8:21" x14ac:dyDescent="0.25">
      <c r="H1030" s="34"/>
      <c r="I1030" s="34"/>
      <c r="J1030" s="35"/>
      <c r="K1030" s="36"/>
      <c r="L1030" s="39" t="e">
        <f>VLOOKUP(Tabla81015[[#This Row],[CODIGO DEL PRODUCTO]],Tabla797[],2,FALSE)</f>
        <v>#N/A</v>
      </c>
      <c r="M1030" s="37"/>
      <c r="N1030" s="158"/>
      <c r="O1030" s="76">
        <v>104312</v>
      </c>
      <c r="P1030" s="78" t="s">
        <v>683</v>
      </c>
      <c r="Q1030" s="77">
        <v>46156</v>
      </c>
      <c r="R1030" s="78" t="s">
        <v>42</v>
      </c>
      <c r="S1030" s="36" t="str">
        <f>VLOOKUP(Tabla91116[[#This Row],[CODIGO DEL PRODUCTO]],Tabla797[],2,FALSE)</f>
        <v>ARENA FINA</v>
      </c>
      <c r="T1030" s="37">
        <v>34.42</v>
      </c>
    </row>
    <row r="1031" spans="8:21" x14ac:dyDescent="0.25">
      <c r="H1031" s="34"/>
      <c r="I1031" s="34"/>
      <c r="J1031" s="35"/>
      <c r="K1031" s="36"/>
      <c r="L1031" s="39" t="e">
        <f>VLOOKUP(Tabla81015[[#This Row],[CODIGO DEL PRODUCTO]],Tabla797[],2,FALSE)</f>
        <v>#N/A</v>
      </c>
      <c r="M1031" s="37"/>
      <c r="N1031" s="158"/>
      <c r="O1031" s="76">
        <v>40355</v>
      </c>
      <c r="P1031" s="78" t="s">
        <v>149</v>
      </c>
      <c r="Q1031" s="77">
        <v>46156</v>
      </c>
      <c r="R1031" s="78" t="s">
        <v>42</v>
      </c>
      <c r="S1031" s="36" t="str">
        <f>VLOOKUP(Tabla91116[[#This Row],[CODIGO DEL PRODUCTO]],Tabla797[],2,FALSE)</f>
        <v>ARENA FINA</v>
      </c>
      <c r="T1031" s="37">
        <v>24.02</v>
      </c>
    </row>
    <row r="1032" spans="8:21" x14ac:dyDescent="0.25">
      <c r="H1032" s="34"/>
      <c r="I1032" s="34"/>
      <c r="J1032" s="35"/>
      <c r="K1032" s="36"/>
      <c r="L1032" s="39" t="e">
        <f>VLOOKUP(Tabla81015[[#This Row],[CODIGO DEL PRODUCTO]],Tabla797[],2,FALSE)</f>
        <v>#N/A</v>
      </c>
      <c r="M1032" s="37"/>
      <c r="N1032" s="158"/>
      <c r="O1032" s="76">
        <v>40357</v>
      </c>
      <c r="P1032" s="78" t="s">
        <v>149</v>
      </c>
      <c r="Q1032" s="77">
        <v>46156</v>
      </c>
      <c r="R1032" s="78" t="s">
        <v>42</v>
      </c>
      <c r="S1032" s="36" t="str">
        <f>VLOOKUP(Tabla91116[[#This Row],[CODIGO DEL PRODUCTO]],Tabla797[],2,FALSE)</f>
        <v>ARENA FINA</v>
      </c>
      <c r="T1032" s="37">
        <v>21.08</v>
      </c>
    </row>
    <row r="1033" spans="8:21" x14ac:dyDescent="0.25">
      <c r="H1033" s="34"/>
      <c r="I1033" s="34"/>
      <c r="J1033" s="35"/>
      <c r="K1033" s="36"/>
      <c r="L1033" s="39" t="e">
        <f>VLOOKUP(Tabla81015[[#This Row],[CODIGO DEL PRODUCTO]],Tabla797[],2,FALSE)</f>
        <v>#N/A</v>
      </c>
      <c r="M1033" s="37"/>
      <c r="N1033" s="158"/>
      <c r="O1033" s="76">
        <v>40361</v>
      </c>
      <c r="P1033" s="78" t="s">
        <v>149</v>
      </c>
      <c r="Q1033" s="77">
        <v>46156</v>
      </c>
      <c r="R1033" s="78" t="s">
        <v>42</v>
      </c>
      <c r="S1033" s="36" t="str">
        <f>VLOOKUP(Tabla91116[[#This Row],[CODIGO DEL PRODUCTO]],Tabla797[],2,FALSE)</f>
        <v>ARENA FINA</v>
      </c>
      <c r="T1033" s="37">
        <v>37.020000000000003</v>
      </c>
    </row>
    <row r="1034" spans="8:21" x14ac:dyDescent="0.25">
      <c r="H1034" s="34"/>
      <c r="I1034" s="34"/>
      <c r="J1034" s="35"/>
      <c r="K1034" s="36"/>
      <c r="L1034" s="39" t="e">
        <f>VLOOKUP(Tabla81015[[#This Row],[CODIGO DEL PRODUCTO]],Tabla797[],2,FALSE)</f>
        <v>#N/A</v>
      </c>
      <c r="M1034" s="37"/>
      <c r="N1034" s="158"/>
      <c r="O1034" s="76">
        <v>40369</v>
      </c>
      <c r="P1034" s="78" t="s">
        <v>149</v>
      </c>
      <c r="Q1034" s="77">
        <v>46156</v>
      </c>
      <c r="R1034" s="78" t="s">
        <v>42</v>
      </c>
      <c r="S1034" s="36" t="str">
        <f>VLOOKUP(Tabla91116[[#This Row],[CODIGO DEL PRODUCTO]],Tabla797[],2,FALSE)</f>
        <v>ARENA FINA</v>
      </c>
      <c r="T1034" s="37">
        <v>34.94</v>
      </c>
    </row>
    <row r="1035" spans="8:21" x14ac:dyDescent="0.25">
      <c r="H1035" s="34"/>
      <c r="I1035" s="34"/>
      <c r="J1035" s="35"/>
      <c r="K1035" s="36"/>
      <c r="L1035" s="39" t="e">
        <f>VLOOKUP(Tabla81015[[#This Row],[CODIGO DEL PRODUCTO]],Tabla797[],2,FALSE)</f>
        <v>#N/A</v>
      </c>
      <c r="M1035" s="37"/>
      <c r="N1035" s="158"/>
      <c r="O1035" s="76">
        <v>40371</v>
      </c>
      <c r="P1035" s="78" t="s">
        <v>149</v>
      </c>
      <c r="Q1035" s="77">
        <v>46156</v>
      </c>
      <c r="R1035" s="78" t="s">
        <v>42</v>
      </c>
      <c r="S1035" s="36" t="str">
        <f>VLOOKUP(Tabla91116[[#This Row],[CODIGO DEL PRODUCTO]],Tabla797[],2,FALSE)</f>
        <v>ARENA FINA</v>
      </c>
      <c r="T1035" s="37">
        <v>19.7</v>
      </c>
    </row>
    <row r="1036" spans="8:21" x14ac:dyDescent="0.25">
      <c r="H1036" s="34"/>
      <c r="I1036" s="34"/>
      <c r="J1036" s="35"/>
      <c r="K1036" s="36"/>
      <c r="L1036" s="39" t="e">
        <f>VLOOKUP(Tabla81015[[#This Row],[CODIGO DEL PRODUCTO]],Tabla797[],2,FALSE)</f>
        <v>#N/A</v>
      </c>
      <c r="M1036" s="37"/>
      <c r="N1036" s="158"/>
      <c r="O1036" s="76">
        <v>109334</v>
      </c>
      <c r="P1036" s="78" t="s">
        <v>684</v>
      </c>
      <c r="Q1036" s="77">
        <v>46156</v>
      </c>
      <c r="R1036" s="78" t="s">
        <v>43</v>
      </c>
      <c r="S1036" s="36" t="str">
        <f>VLOOKUP(Tabla91116[[#This Row],[CODIGO DEL PRODUCTO]],Tabla797[],2,FALSE)</f>
        <v>PIEDRA 6-20</v>
      </c>
      <c r="T1036" s="37">
        <v>35.119999999999997</v>
      </c>
    </row>
    <row r="1037" spans="8:21" x14ac:dyDescent="0.25">
      <c r="H1037" s="34"/>
      <c r="I1037" s="34"/>
      <c r="J1037" s="35"/>
      <c r="K1037" s="36"/>
      <c r="L1037" s="39" t="e">
        <f>VLOOKUP(Tabla81015[[#This Row],[CODIGO DEL PRODUCTO]],Tabla797[],2,FALSE)</f>
        <v>#N/A</v>
      </c>
      <c r="M1037" s="37"/>
      <c r="N1037" s="158"/>
      <c r="O1037" s="76">
        <v>109337</v>
      </c>
      <c r="P1037" s="78" t="s">
        <v>684</v>
      </c>
      <c r="Q1037" s="77">
        <v>46156</v>
      </c>
      <c r="R1037" s="78" t="s">
        <v>48</v>
      </c>
      <c r="S1037" s="36" t="str">
        <f>VLOOKUP(Tabla91116[[#This Row],[CODIGO DEL PRODUCTO]],Tabla797[],2,FALSE)</f>
        <v>PIEDRA 6-12</v>
      </c>
      <c r="T1037" s="37">
        <v>35.840000000000003</v>
      </c>
    </row>
    <row r="1038" spans="8:21" x14ac:dyDescent="0.25">
      <c r="H1038" s="34"/>
      <c r="I1038" s="34"/>
      <c r="J1038" s="35"/>
      <c r="K1038" s="36"/>
      <c r="L1038" s="39" t="e">
        <f>VLOOKUP(Tabla81015[[#This Row],[CODIGO DEL PRODUCTO]],Tabla797[],2,FALSE)</f>
        <v>#N/A</v>
      </c>
      <c r="M1038" s="37"/>
      <c r="N1038" s="158"/>
      <c r="O1038" s="76">
        <v>109339</v>
      </c>
      <c r="P1038" s="78" t="s">
        <v>684</v>
      </c>
      <c r="Q1038" s="77">
        <v>46156</v>
      </c>
      <c r="R1038" s="78" t="s">
        <v>48</v>
      </c>
      <c r="S1038" s="36" t="str">
        <f>VLOOKUP(Tabla91116[[#This Row],[CODIGO DEL PRODUCTO]],Tabla797[],2,FALSE)</f>
        <v>PIEDRA 6-12</v>
      </c>
      <c r="T1038" s="37">
        <v>34.82</v>
      </c>
    </row>
    <row r="1039" spans="8:21" x14ac:dyDescent="0.25">
      <c r="H1039" s="34"/>
      <c r="I1039" s="34"/>
      <c r="J1039" s="35"/>
      <c r="K1039" s="36"/>
      <c r="L1039" s="39" t="e">
        <f>VLOOKUP(Tabla81015[[#This Row],[CODIGO DEL PRODUCTO]],Tabla797[],2,FALSE)</f>
        <v>#N/A</v>
      </c>
      <c r="M1039" s="37"/>
      <c r="N1039" s="158"/>
      <c r="O1039" s="76">
        <v>109341</v>
      </c>
      <c r="P1039" s="78" t="s">
        <v>684</v>
      </c>
      <c r="Q1039" s="77">
        <v>46156</v>
      </c>
      <c r="R1039" s="78" t="s">
        <v>43</v>
      </c>
      <c r="S1039" s="36" t="str">
        <f>VLOOKUP(Tabla91116[[#This Row],[CODIGO DEL PRODUCTO]],Tabla797[],2,FALSE)</f>
        <v>PIEDRA 6-20</v>
      </c>
      <c r="T1039" s="37">
        <v>34.700000000000003</v>
      </c>
    </row>
    <row r="1040" spans="8:21" x14ac:dyDescent="0.25">
      <c r="H1040" s="34"/>
      <c r="I1040" s="34"/>
      <c r="J1040" s="35"/>
      <c r="K1040" s="36"/>
      <c r="L1040" s="39" t="e">
        <f>VLOOKUP(Tabla81015[[#This Row],[CODIGO DEL PRODUCTO]],Tabla797[],2,FALSE)</f>
        <v>#N/A</v>
      </c>
      <c r="M1040" s="37"/>
      <c r="N1040" s="158"/>
      <c r="O1040" s="76">
        <v>157656</v>
      </c>
      <c r="P1040" s="78" t="s">
        <v>679</v>
      </c>
      <c r="Q1040" s="77">
        <v>46156</v>
      </c>
      <c r="R1040" s="78" t="s">
        <v>43</v>
      </c>
      <c r="S1040" s="36" t="str">
        <f>VLOOKUP(Tabla91116[[#This Row],[CODIGO DEL PRODUCTO]],Tabla797[],2,FALSE)</f>
        <v>PIEDRA 6-20</v>
      </c>
      <c r="T1040" s="37">
        <v>34.92</v>
      </c>
    </row>
    <row r="1041" spans="8:20" x14ac:dyDescent="0.25">
      <c r="H1041" s="34"/>
      <c r="I1041" s="34"/>
      <c r="J1041" s="35"/>
      <c r="K1041" s="36"/>
      <c r="L1041" s="39" t="e">
        <f>VLOOKUP(Tabla81015[[#This Row],[CODIGO DEL PRODUCTO]],Tabla797[],2,FALSE)</f>
        <v>#N/A</v>
      </c>
      <c r="M1041" s="37"/>
      <c r="N1041" s="158"/>
      <c r="O1041" s="76">
        <v>157675</v>
      </c>
      <c r="P1041" s="78" t="s">
        <v>679</v>
      </c>
      <c r="Q1041" s="77">
        <v>46156</v>
      </c>
      <c r="R1041" s="78" t="s">
        <v>43</v>
      </c>
      <c r="S1041" s="36" t="str">
        <f>VLOOKUP(Tabla91116[[#This Row],[CODIGO DEL PRODUCTO]],Tabla797[],2,FALSE)</f>
        <v>PIEDRA 6-20</v>
      </c>
      <c r="T1041" s="37">
        <v>35.36</v>
      </c>
    </row>
    <row r="1042" spans="8:20" x14ac:dyDescent="0.25">
      <c r="H1042" s="34"/>
      <c r="I1042" s="34"/>
      <c r="J1042" s="35"/>
      <c r="K1042" s="36"/>
      <c r="L1042" s="39" t="e">
        <f>VLOOKUP(Tabla81015[[#This Row],[CODIGO DEL PRODUCTO]],Tabla797[],2,FALSE)</f>
        <v>#N/A</v>
      </c>
      <c r="M1042" s="37"/>
      <c r="N1042" s="158"/>
      <c r="O1042" s="76">
        <v>157740</v>
      </c>
      <c r="P1042" s="78" t="s">
        <v>679</v>
      </c>
      <c r="Q1042" s="77">
        <v>46156</v>
      </c>
      <c r="R1042" s="78" t="s">
        <v>43</v>
      </c>
      <c r="S1042" s="36" t="str">
        <f>VLOOKUP(Tabla91116[[#This Row],[CODIGO DEL PRODUCTO]],Tabla797[],2,FALSE)</f>
        <v>PIEDRA 6-20</v>
      </c>
      <c r="T1042" s="37">
        <v>35.94</v>
      </c>
    </row>
    <row r="1043" spans="8:20" x14ac:dyDescent="0.25">
      <c r="H1043" s="34"/>
      <c r="I1043" s="34"/>
      <c r="J1043" s="35"/>
      <c r="K1043" s="36"/>
      <c r="L1043" s="39" t="e">
        <f>VLOOKUP(Tabla81015[[#This Row],[CODIGO DEL PRODUCTO]],Tabla797[],2,FALSE)</f>
        <v>#N/A</v>
      </c>
      <c r="M1043" s="37"/>
      <c r="N1043" s="158"/>
      <c r="O1043" s="76">
        <v>2707856</v>
      </c>
      <c r="P1043" s="78" t="s">
        <v>679</v>
      </c>
      <c r="Q1043" s="77">
        <v>46156</v>
      </c>
      <c r="R1043" s="78" t="s">
        <v>286</v>
      </c>
      <c r="S1043" s="36" t="str">
        <f>VLOOKUP(Tabla91116[[#This Row],[CODIGO DEL PRODUCTO]],Tabla797[],2,FALSE)</f>
        <v>CPF 40 AVELLANEDA</v>
      </c>
      <c r="T1043" s="37">
        <v>35.619999999999997</v>
      </c>
    </row>
    <row r="1044" spans="8:20" x14ac:dyDescent="0.25">
      <c r="H1044" s="34"/>
      <c r="I1044" s="34"/>
      <c r="J1044" s="35"/>
      <c r="K1044" s="36"/>
      <c r="L1044" s="39" t="e">
        <f>VLOOKUP(Tabla81015[[#This Row],[CODIGO DEL PRODUCTO]],Tabla797[],2,FALSE)</f>
        <v>#N/A</v>
      </c>
      <c r="M1044" s="37"/>
      <c r="N1044" s="158"/>
      <c r="O1044" s="76">
        <v>2707894</v>
      </c>
      <c r="P1044" s="78" t="s">
        <v>679</v>
      </c>
      <c r="Q1044" s="77">
        <v>46156</v>
      </c>
      <c r="R1044" s="78" t="s">
        <v>286</v>
      </c>
      <c r="S1044" s="36" t="str">
        <f>VLOOKUP(Tabla91116[[#This Row],[CODIGO DEL PRODUCTO]],Tabla797[],2,FALSE)</f>
        <v>CPF 40 AVELLANEDA</v>
      </c>
      <c r="T1044" s="37">
        <v>36.520000000000003</v>
      </c>
    </row>
    <row r="1045" spans="8:20" x14ac:dyDescent="0.25">
      <c r="H1045" s="34"/>
      <c r="I1045" s="34"/>
      <c r="J1045" s="35"/>
      <c r="K1045" s="36"/>
      <c r="L1045" s="39" t="e">
        <f>VLOOKUP(Tabla81015[[#This Row],[CODIGO DEL PRODUCTO]],Tabla797[],2,FALSE)</f>
        <v>#N/A</v>
      </c>
      <c r="M1045" s="37"/>
      <c r="N1045" s="158"/>
      <c r="O1045" s="76">
        <v>104331</v>
      </c>
      <c r="P1045" s="78" t="s">
        <v>683</v>
      </c>
      <c r="Q1045" s="77">
        <v>46157</v>
      </c>
      <c r="R1045" s="78" t="s">
        <v>42</v>
      </c>
      <c r="S1045" s="36" t="str">
        <f>VLOOKUP(Tabla91116[[#This Row],[CODIGO DEL PRODUCTO]],Tabla797[],2,FALSE)</f>
        <v>ARENA FINA</v>
      </c>
      <c r="T1045" s="37">
        <v>35.380000000000003</v>
      </c>
    </row>
    <row r="1046" spans="8:20" x14ac:dyDescent="0.25">
      <c r="H1046" s="34"/>
      <c r="I1046" s="34"/>
      <c r="J1046" s="35"/>
      <c r="K1046" s="36"/>
      <c r="L1046" s="39" t="e">
        <f>VLOOKUP(Tabla81015[[#This Row],[CODIGO DEL PRODUCTO]],Tabla797[],2,FALSE)</f>
        <v>#N/A</v>
      </c>
      <c r="M1046" s="37"/>
      <c r="N1046" s="158"/>
      <c r="O1046" s="76">
        <v>104321</v>
      </c>
      <c r="P1046" s="78" t="s">
        <v>683</v>
      </c>
      <c r="Q1046" s="77">
        <v>46157</v>
      </c>
      <c r="R1046" s="78" t="s">
        <v>42</v>
      </c>
      <c r="S1046" s="36" t="str">
        <f>VLOOKUP(Tabla91116[[#This Row],[CODIGO DEL PRODUCTO]],Tabla797[],2,FALSE)</f>
        <v>ARENA FINA</v>
      </c>
      <c r="T1046" s="37">
        <v>35.46</v>
      </c>
    </row>
    <row r="1047" spans="8:20" x14ac:dyDescent="0.25">
      <c r="H1047" s="34"/>
      <c r="I1047" s="34"/>
      <c r="J1047" s="35"/>
      <c r="K1047" s="36"/>
      <c r="L1047" s="39" t="e">
        <f>VLOOKUP(Tabla81015[[#This Row],[CODIGO DEL PRODUCTO]],Tabla797[],2,FALSE)</f>
        <v>#N/A</v>
      </c>
      <c r="M1047" s="37"/>
      <c r="N1047" s="158"/>
      <c r="O1047" s="76">
        <v>40386</v>
      </c>
      <c r="P1047" s="78" t="s">
        <v>149</v>
      </c>
      <c r="Q1047" s="77">
        <v>46157</v>
      </c>
      <c r="R1047" s="78" t="s">
        <v>42</v>
      </c>
      <c r="S1047" s="36" t="str">
        <f>VLOOKUP(Tabla91116[[#This Row],[CODIGO DEL PRODUCTO]],Tabla797[],2,FALSE)</f>
        <v>ARENA FINA</v>
      </c>
      <c r="T1047" s="37">
        <v>36.22</v>
      </c>
    </row>
    <row r="1048" spans="8:20" x14ac:dyDescent="0.25">
      <c r="H1048" s="34"/>
      <c r="I1048" s="34"/>
      <c r="J1048" s="35"/>
      <c r="K1048" s="36"/>
      <c r="L1048" s="39" t="e">
        <f>VLOOKUP(Tabla81015[[#This Row],[CODIGO DEL PRODUCTO]],Tabla797[],2,FALSE)</f>
        <v>#N/A</v>
      </c>
      <c r="M1048" s="37"/>
      <c r="N1048" s="158"/>
      <c r="O1048" s="76">
        <v>40406</v>
      </c>
      <c r="P1048" s="78" t="s">
        <v>149</v>
      </c>
      <c r="Q1048" s="77">
        <v>46157</v>
      </c>
      <c r="R1048" s="78" t="s">
        <v>42</v>
      </c>
      <c r="S1048" s="36" t="str">
        <f>VLOOKUP(Tabla91116[[#This Row],[CODIGO DEL PRODUCTO]],Tabla797[],2,FALSE)</f>
        <v>ARENA FINA</v>
      </c>
      <c r="T1048" s="37">
        <v>36.159999999999997</v>
      </c>
    </row>
    <row r="1049" spans="8:20" x14ac:dyDescent="0.25">
      <c r="H1049" s="34"/>
      <c r="I1049" s="34"/>
      <c r="J1049" s="35"/>
      <c r="K1049" s="36"/>
      <c r="L1049" s="39" t="e">
        <f>VLOOKUP(Tabla81015[[#This Row],[CODIGO DEL PRODUCTO]],Tabla797[],2,FALSE)</f>
        <v>#N/A</v>
      </c>
      <c r="M1049" s="37"/>
      <c r="N1049" s="158"/>
      <c r="O1049" s="76">
        <v>109346</v>
      </c>
      <c r="P1049" s="78" t="s">
        <v>684</v>
      </c>
      <c r="Q1049" s="77">
        <v>46157</v>
      </c>
      <c r="R1049" s="78" t="s">
        <v>43</v>
      </c>
      <c r="S1049" s="36" t="str">
        <f>VLOOKUP(Tabla91116[[#This Row],[CODIGO DEL PRODUCTO]],Tabla797[],2,FALSE)</f>
        <v>PIEDRA 6-20</v>
      </c>
      <c r="T1049" s="37">
        <v>34.68</v>
      </c>
    </row>
    <row r="1050" spans="8:20" x14ac:dyDescent="0.25">
      <c r="H1050" s="34"/>
      <c r="I1050" s="34"/>
      <c r="J1050" s="35"/>
      <c r="K1050" s="36"/>
      <c r="L1050" s="39" t="e">
        <f>VLOOKUP(Tabla81015[[#This Row],[CODIGO DEL PRODUCTO]],Tabla797[],2,FALSE)</f>
        <v>#N/A</v>
      </c>
      <c r="M1050" s="37"/>
      <c r="N1050" s="158"/>
      <c r="O1050" s="76">
        <v>109350</v>
      </c>
      <c r="P1050" s="78" t="s">
        <v>684</v>
      </c>
      <c r="Q1050" s="77">
        <v>46157</v>
      </c>
      <c r="R1050" s="78" t="s">
        <v>43</v>
      </c>
      <c r="S1050" s="36" t="str">
        <f>VLOOKUP(Tabla91116[[#This Row],[CODIGO DEL PRODUCTO]],Tabla797[],2,FALSE)</f>
        <v>PIEDRA 6-20</v>
      </c>
      <c r="T1050" s="37">
        <v>35.26</v>
      </c>
    </row>
    <row r="1051" spans="8:20" x14ac:dyDescent="0.25">
      <c r="H1051" s="34"/>
      <c r="I1051" s="34"/>
      <c r="J1051" s="35"/>
      <c r="K1051" s="36"/>
      <c r="L1051" s="39" t="e">
        <f>VLOOKUP(Tabla81015[[#This Row],[CODIGO DEL PRODUCTO]],Tabla797[],2,FALSE)</f>
        <v>#N/A</v>
      </c>
      <c r="M1051" s="37"/>
      <c r="N1051" s="158"/>
      <c r="O1051" s="76">
        <v>109354</v>
      </c>
      <c r="P1051" s="78" t="s">
        <v>684</v>
      </c>
      <c r="Q1051" s="77">
        <v>46157</v>
      </c>
      <c r="R1051" s="78" t="s">
        <v>48</v>
      </c>
      <c r="S1051" s="36" t="str">
        <f>VLOOKUP(Tabla91116[[#This Row],[CODIGO DEL PRODUCTO]],Tabla797[],2,FALSE)</f>
        <v>PIEDRA 6-12</v>
      </c>
      <c r="T1051" s="37">
        <v>36.04</v>
      </c>
    </row>
    <row r="1052" spans="8:20" x14ac:dyDescent="0.25">
      <c r="H1052" s="34"/>
      <c r="I1052" s="34"/>
      <c r="J1052" s="35"/>
      <c r="K1052" s="36"/>
      <c r="L1052" s="39" t="e">
        <f>VLOOKUP(Tabla81015[[#This Row],[CODIGO DEL PRODUCTO]],Tabla797[],2,FALSE)</f>
        <v>#N/A</v>
      </c>
      <c r="M1052" s="37"/>
      <c r="N1052" s="158"/>
      <c r="O1052" s="76">
        <v>109355</v>
      </c>
      <c r="P1052" s="78" t="s">
        <v>684</v>
      </c>
      <c r="Q1052" s="77">
        <v>46157</v>
      </c>
      <c r="R1052" s="78" t="s">
        <v>48</v>
      </c>
      <c r="S1052" s="36" t="str">
        <f>VLOOKUP(Tabla91116[[#This Row],[CODIGO DEL PRODUCTO]],Tabla797[],2,FALSE)</f>
        <v>PIEDRA 6-12</v>
      </c>
      <c r="T1052" s="37">
        <v>34.26</v>
      </c>
    </row>
    <row r="1053" spans="8:20" x14ac:dyDescent="0.25">
      <c r="H1053" s="34"/>
      <c r="I1053" s="34"/>
      <c r="J1053" s="35"/>
      <c r="K1053" s="36"/>
      <c r="L1053" s="39" t="e">
        <f>VLOOKUP(Tabla81015[[#This Row],[CODIGO DEL PRODUCTO]],Tabla797[],2,FALSE)</f>
        <v>#N/A</v>
      </c>
      <c r="M1053" s="37"/>
      <c r="N1053" s="158"/>
      <c r="O1053" s="76">
        <v>157756</v>
      </c>
      <c r="P1053" s="78" t="s">
        <v>679</v>
      </c>
      <c r="Q1053" s="77">
        <v>46157</v>
      </c>
      <c r="R1053" s="78" t="s">
        <v>43</v>
      </c>
      <c r="S1053" s="36" t="str">
        <f>VLOOKUP(Tabla91116[[#This Row],[CODIGO DEL PRODUCTO]],Tabla797[],2,FALSE)</f>
        <v>PIEDRA 6-20</v>
      </c>
      <c r="T1053" s="37">
        <v>35.700000000000003</v>
      </c>
    </row>
    <row r="1054" spans="8:20" x14ac:dyDescent="0.25">
      <c r="H1054" s="34"/>
      <c r="I1054" s="34"/>
      <c r="J1054" s="35"/>
      <c r="K1054" s="36"/>
      <c r="L1054" s="39" t="e">
        <f>VLOOKUP(Tabla81015[[#This Row],[CODIGO DEL PRODUCTO]],Tabla797[],2,FALSE)</f>
        <v>#N/A</v>
      </c>
      <c r="M1054" s="37"/>
      <c r="N1054" s="158"/>
      <c r="O1054" s="76">
        <v>157805</v>
      </c>
      <c r="P1054" s="78" t="s">
        <v>679</v>
      </c>
      <c r="Q1054" s="77">
        <v>46157</v>
      </c>
      <c r="R1054" s="78" t="s">
        <v>43</v>
      </c>
      <c r="S1054" s="36" t="str">
        <f>VLOOKUP(Tabla91116[[#This Row],[CODIGO DEL PRODUCTO]],Tabla797[],2,FALSE)</f>
        <v>PIEDRA 6-20</v>
      </c>
      <c r="T1054" s="37">
        <v>36.44</v>
      </c>
    </row>
    <row r="1055" spans="8:20" x14ac:dyDescent="0.25">
      <c r="H1055" s="34"/>
      <c r="I1055" s="34"/>
      <c r="J1055" s="35"/>
      <c r="K1055" s="36"/>
      <c r="L1055" s="39" t="e">
        <f>VLOOKUP(Tabla81015[[#This Row],[CODIGO DEL PRODUCTO]],Tabla797[],2,FALSE)</f>
        <v>#N/A</v>
      </c>
      <c r="M1055" s="37"/>
      <c r="N1055" s="158"/>
      <c r="O1055" s="76">
        <v>157846</v>
      </c>
      <c r="P1055" s="78" t="s">
        <v>679</v>
      </c>
      <c r="Q1055" s="77">
        <v>46157</v>
      </c>
      <c r="R1055" s="78" t="s">
        <v>43</v>
      </c>
      <c r="S1055" s="36" t="str">
        <f>VLOOKUP(Tabla91116[[#This Row],[CODIGO DEL PRODUCTO]],Tabla797[],2,FALSE)</f>
        <v>PIEDRA 6-20</v>
      </c>
      <c r="T1055" s="37">
        <v>36.520000000000003</v>
      </c>
    </row>
    <row r="1056" spans="8:20" x14ac:dyDescent="0.25">
      <c r="H1056" s="34"/>
      <c r="I1056" s="34"/>
      <c r="J1056" s="35"/>
      <c r="K1056" s="36"/>
      <c r="L1056" s="39" t="e">
        <f>VLOOKUP(Tabla81015[[#This Row],[CODIGO DEL PRODUCTO]],Tabla797[],2,FALSE)</f>
        <v>#N/A</v>
      </c>
      <c r="M1056" s="37"/>
      <c r="N1056" s="158"/>
      <c r="O1056" s="76">
        <v>2708088</v>
      </c>
      <c r="P1056" s="78" t="s">
        <v>679</v>
      </c>
      <c r="Q1056" s="77">
        <v>46157</v>
      </c>
      <c r="R1056" s="78" t="s">
        <v>286</v>
      </c>
      <c r="S1056" s="36" t="str">
        <f>VLOOKUP(Tabla91116[[#This Row],[CODIGO DEL PRODUCTO]],Tabla797[],2,FALSE)</f>
        <v>CPF 40 AVELLANEDA</v>
      </c>
      <c r="T1056" s="37">
        <v>36.42</v>
      </c>
    </row>
    <row r="1057" spans="8:21" x14ac:dyDescent="0.25">
      <c r="H1057" s="34"/>
      <c r="I1057" s="34"/>
      <c r="J1057" s="35"/>
      <c r="K1057" s="36"/>
      <c r="L1057" s="39" t="e">
        <f>VLOOKUP(Tabla81015[[#This Row],[CODIGO DEL PRODUCTO]],Tabla797[],2,FALSE)</f>
        <v>#N/A</v>
      </c>
      <c r="M1057" s="37"/>
      <c r="N1057" s="158"/>
      <c r="O1057" s="76">
        <v>2708148</v>
      </c>
      <c r="P1057" s="78" t="s">
        <v>679</v>
      </c>
      <c r="Q1057" s="77">
        <v>46157</v>
      </c>
      <c r="R1057" s="78" t="s">
        <v>286</v>
      </c>
      <c r="S1057" s="36" t="str">
        <f>VLOOKUP(Tabla91116[[#This Row],[CODIGO DEL PRODUCTO]],Tabla797[],2,FALSE)</f>
        <v>CPF 40 AVELLANEDA</v>
      </c>
      <c r="T1057" s="37">
        <v>35.68</v>
      </c>
    </row>
    <row r="1058" spans="8:21" x14ac:dyDescent="0.25">
      <c r="H1058" s="34"/>
      <c r="I1058" s="34"/>
      <c r="J1058" s="35"/>
      <c r="K1058" s="36"/>
      <c r="L1058" s="39" t="e">
        <f>VLOOKUP(Tabla81015[[#This Row],[CODIGO DEL PRODUCTO]],Tabla797[],2,FALSE)</f>
        <v>#N/A</v>
      </c>
      <c r="M1058" s="37"/>
      <c r="N1058" s="158"/>
      <c r="O1058" s="76">
        <v>40396</v>
      </c>
      <c r="P1058" s="78" t="s">
        <v>149</v>
      </c>
      <c r="Q1058" s="77">
        <v>46157</v>
      </c>
      <c r="R1058" s="78" t="s">
        <v>42</v>
      </c>
      <c r="S1058" s="36" t="str">
        <f>VLOOKUP(Tabla91116[[#This Row],[CODIGO DEL PRODUCTO]],Tabla797[],2,FALSE)</f>
        <v>ARENA FINA</v>
      </c>
      <c r="T1058" s="37">
        <v>20.86</v>
      </c>
    </row>
    <row r="1059" spans="8:21" x14ac:dyDescent="0.25">
      <c r="H1059" s="34"/>
      <c r="I1059" s="34"/>
      <c r="J1059" s="35"/>
      <c r="K1059" s="36"/>
      <c r="L1059" s="39" t="e">
        <f>VLOOKUP(Tabla81015[[#This Row],[CODIGO DEL PRODUCTO]],Tabla797[],2,FALSE)</f>
        <v>#N/A</v>
      </c>
      <c r="M1059" s="37"/>
      <c r="N1059" s="158"/>
      <c r="O1059" s="76">
        <v>40407</v>
      </c>
      <c r="P1059" s="78" t="s">
        <v>149</v>
      </c>
      <c r="Q1059" s="77">
        <v>46157</v>
      </c>
      <c r="R1059" s="78" t="s">
        <v>42</v>
      </c>
      <c r="S1059" s="36" t="str">
        <f>VLOOKUP(Tabla91116[[#This Row],[CODIGO DEL PRODUCTO]],Tabla797[],2,FALSE)</f>
        <v>ARENA FINA</v>
      </c>
      <c r="T1059" s="37">
        <v>21.86</v>
      </c>
    </row>
    <row r="1060" spans="8:21" x14ac:dyDescent="0.25">
      <c r="H1060" s="34"/>
      <c r="I1060" s="34"/>
      <c r="J1060" s="35"/>
      <c r="K1060" s="36"/>
      <c r="L1060" s="39" t="e">
        <f>VLOOKUP(Tabla81015[[#This Row],[CODIGO DEL PRODUCTO]],Tabla797[],2,FALSE)</f>
        <v>#N/A</v>
      </c>
      <c r="M1060" s="37"/>
      <c r="N1060" s="158"/>
      <c r="O1060" s="76">
        <v>40421</v>
      </c>
      <c r="P1060" s="78" t="s">
        <v>149</v>
      </c>
      <c r="Q1060" s="77">
        <v>46158</v>
      </c>
      <c r="R1060" s="78" t="s">
        <v>42</v>
      </c>
      <c r="S1060" s="36" t="str">
        <f>VLOOKUP(Tabla91116[[#This Row],[CODIGO DEL PRODUCTO]],Tabla797[],2,FALSE)</f>
        <v>ARENA FINA</v>
      </c>
      <c r="T1060" s="37">
        <v>39.26</v>
      </c>
    </row>
    <row r="1061" spans="8:21" x14ac:dyDescent="0.25">
      <c r="H1061" s="34"/>
      <c r="I1061" s="34"/>
      <c r="J1061" s="35"/>
      <c r="K1061" s="36"/>
      <c r="L1061" s="39" t="e">
        <f>VLOOKUP(Tabla81015[[#This Row],[CODIGO DEL PRODUCTO]],Tabla797[],2,FALSE)</f>
        <v>#N/A</v>
      </c>
      <c r="M1061" s="37"/>
      <c r="N1061" s="158"/>
      <c r="O1061" s="76">
        <v>40424</v>
      </c>
      <c r="P1061" s="78" t="s">
        <v>149</v>
      </c>
      <c r="Q1061" s="77">
        <v>46158</v>
      </c>
      <c r="R1061" s="78" t="s">
        <v>42</v>
      </c>
      <c r="S1061" s="36" t="str">
        <f>VLOOKUP(Tabla91116[[#This Row],[CODIGO DEL PRODUCTO]],Tabla797[],2,FALSE)</f>
        <v>ARENA FINA</v>
      </c>
      <c r="T1061" s="37">
        <v>20.8</v>
      </c>
    </row>
    <row r="1062" spans="8:21" x14ac:dyDescent="0.25">
      <c r="H1062" s="34"/>
      <c r="I1062" s="34"/>
      <c r="J1062" s="35"/>
      <c r="K1062" s="36"/>
      <c r="L1062" s="39" t="e">
        <f>VLOOKUP(Tabla81015[[#This Row],[CODIGO DEL PRODUCTO]],Tabla797[],2,FALSE)</f>
        <v>#N/A</v>
      </c>
      <c r="M1062" s="37"/>
      <c r="N1062" s="158"/>
      <c r="O1062" s="76">
        <v>157755</v>
      </c>
      <c r="P1062" s="78" t="s">
        <v>679</v>
      </c>
      <c r="Q1062" s="77">
        <v>46158</v>
      </c>
      <c r="R1062" s="78" t="s">
        <v>43</v>
      </c>
      <c r="S1062" s="36" t="str">
        <f>VLOOKUP(Tabla91116[[#This Row],[CODIGO DEL PRODUCTO]],Tabla797[],2,FALSE)</f>
        <v>PIEDRA 6-20</v>
      </c>
      <c r="T1062" s="37">
        <v>35.340000000000003</v>
      </c>
    </row>
    <row r="1063" spans="8:21" x14ac:dyDescent="0.25">
      <c r="H1063" s="34"/>
      <c r="I1063" s="34"/>
      <c r="J1063" s="35"/>
      <c r="K1063" s="36"/>
      <c r="L1063" s="39" t="e">
        <f>VLOOKUP(Tabla81015[[#This Row],[CODIGO DEL PRODUCTO]],Tabla797[],2,FALSE)</f>
        <v>#N/A</v>
      </c>
      <c r="M1063" s="37"/>
      <c r="N1063" s="158"/>
      <c r="O1063" s="76">
        <v>157864</v>
      </c>
      <c r="P1063" s="78" t="s">
        <v>679</v>
      </c>
      <c r="Q1063" s="77">
        <v>46158</v>
      </c>
      <c r="R1063" s="78" t="s">
        <v>43</v>
      </c>
      <c r="S1063" s="36" t="str">
        <f>VLOOKUP(Tabla91116[[#This Row],[CODIGO DEL PRODUCTO]],Tabla797[],2,FALSE)</f>
        <v>PIEDRA 6-20</v>
      </c>
      <c r="T1063" s="37">
        <v>36.14</v>
      </c>
    </row>
    <row r="1064" spans="8:21" x14ac:dyDescent="0.25">
      <c r="H1064" s="34"/>
      <c r="I1064" s="34"/>
      <c r="J1064" s="35"/>
      <c r="K1064" s="36"/>
      <c r="L1064" s="39" t="e">
        <f>VLOOKUP(Tabla81015[[#This Row],[CODIGO DEL PRODUCTO]],Tabla797[],2,FALSE)</f>
        <v>#N/A</v>
      </c>
      <c r="M1064" s="37"/>
      <c r="N1064" s="158"/>
      <c r="O1064" s="76">
        <v>157870</v>
      </c>
      <c r="P1064" s="78" t="s">
        <v>679</v>
      </c>
      <c r="Q1064" s="77">
        <v>46158</v>
      </c>
      <c r="R1064" s="78" t="s">
        <v>43</v>
      </c>
      <c r="S1064" s="36" t="str">
        <f>VLOOKUP(Tabla91116[[#This Row],[CODIGO DEL PRODUCTO]],Tabla797[],2,FALSE)</f>
        <v>PIEDRA 6-20</v>
      </c>
      <c r="T1064" s="37">
        <v>34.78</v>
      </c>
    </row>
    <row r="1065" spans="8:21" x14ac:dyDescent="0.25">
      <c r="H1065" s="34"/>
      <c r="I1065" s="34"/>
      <c r="J1065" s="35"/>
      <c r="K1065" s="36"/>
      <c r="L1065" s="39" t="e">
        <f>VLOOKUP(Tabla81015[[#This Row],[CODIGO DEL PRODUCTO]],Tabla797[],2,FALSE)</f>
        <v>#N/A</v>
      </c>
      <c r="M1065" s="37"/>
      <c r="N1065" s="158"/>
      <c r="O1065" s="76">
        <v>2708286</v>
      </c>
      <c r="P1065" s="78" t="s">
        <v>679</v>
      </c>
      <c r="Q1065" s="77">
        <v>46158</v>
      </c>
      <c r="R1065" s="78" t="s">
        <v>286</v>
      </c>
      <c r="S1065" s="36" t="str">
        <f>VLOOKUP(Tabla91116[[#This Row],[CODIGO DEL PRODUCTO]],Tabla797[],2,FALSE)</f>
        <v>CPF 40 AVELLANEDA</v>
      </c>
      <c r="T1065" s="37">
        <v>35.619999999999997</v>
      </c>
    </row>
    <row r="1066" spans="8:21" x14ac:dyDescent="0.25">
      <c r="H1066" s="34"/>
      <c r="I1066" s="34"/>
      <c r="J1066" s="35"/>
      <c r="K1066" s="36"/>
      <c r="L1066" s="39" t="e">
        <f>VLOOKUP(Tabla81015[[#This Row],[CODIGO DEL PRODUCTO]],Tabla797[],2,FALSE)</f>
        <v>#N/A</v>
      </c>
      <c r="M1066" s="37"/>
      <c r="N1066" s="158"/>
      <c r="O1066" s="76">
        <v>104331</v>
      </c>
      <c r="P1066" s="78" t="s">
        <v>683</v>
      </c>
      <c r="Q1066" s="77">
        <v>46160</v>
      </c>
      <c r="R1066" s="78" t="s">
        <v>42</v>
      </c>
      <c r="S1066" s="36" t="str">
        <f>VLOOKUP(Tabla91116[[#This Row],[CODIGO DEL PRODUCTO]],Tabla797[],2,FALSE)</f>
        <v>ARENA FINA</v>
      </c>
      <c r="T1066" s="37">
        <v>36.18</v>
      </c>
    </row>
    <row r="1067" spans="8:21" x14ac:dyDescent="0.25">
      <c r="H1067" s="34"/>
      <c r="I1067" s="34"/>
      <c r="J1067" s="35"/>
      <c r="K1067" s="36"/>
      <c r="L1067" s="39" t="e">
        <f>VLOOKUP(Tabla81015[[#This Row],[CODIGO DEL PRODUCTO]],Tabla797[],2,FALSE)</f>
        <v>#N/A</v>
      </c>
      <c r="M1067" s="37"/>
      <c r="N1067" s="158"/>
      <c r="O1067" s="76">
        <v>104336</v>
      </c>
      <c r="P1067" s="78" t="s">
        <v>683</v>
      </c>
      <c r="Q1067" s="77">
        <v>46160</v>
      </c>
      <c r="R1067" s="78" t="s">
        <v>42</v>
      </c>
      <c r="S1067" s="36" t="str">
        <f>VLOOKUP(Tabla91116[[#This Row],[CODIGO DEL PRODUCTO]],Tabla797[],2,FALSE)</f>
        <v>ARENA FINA</v>
      </c>
      <c r="T1067" s="37">
        <v>36.04</v>
      </c>
    </row>
    <row r="1068" spans="8:21" x14ac:dyDescent="0.25">
      <c r="H1068" s="34"/>
      <c r="I1068" s="34"/>
      <c r="J1068" s="35"/>
      <c r="K1068" s="36"/>
      <c r="L1068" s="39" t="e">
        <f>VLOOKUP(Tabla81015[[#This Row],[CODIGO DEL PRODUCTO]],Tabla797[],2,FALSE)</f>
        <v>#N/A</v>
      </c>
      <c r="M1068" s="37"/>
      <c r="N1068" s="158"/>
      <c r="O1068" s="76">
        <v>40430</v>
      </c>
      <c r="P1068" s="78" t="s">
        <v>149</v>
      </c>
      <c r="Q1068" s="77">
        <v>46160</v>
      </c>
      <c r="R1068" s="78" t="s">
        <v>42</v>
      </c>
      <c r="S1068" s="36" t="str">
        <f>VLOOKUP(Tabla91116[[#This Row],[CODIGO DEL PRODUCTO]],Tabla797[],2,FALSE)</f>
        <v>ARENA FINA</v>
      </c>
      <c r="T1068" s="37">
        <v>38.159999999999997</v>
      </c>
      <c r="U1068" s="7"/>
    </row>
    <row r="1069" spans="8:21" x14ac:dyDescent="0.25">
      <c r="H1069" s="34"/>
      <c r="I1069" s="34"/>
      <c r="J1069" s="35"/>
      <c r="K1069" s="36"/>
      <c r="L1069" s="39" t="e">
        <f>VLOOKUP(Tabla81015[[#This Row],[CODIGO DEL PRODUCTO]],Tabla797[],2,FALSE)</f>
        <v>#N/A</v>
      </c>
      <c r="M1069" s="37"/>
      <c r="N1069" s="158"/>
      <c r="O1069" s="76">
        <v>40443</v>
      </c>
      <c r="P1069" s="78" t="s">
        <v>149</v>
      </c>
      <c r="Q1069" s="77">
        <v>46160</v>
      </c>
      <c r="R1069" s="78" t="s">
        <v>42</v>
      </c>
      <c r="S1069" s="36" t="str">
        <f>VLOOKUP(Tabla91116[[#This Row],[CODIGO DEL PRODUCTO]],Tabla797[],2,FALSE)</f>
        <v>ARENA FINA</v>
      </c>
      <c r="T1069" s="37">
        <v>22.64</v>
      </c>
    </row>
    <row r="1070" spans="8:21" x14ac:dyDescent="0.25">
      <c r="H1070" s="34"/>
      <c r="I1070" s="34"/>
      <c r="J1070" s="35"/>
      <c r="K1070" s="36"/>
      <c r="L1070" s="39" t="e">
        <f>VLOOKUP(Tabla81015[[#This Row],[CODIGO DEL PRODUCTO]],Tabla797[],2,FALSE)</f>
        <v>#N/A</v>
      </c>
      <c r="M1070" s="37"/>
      <c r="N1070" s="158"/>
      <c r="O1070" s="76">
        <v>40446</v>
      </c>
      <c r="P1070" s="78" t="s">
        <v>149</v>
      </c>
      <c r="Q1070" s="77">
        <v>46160</v>
      </c>
      <c r="R1070" s="78" t="s">
        <v>42</v>
      </c>
      <c r="S1070" s="36" t="str">
        <f>VLOOKUP(Tabla91116[[#This Row],[CODIGO DEL PRODUCTO]],Tabla797[],2,FALSE)</f>
        <v>ARENA FINA</v>
      </c>
      <c r="T1070" s="37">
        <v>21.46</v>
      </c>
    </row>
    <row r="1071" spans="8:21" x14ac:dyDescent="0.25">
      <c r="H1071" s="34"/>
      <c r="I1071" s="34"/>
      <c r="J1071" s="35"/>
      <c r="K1071" s="36"/>
      <c r="L1071" s="39" t="e">
        <f>VLOOKUP(Tabla81015[[#This Row],[CODIGO DEL PRODUCTO]],Tabla797[],2,FALSE)</f>
        <v>#N/A</v>
      </c>
      <c r="M1071" s="37"/>
      <c r="N1071" s="158"/>
      <c r="O1071" s="76">
        <v>40450</v>
      </c>
      <c r="P1071" s="78" t="s">
        <v>149</v>
      </c>
      <c r="Q1071" s="77">
        <v>46160</v>
      </c>
      <c r="R1071" s="78" t="s">
        <v>42</v>
      </c>
      <c r="S1071" s="36" t="str">
        <f>VLOOKUP(Tabla91116[[#This Row],[CODIGO DEL PRODUCTO]],Tabla797[],2,FALSE)</f>
        <v>ARENA FINA</v>
      </c>
      <c r="T1071" s="37">
        <v>37.979999999999997</v>
      </c>
    </row>
    <row r="1072" spans="8:21" x14ac:dyDescent="0.25">
      <c r="H1072" s="34"/>
      <c r="I1072" s="34"/>
      <c r="J1072" s="35"/>
      <c r="K1072" s="36"/>
      <c r="L1072" s="39" t="e">
        <f>VLOOKUP(Tabla81015[[#This Row],[CODIGO DEL PRODUCTO]],Tabla797[],2,FALSE)</f>
        <v>#N/A</v>
      </c>
      <c r="M1072" s="37"/>
      <c r="N1072" s="158"/>
      <c r="O1072" s="76">
        <v>40451</v>
      </c>
      <c r="P1072" s="78" t="s">
        <v>149</v>
      </c>
      <c r="Q1072" s="77">
        <v>46160</v>
      </c>
      <c r="R1072" s="78" t="s">
        <v>42</v>
      </c>
      <c r="S1072" s="36" t="str">
        <f>VLOOKUP(Tabla91116[[#This Row],[CODIGO DEL PRODUCTO]],Tabla797[],2,FALSE)</f>
        <v>ARENA FINA</v>
      </c>
      <c r="T1072" s="37">
        <v>20.86</v>
      </c>
    </row>
    <row r="1073" spans="8:20" x14ac:dyDescent="0.25">
      <c r="H1073" s="34"/>
      <c r="I1073" s="34"/>
      <c r="J1073" s="35"/>
      <c r="K1073" s="36"/>
      <c r="L1073" s="39" t="e">
        <f>VLOOKUP(Tabla81015[[#This Row],[CODIGO DEL PRODUCTO]],Tabla797[],2,FALSE)</f>
        <v>#N/A</v>
      </c>
      <c r="M1073" s="37"/>
      <c r="N1073" s="158"/>
      <c r="O1073" s="76">
        <v>109362</v>
      </c>
      <c r="P1073" s="78" t="s">
        <v>684</v>
      </c>
      <c r="Q1073" s="77">
        <v>46160</v>
      </c>
      <c r="R1073" s="78" t="s">
        <v>43</v>
      </c>
      <c r="S1073" s="36" t="str">
        <f>VLOOKUP(Tabla91116[[#This Row],[CODIGO DEL PRODUCTO]],Tabla797[],2,FALSE)</f>
        <v>PIEDRA 6-20</v>
      </c>
      <c r="T1073" s="37">
        <v>35.340000000000003</v>
      </c>
    </row>
    <row r="1074" spans="8:20" x14ac:dyDescent="0.25">
      <c r="H1074" s="34"/>
      <c r="I1074" s="34"/>
      <c r="J1074" s="35"/>
      <c r="K1074" s="36"/>
      <c r="L1074" s="39" t="e">
        <f>VLOOKUP(Tabla81015[[#This Row],[CODIGO DEL PRODUCTO]],Tabla797[],2,FALSE)</f>
        <v>#N/A</v>
      </c>
      <c r="M1074" s="37"/>
      <c r="N1074" s="158"/>
      <c r="O1074" s="76">
        <v>109365</v>
      </c>
      <c r="P1074" s="78" t="s">
        <v>684</v>
      </c>
      <c r="Q1074" s="77">
        <v>46160</v>
      </c>
      <c r="R1074" s="78" t="s">
        <v>40</v>
      </c>
      <c r="S1074" s="36" t="str">
        <f>VLOOKUP(Tabla91116[[#This Row],[CODIGO DEL PRODUCTO]],Tabla797[],2,FALSE)</f>
        <v>PIEDRA 0-6</v>
      </c>
      <c r="T1074" s="37">
        <v>34.520000000000003</v>
      </c>
    </row>
    <row r="1075" spans="8:20" x14ac:dyDescent="0.25">
      <c r="H1075" s="34"/>
      <c r="I1075" s="34"/>
      <c r="J1075" s="35"/>
      <c r="K1075" s="36"/>
      <c r="L1075" s="39" t="e">
        <f>VLOOKUP(Tabla81015[[#This Row],[CODIGO DEL PRODUCTO]],Tabla797[],2,FALSE)</f>
        <v>#N/A</v>
      </c>
      <c r="M1075" s="37"/>
      <c r="N1075" s="158"/>
      <c r="O1075" s="76">
        <v>109370</v>
      </c>
      <c r="P1075" s="78" t="s">
        <v>684</v>
      </c>
      <c r="Q1075" s="77">
        <v>46160</v>
      </c>
      <c r="R1075" s="78" t="s">
        <v>48</v>
      </c>
      <c r="S1075" s="36" t="str">
        <f>VLOOKUP(Tabla91116[[#This Row],[CODIGO DEL PRODUCTO]],Tabla797[],2,FALSE)</f>
        <v>PIEDRA 6-12</v>
      </c>
      <c r="T1075" s="37">
        <v>34.5</v>
      </c>
    </row>
    <row r="1076" spans="8:20" x14ac:dyDescent="0.25">
      <c r="H1076" s="34"/>
      <c r="I1076" s="34"/>
      <c r="J1076" s="35"/>
      <c r="K1076" s="36"/>
      <c r="L1076" s="39" t="e">
        <f>VLOOKUP(Tabla81015[[#This Row],[CODIGO DEL PRODUCTO]],Tabla797[],2,FALSE)</f>
        <v>#N/A</v>
      </c>
      <c r="M1076" s="37"/>
      <c r="N1076" s="158"/>
      <c r="O1076" s="76">
        <v>109372</v>
      </c>
      <c r="P1076" s="78" t="s">
        <v>684</v>
      </c>
      <c r="Q1076" s="77">
        <v>46160</v>
      </c>
      <c r="R1076" s="78" t="s">
        <v>48</v>
      </c>
      <c r="S1076" s="36" t="str">
        <f>VLOOKUP(Tabla91116[[#This Row],[CODIGO DEL PRODUCTO]],Tabla797[],2,FALSE)</f>
        <v>PIEDRA 6-12</v>
      </c>
      <c r="T1076" s="37">
        <v>34.76</v>
      </c>
    </row>
    <row r="1077" spans="8:20" x14ac:dyDescent="0.25">
      <c r="H1077" s="34"/>
      <c r="I1077" s="34"/>
      <c r="J1077" s="35"/>
      <c r="K1077" s="36"/>
      <c r="L1077" s="39" t="e">
        <f>VLOOKUP(Tabla81015[[#This Row],[CODIGO DEL PRODUCTO]],Tabla797[],2,FALSE)</f>
        <v>#N/A</v>
      </c>
      <c r="M1077" s="37"/>
      <c r="N1077" s="158"/>
      <c r="O1077" s="76">
        <v>109373</v>
      </c>
      <c r="P1077" s="78" t="s">
        <v>684</v>
      </c>
      <c r="Q1077" s="77">
        <v>46160</v>
      </c>
      <c r="R1077" s="78" t="s">
        <v>48</v>
      </c>
      <c r="S1077" s="36" t="str">
        <f>VLOOKUP(Tabla91116[[#This Row],[CODIGO DEL PRODUCTO]],Tabla797[],2,FALSE)</f>
        <v>PIEDRA 6-12</v>
      </c>
      <c r="T1077" s="37">
        <v>34.72</v>
      </c>
    </row>
    <row r="1078" spans="8:20" x14ac:dyDescent="0.25">
      <c r="H1078" s="34"/>
      <c r="I1078" s="34"/>
      <c r="J1078" s="35"/>
      <c r="K1078" s="36"/>
      <c r="L1078" s="39" t="e">
        <f>VLOOKUP(Tabla81015[[#This Row],[CODIGO DEL PRODUCTO]],Tabla797[],2,FALSE)</f>
        <v>#N/A</v>
      </c>
      <c r="M1078" s="37"/>
      <c r="N1078" s="158"/>
      <c r="O1078" s="76">
        <v>157954</v>
      </c>
      <c r="P1078" s="78" t="s">
        <v>679</v>
      </c>
      <c r="Q1078" s="77">
        <v>46160</v>
      </c>
      <c r="R1078" s="78" t="s">
        <v>43</v>
      </c>
      <c r="S1078" s="36" t="str">
        <f>VLOOKUP(Tabla91116[[#This Row],[CODIGO DEL PRODUCTO]],Tabla797[],2,FALSE)</f>
        <v>PIEDRA 6-20</v>
      </c>
      <c r="T1078" s="37">
        <v>34.840000000000003</v>
      </c>
    </row>
    <row r="1079" spans="8:20" x14ac:dyDescent="0.25">
      <c r="H1079" s="34"/>
      <c r="I1079" s="34"/>
      <c r="J1079" s="35"/>
      <c r="K1079" s="36"/>
      <c r="L1079" s="39" t="e">
        <f>VLOOKUP(Tabla81015[[#This Row],[CODIGO DEL PRODUCTO]],Tabla797[],2,FALSE)</f>
        <v>#N/A</v>
      </c>
      <c r="M1079" s="37"/>
      <c r="N1079" s="158"/>
      <c r="O1079" s="76">
        <v>157986</v>
      </c>
      <c r="P1079" s="78" t="s">
        <v>679</v>
      </c>
      <c r="Q1079" s="77">
        <v>46160</v>
      </c>
      <c r="R1079" s="78" t="s">
        <v>43</v>
      </c>
      <c r="S1079" s="36" t="str">
        <f>VLOOKUP(Tabla91116[[#This Row],[CODIGO DEL PRODUCTO]],Tabla797[],2,FALSE)</f>
        <v>PIEDRA 6-20</v>
      </c>
      <c r="T1079" s="37">
        <v>35.4</v>
      </c>
    </row>
    <row r="1080" spans="8:20" x14ac:dyDescent="0.25">
      <c r="H1080" s="34"/>
      <c r="I1080" s="34"/>
      <c r="J1080" s="35"/>
      <c r="K1080" s="36"/>
      <c r="L1080" s="39" t="e">
        <f>VLOOKUP(Tabla81015[[#This Row],[CODIGO DEL PRODUCTO]],Tabla797[],2,FALSE)</f>
        <v>#N/A</v>
      </c>
      <c r="M1080" s="37"/>
      <c r="N1080" s="158"/>
      <c r="O1080" s="76">
        <v>157996</v>
      </c>
      <c r="P1080" s="78" t="s">
        <v>679</v>
      </c>
      <c r="Q1080" s="77">
        <v>46160</v>
      </c>
      <c r="R1080" s="78" t="s">
        <v>43</v>
      </c>
      <c r="S1080" s="36" t="str">
        <f>VLOOKUP(Tabla91116[[#This Row],[CODIGO DEL PRODUCTO]],Tabla797[],2,FALSE)</f>
        <v>PIEDRA 6-20</v>
      </c>
      <c r="T1080" s="37">
        <v>36.32</v>
      </c>
    </row>
    <row r="1081" spans="8:20" x14ac:dyDescent="0.25">
      <c r="H1081" s="34"/>
      <c r="I1081" s="34"/>
      <c r="J1081" s="35"/>
      <c r="K1081" s="36"/>
      <c r="L1081" s="39" t="e">
        <f>VLOOKUP(Tabla81015[[#This Row],[CODIGO DEL PRODUCTO]],Tabla797[],2,FALSE)</f>
        <v>#N/A</v>
      </c>
      <c r="M1081" s="37"/>
      <c r="N1081" s="158"/>
      <c r="O1081" s="76">
        <v>158005</v>
      </c>
      <c r="P1081" s="78" t="s">
        <v>679</v>
      </c>
      <c r="Q1081" s="77">
        <v>46160</v>
      </c>
      <c r="R1081" s="78" t="s">
        <v>43</v>
      </c>
      <c r="S1081" s="36" t="str">
        <f>VLOOKUP(Tabla91116[[#This Row],[CODIGO DEL PRODUCTO]],Tabla797[],2,FALSE)</f>
        <v>PIEDRA 6-20</v>
      </c>
      <c r="T1081" s="37">
        <v>36.159999999999997</v>
      </c>
    </row>
    <row r="1082" spans="8:20" x14ac:dyDescent="0.25">
      <c r="H1082" s="34"/>
      <c r="I1082" s="34"/>
      <c r="J1082" s="35"/>
      <c r="K1082" s="36"/>
      <c r="L1082" s="39" t="e">
        <f>VLOOKUP(Tabla81015[[#This Row],[CODIGO DEL PRODUCTO]],Tabla797[],2,FALSE)</f>
        <v>#N/A</v>
      </c>
      <c r="M1082" s="37"/>
      <c r="N1082" s="158"/>
      <c r="O1082" s="76">
        <v>2708302</v>
      </c>
      <c r="P1082" s="78" t="s">
        <v>679</v>
      </c>
      <c r="Q1082" s="77">
        <v>46160</v>
      </c>
      <c r="R1082" s="78" t="s">
        <v>286</v>
      </c>
      <c r="S1082" s="36" t="str">
        <f>VLOOKUP(Tabla91116[[#This Row],[CODIGO DEL PRODUCTO]],Tabla797[],2,FALSE)</f>
        <v>CPF 40 AVELLANEDA</v>
      </c>
      <c r="T1082" s="37">
        <v>36.86</v>
      </c>
    </row>
    <row r="1083" spans="8:20" x14ac:dyDescent="0.25">
      <c r="H1083" s="34"/>
      <c r="I1083" s="34"/>
      <c r="J1083" s="35"/>
      <c r="K1083" s="36"/>
      <c r="L1083" s="39"/>
      <c r="M1083" s="37"/>
      <c r="N1083" s="158"/>
      <c r="O1083" s="76">
        <v>2708638</v>
      </c>
      <c r="P1083" s="78" t="s">
        <v>679</v>
      </c>
      <c r="Q1083" s="77">
        <v>46160</v>
      </c>
      <c r="R1083" s="78" t="s">
        <v>286</v>
      </c>
      <c r="S1083" s="36" t="str">
        <f>VLOOKUP(Tabla91116[[#This Row],[CODIGO DEL PRODUCTO]],Tabla797[],2,FALSE)</f>
        <v>CPF 40 AVELLANEDA</v>
      </c>
      <c r="T1083" s="37">
        <v>35.450000000000003</v>
      </c>
    </row>
    <row r="1084" spans="8:20" x14ac:dyDescent="0.25">
      <c r="O1084" s="76">
        <v>2708843</v>
      </c>
      <c r="P1084" s="78" t="s">
        <v>679</v>
      </c>
      <c r="Q1084" s="77">
        <v>46160</v>
      </c>
      <c r="R1084" s="78" t="s">
        <v>286</v>
      </c>
      <c r="S1084" s="36" t="str">
        <f>VLOOKUP(Tabla91116[[#This Row],[CODIGO DEL PRODUCTO]],Tabla797[],2,FALSE)</f>
        <v>CPF 40 AVELLANEDA</v>
      </c>
      <c r="T1084" s="37">
        <v>33.200000000000003</v>
      </c>
    </row>
    <row r="1085" spans="8:20" x14ac:dyDescent="0.25">
      <c r="O1085" s="76">
        <v>45714</v>
      </c>
      <c r="P1085" s="78" t="s">
        <v>449</v>
      </c>
      <c r="Q1085" s="77">
        <v>46161</v>
      </c>
      <c r="R1085" s="78" t="s">
        <v>425</v>
      </c>
      <c r="S1085" s="36" t="str">
        <f>VLOOKUP(Tabla91116[[#This Row],[CODIGO DEL PRODUCTO]],Tabla797[],2,FALSE)</f>
        <v>W351R</v>
      </c>
      <c r="T1085" s="37">
        <v>2</v>
      </c>
    </row>
    <row r="1086" spans="8:20" x14ac:dyDescent="0.25">
      <c r="O1086" s="76">
        <v>45715</v>
      </c>
      <c r="P1086" s="78" t="s">
        <v>449</v>
      </c>
      <c r="Q1086" s="77">
        <v>46161</v>
      </c>
      <c r="R1086" s="78" t="s">
        <v>425</v>
      </c>
      <c r="S1086" s="36" t="str">
        <f>VLOOKUP(Tabla91116[[#This Row],[CODIGO DEL PRODUCTO]],Tabla797[],2,FALSE)</f>
        <v>W351R</v>
      </c>
      <c r="T1086" s="37">
        <v>2</v>
      </c>
    </row>
    <row r="1087" spans="8:20" x14ac:dyDescent="0.25">
      <c r="O1087" s="76">
        <v>45716</v>
      </c>
      <c r="P1087" s="78" t="s">
        <v>449</v>
      </c>
      <c r="Q1087" s="77">
        <v>46161</v>
      </c>
      <c r="R1087" s="78" t="s">
        <v>425</v>
      </c>
      <c r="S1087" s="36" t="str">
        <f>VLOOKUP(Tabla91116[[#This Row],[CODIGO DEL PRODUCTO]],Tabla797[],2,FALSE)</f>
        <v>W351R</v>
      </c>
      <c r="T1087" s="37">
        <v>1</v>
      </c>
    </row>
    <row r="1088" spans="8:20" x14ac:dyDescent="0.25">
      <c r="O1088" s="76">
        <v>104344</v>
      </c>
      <c r="P1088" s="78" t="s">
        <v>683</v>
      </c>
      <c r="Q1088" s="77">
        <v>46161</v>
      </c>
      <c r="R1088" s="78" t="s">
        <v>42</v>
      </c>
      <c r="S1088" s="36" t="str">
        <f>VLOOKUP(Tabla91116[[#This Row],[CODIGO DEL PRODUCTO]],Tabla797[],2,FALSE)</f>
        <v>ARENA FINA</v>
      </c>
      <c r="T1088" s="37">
        <v>33.5</v>
      </c>
    </row>
    <row r="1089" spans="15:21" x14ac:dyDescent="0.25">
      <c r="O1089" s="76">
        <v>104350</v>
      </c>
      <c r="P1089" s="78" t="s">
        <v>683</v>
      </c>
      <c r="Q1089" s="77">
        <v>46161</v>
      </c>
      <c r="R1089" s="78" t="s">
        <v>42</v>
      </c>
      <c r="S1089" s="36" t="str">
        <f>VLOOKUP(Tabla91116[[#This Row],[CODIGO DEL PRODUCTO]],Tabla797[],2,FALSE)</f>
        <v>ARENA FINA</v>
      </c>
      <c r="T1089" s="37">
        <v>34.78</v>
      </c>
    </row>
    <row r="1090" spans="15:21" x14ac:dyDescent="0.25">
      <c r="O1090" s="76">
        <v>40462</v>
      </c>
      <c r="P1090" s="78" t="s">
        <v>149</v>
      </c>
      <c r="Q1090" s="77">
        <v>46161</v>
      </c>
      <c r="R1090" s="78" t="s">
        <v>42</v>
      </c>
      <c r="S1090" s="36" t="str">
        <f>VLOOKUP(Tabla91116[[#This Row],[CODIGO DEL PRODUCTO]],Tabla797[],2,FALSE)</f>
        <v>ARENA FINA</v>
      </c>
      <c r="T1090" s="37">
        <v>22.36</v>
      </c>
    </row>
    <row r="1091" spans="15:21" x14ac:dyDescent="0.25">
      <c r="O1091" s="76">
        <v>40468</v>
      </c>
      <c r="P1091" s="78" t="s">
        <v>149</v>
      </c>
      <c r="Q1091" s="77">
        <v>46161</v>
      </c>
      <c r="R1091" s="78" t="s">
        <v>42</v>
      </c>
      <c r="S1091" s="36" t="str">
        <f>VLOOKUP(Tabla91116[[#This Row],[CODIGO DEL PRODUCTO]],Tabla797[],2,FALSE)</f>
        <v>ARENA FINA</v>
      </c>
      <c r="T1091" s="37">
        <v>36.979999999999997</v>
      </c>
    </row>
    <row r="1092" spans="15:21" x14ac:dyDescent="0.25">
      <c r="O1092" s="76">
        <v>109375</v>
      </c>
      <c r="P1092" s="78" t="s">
        <v>684</v>
      </c>
      <c r="Q1092" s="77">
        <v>46161</v>
      </c>
      <c r="R1092" s="78" t="s">
        <v>43</v>
      </c>
      <c r="S1092" s="36" t="str">
        <f>VLOOKUP(Tabla91116[[#This Row],[CODIGO DEL PRODUCTO]],Tabla797[],2,FALSE)</f>
        <v>PIEDRA 6-20</v>
      </c>
      <c r="T1092" s="37">
        <v>34.9</v>
      </c>
    </row>
    <row r="1093" spans="15:21" x14ac:dyDescent="0.25">
      <c r="O1093" s="76">
        <v>109378</v>
      </c>
      <c r="P1093" s="78" t="s">
        <v>684</v>
      </c>
      <c r="Q1093" s="77">
        <v>46161</v>
      </c>
      <c r="R1093" s="78" t="s">
        <v>40</v>
      </c>
      <c r="S1093" s="36" t="str">
        <f>VLOOKUP(Tabla91116[[#This Row],[CODIGO DEL PRODUCTO]],Tabla797[],2,FALSE)</f>
        <v>PIEDRA 0-6</v>
      </c>
      <c r="T1093" s="37">
        <v>34.18</v>
      </c>
    </row>
    <row r="1094" spans="15:21" x14ac:dyDescent="0.25">
      <c r="O1094" s="76">
        <v>109379</v>
      </c>
      <c r="P1094" s="78" t="s">
        <v>684</v>
      </c>
      <c r="Q1094" s="77">
        <v>46161</v>
      </c>
      <c r="R1094" s="78" t="s">
        <v>48</v>
      </c>
      <c r="S1094" s="36" t="str">
        <f>VLOOKUP(Tabla91116[[#This Row],[CODIGO DEL PRODUCTO]],Tabla797[],2,FALSE)</f>
        <v>PIEDRA 6-12</v>
      </c>
      <c r="T1094" s="37">
        <v>34.78</v>
      </c>
    </row>
    <row r="1095" spans="15:21" x14ac:dyDescent="0.25">
      <c r="O1095" s="76">
        <v>109380</v>
      </c>
      <c r="P1095" s="78" t="s">
        <v>684</v>
      </c>
      <c r="Q1095" s="77">
        <v>46161</v>
      </c>
      <c r="R1095" s="78" t="s">
        <v>48</v>
      </c>
      <c r="S1095" s="36" t="str">
        <f>VLOOKUP(Tabla91116[[#This Row],[CODIGO DEL PRODUCTO]],Tabla797[],2,FALSE)</f>
        <v>PIEDRA 6-12</v>
      </c>
      <c r="T1095" s="37">
        <v>35</v>
      </c>
    </row>
    <row r="1096" spans="15:21" x14ac:dyDescent="0.25">
      <c r="O1096" s="76">
        <v>109391</v>
      </c>
      <c r="P1096" s="78" t="s">
        <v>684</v>
      </c>
      <c r="Q1096" s="77">
        <v>46161</v>
      </c>
      <c r="R1096" s="78" t="s">
        <v>48</v>
      </c>
      <c r="S1096" s="36" t="str">
        <f>VLOOKUP(Tabla91116[[#This Row],[CODIGO DEL PRODUCTO]],Tabla797[],2,FALSE)</f>
        <v>PIEDRA 6-12</v>
      </c>
      <c r="T1096" s="37">
        <v>34.380000000000003</v>
      </c>
    </row>
    <row r="1097" spans="15:21" x14ac:dyDescent="0.25">
      <c r="O1097" s="76">
        <v>158012</v>
      </c>
      <c r="P1097" s="78" t="s">
        <v>679</v>
      </c>
      <c r="Q1097" s="77">
        <v>46161</v>
      </c>
      <c r="R1097" s="78" t="s">
        <v>43</v>
      </c>
      <c r="S1097" s="36" t="str">
        <f>VLOOKUP(Tabla91116[[#This Row],[CODIGO DEL PRODUCTO]],Tabla797[],2,FALSE)</f>
        <v>PIEDRA 6-20</v>
      </c>
      <c r="T1097" s="37">
        <v>34.46</v>
      </c>
      <c r="U1097" s="7"/>
    </row>
    <row r="1098" spans="15:21" x14ac:dyDescent="0.25">
      <c r="O1098" s="76">
        <v>158042</v>
      </c>
      <c r="P1098" s="78" t="s">
        <v>679</v>
      </c>
      <c r="Q1098" s="77">
        <v>46161</v>
      </c>
      <c r="R1098" s="78" t="s">
        <v>43</v>
      </c>
      <c r="S1098" s="36" t="str">
        <f>VLOOKUP(Tabla91116[[#This Row],[CODIGO DEL PRODUCTO]],Tabla797[],2,FALSE)</f>
        <v>PIEDRA 6-20</v>
      </c>
      <c r="T1098" s="37">
        <v>36.18</v>
      </c>
    </row>
    <row r="1099" spans="15:21" x14ac:dyDescent="0.25">
      <c r="O1099" s="76">
        <v>158055</v>
      </c>
      <c r="P1099" s="78" t="s">
        <v>679</v>
      </c>
      <c r="Q1099" s="77">
        <v>46161</v>
      </c>
      <c r="R1099" s="78" t="s">
        <v>43</v>
      </c>
      <c r="S1099" s="36" t="str">
        <f>VLOOKUP(Tabla91116[[#This Row],[CODIGO DEL PRODUCTO]],Tabla797[],2,FALSE)</f>
        <v>PIEDRA 6-20</v>
      </c>
      <c r="T1099" s="37">
        <v>35.06</v>
      </c>
    </row>
    <row r="1100" spans="15:21" x14ac:dyDescent="0.25">
      <c r="O1100" s="76">
        <v>158066</v>
      </c>
      <c r="P1100" s="78" t="s">
        <v>679</v>
      </c>
      <c r="Q1100" s="77">
        <v>46161</v>
      </c>
      <c r="R1100" s="78" t="s">
        <v>43</v>
      </c>
      <c r="S1100" s="36" t="str">
        <f>VLOOKUP(Tabla91116[[#This Row],[CODIGO DEL PRODUCTO]],Tabla797[],2,FALSE)</f>
        <v>PIEDRA 6-20</v>
      </c>
      <c r="T1100" s="37">
        <v>36.520000000000003</v>
      </c>
    </row>
    <row r="1101" spans="15:21" x14ac:dyDescent="0.25">
      <c r="O1101" s="76">
        <v>2708861</v>
      </c>
      <c r="P1101" s="78" t="s">
        <v>679</v>
      </c>
      <c r="Q1101" s="77">
        <v>46161</v>
      </c>
      <c r="R1101" s="78" t="s">
        <v>286</v>
      </c>
      <c r="S1101" s="36" t="str">
        <f>VLOOKUP(Tabla91116[[#This Row],[CODIGO DEL PRODUCTO]],Tabla797[],2,FALSE)</f>
        <v>CPF 40 AVELLANEDA</v>
      </c>
      <c r="T1101" s="37">
        <v>36.82</v>
      </c>
    </row>
    <row r="1102" spans="15:21" x14ac:dyDescent="0.25">
      <c r="O1102" s="76">
        <v>2708904</v>
      </c>
      <c r="P1102" s="78" t="s">
        <v>679</v>
      </c>
      <c r="Q1102" s="77">
        <v>46161</v>
      </c>
      <c r="R1102" s="78" t="s">
        <v>286</v>
      </c>
      <c r="S1102" s="36" t="str">
        <f>VLOOKUP(Tabla91116[[#This Row],[CODIGO DEL PRODUCTO]],Tabla797[],2,FALSE)</f>
        <v>CPF 40 AVELLANEDA</v>
      </c>
      <c r="T1102" s="37">
        <v>35.46</v>
      </c>
    </row>
    <row r="1103" spans="15:21" x14ac:dyDescent="0.25">
      <c r="O1103" s="76">
        <v>104359</v>
      </c>
      <c r="P1103" s="78" t="s">
        <v>683</v>
      </c>
      <c r="Q1103" s="77">
        <v>46162</v>
      </c>
      <c r="R1103" s="78" t="s">
        <v>42</v>
      </c>
      <c r="S1103" s="36" t="str">
        <f>VLOOKUP(Tabla91116[[#This Row],[CODIGO DEL PRODUCTO]],Tabla797[],2,FALSE)</f>
        <v>ARENA FINA</v>
      </c>
      <c r="T1103" s="37">
        <v>35</v>
      </c>
    </row>
    <row r="1104" spans="15:21" x14ac:dyDescent="0.25">
      <c r="O1104" s="76">
        <v>104366</v>
      </c>
      <c r="P1104" s="78" t="s">
        <v>683</v>
      </c>
      <c r="Q1104" s="77">
        <v>46162</v>
      </c>
      <c r="R1104" s="78" t="s">
        <v>42</v>
      </c>
      <c r="S1104" s="36" t="str">
        <f>VLOOKUP(Tabla91116[[#This Row],[CODIGO DEL PRODUCTO]],Tabla797[],2,FALSE)</f>
        <v>ARENA FINA</v>
      </c>
      <c r="T1104" s="37">
        <v>35.74</v>
      </c>
    </row>
    <row r="1105" spans="15:20" x14ac:dyDescent="0.25">
      <c r="O1105" s="76">
        <v>40473</v>
      </c>
      <c r="P1105" s="78" t="s">
        <v>149</v>
      </c>
      <c r="Q1105" s="77">
        <v>46162</v>
      </c>
      <c r="R1105" s="78" t="s">
        <v>42</v>
      </c>
      <c r="S1105" s="36" t="str">
        <f>VLOOKUP(Tabla91116[[#This Row],[CODIGO DEL PRODUCTO]],Tabla797[],2,FALSE)</f>
        <v>ARENA FINA</v>
      </c>
      <c r="T1105" s="37">
        <v>36.159999999999997</v>
      </c>
    </row>
    <row r="1106" spans="15:20" x14ac:dyDescent="0.25">
      <c r="O1106" s="76">
        <v>40478</v>
      </c>
      <c r="P1106" s="78" t="s">
        <v>149</v>
      </c>
      <c r="Q1106" s="77">
        <v>46162</v>
      </c>
      <c r="R1106" s="78" t="s">
        <v>42</v>
      </c>
      <c r="S1106" s="36" t="str">
        <f>VLOOKUP(Tabla91116[[#This Row],[CODIGO DEL PRODUCTO]],Tabla797[],2,FALSE)</f>
        <v>ARENA FINA</v>
      </c>
      <c r="T1106" s="37">
        <v>17.98</v>
      </c>
    </row>
    <row r="1107" spans="15:20" x14ac:dyDescent="0.25">
      <c r="O1107" s="76">
        <v>40486</v>
      </c>
      <c r="P1107" s="78" t="s">
        <v>149</v>
      </c>
      <c r="Q1107" s="77">
        <v>46162</v>
      </c>
      <c r="R1107" s="78" t="s">
        <v>42</v>
      </c>
      <c r="S1107" s="36" t="str">
        <f>VLOOKUP(Tabla91116[[#This Row],[CODIGO DEL PRODUCTO]],Tabla797[],2,FALSE)</f>
        <v>ARENA FINA</v>
      </c>
      <c r="T1107" s="37">
        <v>35.299999999999997</v>
      </c>
    </row>
    <row r="1108" spans="15:20" x14ac:dyDescent="0.25">
      <c r="O1108" s="76">
        <v>40488</v>
      </c>
      <c r="P1108" s="78" t="s">
        <v>149</v>
      </c>
      <c r="Q1108" s="77">
        <v>46162</v>
      </c>
      <c r="R1108" s="78" t="s">
        <v>42</v>
      </c>
      <c r="S1108" s="36" t="str">
        <f>VLOOKUP(Tabla91116[[#This Row],[CODIGO DEL PRODUCTO]],Tabla797[],2,FALSE)</f>
        <v>ARENA FINA</v>
      </c>
      <c r="T1108" s="37">
        <v>24.18</v>
      </c>
    </row>
    <row r="1109" spans="15:20" x14ac:dyDescent="0.25">
      <c r="O1109" s="76">
        <v>109392</v>
      </c>
      <c r="P1109" s="78" t="s">
        <v>684</v>
      </c>
      <c r="Q1109" s="77">
        <v>46162</v>
      </c>
      <c r="R1109" s="78" t="s">
        <v>43</v>
      </c>
      <c r="S1109" s="36" t="str">
        <f>VLOOKUP(Tabla91116[[#This Row],[CODIGO DEL PRODUCTO]],Tabla797[],2,FALSE)</f>
        <v>PIEDRA 6-20</v>
      </c>
      <c r="T1109" s="37">
        <v>35.340000000000003</v>
      </c>
    </row>
    <row r="1110" spans="15:20" x14ac:dyDescent="0.25">
      <c r="O1110" s="76">
        <v>109397</v>
      </c>
      <c r="P1110" s="78" t="s">
        <v>684</v>
      </c>
      <c r="Q1110" s="77">
        <v>46162</v>
      </c>
      <c r="R1110" s="78" t="s">
        <v>40</v>
      </c>
      <c r="S1110" s="36" t="str">
        <f>VLOOKUP(Tabla91116[[#This Row],[CODIGO DEL PRODUCTO]],Tabla797[],2,FALSE)</f>
        <v>PIEDRA 0-6</v>
      </c>
      <c r="T1110" s="37">
        <v>34.380000000000003</v>
      </c>
    </row>
    <row r="1111" spans="15:20" x14ac:dyDescent="0.25">
      <c r="O1111" s="76">
        <v>109398</v>
      </c>
      <c r="P1111" s="78" t="s">
        <v>684</v>
      </c>
      <c r="Q1111" s="77">
        <v>46162</v>
      </c>
      <c r="R1111" s="78" t="s">
        <v>48</v>
      </c>
      <c r="S1111" s="36" t="str">
        <f>VLOOKUP(Tabla91116[[#This Row],[CODIGO DEL PRODUCTO]],Tabla797[],2,FALSE)</f>
        <v>PIEDRA 6-12</v>
      </c>
      <c r="T1111" s="37">
        <v>34.520000000000003</v>
      </c>
    </row>
    <row r="1112" spans="15:20" x14ac:dyDescent="0.25">
      <c r="O1112" s="76">
        <v>109402</v>
      </c>
      <c r="P1112" s="78" t="s">
        <v>684</v>
      </c>
      <c r="Q1112" s="77">
        <v>46162</v>
      </c>
      <c r="R1112" s="78" t="s">
        <v>43</v>
      </c>
      <c r="S1112" s="36" t="str">
        <f>VLOOKUP(Tabla91116[[#This Row],[CODIGO DEL PRODUCTO]],Tabla797[],2,FALSE)</f>
        <v>PIEDRA 6-20</v>
      </c>
      <c r="T1112" s="37">
        <v>34.799999999999997</v>
      </c>
    </row>
    <row r="1113" spans="15:20" x14ac:dyDescent="0.25">
      <c r="O1113" s="76">
        <v>109405</v>
      </c>
      <c r="P1113" s="78" t="s">
        <v>684</v>
      </c>
      <c r="Q1113" s="77">
        <v>46162</v>
      </c>
      <c r="R1113" s="78" t="s">
        <v>48</v>
      </c>
      <c r="S1113" s="36" t="str">
        <f>VLOOKUP(Tabla91116[[#This Row],[CODIGO DEL PRODUCTO]],Tabla797[],2,FALSE)</f>
        <v>PIEDRA 6-12</v>
      </c>
      <c r="T1113" s="37">
        <v>34.4</v>
      </c>
    </row>
    <row r="1114" spans="15:20" x14ac:dyDescent="0.25">
      <c r="O1114" s="76">
        <v>109406</v>
      </c>
      <c r="P1114" s="78" t="s">
        <v>684</v>
      </c>
      <c r="Q1114" s="77">
        <v>46162</v>
      </c>
      <c r="R1114" s="78" t="s">
        <v>48</v>
      </c>
      <c r="S1114" s="36" t="str">
        <f>VLOOKUP(Tabla91116[[#This Row],[CODIGO DEL PRODUCTO]],Tabla797[],2,FALSE)</f>
        <v>PIEDRA 6-12</v>
      </c>
      <c r="T1114" s="37">
        <v>34.86</v>
      </c>
    </row>
    <row r="1115" spans="15:20" x14ac:dyDescent="0.25">
      <c r="O1115" s="76">
        <v>158092</v>
      </c>
      <c r="P1115" s="78" t="s">
        <v>679</v>
      </c>
      <c r="Q1115" s="77">
        <v>46162</v>
      </c>
      <c r="R1115" s="78" t="s">
        <v>43</v>
      </c>
      <c r="S1115" s="36" t="str">
        <f>VLOOKUP(Tabla91116[[#This Row],[CODIGO DEL PRODUCTO]],Tabla797[],2,FALSE)</f>
        <v>PIEDRA 6-20</v>
      </c>
      <c r="T1115" s="37">
        <v>34.479999999999997</v>
      </c>
    </row>
    <row r="1116" spans="15:20" x14ac:dyDescent="0.25">
      <c r="O1116" s="76">
        <v>158103</v>
      </c>
      <c r="P1116" s="78" t="s">
        <v>679</v>
      </c>
      <c r="Q1116" s="77">
        <v>46162</v>
      </c>
      <c r="R1116" s="78" t="s">
        <v>43</v>
      </c>
      <c r="S1116" s="36" t="str">
        <f>VLOOKUP(Tabla91116[[#This Row],[CODIGO DEL PRODUCTO]],Tabla797[],2,FALSE)</f>
        <v>PIEDRA 6-20</v>
      </c>
      <c r="T1116" s="37">
        <v>35.520000000000003</v>
      </c>
    </row>
    <row r="1117" spans="15:20" x14ac:dyDescent="0.25">
      <c r="O1117" s="76">
        <v>158112</v>
      </c>
      <c r="P1117" s="78" t="s">
        <v>679</v>
      </c>
      <c r="Q1117" s="77">
        <v>46162</v>
      </c>
      <c r="R1117" s="78" t="s">
        <v>43</v>
      </c>
      <c r="S1117" s="36" t="str">
        <f>VLOOKUP(Tabla91116[[#This Row],[CODIGO DEL PRODUCTO]],Tabla797[],2,FALSE)</f>
        <v>PIEDRA 6-20</v>
      </c>
      <c r="T1117" s="37">
        <v>35.58</v>
      </c>
    </row>
    <row r="1118" spans="15:20" x14ac:dyDescent="0.25">
      <c r="O1118" s="76">
        <v>158153</v>
      </c>
      <c r="P1118" s="78" t="s">
        <v>679</v>
      </c>
      <c r="Q1118" s="77">
        <v>46162</v>
      </c>
      <c r="R1118" s="78" t="s">
        <v>43</v>
      </c>
      <c r="S1118" s="36" t="str">
        <f>VLOOKUP(Tabla91116[[#This Row],[CODIGO DEL PRODUCTO]],Tabla797[],2,FALSE)</f>
        <v>PIEDRA 6-20</v>
      </c>
      <c r="T1118" s="37">
        <v>35.92</v>
      </c>
    </row>
    <row r="1119" spans="15:20" x14ac:dyDescent="0.25">
      <c r="O1119" s="76">
        <v>158161</v>
      </c>
      <c r="P1119" s="78" t="s">
        <v>679</v>
      </c>
      <c r="Q1119" s="77">
        <v>46162</v>
      </c>
      <c r="R1119" s="78" t="s">
        <v>43</v>
      </c>
      <c r="S1119" s="36" t="str">
        <f>VLOOKUP(Tabla91116[[#This Row],[CODIGO DEL PRODUCTO]],Tabla797[],2,FALSE)</f>
        <v>PIEDRA 6-20</v>
      </c>
      <c r="T1119" s="37">
        <v>34.880000000000003</v>
      </c>
    </row>
    <row r="1120" spans="15:20" x14ac:dyDescent="0.25">
      <c r="O1120" s="76">
        <v>158170</v>
      </c>
      <c r="P1120" s="78" t="s">
        <v>679</v>
      </c>
      <c r="Q1120" s="77">
        <v>46162</v>
      </c>
      <c r="R1120" s="78" t="s">
        <v>43</v>
      </c>
      <c r="S1120" s="36" t="str">
        <f>VLOOKUP(Tabla91116[[#This Row],[CODIGO DEL PRODUCTO]],Tabla797[],2,FALSE)</f>
        <v>PIEDRA 6-20</v>
      </c>
      <c r="T1120" s="37">
        <v>36.380000000000003</v>
      </c>
    </row>
    <row r="1121" spans="15:21" x14ac:dyDescent="0.25">
      <c r="O1121" s="76">
        <v>2709047</v>
      </c>
      <c r="P1121" s="78" t="s">
        <v>679</v>
      </c>
      <c r="Q1121" s="77">
        <v>46162</v>
      </c>
      <c r="R1121" s="78" t="s">
        <v>286</v>
      </c>
      <c r="S1121" s="36" t="str">
        <f>VLOOKUP(Tabla91116[[#This Row],[CODIGO DEL PRODUCTO]],Tabla797[],2,FALSE)</f>
        <v>CPF 40 AVELLANEDA</v>
      </c>
      <c r="T1121" s="37">
        <v>36.6</v>
      </c>
    </row>
    <row r="1122" spans="15:21" x14ac:dyDescent="0.25">
      <c r="O1122" s="76">
        <v>2709093</v>
      </c>
      <c r="P1122" s="78" t="s">
        <v>679</v>
      </c>
      <c r="Q1122" s="77">
        <v>46162</v>
      </c>
      <c r="R1122" s="78" t="s">
        <v>286</v>
      </c>
      <c r="S1122" s="36" t="str">
        <f>VLOOKUP(Tabla91116[[#This Row],[CODIGO DEL PRODUCTO]],Tabla797[],2,FALSE)</f>
        <v>CPF 40 AVELLANEDA</v>
      </c>
      <c r="T1122" s="37">
        <v>35.479999999999997</v>
      </c>
    </row>
    <row r="1123" spans="15:21" x14ac:dyDescent="0.25">
      <c r="O1123" s="76">
        <v>2709295</v>
      </c>
      <c r="P1123" s="78" t="s">
        <v>679</v>
      </c>
      <c r="Q1123" s="77">
        <v>46162</v>
      </c>
      <c r="R1123" s="78" t="s">
        <v>286</v>
      </c>
      <c r="S1123" s="36" t="str">
        <f>VLOOKUP(Tabla91116[[#This Row],[CODIGO DEL PRODUCTO]],Tabla797[],2,FALSE)</f>
        <v>CPF 40 AVELLANEDA</v>
      </c>
      <c r="T1123" s="37">
        <v>34.26</v>
      </c>
    </row>
    <row r="1124" spans="15:21" x14ac:dyDescent="0.25">
      <c r="O1124" s="76">
        <v>104373</v>
      </c>
      <c r="P1124" s="78" t="s">
        <v>683</v>
      </c>
      <c r="Q1124" s="77">
        <v>46163</v>
      </c>
      <c r="R1124" s="78" t="s">
        <v>42</v>
      </c>
      <c r="S1124" s="36" t="str">
        <f>VLOOKUP(Tabla91116[[#This Row],[CODIGO DEL PRODUCTO]],Tabla797[],2,FALSE)</f>
        <v>ARENA FINA</v>
      </c>
      <c r="T1124" s="37">
        <v>34.619999999999997</v>
      </c>
    </row>
    <row r="1125" spans="15:21" x14ac:dyDescent="0.25">
      <c r="O1125" s="76">
        <v>104379</v>
      </c>
      <c r="P1125" s="78" t="s">
        <v>683</v>
      </c>
      <c r="Q1125" s="77">
        <v>46163</v>
      </c>
      <c r="R1125" s="78" t="s">
        <v>42</v>
      </c>
      <c r="S1125" s="36" t="str">
        <f>VLOOKUP(Tabla91116[[#This Row],[CODIGO DEL PRODUCTO]],Tabla797[],2,FALSE)</f>
        <v>ARENA FINA</v>
      </c>
      <c r="T1125" s="37">
        <v>33.520000000000003</v>
      </c>
      <c r="U1125" s="7"/>
    </row>
    <row r="1126" spans="15:21" x14ac:dyDescent="0.25">
      <c r="O1126" s="76">
        <v>40491</v>
      </c>
      <c r="P1126" s="78" t="s">
        <v>149</v>
      </c>
      <c r="Q1126" s="77">
        <v>46163</v>
      </c>
      <c r="R1126" s="78" t="s">
        <v>42</v>
      </c>
      <c r="S1126" s="36" t="str">
        <f>VLOOKUP(Tabla91116[[#This Row],[CODIGO DEL PRODUCTO]],Tabla797[],2,FALSE)</f>
        <v>ARENA FINA</v>
      </c>
      <c r="T1126" s="37">
        <v>21.4</v>
      </c>
    </row>
    <row r="1127" spans="15:21" x14ac:dyDescent="0.25">
      <c r="O1127" s="76">
        <v>40497</v>
      </c>
      <c r="P1127" s="78" t="s">
        <v>149</v>
      </c>
      <c r="Q1127" s="77">
        <v>46163</v>
      </c>
      <c r="R1127" s="78" t="s">
        <v>42</v>
      </c>
      <c r="S1127" s="36" t="str">
        <f>VLOOKUP(Tabla91116[[#This Row],[CODIGO DEL PRODUCTO]],Tabla797[],2,FALSE)</f>
        <v>ARENA FINA</v>
      </c>
      <c r="T1127" s="37">
        <v>34.14</v>
      </c>
    </row>
    <row r="1128" spans="15:21" x14ac:dyDescent="0.25">
      <c r="O1128" s="76">
        <v>40503</v>
      </c>
      <c r="P1128" s="78" t="s">
        <v>149</v>
      </c>
      <c r="Q1128" s="77">
        <v>46163</v>
      </c>
      <c r="R1128" s="78" t="s">
        <v>42</v>
      </c>
      <c r="S1128" s="36" t="str">
        <f>VLOOKUP(Tabla91116[[#This Row],[CODIGO DEL PRODUCTO]],Tabla797[],2,FALSE)</f>
        <v>ARENA FINA</v>
      </c>
      <c r="T1128" s="37">
        <v>21.8</v>
      </c>
    </row>
    <row r="1129" spans="15:21" x14ac:dyDescent="0.25">
      <c r="O1129" s="76">
        <v>40504</v>
      </c>
      <c r="P1129" s="78" t="s">
        <v>149</v>
      </c>
      <c r="Q1129" s="77">
        <v>46163</v>
      </c>
      <c r="R1129" s="78" t="s">
        <v>42</v>
      </c>
      <c r="S1129" s="36" t="str">
        <f>VLOOKUP(Tabla91116[[#This Row],[CODIGO DEL PRODUCTO]],Tabla797[],2,FALSE)</f>
        <v>ARENA FINA</v>
      </c>
      <c r="T1129" s="37">
        <v>22.16</v>
      </c>
    </row>
    <row r="1130" spans="15:21" x14ac:dyDescent="0.25">
      <c r="O1130" s="76">
        <v>40509</v>
      </c>
      <c r="P1130" s="78" t="s">
        <v>149</v>
      </c>
      <c r="Q1130" s="77">
        <v>46163</v>
      </c>
      <c r="R1130" s="78" t="s">
        <v>42</v>
      </c>
      <c r="S1130" s="36" t="str">
        <f>VLOOKUP(Tabla91116[[#This Row],[CODIGO DEL PRODUCTO]],Tabla797[],2,FALSE)</f>
        <v>ARENA FINA</v>
      </c>
      <c r="T1130" s="37">
        <v>35.340000000000003</v>
      </c>
    </row>
    <row r="1131" spans="15:21" x14ac:dyDescent="0.25">
      <c r="O1131" s="76">
        <v>40510</v>
      </c>
      <c r="P1131" s="78" t="s">
        <v>149</v>
      </c>
      <c r="Q1131" s="77">
        <v>46163</v>
      </c>
      <c r="R1131" s="78" t="s">
        <v>42</v>
      </c>
      <c r="S1131" s="36" t="str">
        <f>VLOOKUP(Tabla91116[[#This Row],[CODIGO DEL PRODUCTO]],Tabla797[],2,FALSE)</f>
        <v>ARENA FINA</v>
      </c>
      <c r="T1131" s="37">
        <v>21.22</v>
      </c>
    </row>
    <row r="1132" spans="15:21" x14ac:dyDescent="0.25">
      <c r="O1132" s="76">
        <v>109409</v>
      </c>
      <c r="P1132" s="78" t="s">
        <v>684</v>
      </c>
      <c r="Q1132" s="77">
        <v>46163</v>
      </c>
      <c r="R1132" s="78" t="s">
        <v>43</v>
      </c>
      <c r="S1132" s="36" t="str">
        <f>VLOOKUP(Tabla91116[[#This Row],[CODIGO DEL PRODUCTO]],Tabla797[],2,FALSE)</f>
        <v>PIEDRA 6-20</v>
      </c>
      <c r="T1132" s="37">
        <v>35.380000000000003</v>
      </c>
    </row>
    <row r="1133" spans="15:21" x14ac:dyDescent="0.25">
      <c r="O1133" s="76">
        <v>109413</v>
      </c>
      <c r="P1133" s="78" t="s">
        <v>684</v>
      </c>
      <c r="Q1133" s="77">
        <v>46163</v>
      </c>
      <c r="R1133" s="78" t="s">
        <v>40</v>
      </c>
      <c r="S1133" s="36" t="str">
        <f>VLOOKUP(Tabla91116[[#This Row],[CODIGO DEL PRODUCTO]],Tabla797[],2,FALSE)</f>
        <v>PIEDRA 0-6</v>
      </c>
      <c r="T1133" s="37">
        <v>34.5</v>
      </c>
    </row>
    <row r="1134" spans="15:21" x14ac:dyDescent="0.25">
      <c r="O1134" s="76">
        <v>109414</v>
      </c>
      <c r="P1134" s="78" t="s">
        <v>684</v>
      </c>
      <c r="Q1134" s="77">
        <v>46163</v>
      </c>
      <c r="R1134" s="78" t="s">
        <v>48</v>
      </c>
      <c r="S1134" s="36" t="str">
        <f>VLOOKUP(Tabla91116[[#This Row],[CODIGO DEL PRODUCTO]],Tabla797[],2,FALSE)</f>
        <v>PIEDRA 6-12</v>
      </c>
      <c r="T1134" s="37">
        <v>34.619999999999997</v>
      </c>
    </row>
    <row r="1135" spans="15:21" x14ac:dyDescent="0.25">
      <c r="O1135" s="76">
        <v>109420</v>
      </c>
      <c r="P1135" s="78" t="s">
        <v>684</v>
      </c>
      <c r="Q1135" s="77">
        <v>46163</v>
      </c>
      <c r="R1135" s="78" t="s">
        <v>43</v>
      </c>
      <c r="S1135" s="36" t="str">
        <f>VLOOKUP(Tabla91116[[#This Row],[CODIGO DEL PRODUCTO]],Tabla797[],2,FALSE)</f>
        <v>PIEDRA 6-20</v>
      </c>
      <c r="T1135" s="37">
        <v>34.32</v>
      </c>
    </row>
    <row r="1136" spans="15:21" x14ac:dyDescent="0.25">
      <c r="O1136" s="76">
        <v>109421</v>
      </c>
      <c r="P1136" s="78" t="s">
        <v>684</v>
      </c>
      <c r="Q1136" s="77">
        <v>46163</v>
      </c>
      <c r="R1136" s="78" t="s">
        <v>48</v>
      </c>
      <c r="S1136" s="36" t="str">
        <f>VLOOKUP(Tabla91116[[#This Row],[CODIGO DEL PRODUCTO]],Tabla797[],2,FALSE)</f>
        <v>PIEDRA 6-12</v>
      </c>
      <c r="T1136" s="37">
        <v>34.799999999999997</v>
      </c>
      <c r="U1136" s="7"/>
    </row>
    <row r="1137" spans="15:20" x14ac:dyDescent="0.25">
      <c r="O1137" s="76">
        <v>109422</v>
      </c>
      <c r="P1137" s="78" t="s">
        <v>684</v>
      </c>
      <c r="Q1137" s="77">
        <v>46163</v>
      </c>
      <c r="R1137" s="78" t="s">
        <v>43</v>
      </c>
      <c r="S1137" s="36" t="str">
        <f>VLOOKUP(Tabla91116[[#This Row],[CODIGO DEL PRODUCTO]],Tabla797[],2,FALSE)</f>
        <v>PIEDRA 6-20</v>
      </c>
      <c r="T1137" s="37">
        <v>35.020000000000003</v>
      </c>
    </row>
    <row r="1138" spans="15:20" x14ac:dyDescent="0.25">
      <c r="O1138" s="76">
        <v>109423</v>
      </c>
      <c r="P1138" s="78" t="s">
        <v>684</v>
      </c>
      <c r="Q1138" s="77">
        <v>46163</v>
      </c>
      <c r="R1138" s="78" t="s">
        <v>48</v>
      </c>
      <c r="S1138" s="36" t="str">
        <f>VLOOKUP(Tabla91116[[#This Row],[CODIGO DEL PRODUCTO]],Tabla797[],2,FALSE)</f>
        <v>PIEDRA 6-12</v>
      </c>
      <c r="T1138" s="37">
        <v>34.86</v>
      </c>
    </row>
    <row r="1139" spans="15:20" x14ac:dyDescent="0.25">
      <c r="O1139" s="76">
        <v>158184</v>
      </c>
      <c r="P1139" s="78" t="s">
        <v>679</v>
      </c>
      <c r="Q1139" s="77">
        <v>46163</v>
      </c>
      <c r="R1139" s="78" t="s">
        <v>43</v>
      </c>
      <c r="S1139" s="36" t="str">
        <f>VLOOKUP(Tabla91116[[#This Row],[CODIGO DEL PRODUCTO]],Tabla797[],2,FALSE)</f>
        <v>PIEDRA 6-20</v>
      </c>
      <c r="T1139" s="37">
        <v>35.06</v>
      </c>
    </row>
    <row r="1140" spans="15:20" x14ac:dyDescent="0.25">
      <c r="O1140" s="76">
        <v>158186</v>
      </c>
      <c r="P1140" s="78" t="s">
        <v>679</v>
      </c>
      <c r="Q1140" s="77">
        <v>46163</v>
      </c>
      <c r="R1140" s="78" t="s">
        <v>43</v>
      </c>
      <c r="S1140" s="36" t="str">
        <f>VLOOKUP(Tabla91116[[#This Row],[CODIGO DEL PRODUCTO]],Tabla797[],2,FALSE)</f>
        <v>PIEDRA 6-20</v>
      </c>
      <c r="T1140" s="37">
        <v>36</v>
      </c>
    </row>
    <row r="1141" spans="15:20" x14ac:dyDescent="0.25">
      <c r="O1141" s="76">
        <v>158243</v>
      </c>
      <c r="P1141" s="78" t="s">
        <v>679</v>
      </c>
      <c r="Q1141" s="77">
        <v>46163</v>
      </c>
      <c r="R1141" s="78" t="s">
        <v>43</v>
      </c>
      <c r="S1141" s="36" t="str">
        <f>VLOOKUP(Tabla91116[[#This Row],[CODIGO DEL PRODUCTO]],Tabla797[],2,FALSE)</f>
        <v>PIEDRA 6-20</v>
      </c>
      <c r="T1141" s="37">
        <v>34.86</v>
      </c>
    </row>
    <row r="1142" spans="15:20" x14ac:dyDescent="0.25">
      <c r="O1142" s="76">
        <v>158244</v>
      </c>
      <c r="P1142" s="78" t="s">
        <v>679</v>
      </c>
      <c r="Q1142" s="77">
        <v>46163</v>
      </c>
      <c r="R1142" s="78" t="s">
        <v>43</v>
      </c>
      <c r="S1142" s="36" t="str">
        <f>VLOOKUP(Tabla91116[[#This Row],[CODIGO DEL PRODUCTO]],Tabla797[],2,FALSE)</f>
        <v>PIEDRA 6-20</v>
      </c>
      <c r="T1142" s="37">
        <v>35.32</v>
      </c>
    </row>
    <row r="1143" spans="15:20" x14ac:dyDescent="0.25">
      <c r="O1143" s="76">
        <v>158251</v>
      </c>
      <c r="P1143" s="78" t="s">
        <v>679</v>
      </c>
      <c r="Q1143" s="77">
        <v>46163</v>
      </c>
      <c r="R1143" s="78" t="s">
        <v>43</v>
      </c>
      <c r="S1143" s="36" t="str">
        <f>VLOOKUP(Tabla91116[[#This Row],[CODIGO DEL PRODUCTO]],Tabla797[],2,FALSE)</f>
        <v>PIEDRA 6-20</v>
      </c>
      <c r="T1143" s="37">
        <v>36.159999999999997</v>
      </c>
    </row>
    <row r="1144" spans="15:20" x14ac:dyDescent="0.25">
      <c r="O1144" s="76">
        <v>2709331</v>
      </c>
      <c r="P1144" s="78" t="s">
        <v>679</v>
      </c>
      <c r="Q1144" s="77">
        <v>46163</v>
      </c>
      <c r="R1144" s="78" t="s">
        <v>286</v>
      </c>
      <c r="S1144" s="36" t="str">
        <f>VLOOKUP(Tabla91116[[#This Row],[CODIGO DEL PRODUCTO]],Tabla797[],2,FALSE)</f>
        <v>CPF 40 AVELLANEDA</v>
      </c>
      <c r="T1144" s="37">
        <v>36.9</v>
      </c>
    </row>
    <row r="1145" spans="15:20" x14ac:dyDescent="0.25">
      <c r="O1145" s="76">
        <v>2709499</v>
      </c>
      <c r="P1145" s="78" t="s">
        <v>679</v>
      </c>
      <c r="Q1145" s="77">
        <v>46163</v>
      </c>
      <c r="R1145" s="78" t="s">
        <v>286</v>
      </c>
      <c r="S1145" s="36" t="str">
        <f>VLOOKUP(Tabla91116[[#This Row],[CODIGO DEL PRODUCTO]],Tabla797[],2,FALSE)</f>
        <v>CPF 40 AVELLANEDA</v>
      </c>
      <c r="T1145" s="37">
        <v>35.42</v>
      </c>
    </row>
    <row r="1146" spans="15:20" x14ac:dyDescent="0.25">
      <c r="O1146" s="76">
        <v>104384</v>
      </c>
      <c r="P1146" s="78" t="s">
        <v>683</v>
      </c>
      <c r="Q1146" s="77">
        <v>46164</v>
      </c>
      <c r="R1146" s="78" t="s">
        <v>42</v>
      </c>
      <c r="S1146" s="36" t="str">
        <f>VLOOKUP(Tabla91116[[#This Row],[CODIGO DEL PRODUCTO]],Tabla797[],2,FALSE)</f>
        <v>ARENA FINA</v>
      </c>
      <c r="T1146" s="37">
        <v>34.96</v>
      </c>
    </row>
    <row r="1147" spans="15:20" x14ac:dyDescent="0.25">
      <c r="O1147" s="76">
        <v>104388</v>
      </c>
      <c r="P1147" s="78" t="s">
        <v>683</v>
      </c>
      <c r="Q1147" s="77">
        <v>46164</v>
      </c>
      <c r="R1147" s="78" t="s">
        <v>42</v>
      </c>
      <c r="S1147" s="36" t="str">
        <f>VLOOKUP(Tabla91116[[#This Row],[CODIGO DEL PRODUCTO]],Tabla797[],2,FALSE)</f>
        <v>ARENA FINA</v>
      </c>
      <c r="T1147" s="37">
        <v>35.08</v>
      </c>
    </row>
    <row r="1148" spans="15:20" x14ac:dyDescent="0.25">
      <c r="O1148" s="76">
        <v>40520</v>
      </c>
      <c r="P1148" s="78" t="s">
        <v>149</v>
      </c>
      <c r="Q1148" s="77">
        <v>46164</v>
      </c>
      <c r="R1148" s="78" t="s">
        <v>42</v>
      </c>
      <c r="S1148" s="36" t="str">
        <f>VLOOKUP(Tabla91116[[#This Row],[CODIGO DEL PRODUCTO]],Tabla797[],2,FALSE)</f>
        <v>ARENA FINA</v>
      </c>
      <c r="T1148" s="37">
        <v>35.6</v>
      </c>
    </row>
    <row r="1149" spans="15:20" x14ac:dyDescent="0.25">
      <c r="O1149" s="76">
        <v>40542</v>
      </c>
      <c r="P1149" s="78" t="s">
        <v>149</v>
      </c>
      <c r="Q1149" s="77">
        <v>46164</v>
      </c>
      <c r="R1149" s="78" t="s">
        <v>42</v>
      </c>
      <c r="S1149" s="36" t="str">
        <f>VLOOKUP(Tabla91116[[#This Row],[CODIGO DEL PRODUCTO]],Tabla797[],2,FALSE)</f>
        <v>ARENA FINA</v>
      </c>
      <c r="T1149" s="37">
        <v>37.04</v>
      </c>
    </row>
    <row r="1150" spans="15:20" x14ac:dyDescent="0.25">
      <c r="O1150" s="76">
        <v>109425</v>
      </c>
      <c r="P1150" s="78" t="s">
        <v>684</v>
      </c>
      <c r="Q1150" s="77">
        <v>46164</v>
      </c>
      <c r="R1150" s="78" t="s">
        <v>43</v>
      </c>
      <c r="S1150" s="36" t="str">
        <f>VLOOKUP(Tabla91116[[#This Row],[CODIGO DEL PRODUCTO]],Tabla797[],2,FALSE)</f>
        <v>PIEDRA 6-20</v>
      </c>
      <c r="T1150" s="37">
        <v>34.58</v>
      </c>
    </row>
    <row r="1151" spans="15:20" x14ac:dyDescent="0.25">
      <c r="O1151" s="76">
        <v>109427</v>
      </c>
      <c r="P1151" s="78" t="s">
        <v>684</v>
      </c>
      <c r="Q1151" s="77">
        <v>46164</v>
      </c>
      <c r="R1151" s="78" t="s">
        <v>40</v>
      </c>
      <c r="S1151" s="36" t="str">
        <f>VLOOKUP(Tabla91116[[#This Row],[CODIGO DEL PRODUCTO]],Tabla797[],2,FALSE)</f>
        <v>PIEDRA 0-6</v>
      </c>
      <c r="T1151" s="37">
        <v>34.96</v>
      </c>
    </row>
    <row r="1152" spans="15:20" x14ac:dyDescent="0.25">
      <c r="O1152" s="76">
        <v>109428</v>
      </c>
      <c r="P1152" s="78" t="s">
        <v>684</v>
      </c>
      <c r="Q1152" s="77">
        <v>46164</v>
      </c>
      <c r="R1152" s="78" t="s">
        <v>43</v>
      </c>
      <c r="S1152" s="36" t="str">
        <f>VLOOKUP(Tabla91116[[#This Row],[CODIGO DEL PRODUCTO]],Tabla797[],2,FALSE)</f>
        <v>PIEDRA 6-20</v>
      </c>
      <c r="T1152" s="37">
        <v>34.840000000000003</v>
      </c>
    </row>
    <row r="1153" spans="15:20" x14ac:dyDescent="0.25">
      <c r="O1153" s="76">
        <v>109429</v>
      </c>
      <c r="P1153" s="78" t="s">
        <v>684</v>
      </c>
      <c r="Q1153" s="77">
        <v>46164</v>
      </c>
      <c r="R1153" s="78" t="s">
        <v>48</v>
      </c>
      <c r="S1153" s="36" t="str">
        <f>VLOOKUP(Tabla91116[[#This Row],[CODIGO DEL PRODUCTO]],Tabla797[],2,FALSE)</f>
        <v>PIEDRA 6-12</v>
      </c>
      <c r="T1153" s="37">
        <v>36.04</v>
      </c>
    </row>
    <row r="1154" spans="15:20" x14ac:dyDescent="0.25">
      <c r="O1154" s="76">
        <v>109432</v>
      </c>
      <c r="P1154" s="78" t="s">
        <v>684</v>
      </c>
      <c r="Q1154" s="77">
        <v>46164</v>
      </c>
      <c r="R1154" s="78" t="s">
        <v>40</v>
      </c>
      <c r="S1154" s="36" t="str">
        <f>VLOOKUP(Tabla91116[[#This Row],[CODIGO DEL PRODUCTO]],Tabla797[],2,FALSE)</f>
        <v>PIEDRA 0-6</v>
      </c>
      <c r="T1154" s="37">
        <v>34.82</v>
      </c>
    </row>
    <row r="1155" spans="15:20" x14ac:dyDescent="0.25">
      <c r="O1155" s="76">
        <v>109433</v>
      </c>
      <c r="P1155" s="78" t="s">
        <v>684</v>
      </c>
      <c r="Q1155" s="77">
        <v>46164</v>
      </c>
      <c r="R1155" s="78" t="s">
        <v>43</v>
      </c>
      <c r="S1155" s="36" t="str">
        <f>VLOOKUP(Tabla91116[[#This Row],[CODIGO DEL PRODUCTO]],Tabla797[],2,FALSE)</f>
        <v>PIEDRA 6-20</v>
      </c>
      <c r="T1155" s="37">
        <v>34.94</v>
      </c>
    </row>
    <row r="1156" spans="15:20" x14ac:dyDescent="0.25">
      <c r="O1156" s="76">
        <v>109435</v>
      </c>
      <c r="P1156" s="78" t="s">
        <v>684</v>
      </c>
      <c r="Q1156" s="77">
        <v>46164</v>
      </c>
      <c r="R1156" s="78" t="s">
        <v>48</v>
      </c>
      <c r="S1156" s="36" t="str">
        <f>VLOOKUP(Tabla91116[[#This Row],[CODIGO DEL PRODUCTO]],Tabla797[],2,FALSE)</f>
        <v>PIEDRA 6-12</v>
      </c>
      <c r="T1156" s="37">
        <v>34.94</v>
      </c>
    </row>
    <row r="1157" spans="15:20" x14ac:dyDescent="0.25">
      <c r="O1157" s="76">
        <v>109436</v>
      </c>
      <c r="P1157" s="78" t="s">
        <v>684</v>
      </c>
      <c r="Q1157" s="77">
        <v>46164</v>
      </c>
      <c r="R1157" s="78" t="s">
        <v>43</v>
      </c>
      <c r="S1157" s="36" t="str">
        <f>VLOOKUP(Tabla91116[[#This Row],[CODIGO DEL PRODUCTO]],Tabla797[],2,FALSE)</f>
        <v>PIEDRA 6-20</v>
      </c>
      <c r="T1157" s="37">
        <v>34.44</v>
      </c>
    </row>
    <row r="1158" spans="15:20" x14ac:dyDescent="0.25">
      <c r="O1158" s="76">
        <v>109437</v>
      </c>
      <c r="P1158" s="78" t="s">
        <v>684</v>
      </c>
      <c r="Q1158" s="77">
        <v>46164</v>
      </c>
      <c r="R1158" s="78" t="s">
        <v>48</v>
      </c>
      <c r="S1158" s="36" t="str">
        <f>VLOOKUP(Tabla91116[[#This Row],[CODIGO DEL PRODUCTO]],Tabla797[],2,FALSE)</f>
        <v>PIEDRA 6-12</v>
      </c>
      <c r="T1158" s="37">
        <v>34.36</v>
      </c>
    </row>
    <row r="1159" spans="15:20" x14ac:dyDescent="0.25">
      <c r="O1159" s="76">
        <v>109438</v>
      </c>
      <c r="P1159" s="78" t="s">
        <v>684</v>
      </c>
      <c r="Q1159" s="77">
        <v>46164</v>
      </c>
      <c r="R1159" s="78" t="s">
        <v>40</v>
      </c>
      <c r="S1159" s="36" t="str">
        <f>VLOOKUP(Tabla91116[[#This Row],[CODIGO DEL PRODUCTO]],Tabla797[],2,FALSE)</f>
        <v>PIEDRA 0-6</v>
      </c>
      <c r="T1159" s="37">
        <v>34.1</v>
      </c>
    </row>
    <row r="1160" spans="15:20" x14ac:dyDescent="0.25">
      <c r="O1160" s="76">
        <v>158261</v>
      </c>
      <c r="P1160" s="78" t="s">
        <v>679</v>
      </c>
      <c r="Q1160" s="77">
        <v>46164</v>
      </c>
      <c r="R1160" s="78" t="s">
        <v>43</v>
      </c>
      <c r="S1160" s="36" t="str">
        <f>VLOOKUP(Tabla91116[[#This Row],[CODIGO DEL PRODUCTO]],Tabla797[],2,FALSE)</f>
        <v>PIEDRA 6-20</v>
      </c>
      <c r="T1160" s="37">
        <v>35.78</v>
      </c>
    </row>
    <row r="1161" spans="15:20" x14ac:dyDescent="0.25">
      <c r="O1161" s="76">
        <v>158264</v>
      </c>
      <c r="P1161" s="78" t="s">
        <v>679</v>
      </c>
      <c r="Q1161" s="77">
        <v>46164</v>
      </c>
      <c r="R1161" s="78" t="s">
        <v>43</v>
      </c>
      <c r="S1161" s="36" t="str">
        <f>VLOOKUP(Tabla91116[[#This Row],[CODIGO DEL PRODUCTO]],Tabla797[],2,FALSE)</f>
        <v>PIEDRA 6-20</v>
      </c>
      <c r="T1161" s="37">
        <v>35.5</v>
      </c>
    </row>
    <row r="1162" spans="15:20" x14ac:dyDescent="0.25">
      <c r="O1162" s="76">
        <v>158289</v>
      </c>
      <c r="P1162" s="78" t="s">
        <v>679</v>
      </c>
      <c r="Q1162" s="77">
        <v>46164</v>
      </c>
      <c r="R1162" s="78" t="s">
        <v>43</v>
      </c>
      <c r="S1162" s="36" t="str">
        <f>VLOOKUP(Tabla91116[[#This Row],[CODIGO DEL PRODUCTO]],Tabla797[],2,FALSE)</f>
        <v>PIEDRA 6-20</v>
      </c>
      <c r="T1162" s="37">
        <v>34.840000000000003</v>
      </c>
    </row>
    <row r="1163" spans="15:20" x14ac:dyDescent="0.25">
      <c r="O1163" s="76">
        <v>158301</v>
      </c>
      <c r="P1163" s="78" t="s">
        <v>679</v>
      </c>
      <c r="Q1163" s="77">
        <v>46164</v>
      </c>
      <c r="R1163" s="78" t="s">
        <v>43</v>
      </c>
      <c r="S1163" s="36" t="str">
        <f>VLOOKUP(Tabla91116[[#This Row],[CODIGO DEL PRODUCTO]],Tabla797[],2,FALSE)</f>
        <v>PIEDRA 6-20</v>
      </c>
      <c r="T1163" s="37">
        <v>36.18</v>
      </c>
    </row>
    <row r="1164" spans="15:20" x14ac:dyDescent="0.25">
      <c r="O1164" s="76">
        <v>158313</v>
      </c>
      <c r="P1164" s="78" t="s">
        <v>679</v>
      </c>
      <c r="Q1164" s="77">
        <v>46164</v>
      </c>
      <c r="R1164" s="78" t="s">
        <v>43</v>
      </c>
      <c r="S1164" s="36" t="str">
        <f>VLOOKUP(Tabla91116[[#This Row],[CODIGO DEL PRODUCTO]],Tabla797[],2,FALSE)</f>
        <v>PIEDRA 6-20</v>
      </c>
      <c r="T1164" s="37">
        <v>35.299999999999997</v>
      </c>
    </row>
    <row r="1165" spans="15:20" x14ac:dyDescent="0.25">
      <c r="O1165" s="76">
        <v>158323</v>
      </c>
      <c r="P1165" s="78" t="s">
        <v>679</v>
      </c>
      <c r="Q1165" s="77">
        <v>46164</v>
      </c>
      <c r="R1165" s="78" t="s">
        <v>43</v>
      </c>
      <c r="S1165" s="36" t="str">
        <f>VLOOKUP(Tabla91116[[#This Row],[CODIGO DEL PRODUCTO]],Tabla797[],2,FALSE)</f>
        <v>PIEDRA 6-20</v>
      </c>
      <c r="T1165" s="37">
        <v>34.86</v>
      </c>
    </row>
    <row r="1166" spans="15:20" x14ac:dyDescent="0.25">
      <c r="O1166" s="76">
        <v>158327</v>
      </c>
      <c r="P1166" s="78" t="s">
        <v>679</v>
      </c>
      <c r="Q1166" s="77">
        <v>46164</v>
      </c>
      <c r="R1166" s="78" t="s">
        <v>43</v>
      </c>
      <c r="S1166" s="36" t="str">
        <f>VLOOKUP(Tabla91116[[#This Row],[CODIGO DEL PRODUCTO]],Tabla797[],2,FALSE)</f>
        <v>PIEDRA 6-20</v>
      </c>
      <c r="T1166" s="37">
        <v>35.06</v>
      </c>
    </row>
    <row r="1167" spans="15:20" x14ac:dyDescent="0.25">
      <c r="O1167" s="76">
        <v>158339</v>
      </c>
      <c r="P1167" s="78" t="s">
        <v>679</v>
      </c>
      <c r="Q1167" s="77">
        <v>46164</v>
      </c>
      <c r="R1167" s="78" t="s">
        <v>43</v>
      </c>
      <c r="S1167" s="36" t="str">
        <f>VLOOKUP(Tabla91116[[#This Row],[CODIGO DEL PRODUCTO]],Tabla797[],2,FALSE)</f>
        <v>PIEDRA 6-20</v>
      </c>
      <c r="T1167" s="37">
        <v>35.96</v>
      </c>
    </row>
    <row r="1168" spans="15:20" x14ac:dyDescent="0.25">
      <c r="O1168" s="76">
        <v>158357</v>
      </c>
      <c r="P1168" s="78" t="s">
        <v>679</v>
      </c>
      <c r="Q1168" s="77">
        <v>46164</v>
      </c>
      <c r="R1168" s="78" t="s">
        <v>43</v>
      </c>
      <c r="S1168" s="36" t="str">
        <f>VLOOKUP(Tabla91116[[#This Row],[CODIGO DEL PRODUCTO]],Tabla797[],2,FALSE)</f>
        <v>PIEDRA 6-20</v>
      </c>
      <c r="T1168" s="37">
        <v>35.08</v>
      </c>
    </row>
    <row r="1169" spans="15:21" x14ac:dyDescent="0.25">
      <c r="O1169" s="76">
        <v>2709680</v>
      </c>
      <c r="P1169" s="78" t="s">
        <v>679</v>
      </c>
      <c r="Q1169" s="77">
        <v>46164</v>
      </c>
      <c r="R1169" s="78" t="s">
        <v>286</v>
      </c>
      <c r="S1169" s="36" t="str">
        <f>VLOOKUP(Tabla91116[[#This Row],[CODIGO DEL PRODUCTO]],Tabla797[],2,FALSE)</f>
        <v>CPF 40 AVELLANEDA</v>
      </c>
      <c r="T1169" s="37">
        <v>36.26</v>
      </c>
      <c r="U1169" s="7"/>
    </row>
    <row r="1170" spans="15:21" x14ac:dyDescent="0.25">
      <c r="O1170" s="76">
        <v>2709801</v>
      </c>
      <c r="P1170" s="78" t="s">
        <v>679</v>
      </c>
      <c r="Q1170" s="77">
        <v>46164</v>
      </c>
      <c r="R1170" s="78" t="s">
        <v>286</v>
      </c>
      <c r="S1170" s="36" t="str">
        <f>VLOOKUP(Tabla91116[[#This Row],[CODIGO DEL PRODUCTO]],Tabla797[],2,FALSE)</f>
        <v>CPF 40 AVELLANEDA</v>
      </c>
      <c r="T1170" s="37">
        <v>35.520000000000003</v>
      </c>
    </row>
    <row r="1171" spans="15:21" x14ac:dyDescent="0.25">
      <c r="O1171" s="76">
        <v>40552</v>
      </c>
      <c r="P1171" s="78" t="s">
        <v>683</v>
      </c>
      <c r="Q1171" s="77">
        <v>46165</v>
      </c>
      <c r="R1171" s="78" t="s">
        <v>42</v>
      </c>
      <c r="S1171" s="36" t="str">
        <f>VLOOKUP(Tabla91116[[#This Row],[CODIGO DEL PRODUCTO]],Tabla797[],2,FALSE)</f>
        <v>ARENA FINA</v>
      </c>
      <c r="T1171" s="37">
        <v>36.78</v>
      </c>
    </row>
    <row r="1172" spans="15:21" x14ac:dyDescent="0.25">
      <c r="O1172" s="76">
        <v>40555</v>
      </c>
      <c r="P1172" s="78" t="s">
        <v>683</v>
      </c>
      <c r="Q1172" s="77">
        <v>46165</v>
      </c>
      <c r="R1172" s="78" t="s">
        <v>42</v>
      </c>
      <c r="S1172" s="36" t="str">
        <f>VLOOKUP(Tabla91116[[#This Row],[CODIGO DEL PRODUCTO]],Tabla797[],2,FALSE)</f>
        <v>ARENA FINA</v>
      </c>
      <c r="T1172" s="37">
        <v>36.659999999999997</v>
      </c>
    </row>
    <row r="1173" spans="15:21" x14ac:dyDescent="0.25">
      <c r="O1173" s="76">
        <v>109439</v>
      </c>
      <c r="P1173" s="78" t="s">
        <v>684</v>
      </c>
      <c r="Q1173" s="77">
        <v>46165</v>
      </c>
      <c r="R1173" s="78" t="s">
        <v>40</v>
      </c>
      <c r="S1173" s="36" t="str">
        <f>VLOOKUP(Tabla91116[[#This Row],[CODIGO DEL PRODUCTO]],Tabla797[],2,FALSE)</f>
        <v>PIEDRA 0-6</v>
      </c>
      <c r="T1173" s="37">
        <v>34.4</v>
      </c>
    </row>
    <row r="1174" spans="15:21" x14ac:dyDescent="0.25">
      <c r="O1174" s="76">
        <v>109440</v>
      </c>
      <c r="P1174" s="78" t="s">
        <v>684</v>
      </c>
      <c r="Q1174" s="77">
        <v>46165</v>
      </c>
      <c r="R1174" s="78" t="s">
        <v>43</v>
      </c>
      <c r="S1174" s="36" t="str">
        <f>VLOOKUP(Tabla91116[[#This Row],[CODIGO DEL PRODUCTO]],Tabla797[],2,FALSE)</f>
        <v>PIEDRA 6-20</v>
      </c>
      <c r="T1174" s="37">
        <v>34.44</v>
      </c>
    </row>
    <row r="1175" spans="15:21" x14ac:dyDescent="0.25">
      <c r="O1175" s="76">
        <v>109441</v>
      </c>
      <c r="P1175" s="78" t="s">
        <v>684</v>
      </c>
      <c r="Q1175" s="77">
        <v>46165</v>
      </c>
      <c r="R1175" s="78" t="s">
        <v>43</v>
      </c>
      <c r="S1175" s="36" t="str">
        <f>VLOOKUP(Tabla91116[[#This Row],[CODIGO DEL PRODUCTO]],Tabla797[],2,FALSE)</f>
        <v>PIEDRA 6-20</v>
      </c>
      <c r="T1175" s="37">
        <v>34.22</v>
      </c>
    </row>
    <row r="1176" spans="15:21" x14ac:dyDescent="0.25">
      <c r="O1176" s="76">
        <v>109444</v>
      </c>
      <c r="P1176" s="78" t="s">
        <v>684</v>
      </c>
      <c r="Q1176" s="77">
        <v>46165</v>
      </c>
      <c r="R1176" s="78" t="s">
        <v>43</v>
      </c>
      <c r="S1176" s="36" t="str">
        <f>VLOOKUP(Tabla91116[[#This Row],[CODIGO DEL PRODUCTO]],Tabla797[],2,FALSE)</f>
        <v>PIEDRA 6-20</v>
      </c>
      <c r="T1176" s="37">
        <v>34.840000000000003</v>
      </c>
    </row>
    <row r="1177" spans="15:21" x14ac:dyDescent="0.25">
      <c r="O1177" s="76">
        <v>158352</v>
      </c>
      <c r="P1177" s="78" t="s">
        <v>679</v>
      </c>
      <c r="Q1177" s="77">
        <v>46165</v>
      </c>
      <c r="R1177" s="78" t="s">
        <v>43</v>
      </c>
      <c r="S1177" s="36" t="str">
        <f>VLOOKUP(Tabla91116[[#This Row],[CODIGO DEL PRODUCTO]],Tabla797[],2,FALSE)</f>
        <v>PIEDRA 6-20</v>
      </c>
      <c r="T1177" s="37">
        <v>35.24</v>
      </c>
    </row>
    <row r="1178" spans="15:21" x14ac:dyDescent="0.25">
      <c r="O1178" s="76">
        <v>158355</v>
      </c>
      <c r="P1178" s="78" t="s">
        <v>679</v>
      </c>
      <c r="Q1178" s="77">
        <v>46165</v>
      </c>
      <c r="R1178" s="78" t="s">
        <v>43</v>
      </c>
      <c r="S1178" s="36" t="str">
        <f>VLOOKUP(Tabla91116[[#This Row],[CODIGO DEL PRODUCTO]],Tabla797[],2,FALSE)</f>
        <v>PIEDRA 6-20</v>
      </c>
      <c r="T1178" s="37">
        <v>36.020000000000003</v>
      </c>
    </row>
    <row r="1179" spans="15:21" x14ac:dyDescent="0.25">
      <c r="O1179" s="76">
        <v>158373</v>
      </c>
      <c r="P1179" s="78" t="s">
        <v>679</v>
      </c>
      <c r="Q1179" s="77">
        <v>46165</v>
      </c>
      <c r="R1179" s="78" t="s">
        <v>43</v>
      </c>
      <c r="S1179" s="36" t="str">
        <f>VLOOKUP(Tabla91116[[#This Row],[CODIGO DEL PRODUCTO]],Tabla797[],2,FALSE)</f>
        <v>PIEDRA 6-20</v>
      </c>
      <c r="T1179" s="37">
        <v>35.58</v>
      </c>
    </row>
    <row r="1180" spans="15:21" x14ac:dyDescent="0.25">
      <c r="O1180" s="76">
        <v>158378</v>
      </c>
      <c r="P1180" s="78" t="s">
        <v>679</v>
      </c>
      <c r="Q1180" s="77">
        <v>46165</v>
      </c>
      <c r="R1180" s="78" t="s">
        <v>43</v>
      </c>
      <c r="S1180" s="36" t="str">
        <f>VLOOKUP(Tabla91116[[#This Row],[CODIGO DEL PRODUCTO]],Tabla797[],2,FALSE)</f>
        <v>PIEDRA 6-20</v>
      </c>
      <c r="T1180" s="37">
        <v>35.24</v>
      </c>
    </row>
    <row r="1181" spans="15:21" x14ac:dyDescent="0.25">
      <c r="O1181" s="76">
        <v>158381</v>
      </c>
      <c r="P1181" s="78" t="s">
        <v>679</v>
      </c>
      <c r="Q1181" s="77">
        <v>46165</v>
      </c>
      <c r="R1181" s="78" t="s">
        <v>43</v>
      </c>
      <c r="S1181" s="36" t="str">
        <f>VLOOKUP(Tabla91116[[#This Row],[CODIGO DEL PRODUCTO]],Tabla797[],2,FALSE)</f>
        <v>PIEDRA 6-20</v>
      </c>
      <c r="T1181" s="37">
        <v>35.08</v>
      </c>
    </row>
    <row r="1182" spans="15:21" x14ac:dyDescent="0.25">
      <c r="O1182" s="76">
        <v>158384</v>
      </c>
      <c r="P1182" s="78" t="s">
        <v>679</v>
      </c>
      <c r="Q1182" s="77">
        <v>46165</v>
      </c>
      <c r="R1182" s="78" t="s">
        <v>43</v>
      </c>
      <c r="S1182" s="36" t="str">
        <f>VLOOKUP(Tabla91116[[#This Row],[CODIGO DEL PRODUCTO]],Tabla797[],2,FALSE)</f>
        <v>PIEDRA 6-20</v>
      </c>
      <c r="T1182" s="37">
        <v>36.32</v>
      </c>
    </row>
    <row r="1183" spans="15:21" x14ac:dyDescent="0.25">
      <c r="O1183" s="76">
        <v>158390</v>
      </c>
      <c r="P1183" s="78" t="s">
        <v>679</v>
      </c>
      <c r="Q1183" s="77">
        <v>46165</v>
      </c>
      <c r="R1183" s="78" t="s">
        <v>43</v>
      </c>
      <c r="S1183" s="36" t="str">
        <f>VLOOKUP(Tabla91116[[#This Row],[CODIGO DEL PRODUCTO]],Tabla797[],2,FALSE)</f>
        <v>PIEDRA 6-20</v>
      </c>
      <c r="T1183" s="37">
        <v>34.18</v>
      </c>
    </row>
    <row r="1184" spans="15:21" x14ac:dyDescent="0.25">
      <c r="O1184" s="76">
        <v>158392</v>
      </c>
      <c r="P1184" s="78" t="s">
        <v>679</v>
      </c>
      <c r="Q1184" s="77">
        <v>46165</v>
      </c>
      <c r="R1184" s="78" t="s">
        <v>43</v>
      </c>
      <c r="S1184" s="36" t="str">
        <f>VLOOKUP(Tabla91116[[#This Row],[CODIGO DEL PRODUCTO]],Tabla797[],2,FALSE)</f>
        <v>PIEDRA 6-20</v>
      </c>
      <c r="T1184" s="37">
        <v>35.9</v>
      </c>
    </row>
    <row r="1185" spans="15:20" x14ac:dyDescent="0.25">
      <c r="O1185" s="76">
        <v>158394</v>
      </c>
      <c r="P1185" s="78" t="s">
        <v>679</v>
      </c>
      <c r="Q1185" s="77">
        <v>46165</v>
      </c>
      <c r="R1185" s="78" t="s">
        <v>43</v>
      </c>
      <c r="S1185" s="36" t="str">
        <f>VLOOKUP(Tabla91116[[#This Row],[CODIGO DEL PRODUCTO]],Tabla797[],2,FALSE)</f>
        <v>PIEDRA 6-20</v>
      </c>
      <c r="T1185" s="37">
        <v>35.14</v>
      </c>
    </row>
    <row r="1186" spans="15:20" x14ac:dyDescent="0.25">
      <c r="O1186" s="76">
        <v>158397</v>
      </c>
      <c r="P1186" s="78" t="s">
        <v>679</v>
      </c>
      <c r="Q1186" s="77">
        <v>46165</v>
      </c>
      <c r="R1186" s="78" t="s">
        <v>43</v>
      </c>
      <c r="S1186" s="36" t="str">
        <f>VLOOKUP(Tabla91116[[#This Row],[CODIGO DEL PRODUCTO]],Tabla797[],2,FALSE)</f>
        <v>PIEDRA 6-20</v>
      </c>
      <c r="T1186" s="37">
        <v>34.68</v>
      </c>
    </row>
    <row r="1187" spans="15:20" x14ac:dyDescent="0.25">
      <c r="O1187" s="76">
        <v>2709963</v>
      </c>
      <c r="P1187" s="78" t="s">
        <v>679</v>
      </c>
      <c r="Q1187" s="77">
        <v>46165</v>
      </c>
      <c r="R1187" s="78" t="s">
        <v>286</v>
      </c>
      <c r="S1187" s="36" t="str">
        <f>VLOOKUP(Tabla91116[[#This Row],[CODIGO DEL PRODUCTO]],Tabla797[],2,FALSE)</f>
        <v>CPF 40 AVELLANEDA</v>
      </c>
      <c r="T1187" s="37">
        <v>35.06</v>
      </c>
    </row>
    <row r="1188" spans="15:20" x14ac:dyDescent="0.25">
      <c r="O1188" s="76">
        <v>2709992</v>
      </c>
      <c r="P1188" s="78" t="s">
        <v>679</v>
      </c>
      <c r="Q1188" s="77">
        <v>46165</v>
      </c>
      <c r="R1188" s="78" t="s">
        <v>286</v>
      </c>
      <c r="S1188" s="36" t="str">
        <f>VLOOKUP(Tabla91116[[#This Row],[CODIGO DEL PRODUCTO]],Tabla797[],2,FALSE)</f>
        <v>CPF 40 AVELLANEDA</v>
      </c>
      <c r="T1188" s="37">
        <v>36.619999999999997</v>
      </c>
    </row>
    <row r="1189" spans="15:20" x14ac:dyDescent="0.25">
      <c r="O1189" s="76">
        <v>2710340</v>
      </c>
      <c r="P1189" s="78" t="s">
        <v>679</v>
      </c>
      <c r="Q1189" s="77">
        <v>46167</v>
      </c>
      <c r="R1189" s="78" t="s">
        <v>286</v>
      </c>
      <c r="S1189" s="36" t="str">
        <f>VLOOKUP(Tabla91116[[#This Row],[CODIGO DEL PRODUCTO]],Tabla797[],2,FALSE)</f>
        <v>CPF 40 AVELLANEDA</v>
      </c>
      <c r="T1189" s="37">
        <v>35.24</v>
      </c>
    </row>
    <row r="1190" spans="15:20" x14ac:dyDescent="0.25">
      <c r="O1190" s="76">
        <v>104400</v>
      </c>
      <c r="P1190" s="78" t="s">
        <v>683</v>
      </c>
      <c r="Q1190" s="77">
        <v>46168</v>
      </c>
      <c r="R1190" s="78" t="s">
        <v>42</v>
      </c>
      <c r="S1190" s="36" t="str">
        <f>VLOOKUP(Tabla91116[[#This Row],[CODIGO DEL PRODUCTO]],Tabla797[],2,FALSE)</f>
        <v>ARENA FINA</v>
      </c>
      <c r="T1190" s="37">
        <v>35.96</v>
      </c>
    </row>
    <row r="1191" spans="15:20" x14ac:dyDescent="0.25">
      <c r="O1191" s="76">
        <v>104413</v>
      </c>
      <c r="P1191" s="78" t="s">
        <v>683</v>
      </c>
      <c r="Q1191" s="77">
        <v>46168</v>
      </c>
      <c r="R1191" s="78" t="s">
        <v>42</v>
      </c>
      <c r="S1191" s="36" t="str">
        <f>VLOOKUP(Tabla91116[[#This Row],[CODIGO DEL PRODUCTO]],Tabla797[],2,FALSE)</f>
        <v>ARENA FINA</v>
      </c>
      <c r="T1191" s="37">
        <v>33.22</v>
      </c>
    </row>
    <row r="1192" spans="15:20" x14ac:dyDescent="0.25">
      <c r="O1192" s="76">
        <v>40560</v>
      </c>
      <c r="P1192" s="78" t="s">
        <v>149</v>
      </c>
      <c r="Q1192" s="77">
        <v>46168</v>
      </c>
      <c r="R1192" s="78" t="s">
        <v>42</v>
      </c>
      <c r="S1192" s="36" t="str">
        <f>VLOOKUP(Tabla91116[[#This Row],[CODIGO DEL PRODUCTO]],Tabla797[],2,FALSE)</f>
        <v>ARENA FINA</v>
      </c>
      <c r="T1192" s="37">
        <v>37.520000000000003</v>
      </c>
    </row>
    <row r="1193" spans="15:20" x14ac:dyDescent="0.25">
      <c r="O1193" s="76">
        <v>40572</v>
      </c>
      <c r="P1193" s="78" t="s">
        <v>149</v>
      </c>
      <c r="Q1193" s="77">
        <v>46168</v>
      </c>
      <c r="R1193" s="78" t="s">
        <v>42</v>
      </c>
      <c r="S1193" s="36" t="str">
        <f>VLOOKUP(Tabla91116[[#This Row],[CODIGO DEL PRODUCTO]],Tabla797[],2,FALSE)</f>
        <v>ARENA FINA</v>
      </c>
      <c r="T1193" s="37">
        <v>36.54</v>
      </c>
    </row>
    <row r="1194" spans="15:20" x14ac:dyDescent="0.25">
      <c r="O1194" s="76">
        <v>40574</v>
      </c>
      <c r="P1194" s="78" t="s">
        <v>149</v>
      </c>
      <c r="Q1194" s="77">
        <v>46168</v>
      </c>
      <c r="R1194" s="78" t="s">
        <v>42</v>
      </c>
      <c r="S1194" s="36" t="str">
        <f>VLOOKUP(Tabla91116[[#This Row],[CODIGO DEL PRODUCTO]],Tabla797[],2,FALSE)</f>
        <v>ARENA FINA</v>
      </c>
      <c r="T1194" s="37">
        <v>23.2</v>
      </c>
    </row>
    <row r="1195" spans="15:20" x14ac:dyDescent="0.25">
      <c r="O1195" s="76">
        <v>109450</v>
      </c>
      <c r="P1195" s="78" t="s">
        <v>684</v>
      </c>
      <c r="Q1195" s="77">
        <v>46168</v>
      </c>
      <c r="R1195" s="78" t="s">
        <v>40</v>
      </c>
      <c r="S1195" s="36" t="str">
        <f>VLOOKUP(Tabla91116[[#This Row],[CODIGO DEL PRODUCTO]],Tabla797[],2,FALSE)</f>
        <v>PIEDRA 0-6</v>
      </c>
      <c r="T1195" s="37">
        <v>34.96</v>
      </c>
    </row>
    <row r="1196" spans="15:20" x14ac:dyDescent="0.25">
      <c r="O1196" s="76">
        <v>109451</v>
      </c>
      <c r="P1196" s="78" t="s">
        <v>684</v>
      </c>
      <c r="Q1196" s="77">
        <v>46168</v>
      </c>
      <c r="R1196" s="78" t="s">
        <v>43</v>
      </c>
      <c r="S1196" s="36" t="str">
        <f>VLOOKUP(Tabla91116[[#This Row],[CODIGO DEL PRODUCTO]],Tabla797[],2,FALSE)</f>
        <v>PIEDRA 6-20</v>
      </c>
      <c r="T1196" s="37">
        <v>34.42</v>
      </c>
    </row>
    <row r="1197" spans="15:20" x14ac:dyDescent="0.25">
      <c r="O1197" s="76">
        <v>109452</v>
      </c>
      <c r="P1197" s="78" t="s">
        <v>684</v>
      </c>
      <c r="Q1197" s="77">
        <v>46168</v>
      </c>
      <c r="R1197" s="78" t="s">
        <v>40</v>
      </c>
      <c r="S1197" s="36" t="str">
        <f>VLOOKUP(Tabla91116[[#This Row],[CODIGO DEL PRODUCTO]],Tabla797[],2,FALSE)</f>
        <v>PIEDRA 0-6</v>
      </c>
      <c r="T1197" s="37">
        <v>33.520000000000003</v>
      </c>
    </row>
    <row r="1198" spans="15:20" x14ac:dyDescent="0.25">
      <c r="O1198" s="76">
        <v>109453</v>
      </c>
      <c r="P1198" s="78" t="s">
        <v>684</v>
      </c>
      <c r="Q1198" s="77">
        <v>46168</v>
      </c>
      <c r="R1198" s="78" t="s">
        <v>48</v>
      </c>
      <c r="S1198" s="36" t="str">
        <f>VLOOKUP(Tabla91116[[#This Row],[CODIGO DEL PRODUCTO]],Tabla797[],2,FALSE)</f>
        <v>PIEDRA 6-12</v>
      </c>
      <c r="T1198" s="37">
        <v>35.700000000000003</v>
      </c>
    </row>
    <row r="1199" spans="15:20" x14ac:dyDescent="0.25">
      <c r="O1199" s="76">
        <v>109454</v>
      </c>
      <c r="P1199" s="78" t="s">
        <v>684</v>
      </c>
      <c r="Q1199" s="77">
        <v>46168</v>
      </c>
      <c r="R1199" s="78" t="s">
        <v>43</v>
      </c>
      <c r="S1199" s="36" t="str">
        <f>VLOOKUP(Tabla91116[[#This Row],[CODIGO DEL PRODUCTO]],Tabla797[],2,FALSE)</f>
        <v>PIEDRA 6-20</v>
      </c>
      <c r="T1199" s="37">
        <v>35.24</v>
      </c>
    </row>
    <row r="1200" spans="15:20" x14ac:dyDescent="0.25">
      <c r="O1200" s="76">
        <v>109460</v>
      </c>
      <c r="P1200" s="78" t="s">
        <v>684</v>
      </c>
      <c r="Q1200" s="77">
        <v>46168</v>
      </c>
      <c r="R1200" s="78" t="s">
        <v>43</v>
      </c>
      <c r="S1200" s="36" t="str">
        <f>VLOOKUP(Tabla91116[[#This Row],[CODIGO DEL PRODUCTO]],Tabla797[],2,FALSE)</f>
        <v>PIEDRA 6-20</v>
      </c>
      <c r="T1200" s="37">
        <v>35.14</v>
      </c>
    </row>
    <row r="1201" spans="15:21" x14ac:dyDescent="0.25">
      <c r="O1201" s="76">
        <v>109462</v>
      </c>
      <c r="P1201" s="78" t="s">
        <v>684</v>
      </c>
      <c r="Q1201" s="77">
        <v>46168</v>
      </c>
      <c r="R1201" s="78" t="s">
        <v>40</v>
      </c>
      <c r="S1201" s="36" t="str">
        <f>VLOOKUP(Tabla91116[[#This Row],[CODIGO DEL PRODUCTO]],Tabla797[],2,FALSE)</f>
        <v>PIEDRA 0-6</v>
      </c>
      <c r="T1201" s="37">
        <v>34.520000000000003</v>
      </c>
    </row>
    <row r="1202" spans="15:21" x14ac:dyDescent="0.25">
      <c r="O1202" s="76">
        <v>109463</v>
      </c>
      <c r="P1202" s="78" t="s">
        <v>684</v>
      </c>
      <c r="Q1202" s="77">
        <v>46168</v>
      </c>
      <c r="R1202" s="78" t="s">
        <v>43</v>
      </c>
      <c r="S1202" s="36" t="str">
        <f>VLOOKUP(Tabla91116[[#This Row],[CODIGO DEL PRODUCTO]],Tabla797[],2,FALSE)</f>
        <v>PIEDRA 6-20</v>
      </c>
      <c r="T1202" s="37">
        <v>34.74</v>
      </c>
    </row>
    <row r="1203" spans="15:21" x14ac:dyDescent="0.25">
      <c r="O1203" s="76">
        <v>109465</v>
      </c>
      <c r="P1203" s="78" t="s">
        <v>684</v>
      </c>
      <c r="Q1203" s="77">
        <v>46168</v>
      </c>
      <c r="R1203" s="78" t="s">
        <v>48</v>
      </c>
      <c r="S1203" s="36" t="str">
        <f>VLOOKUP(Tabla91116[[#This Row],[CODIGO DEL PRODUCTO]],Tabla797[],2,FALSE)</f>
        <v>PIEDRA 6-12</v>
      </c>
      <c r="T1203" s="37">
        <v>34.74</v>
      </c>
    </row>
    <row r="1204" spans="15:21" x14ac:dyDescent="0.25">
      <c r="O1204" s="76">
        <v>158441</v>
      </c>
      <c r="P1204" s="78" t="s">
        <v>679</v>
      </c>
      <c r="Q1204" s="77">
        <v>46168</v>
      </c>
      <c r="R1204" s="78" t="s">
        <v>43</v>
      </c>
      <c r="S1204" s="36" t="str">
        <f>VLOOKUP(Tabla91116[[#This Row],[CODIGO DEL PRODUCTO]],Tabla797[],2,FALSE)</f>
        <v>PIEDRA 6-20</v>
      </c>
      <c r="T1204" s="37">
        <v>35.380000000000003</v>
      </c>
    </row>
    <row r="1205" spans="15:21" x14ac:dyDescent="0.25">
      <c r="O1205" s="76">
        <v>158456</v>
      </c>
      <c r="P1205" s="78" t="s">
        <v>679</v>
      </c>
      <c r="Q1205" s="77">
        <v>46168</v>
      </c>
      <c r="R1205" s="78" t="s">
        <v>43</v>
      </c>
      <c r="S1205" s="36" t="str">
        <f>VLOOKUP(Tabla91116[[#This Row],[CODIGO DEL PRODUCTO]],Tabla797[],2,FALSE)</f>
        <v>PIEDRA 6-20</v>
      </c>
      <c r="T1205" s="37">
        <v>35.22</v>
      </c>
    </row>
    <row r="1206" spans="15:21" x14ac:dyDescent="0.25">
      <c r="O1206" s="76">
        <v>158457</v>
      </c>
      <c r="P1206" s="78" t="s">
        <v>679</v>
      </c>
      <c r="Q1206" s="77">
        <v>46168</v>
      </c>
      <c r="R1206" s="78" t="s">
        <v>43</v>
      </c>
      <c r="S1206" s="36" t="str">
        <f>VLOOKUP(Tabla91116[[#This Row],[CODIGO DEL PRODUCTO]],Tabla797[],2,FALSE)</f>
        <v>PIEDRA 6-20</v>
      </c>
      <c r="T1206" s="37">
        <v>36.06</v>
      </c>
    </row>
    <row r="1207" spans="15:21" x14ac:dyDescent="0.25">
      <c r="O1207" s="76">
        <v>158494</v>
      </c>
      <c r="P1207" s="78" t="s">
        <v>679</v>
      </c>
      <c r="Q1207" s="77">
        <v>46168</v>
      </c>
      <c r="R1207" s="78" t="s">
        <v>43</v>
      </c>
      <c r="S1207" s="36" t="str">
        <f>VLOOKUP(Tabla91116[[#This Row],[CODIGO DEL PRODUCTO]],Tabla797[],2,FALSE)</f>
        <v>PIEDRA 6-20</v>
      </c>
      <c r="T1207" s="37">
        <v>35.159999999999997</v>
      </c>
    </row>
    <row r="1208" spans="15:21" x14ac:dyDescent="0.25">
      <c r="O1208" s="76">
        <v>158497</v>
      </c>
      <c r="P1208" s="78" t="s">
        <v>679</v>
      </c>
      <c r="Q1208" s="77">
        <v>46168</v>
      </c>
      <c r="R1208" s="78" t="s">
        <v>43</v>
      </c>
      <c r="S1208" s="36" t="str">
        <f>VLOOKUP(Tabla91116[[#This Row],[CODIGO DEL PRODUCTO]],Tabla797[],2,FALSE)</f>
        <v>PIEDRA 6-20</v>
      </c>
      <c r="T1208" s="37">
        <v>35.6</v>
      </c>
    </row>
    <row r="1209" spans="15:21" x14ac:dyDescent="0.25">
      <c r="O1209" s="76">
        <v>2710387</v>
      </c>
      <c r="P1209" s="78" t="s">
        <v>679</v>
      </c>
      <c r="Q1209" s="77">
        <v>46168</v>
      </c>
      <c r="R1209" s="78" t="s">
        <v>286</v>
      </c>
      <c r="S1209" s="36" t="str">
        <f>VLOOKUP(Tabla91116[[#This Row],[CODIGO DEL PRODUCTO]],Tabla797[],2,FALSE)</f>
        <v>CPF 40 AVELLANEDA</v>
      </c>
      <c r="T1209" s="37">
        <v>35.619999999999997</v>
      </c>
    </row>
    <row r="1210" spans="15:21" x14ac:dyDescent="0.25">
      <c r="O1210" s="76">
        <v>2710426</v>
      </c>
      <c r="P1210" s="78" t="s">
        <v>679</v>
      </c>
      <c r="Q1210" s="77">
        <v>46168</v>
      </c>
      <c r="R1210" s="78" t="s">
        <v>286</v>
      </c>
      <c r="S1210" s="36" t="str">
        <f>VLOOKUP(Tabla91116[[#This Row],[CODIGO DEL PRODUCTO]],Tabla797[],2,FALSE)</f>
        <v>CPF 40 AVELLANEDA</v>
      </c>
      <c r="T1210" s="37">
        <v>36.44</v>
      </c>
    </row>
    <row r="1211" spans="15:21" x14ac:dyDescent="0.25">
      <c r="O1211" s="76">
        <v>104421</v>
      </c>
      <c r="P1211" s="78" t="s">
        <v>683</v>
      </c>
      <c r="Q1211" s="77">
        <v>46169</v>
      </c>
      <c r="R1211" s="78" t="s">
        <v>42</v>
      </c>
      <c r="S1211" s="36" t="str">
        <f>VLOOKUP(Tabla91116[[#This Row],[CODIGO DEL PRODUCTO]],Tabla797[],2,FALSE)</f>
        <v>ARENA FINA</v>
      </c>
      <c r="T1211" s="37">
        <v>33.299999999999997</v>
      </c>
    </row>
    <row r="1212" spans="15:21" x14ac:dyDescent="0.25">
      <c r="O1212" s="76">
        <v>104430</v>
      </c>
      <c r="P1212" s="78" t="s">
        <v>683</v>
      </c>
      <c r="Q1212" s="77">
        <v>46169</v>
      </c>
      <c r="R1212" s="78" t="s">
        <v>42</v>
      </c>
      <c r="S1212" s="36" t="str">
        <f>VLOOKUP(Tabla91116[[#This Row],[CODIGO DEL PRODUCTO]],Tabla797[],2,FALSE)</f>
        <v>ARENA FINA</v>
      </c>
      <c r="T1212" s="37">
        <v>37.54</v>
      </c>
      <c r="U1212" s="7"/>
    </row>
    <row r="1213" spans="15:21" x14ac:dyDescent="0.25">
      <c r="O1213" s="76">
        <v>40583</v>
      </c>
      <c r="P1213" s="78" t="s">
        <v>149</v>
      </c>
      <c r="Q1213" s="77">
        <v>46169</v>
      </c>
      <c r="R1213" s="78" t="s">
        <v>42</v>
      </c>
      <c r="S1213" s="36" t="str">
        <f>VLOOKUP(Tabla91116[[#This Row],[CODIGO DEL PRODUCTO]],Tabla797[],2,FALSE)</f>
        <v>ARENA FINA</v>
      </c>
      <c r="T1213" s="37">
        <v>36.840000000000003</v>
      </c>
    </row>
    <row r="1214" spans="15:21" x14ac:dyDescent="0.25">
      <c r="O1214" s="76">
        <v>40593</v>
      </c>
      <c r="P1214" s="78" t="s">
        <v>149</v>
      </c>
      <c r="Q1214" s="77">
        <v>46169</v>
      </c>
      <c r="R1214" s="78" t="s">
        <v>42</v>
      </c>
      <c r="S1214" s="36" t="str">
        <f>VLOOKUP(Tabla91116[[#This Row],[CODIGO DEL PRODUCTO]],Tabla797[],2,FALSE)</f>
        <v>ARENA FINA</v>
      </c>
      <c r="T1214" s="37">
        <v>37.96</v>
      </c>
    </row>
    <row r="1215" spans="15:21" x14ac:dyDescent="0.25">
      <c r="O1215" s="76">
        <v>109475</v>
      </c>
      <c r="P1215" s="78" t="s">
        <v>684</v>
      </c>
      <c r="Q1215" s="77">
        <v>46169</v>
      </c>
      <c r="R1215" s="78" t="s">
        <v>40</v>
      </c>
      <c r="S1215" s="36" t="str">
        <f>VLOOKUP(Tabla91116[[#This Row],[CODIGO DEL PRODUCTO]],Tabla797[],2,FALSE)</f>
        <v>PIEDRA 0-6</v>
      </c>
      <c r="T1215" s="37">
        <v>35.020000000000003</v>
      </c>
    </row>
    <row r="1216" spans="15:21" x14ac:dyDescent="0.25">
      <c r="O1216" s="76">
        <v>109476</v>
      </c>
      <c r="P1216" s="78" t="s">
        <v>684</v>
      </c>
      <c r="Q1216" s="77">
        <v>46169</v>
      </c>
      <c r="R1216" s="78" t="s">
        <v>40</v>
      </c>
      <c r="S1216" s="36" t="str">
        <f>VLOOKUP(Tabla91116[[#This Row],[CODIGO DEL PRODUCTO]],Tabla797[],2,FALSE)</f>
        <v>PIEDRA 0-6</v>
      </c>
      <c r="T1216" s="37">
        <v>35.659999999999997</v>
      </c>
    </row>
    <row r="1217" spans="15:20" x14ac:dyDescent="0.25">
      <c r="O1217" s="76">
        <v>109477</v>
      </c>
      <c r="P1217" s="78" t="s">
        <v>684</v>
      </c>
      <c r="Q1217" s="77">
        <v>46169</v>
      </c>
      <c r="R1217" s="78" t="s">
        <v>43</v>
      </c>
      <c r="S1217" s="36" t="str">
        <f>VLOOKUP(Tabla91116[[#This Row],[CODIGO DEL PRODUCTO]],Tabla797[],2,FALSE)</f>
        <v>PIEDRA 6-20</v>
      </c>
      <c r="T1217" s="37">
        <v>34.54</v>
      </c>
    </row>
    <row r="1218" spans="15:20" x14ac:dyDescent="0.25">
      <c r="O1218" s="76">
        <v>109483</v>
      </c>
      <c r="P1218" s="78" t="s">
        <v>684</v>
      </c>
      <c r="Q1218" s="77">
        <v>46169</v>
      </c>
      <c r="R1218" s="78" t="s">
        <v>43</v>
      </c>
      <c r="S1218" s="36" t="str">
        <f>VLOOKUP(Tabla91116[[#This Row],[CODIGO DEL PRODUCTO]],Tabla797[],2,FALSE)</f>
        <v>PIEDRA 6-20</v>
      </c>
      <c r="T1218" s="37">
        <v>35.68</v>
      </c>
    </row>
    <row r="1219" spans="15:20" x14ac:dyDescent="0.25">
      <c r="O1219" s="76">
        <v>109484</v>
      </c>
      <c r="P1219" s="78" t="s">
        <v>684</v>
      </c>
      <c r="Q1219" s="77">
        <v>46169</v>
      </c>
      <c r="R1219" s="78" t="s">
        <v>40</v>
      </c>
      <c r="S1219" s="36" t="str">
        <f>VLOOKUP(Tabla91116[[#This Row],[CODIGO DEL PRODUCTO]],Tabla797[],2,FALSE)</f>
        <v>PIEDRA 0-6</v>
      </c>
      <c r="T1219" s="37">
        <v>35.76</v>
      </c>
    </row>
    <row r="1220" spans="15:20" x14ac:dyDescent="0.25">
      <c r="O1220" s="76">
        <v>109485</v>
      </c>
      <c r="P1220" s="78" t="s">
        <v>684</v>
      </c>
      <c r="Q1220" s="77">
        <v>46169</v>
      </c>
      <c r="R1220" s="78" t="s">
        <v>40</v>
      </c>
      <c r="S1220" s="36" t="str">
        <f>VLOOKUP(Tabla91116[[#This Row],[CODIGO DEL PRODUCTO]],Tabla797[],2,FALSE)</f>
        <v>PIEDRA 0-6</v>
      </c>
      <c r="T1220" s="37">
        <v>35.18</v>
      </c>
    </row>
    <row r="1221" spans="15:20" x14ac:dyDescent="0.25">
      <c r="O1221" s="76">
        <v>109486</v>
      </c>
      <c r="P1221" s="78" t="s">
        <v>684</v>
      </c>
      <c r="Q1221" s="77">
        <v>46169</v>
      </c>
      <c r="R1221" s="78" t="s">
        <v>43</v>
      </c>
      <c r="S1221" s="36" t="str">
        <f>VLOOKUP(Tabla91116[[#This Row],[CODIGO DEL PRODUCTO]],Tabla797[],2,FALSE)</f>
        <v>PIEDRA 6-20</v>
      </c>
      <c r="T1221" s="37">
        <v>35.299999999999997</v>
      </c>
    </row>
    <row r="1222" spans="15:20" x14ac:dyDescent="0.25">
      <c r="O1222" s="76">
        <v>109487</v>
      </c>
      <c r="P1222" s="78" t="s">
        <v>684</v>
      </c>
      <c r="Q1222" s="77">
        <v>46169</v>
      </c>
      <c r="R1222" s="78" t="s">
        <v>40</v>
      </c>
      <c r="S1222" s="36" t="str">
        <f>VLOOKUP(Tabla91116[[#This Row],[CODIGO DEL PRODUCTO]],Tabla797[],2,FALSE)</f>
        <v>PIEDRA 0-6</v>
      </c>
      <c r="T1222" s="37">
        <v>36.1</v>
      </c>
    </row>
    <row r="1223" spans="15:20" x14ac:dyDescent="0.25">
      <c r="O1223" s="76">
        <v>158500</v>
      </c>
      <c r="P1223" s="78" t="s">
        <v>679</v>
      </c>
      <c r="Q1223" s="77">
        <v>46169</v>
      </c>
      <c r="R1223" s="78" t="s">
        <v>43</v>
      </c>
      <c r="S1223" s="36" t="str">
        <f>VLOOKUP(Tabla91116[[#This Row],[CODIGO DEL PRODUCTO]],Tabla797[],2,FALSE)</f>
        <v>PIEDRA 6-20</v>
      </c>
      <c r="T1223" s="37">
        <v>35.22</v>
      </c>
    </row>
    <row r="1224" spans="15:20" x14ac:dyDescent="0.25">
      <c r="O1224" s="76">
        <v>158509</v>
      </c>
      <c r="P1224" s="78" t="s">
        <v>679</v>
      </c>
      <c r="Q1224" s="77">
        <v>46169</v>
      </c>
      <c r="R1224" s="78" t="s">
        <v>43</v>
      </c>
      <c r="S1224" s="36" t="str">
        <f>VLOOKUP(Tabla91116[[#This Row],[CODIGO DEL PRODUCTO]],Tabla797[],2,FALSE)</f>
        <v>PIEDRA 6-20</v>
      </c>
      <c r="T1224" s="37">
        <v>36.479999999999997</v>
      </c>
    </row>
    <row r="1225" spans="15:20" x14ac:dyDescent="0.25">
      <c r="O1225" s="76">
        <v>158545</v>
      </c>
      <c r="P1225" s="78" t="s">
        <v>679</v>
      </c>
      <c r="Q1225" s="77">
        <v>46169</v>
      </c>
      <c r="R1225" s="78" t="s">
        <v>43</v>
      </c>
      <c r="S1225" s="36" t="str">
        <f>VLOOKUP(Tabla91116[[#This Row],[CODIGO DEL PRODUCTO]],Tabla797[],2,FALSE)</f>
        <v>PIEDRA 6-20</v>
      </c>
      <c r="T1225" s="37">
        <v>35.56</v>
      </c>
    </row>
    <row r="1226" spans="15:20" x14ac:dyDescent="0.25">
      <c r="O1226" s="76">
        <v>158563</v>
      </c>
      <c r="P1226" s="78" t="s">
        <v>679</v>
      </c>
      <c r="Q1226" s="77">
        <v>46169</v>
      </c>
      <c r="R1226" s="78" t="s">
        <v>43</v>
      </c>
      <c r="S1226" s="36" t="str">
        <f>VLOOKUP(Tabla91116[[#This Row],[CODIGO DEL PRODUCTO]],Tabla797[],2,FALSE)</f>
        <v>PIEDRA 6-20</v>
      </c>
      <c r="T1226" s="37">
        <v>35.26</v>
      </c>
    </row>
    <row r="1227" spans="15:20" x14ac:dyDescent="0.25">
      <c r="O1227" s="76">
        <v>2710671</v>
      </c>
      <c r="P1227" s="78" t="s">
        <v>679</v>
      </c>
      <c r="Q1227" s="77">
        <v>46169</v>
      </c>
      <c r="R1227" s="78" t="s">
        <v>286</v>
      </c>
      <c r="S1227" s="36" t="str">
        <f>VLOOKUP(Tabla91116[[#This Row],[CODIGO DEL PRODUCTO]],Tabla797[],2,FALSE)</f>
        <v>CPF 40 AVELLANEDA</v>
      </c>
      <c r="T1227" s="37">
        <v>34.42</v>
      </c>
    </row>
    <row r="1228" spans="15:20" x14ac:dyDescent="0.25">
      <c r="O1228" s="76">
        <v>2710713</v>
      </c>
      <c r="P1228" s="78" t="s">
        <v>679</v>
      </c>
      <c r="Q1228" s="77">
        <v>46169</v>
      </c>
      <c r="R1228" s="78" t="s">
        <v>286</v>
      </c>
      <c r="S1228" s="36" t="str">
        <f>VLOOKUP(Tabla91116[[#This Row],[CODIGO DEL PRODUCTO]],Tabla797[],2,FALSE)</f>
        <v>CPF 40 AVELLANEDA</v>
      </c>
      <c r="T1228" s="37">
        <v>35.94</v>
      </c>
    </row>
    <row r="1229" spans="15:20" x14ac:dyDescent="0.25">
      <c r="O1229" s="76">
        <v>104439</v>
      </c>
      <c r="P1229" s="78" t="s">
        <v>683</v>
      </c>
      <c r="Q1229" s="77">
        <v>46170</v>
      </c>
      <c r="R1229" s="78" t="s">
        <v>42</v>
      </c>
      <c r="S1229" s="36" t="str">
        <f>VLOOKUP(Tabla91116[[#This Row],[CODIGO DEL PRODUCTO]],Tabla797[],2,FALSE)</f>
        <v>ARENA FINA</v>
      </c>
      <c r="T1229" s="37">
        <v>35.42</v>
      </c>
    </row>
    <row r="1230" spans="15:20" x14ac:dyDescent="0.25">
      <c r="O1230" s="76">
        <v>104444</v>
      </c>
      <c r="P1230" s="78" t="s">
        <v>683</v>
      </c>
      <c r="Q1230" s="77">
        <v>46170</v>
      </c>
      <c r="R1230" s="78" t="s">
        <v>42</v>
      </c>
      <c r="S1230" s="36" t="str">
        <f>VLOOKUP(Tabla91116[[#This Row],[CODIGO DEL PRODUCTO]],Tabla797[],2,FALSE)</f>
        <v>ARENA FINA</v>
      </c>
      <c r="T1230" s="37">
        <v>35.9</v>
      </c>
    </row>
    <row r="1231" spans="15:20" x14ac:dyDescent="0.25">
      <c r="O1231" s="76">
        <v>104446</v>
      </c>
      <c r="P1231" s="78" t="s">
        <v>683</v>
      </c>
      <c r="Q1231" s="77">
        <v>46170</v>
      </c>
      <c r="R1231" s="78" t="s">
        <v>42</v>
      </c>
      <c r="S1231" s="36" t="str">
        <f>VLOOKUP(Tabla91116[[#This Row],[CODIGO DEL PRODUCTO]],Tabla797[],2,FALSE)</f>
        <v>ARENA FINA</v>
      </c>
      <c r="T1231" s="37">
        <v>36.58</v>
      </c>
    </row>
    <row r="1232" spans="15:20" x14ac:dyDescent="0.25">
      <c r="O1232" s="76">
        <v>109495</v>
      </c>
      <c r="P1232" s="78" t="s">
        <v>684</v>
      </c>
      <c r="Q1232" s="77">
        <v>46170</v>
      </c>
      <c r="R1232" s="78" t="s">
        <v>40</v>
      </c>
      <c r="S1232" s="36" t="str">
        <f>VLOOKUP(Tabla91116[[#This Row],[CODIGO DEL PRODUCTO]],Tabla797[],2,FALSE)</f>
        <v>PIEDRA 0-6</v>
      </c>
      <c r="T1232" s="37">
        <v>35.6</v>
      </c>
    </row>
    <row r="1233" spans="15:20" x14ac:dyDescent="0.25">
      <c r="O1233" s="76">
        <v>109496</v>
      </c>
      <c r="P1233" s="78" t="s">
        <v>684</v>
      </c>
      <c r="Q1233" s="77">
        <v>46170</v>
      </c>
      <c r="R1233" s="78" t="s">
        <v>40</v>
      </c>
      <c r="S1233" s="36" t="str">
        <f>VLOOKUP(Tabla91116[[#This Row],[CODIGO DEL PRODUCTO]],Tabla797[],2,FALSE)</f>
        <v>PIEDRA 0-6</v>
      </c>
      <c r="T1233" s="37">
        <v>34.840000000000003</v>
      </c>
    </row>
    <row r="1234" spans="15:20" x14ac:dyDescent="0.25">
      <c r="O1234" s="76">
        <v>109499</v>
      </c>
      <c r="P1234" s="78" t="s">
        <v>684</v>
      </c>
      <c r="Q1234" s="77">
        <v>46170</v>
      </c>
      <c r="R1234" s="78" t="s">
        <v>43</v>
      </c>
      <c r="S1234" s="36" t="str">
        <f>VLOOKUP(Tabla91116[[#This Row],[CODIGO DEL PRODUCTO]],Tabla797[],2,FALSE)</f>
        <v>PIEDRA 6-20</v>
      </c>
      <c r="T1234" s="37">
        <v>34.74</v>
      </c>
    </row>
    <row r="1235" spans="15:20" x14ac:dyDescent="0.25">
      <c r="O1235" s="76">
        <v>109504</v>
      </c>
      <c r="P1235" s="78" t="s">
        <v>684</v>
      </c>
      <c r="Q1235" s="77">
        <v>46170</v>
      </c>
      <c r="R1235" s="78" t="s">
        <v>40</v>
      </c>
      <c r="S1235" s="36" t="str">
        <f>VLOOKUP(Tabla91116[[#This Row],[CODIGO DEL PRODUCTO]],Tabla797[],2,FALSE)</f>
        <v>PIEDRA 0-6</v>
      </c>
      <c r="T1235" s="37">
        <v>34.9</v>
      </c>
    </row>
    <row r="1236" spans="15:20" x14ac:dyDescent="0.25">
      <c r="O1236" s="76">
        <v>109512</v>
      </c>
      <c r="P1236" s="78" t="s">
        <v>684</v>
      </c>
      <c r="Q1236" s="77">
        <v>46170</v>
      </c>
      <c r="R1236" s="78" t="s">
        <v>43</v>
      </c>
      <c r="S1236" s="36" t="str">
        <f>VLOOKUP(Tabla91116[[#This Row],[CODIGO DEL PRODUCTO]],Tabla797[],2,FALSE)</f>
        <v>PIEDRA 6-20</v>
      </c>
      <c r="T1236" s="37">
        <v>35.96</v>
      </c>
    </row>
    <row r="1237" spans="15:20" x14ac:dyDescent="0.25">
      <c r="O1237" s="76">
        <v>109513</v>
      </c>
      <c r="P1237" s="78" t="s">
        <v>684</v>
      </c>
      <c r="Q1237" s="77">
        <v>46170</v>
      </c>
      <c r="R1237" s="78" t="s">
        <v>40</v>
      </c>
      <c r="S1237" s="36" t="str">
        <f>VLOOKUP(Tabla91116[[#This Row],[CODIGO DEL PRODUCTO]],Tabla797[],2,FALSE)</f>
        <v>PIEDRA 0-6</v>
      </c>
      <c r="T1237" s="37">
        <v>35.200000000000003</v>
      </c>
    </row>
    <row r="1238" spans="15:20" x14ac:dyDescent="0.25">
      <c r="O1238" s="76">
        <v>109514</v>
      </c>
      <c r="P1238" s="78" t="s">
        <v>684</v>
      </c>
      <c r="Q1238" s="77">
        <v>46170</v>
      </c>
      <c r="R1238" s="78" t="s">
        <v>40</v>
      </c>
      <c r="S1238" s="36" t="str">
        <f>VLOOKUP(Tabla91116[[#This Row],[CODIGO DEL PRODUCTO]],Tabla797[],2,FALSE)</f>
        <v>PIEDRA 0-6</v>
      </c>
      <c r="T1238" s="37">
        <v>35.619999999999997</v>
      </c>
    </row>
    <row r="1239" spans="15:20" x14ac:dyDescent="0.25">
      <c r="O1239" s="76">
        <v>109515</v>
      </c>
      <c r="P1239" s="78" t="s">
        <v>684</v>
      </c>
      <c r="Q1239" s="77">
        <v>46170</v>
      </c>
      <c r="R1239" s="78" t="s">
        <v>43</v>
      </c>
      <c r="S1239" s="36" t="str">
        <f>VLOOKUP(Tabla91116[[#This Row],[CODIGO DEL PRODUCTO]],Tabla797[],2,FALSE)</f>
        <v>PIEDRA 6-20</v>
      </c>
      <c r="T1239" s="37">
        <v>35.520000000000003</v>
      </c>
    </row>
    <row r="1240" spans="15:20" x14ac:dyDescent="0.25">
      <c r="O1240" s="76">
        <v>158576</v>
      </c>
      <c r="P1240" s="78" t="s">
        <v>679</v>
      </c>
      <c r="Q1240" s="77">
        <v>46170</v>
      </c>
      <c r="R1240" s="78" t="s">
        <v>43</v>
      </c>
      <c r="S1240" s="36" t="str">
        <f>VLOOKUP(Tabla91116[[#This Row],[CODIGO DEL PRODUCTO]],Tabla797[],2,FALSE)</f>
        <v>PIEDRA 6-20</v>
      </c>
      <c r="T1240" s="37">
        <v>34.979999999999997</v>
      </c>
    </row>
    <row r="1241" spans="15:20" x14ac:dyDescent="0.25">
      <c r="O1241" s="76">
        <v>158587</v>
      </c>
      <c r="P1241" s="78" t="s">
        <v>679</v>
      </c>
      <c r="Q1241" s="77">
        <v>46170</v>
      </c>
      <c r="R1241" s="78" t="s">
        <v>43</v>
      </c>
      <c r="S1241" s="36" t="str">
        <f>VLOOKUP(Tabla91116[[#This Row],[CODIGO DEL PRODUCTO]],Tabla797[],2,FALSE)</f>
        <v>PIEDRA 6-20</v>
      </c>
      <c r="T1241" s="37">
        <v>36.159999999999997</v>
      </c>
    </row>
    <row r="1242" spans="15:20" x14ac:dyDescent="0.25">
      <c r="O1242" s="76">
        <v>158592</v>
      </c>
      <c r="P1242" s="78" t="s">
        <v>679</v>
      </c>
      <c r="Q1242" s="77">
        <v>46170</v>
      </c>
      <c r="R1242" s="78" t="s">
        <v>43</v>
      </c>
      <c r="S1242" s="36" t="str">
        <f>VLOOKUP(Tabla91116[[#This Row],[CODIGO DEL PRODUCTO]],Tabla797[],2,FALSE)</f>
        <v>PIEDRA 6-20</v>
      </c>
      <c r="T1242" s="37">
        <v>35.14</v>
      </c>
    </row>
    <row r="1243" spans="15:20" x14ac:dyDescent="0.25">
      <c r="O1243" s="76">
        <v>158628</v>
      </c>
      <c r="P1243" s="78" t="s">
        <v>679</v>
      </c>
      <c r="Q1243" s="77">
        <v>46170</v>
      </c>
      <c r="R1243" s="78" t="s">
        <v>43</v>
      </c>
      <c r="S1243" s="36" t="str">
        <f>VLOOKUP(Tabla91116[[#This Row],[CODIGO DEL PRODUCTO]],Tabla797[],2,FALSE)</f>
        <v>PIEDRA 6-20</v>
      </c>
      <c r="T1243" s="37">
        <v>35.840000000000003</v>
      </c>
    </row>
    <row r="1244" spans="15:20" x14ac:dyDescent="0.25">
      <c r="O1244" s="76">
        <v>158640</v>
      </c>
      <c r="P1244" s="78" t="s">
        <v>679</v>
      </c>
      <c r="Q1244" s="77">
        <v>46170</v>
      </c>
      <c r="R1244" s="78" t="s">
        <v>43</v>
      </c>
      <c r="S1244" s="36" t="str">
        <f>VLOOKUP(Tabla91116[[#This Row],[CODIGO DEL PRODUCTO]],Tabla797[],2,FALSE)</f>
        <v>PIEDRA 6-20</v>
      </c>
      <c r="T1244" s="37">
        <v>35.32</v>
      </c>
    </row>
    <row r="1245" spans="15:20" x14ac:dyDescent="0.25">
      <c r="O1245" s="76">
        <v>2710954</v>
      </c>
      <c r="P1245" s="78" t="s">
        <v>679</v>
      </c>
      <c r="Q1245" s="77">
        <v>46170</v>
      </c>
      <c r="R1245" s="78" t="s">
        <v>286</v>
      </c>
      <c r="S1245" s="36" t="str">
        <f>VLOOKUP(Tabla91116[[#This Row],[CODIGO DEL PRODUCTO]],Tabla797[],2,FALSE)</f>
        <v>CPF 40 AVELLANEDA</v>
      </c>
      <c r="T1245" s="37">
        <v>35.72</v>
      </c>
    </row>
    <row r="1246" spans="15:20" x14ac:dyDescent="0.25">
      <c r="O1246" s="76">
        <v>2710993</v>
      </c>
      <c r="P1246" s="78" t="s">
        <v>679</v>
      </c>
      <c r="Q1246" s="77">
        <v>46170</v>
      </c>
      <c r="R1246" s="78" t="s">
        <v>286</v>
      </c>
      <c r="S1246" s="36" t="str">
        <f>VLOOKUP(Tabla91116[[#This Row],[CODIGO DEL PRODUCTO]],Tabla797[],2,FALSE)</f>
        <v>CPF 40 AVELLANEDA</v>
      </c>
      <c r="T1246" s="37">
        <v>36.42</v>
      </c>
    </row>
    <row r="1247" spans="15:20" x14ac:dyDescent="0.25">
      <c r="O1247" s="76">
        <v>46446</v>
      </c>
      <c r="P1247" s="78" t="s">
        <v>449</v>
      </c>
      <c r="Q1247" s="77">
        <v>46171</v>
      </c>
      <c r="R1247" s="78" t="s">
        <v>450</v>
      </c>
      <c r="S1247" s="36" t="str">
        <f>VLOOKUP(Tabla91116[[#This Row],[CODIGO DEL PRODUCTO]],Tabla797[],2,FALSE)</f>
        <v>W500R</v>
      </c>
      <c r="T1247" s="37">
        <v>1</v>
      </c>
    </row>
    <row r="1248" spans="15:20" x14ac:dyDescent="0.25">
      <c r="O1248" s="76">
        <v>46530</v>
      </c>
      <c r="P1248" s="78" t="s">
        <v>449</v>
      </c>
      <c r="Q1248" s="77">
        <v>46171</v>
      </c>
      <c r="R1248" s="78" t="s">
        <v>425</v>
      </c>
      <c r="S1248" s="36" t="str">
        <f>VLOOKUP(Tabla91116[[#This Row],[CODIGO DEL PRODUCTO]],Tabla797[],2,FALSE)</f>
        <v>W351R</v>
      </c>
      <c r="T1248" s="37">
        <v>2</v>
      </c>
    </row>
    <row r="1249" spans="15:20" x14ac:dyDescent="0.25">
      <c r="O1249" s="76">
        <v>46531</v>
      </c>
      <c r="P1249" s="78" t="s">
        <v>449</v>
      </c>
      <c r="Q1249" s="77">
        <v>46171</v>
      </c>
      <c r="R1249" s="78" t="s">
        <v>425</v>
      </c>
      <c r="S1249" s="36" t="str">
        <f>VLOOKUP(Tabla91116[[#This Row],[CODIGO DEL PRODUCTO]],Tabla797[],2,FALSE)</f>
        <v>W351R</v>
      </c>
      <c r="T1249" s="37">
        <v>2</v>
      </c>
    </row>
    <row r="1250" spans="15:20" x14ac:dyDescent="0.25">
      <c r="O1250" s="76">
        <v>104453</v>
      </c>
      <c r="P1250" s="78" t="s">
        <v>683</v>
      </c>
      <c r="Q1250" s="77">
        <v>46171</v>
      </c>
      <c r="R1250" s="78" t="s">
        <v>42</v>
      </c>
      <c r="S1250" s="36" t="str">
        <f>VLOOKUP(Tabla91116[[#This Row],[CODIGO DEL PRODUCTO]],Tabla797[],2,FALSE)</f>
        <v>ARENA FINA</v>
      </c>
      <c r="T1250" s="37">
        <v>34.46</v>
      </c>
    </row>
    <row r="1251" spans="15:20" x14ac:dyDescent="0.25">
      <c r="O1251" s="76">
        <v>104460</v>
      </c>
      <c r="P1251" s="78" t="s">
        <v>683</v>
      </c>
      <c r="Q1251" s="77">
        <v>46171</v>
      </c>
      <c r="R1251" s="78" t="s">
        <v>42</v>
      </c>
      <c r="S1251" s="36" t="str">
        <f>VLOOKUP(Tabla91116[[#This Row],[CODIGO DEL PRODUCTO]],Tabla797[],2,FALSE)</f>
        <v>ARENA FINA</v>
      </c>
      <c r="T1251" s="37">
        <v>35.28</v>
      </c>
    </row>
    <row r="1252" spans="15:20" x14ac:dyDescent="0.25">
      <c r="O1252" s="76">
        <v>40620</v>
      </c>
      <c r="P1252" s="78" t="s">
        <v>149</v>
      </c>
      <c r="Q1252" s="77">
        <v>46171</v>
      </c>
      <c r="R1252" s="78" t="s">
        <v>42</v>
      </c>
      <c r="S1252" s="36" t="str">
        <f>VLOOKUP(Tabla91116[[#This Row],[CODIGO DEL PRODUCTO]],Tabla797[],2,FALSE)</f>
        <v>ARENA FINA</v>
      </c>
      <c r="T1252" s="37">
        <v>36.94</v>
      </c>
    </row>
    <row r="1253" spans="15:20" x14ac:dyDescent="0.25">
      <c r="O1253" s="76">
        <v>40627</v>
      </c>
      <c r="P1253" s="78" t="s">
        <v>149</v>
      </c>
      <c r="Q1253" s="77">
        <v>46171</v>
      </c>
      <c r="R1253" s="78" t="s">
        <v>42</v>
      </c>
      <c r="S1253" s="36" t="str">
        <f>VLOOKUP(Tabla91116[[#This Row],[CODIGO DEL PRODUCTO]],Tabla797[],2,FALSE)</f>
        <v>ARENA FINA</v>
      </c>
      <c r="T1253" s="37">
        <v>24.78</v>
      </c>
    </row>
    <row r="1254" spans="15:20" x14ac:dyDescent="0.25">
      <c r="O1254" s="76">
        <v>40628</v>
      </c>
      <c r="P1254" s="78" t="s">
        <v>149</v>
      </c>
      <c r="Q1254" s="77">
        <v>46171</v>
      </c>
      <c r="R1254" s="78" t="s">
        <v>42</v>
      </c>
      <c r="S1254" s="36" t="str">
        <f>VLOOKUP(Tabla91116[[#This Row],[CODIGO DEL PRODUCTO]],Tabla797[],2,FALSE)</f>
        <v>ARENA FINA</v>
      </c>
      <c r="T1254" s="37">
        <v>23.72</v>
      </c>
    </row>
    <row r="1255" spans="15:20" x14ac:dyDescent="0.25">
      <c r="O1255" s="76">
        <v>40631</v>
      </c>
      <c r="P1255" s="78" t="s">
        <v>149</v>
      </c>
      <c r="Q1255" s="77">
        <v>46171</v>
      </c>
      <c r="R1255" s="78" t="s">
        <v>42</v>
      </c>
      <c r="S1255" s="36" t="str">
        <f>VLOOKUP(Tabla91116[[#This Row],[CODIGO DEL PRODUCTO]],Tabla797[],2,FALSE)</f>
        <v>ARENA FINA</v>
      </c>
      <c r="T1255" s="37">
        <v>37.28</v>
      </c>
    </row>
    <row r="1256" spans="15:20" x14ac:dyDescent="0.25">
      <c r="O1256" s="76">
        <v>40634</v>
      </c>
      <c r="P1256" s="78" t="s">
        <v>149</v>
      </c>
      <c r="Q1256" s="77">
        <v>46171</v>
      </c>
      <c r="R1256" s="78" t="s">
        <v>42</v>
      </c>
      <c r="S1256" s="36" t="str">
        <f>VLOOKUP(Tabla91116[[#This Row],[CODIGO DEL PRODUCTO]],Tabla797[],2,FALSE)</f>
        <v>ARENA FINA</v>
      </c>
      <c r="T1256" s="37">
        <v>24.66</v>
      </c>
    </row>
    <row r="1257" spans="15:20" x14ac:dyDescent="0.25">
      <c r="O1257" s="76">
        <v>109524</v>
      </c>
      <c r="P1257" s="78" t="s">
        <v>684</v>
      </c>
      <c r="Q1257" s="77">
        <v>46171</v>
      </c>
      <c r="R1257" s="78" t="s">
        <v>40</v>
      </c>
      <c r="S1257" s="36" t="str">
        <f>VLOOKUP(Tabla91116[[#This Row],[CODIGO DEL PRODUCTO]],Tabla797[],2,FALSE)</f>
        <v>PIEDRA 0-6</v>
      </c>
      <c r="T1257" s="37">
        <v>35.18</v>
      </c>
    </row>
    <row r="1258" spans="15:20" x14ac:dyDescent="0.25">
      <c r="O1258" s="76">
        <v>109526</v>
      </c>
      <c r="P1258" s="78" t="s">
        <v>684</v>
      </c>
      <c r="Q1258" s="77">
        <v>46171</v>
      </c>
      <c r="R1258" s="78" t="s">
        <v>40</v>
      </c>
      <c r="S1258" s="36" t="str">
        <f>VLOOKUP(Tabla91116[[#This Row],[CODIGO DEL PRODUCTO]],Tabla797[],2,FALSE)</f>
        <v>PIEDRA 0-6</v>
      </c>
      <c r="T1258" s="37">
        <v>33.799999999999997</v>
      </c>
    </row>
    <row r="1259" spans="15:20" x14ac:dyDescent="0.25">
      <c r="O1259" s="76">
        <v>109529</v>
      </c>
      <c r="P1259" s="78" t="s">
        <v>684</v>
      </c>
      <c r="Q1259" s="77">
        <v>46171</v>
      </c>
      <c r="R1259" s="78" t="s">
        <v>40</v>
      </c>
      <c r="S1259" s="36" t="str">
        <f>VLOOKUP(Tabla91116[[#This Row],[CODIGO DEL PRODUCTO]],Tabla797[],2,FALSE)</f>
        <v>PIEDRA 0-6</v>
      </c>
      <c r="T1259" s="37">
        <v>34.36</v>
      </c>
    </row>
    <row r="1260" spans="15:20" x14ac:dyDescent="0.25">
      <c r="O1260" s="76">
        <v>109532</v>
      </c>
      <c r="P1260" s="78" t="s">
        <v>684</v>
      </c>
      <c r="Q1260" s="77">
        <v>46171</v>
      </c>
      <c r="R1260" s="78" t="s">
        <v>40</v>
      </c>
      <c r="S1260" s="36" t="str">
        <f>VLOOKUP(Tabla91116[[#This Row],[CODIGO DEL PRODUCTO]],Tabla797[],2,FALSE)</f>
        <v>PIEDRA 0-6</v>
      </c>
      <c r="T1260" s="37">
        <v>34.479999999999997</v>
      </c>
    </row>
    <row r="1261" spans="15:20" x14ac:dyDescent="0.25">
      <c r="O1261" s="76">
        <v>109533</v>
      </c>
      <c r="P1261" s="78" t="s">
        <v>684</v>
      </c>
      <c r="Q1261" s="77">
        <v>46171</v>
      </c>
      <c r="R1261" s="78" t="s">
        <v>43</v>
      </c>
      <c r="S1261" s="36" t="str">
        <f>VLOOKUP(Tabla91116[[#This Row],[CODIGO DEL PRODUCTO]],Tabla797[],2,FALSE)</f>
        <v>PIEDRA 6-20</v>
      </c>
      <c r="T1261" s="37">
        <v>34.82</v>
      </c>
    </row>
    <row r="1262" spans="15:20" x14ac:dyDescent="0.25">
      <c r="O1262" s="76">
        <v>109537</v>
      </c>
      <c r="P1262" s="78" t="s">
        <v>684</v>
      </c>
      <c r="Q1262" s="77">
        <v>46171</v>
      </c>
      <c r="R1262" s="78" t="s">
        <v>40</v>
      </c>
      <c r="S1262" s="36" t="str">
        <f>VLOOKUP(Tabla91116[[#This Row],[CODIGO DEL PRODUCTO]],Tabla797[],2,FALSE)</f>
        <v>PIEDRA 0-6</v>
      </c>
      <c r="T1262" s="37">
        <v>34.58</v>
      </c>
    </row>
    <row r="1263" spans="15:20" x14ac:dyDescent="0.25">
      <c r="O1263" s="76">
        <v>109538</v>
      </c>
      <c r="P1263" s="78" t="s">
        <v>684</v>
      </c>
      <c r="Q1263" s="77">
        <v>46171</v>
      </c>
      <c r="R1263" s="78" t="s">
        <v>43</v>
      </c>
      <c r="S1263" s="36" t="str">
        <f>VLOOKUP(Tabla91116[[#This Row],[CODIGO DEL PRODUCTO]],Tabla797[],2,FALSE)</f>
        <v>PIEDRA 6-20</v>
      </c>
      <c r="T1263" s="37">
        <v>34.619999999999997</v>
      </c>
    </row>
    <row r="1264" spans="15:20" x14ac:dyDescent="0.25">
      <c r="O1264" s="76">
        <v>158647</v>
      </c>
      <c r="P1264" s="78" t="s">
        <v>679</v>
      </c>
      <c r="Q1264" s="77">
        <v>46171</v>
      </c>
      <c r="R1264" s="78" t="s">
        <v>43</v>
      </c>
      <c r="S1264" s="36" t="str">
        <f>VLOOKUP(Tabla91116[[#This Row],[CODIGO DEL PRODUCTO]],Tabla797[],2,FALSE)</f>
        <v>PIEDRA 6-20</v>
      </c>
      <c r="T1264" s="37">
        <v>36.32</v>
      </c>
    </row>
    <row r="1265" spans="15:20" x14ac:dyDescent="0.25">
      <c r="O1265" s="76">
        <v>158650</v>
      </c>
      <c r="P1265" s="78" t="s">
        <v>679</v>
      </c>
      <c r="Q1265" s="77">
        <v>46171</v>
      </c>
      <c r="R1265" s="78" t="s">
        <v>43</v>
      </c>
      <c r="S1265" s="36" t="str">
        <f>VLOOKUP(Tabla91116[[#This Row],[CODIGO DEL PRODUCTO]],Tabla797[],2,FALSE)</f>
        <v>PIEDRA 6-20</v>
      </c>
      <c r="T1265" s="37">
        <v>36.200000000000003</v>
      </c>
    </row>
    <row r="1266" spans="15:20" x14ac:dyDescent="0.25">
      <c r="O1266" s="76">
        <v>158651</v>
      </c>
      <c r="P1266" s="78" t="s">
        <v>679</v>
      </c>
      <c r="Q1266" s="77">
        <v>46171</v>
      </c>
      <c r="R1266" s="78" t="s">
        <v>43</v>
      </c>
      <c r="S1266" s="36" t="str">
        <f>VLOOKUP(Tabla91116[[#This Row],[CODIGO DEL PRODUCTO]],Tabla797[],2,FALSE)</f>
        <v>PIEDRA 6-20</v>
      </c>
      <c r="T1266" s="37">
        <v>35.94</v>
      </c>
    </row>
    <row r="1267" spans="15:20" x14ac:dyDescent="0.25">
      <c r="O1267" s="76">
        <v>158681</v>
      </c>
      <c r="P1267" s="78" t="s">
        <v>679</v>
      </c>
      <c r="Q1267" s="77">
        <v>46171</v>
      </c>
      <c r="R1267" s="78" t="s">
        <v>43</v>
      </c>
      <c r="S1267" s="36" t="str">
        <f>VLOOKUP(Tabla91116[[#This Row],[CODIGO DEL PRODUCTO]],Tabla797[],2,FALSE)</f>
        <v>PIEDRA 6-20</v>
      </c>
      <c r="T1267" s="37">
        <v>35.83</v>
      </c>
    </row>
    <row r="1268" spans="15:20" x14ac:dyDescent="0.25">
      <c r="O1268" s="76">
        <v>158683</v>
      </c>
      <c r="P1268" s="78" t="s">
        <v>679</v>
      </c>
      <c r="Q1268" s="77">
        <v>46171</v>
      </c>
      <c r="R1268" s="78" t="s">
        <v>43</v>
      </c>
      <c r="S1268" s="36" t="str">
        <f>VLOOKUP(Tabla91116[[#This Row],[CODIGO DEL PRODUCTO]],Tabla797[],2,FALSE)</f>
        <v>PIEDRA 6-20</v>
      </c>
      <c r="T1268" s="37">
        <v>35.020000000000003</v>
      </c>
    </row>
    <row r="1269" spans="15:20" x14ac:dyDescent="0.25">
      <c r="O1269" s="76">
        <v>158698</v>
      </c>
      <c r="P1269" s="78" t="s">
        <v>679</v>
      </c>
      <c r="Q1269" s="77">
        <v>46171</v>
      </c>
      <c r="R1269" s="78" t="s">
        <v>43</v>
      </c>
      <c r="S1269" s="36" t="str">
        <f>VLOOKUP(Tabla91116[[#This Row],[CODIGO DEL PRODUCTO]],Tabla797[],2,FALSE)</f>
        <v>PIEDRA 6-20</v>
      </c>
      <c r="T1269" s="37">
        <v>34.78</v>
      </c>
    </row>
    <row r="1270" spans="15:20" x14ac:dyDescent="0.25">
      <c r="O1270" s="76">
        <v>158717</v>
      </c>
      <c r="P1270" s="78" t="s">
        <v>679</v>
      </c>
      <c r="Q1270" s="77">
        <v>46171</v>
      </c>
      <c r="R1270" s="78" t="s">
        <v>43</v>
      </c>
      <c r="S1270" s="36" t="str">
        <f>VLOOKUP(Tabla91116[[#This Row],[CODIGO DEL PRODUCTO]],Tabla797[],2,FALSE)</f>
        <v>PIEDRA 6-20</v>
      </c>
      <c r="T1270" s="37">
        <v>35.520000000000003</v>
      </c>
    </row>
    <row r="1271" spans="15:20" x14ac:dyDescent="0.25">
      <c r="O1271" s="76">
        <v>2711201</v>
      </c>
      <c r="P1271" s="78" t="s">
        <v>679</v>
      </c>
      <c r="Q1271" s="77">
        <v>46171</v>
      </c>
      <c r="R1271" s="78" t="s">
        <v>286</v>
      </c>
      <c r="S1271" s="36" t="str">
        <f>VLOOKUP(Tabla91116[[#This Row],[CODIGO DEL PRODUCTO]],Tabla797[],2,FALSE)</f>
        <v>CPF 40 AVELLANEDA</v>
      </c>
      <c r="T1271" s="37">
        <v>35.58</v>
      </c>
    </row>
    <row r="1272" spans="15:20" x14ac:dyDescent="0.25">
      <c r="O1272" s="76">
        <v>2711289</v>
      </c>
      <c r="P1272" s="78" t="s">
        <v>679</v>
      </c>
      <c r="Q1272" s="77">
        <v>46171</v>
      </c>
      <c r="R1272" s="78" t="s">
        <v>286</v>
      </c>
      <c r="S1272" s="36" t="str">
        <f>VLOOKUP(Tabla91116[[#This Row],[CODIGO DEL PRODUCTO]],Tabla797[],2,FALSE)</f>
        <v>CPF 40 AVELLANEDA</v>
      </c>
      <c r="T1272" s="37">
        <v>35.659999999999997</v>
      </c>
    </row>
    <row r="1273" spans="15:20" x14ac:dyDescent="0.25">
      <c r="O1273" s="76">
        <v>2711341</v>
      </c>
      <c r="P1273" s="78" t="s">
        <v>679</v>
      </c>
      <c r="Q1273" s="77">
        <v>46171</v>
      </c>
      <c r="R1273" s="78" t="s">
        <v>286</v>
      </c>
      <c r="S1273" s="36" t="str">
        <f>VLOOKUP(Tabla91116[[#This Row],[CODIGO DEL PRODUCTO]],Tabla797[],2,FALSE)</f>
        <v>CPF 40 AVELLANEDA</v>
      </c>
      <c r="T1273" s="37">
        <v>36.04</v>
      </c>
    </row>
    <row r="1274" spans="15:20" x14ac:dyDescent="0.25">
      <c r="O1274" s="76">
        <v>40637</v>
      </c>
      <c r="P1274" s="78" t="s">
        <v>149</v>
      </c>
      <c r="Q1274" s="77">
        <v>46172</v>
      </c>
      <c r="R1274" s="78" t="s">
        <v>42</v>
      </c>
      <c r="S1274" s="36" t="str">
        <f>VLOOKUP(Tabla91116[[#This Row],[CODIGO DEL PRODUCTO]],Tabla797[],2,FALSE)</f>
        <v>ARENA FINA</v>
      </c>
      <c r="T1274" s="37">
        <v>20.94</v>
      </c>
    </row>
    <row r="1275" spans="15:20" x14ac:dyDescent="0.25">
      <c r="O1275" s="76">
        <v>40644</v>
      </c>
      <c r="P1275" s="78" t="s">
        <v>149</v>
      </c>
      <c r="Q1275" s="77">
        <v>46172</v>
      </c>
      <c r="R1275" s="78" t="s">
        <v>42</v>
      </c>
      <c r="S1275" s="36" t="str">
        <f>VLOOKUP(Tabla91116[[#This Row],[CODIGO DEL PRODUCTO]],Tabla797[],2,FALSE)</f>
        <v>ARENA FINA</v>
      </c>
      <c r="T1275" s="37">
        <v>36.04</v>
      </c>
    </row>
    <row r="1276" spans="15:20" x14ac:dyDescent="0.25">
      <c r="O1276" s="76">
        <v>158726</v>
      </c>
      <c r="P1276" s="78" t="s">
        <v>679</v>
      </c>
      <c r="Q1276" s="77">
        <v>46172</v>
      </c>
      <c r="R1276" s="78" t="s">
        <v>43</v>
      </c>
      <c r="S1276" s="36" t="str">
        <f>VLOOKUP(Tabla91116[[#This Row],[CODIGO DEL PRODUCTO]],Tabla797[],2,FALSE)</f>
        <v>PIEDRA 6-20</v>
      </c>
      <c r="T1276" s="37">
        <v>35.380000000000003</v>
      </c>
    </row>
    <row r="1277" spans="15:20" x14ac:dyDescent="0.25">
      <c r="O1277" s="76">
        <v>158728</v>
      </c>
      <c r="P1277" s="78" t="s">
        <v>679</v>
      </c>
      <c r="Q1277" s="77">
        <v>46172</v>
      </c>
      <c r="R1277" s="78" t="s">
        <v>43</v>
      </c>
      <c r="S1277" s="36" t="str">
        <f>VLOOKUP(Tabla91116[[#This Row],[CODIGO DEL PRODUCTO]],Tabla797[],2,FALSE)</f>
        <v>PIEDRA 6-20</v>
      </c>
      <c r="T1277" s="37">
        <v>35.14</v>
      </c>
    </row>
    <row r="1278" spans="15:20" x14ac:dyDescent="0.25">
      <c r="O1278" s="76">
        <v>158733</v>
      </c>
      <c r="P1278" s="78" t="s">
        <v>679</v>
      </c>
      <c r="Q1278" s="77">
        <v>46172</v>
      </c>
      <c r="R1278" s="78" t="s">
        <v>43</v>
      </c>
      <c r="S1278" s="36" t="str">
        <f>VLOOKUP(Tabla91116[[#This Row],[CODIGO DEL PRODUCTO]],Tabla797[],2,FALSE)</f>
        <v>PIEDRA 6-20</v>
      </c>
      <c r="T1278" s="37">
        <v>35.4</v>
      </c>
    </row>
    <row r="1279" spans="15:20" x14ac:dyDescent="0.25">
      <c r="O1279" s="76">
        <v>158751</v>
      </c>
      <c r="P1279" s="78" t="s">
        <v>679</v>
      </c>
      <c r="Q1279" s="77">
        <v>46172</v>
      </c>
      <c r="R1279" s="78" t="s">
        <v>43</v>
      </c>
      <c r="S1279" s="36" t="str">
        <f>VLOOKUP(Tabla91116[[#This Row],[CODIGO DEL PRODUCTO]],Tabla797[],2,FALSE)</f>
        <v>PIEDRA 6-20</v>
      </c>
      <c r="T1279" s="37">
        <v>35.520000000000003</v>
      </c>
    </row>
    <row r="1280" spans="15:20" x14ac:dyDescent="0.25">
      <c r="O1280" s="76">
        <v>2711540</v>
      </c>
      <c r="P1280" s="78" t="s">
        <v>679</v>
      </c>
      <c r="Q1280" s="77">
        <v>46172</v>
      </c>
      <c r="R1280" s="78" t="s">
        <v>286</v>
      </c>
      <c r="S1280" s="36" t="str">
        <f>VLOOKUP(Tabla91116[[#This Row],[CODIGO DEL PRODUCTO]],Tabla797[],2,FALSE)</f>
        <v>CPF 40 AVELLANEDA</v>
      </c>
      <c r="T1280" s="37">
        <v>36.72</v>
      </c>
    </row>
    <row r="1281" spans="15:20" x14ac:dyDescent="0.25">
      <c r="O1281" s="76">
        <v>2711542</v>
      </c>
      <c r="P1281" s="78" t="s">
        <v>679</v>
      </c>
      <c r="Q1281" s="77">
        <v>46172</v>
      </c>
      <c r="R1281" s="78" t="s">
        <v>286</v>
      </c>
      <c r="S1281" s="36" t="str">
        <f>VLOOKUP(Tabla91116[[#This Row],[CODIGO DEL PRODUCTO]],Tabla797[],2,FALSE)</f>
        <v>CPF 40 AVELLANEDA</v>
      </c>
      <c r="T1281" s="37">
        <v>35.64</v>
      </c>
    </row>
    <row r="1282" spans="15:20" x14ac:dyDescent="0.25">
      <c r="O1282" s="76">
        <v>104466</v>
      </c>
      <c r="P1282" s="78" t="s">
        <v>683</v>
      </c>
      <c r="Q1282" s="77">
        <v>46174</v>
      </c>
      <c r="R1282" s="78" t="s">
        <v>42</v>
      </c>
      <c r="S1282" s="36" t="str">
        <f>VLOOKUP(Tabla91116[[#This Row],[CODIGO DEL PRODUCTO]],Tabla797[],2,FALSE)</f>
        <v>ARENA FINA</v>
      </c>
      <c r="T1282" s="37">
        <v>35.1</v>
      </c>
    </row>
    <row r="1283" spans="15:20" x14ac:dyDescent="0.25">
      <c r="O1283" s="76">
        <v>104469</v>
      </c>
      <c r="P1283" s="78" t="s">
        <v>683</v>
      </c>
      <c r="Q1283" s="77">
        <v>46174</v>
      </c>
      <c r="R1283" s="78" t="s">
        <v>42</v>
      </c>
      <c r="S1283" s="36" t="str">
        <f>VLOOKUP(Tabla91116[[#This Row],[CODIGO DEL PRODUCTO]],Tabla797[],2,FALSE)</f>
        <v>ARENA FINA</v>
      </c>
      <c r="T1283" s="37">
        <v>36.14</v>
      </c>
    </row>
    <row r="1284" spans="15:20" x14ac:dyDescent="0.25">
      <c r="O1284" s="76">
        <v>40652</v>
      </c>
      <c r="P1284" s="78" t="s">
        <v>149</v>
      </c>
      <c r="Q1284" s="77">
        <v>46174</v>
      </c>
      <c r="R1284" s="78" t="s">
        <v>42</v>
      </c>
      <c r="S1284" s="36" t="str">
        <f>VLOOKUP(Tabla91116[[#This Row],[CODIGO DEL PRODUCTO]],Tabla797[],2,FALSE)</f>
        <v>ARENA FINA</v>
      </c>
      <c r="T1284" s="37">
        <v>38.700000000000003</v>
      </c>
    </row>
    <row r="1285" spans="15:20" x14ac:dyDescent="0.25">
      <c r="O1285" s="76">
        <v>40661</v>
      </c>
      <c r="P1285" s="78" t="s">
        <v>149</v>
      </c>
      <c r="Q1285" s="77">
        <v>46174</v>
      </c>
      <c r="R1285" s="78" t="s">
        <v>42</v>
      </c>
      <c r="S1285" s="36" t="str">
        <f>VLOOKUP(Tabla91116[[#This Row],[CODIGO DEL PRODUCTO]],Tabla797[],2,FALSE)</f>
        <v>ARENA FINA</v>
      </c>
      <c r="T1285" s="37">
        <v>38.36</v>
      </c>
    </row>
    <row r="1286" spans="15:20" x14ac:dyDescent="0.25">
      <c r="O1286" s="76">
        <v>109554</v>
      </c>
      <c r="P1286" s="78" t="s">
        <v>684</v>
      </c>
      <c r="Q1286" s="77">
        <v>46174</v>
      </c>
      <c r="R1286" s="78" t="s">
        <v>40</v>
      </c>
      <c r="S1286" s="36" t="str">
        <f>VLOOKUP(Tabla91116[[#This Row],[CODIGO DEL PRODUCTO]],Tabla797[],2,FALSE)</f>
        <v>PIEDRA 0-6</v>
      </c>
      <c r="T1286" s="37">
        <v>33.92</v>
      </c>
    </row>
    <row r="1287" spans="15:20" x14ac:dyDescent="0.25">
      <c r="O1287" s="76">
        <v>109555</v>
      </c>
      <c r="P1287" s="78" t="s">
        <v>684</v>
      </c>
      <c r="Q1287" s="77">
        <v>46174</v>
      </c>
      <c r="R1287" s="78" t="s">
        <v>40</v>
      </c>
      <c r="S1287" s="36" t="str">
        <f>VLOOKUP(Tabla91116[[#This Row],[CODIGO DEL PRODUCTO]],Tabla797[],2,FALSE)</f>
        <v>PIEDRA 0-6</v>
      </c>
      <c r="T1287" s="37">
        <v>35.96</v>
      </c>
    </row>
    <row r="1288" spans="15:20" x14ac:dyDescent="0.25">
      <c r="O1288" s="76">
        <v>109562</v>
      </c>
      <c r="P1288" s="78" t="s">
        <v>684</v>
      </c>
      <c r="Q1288" s="77">
        <v>46174</v>
      </c>
      <c r="R1288" s="78" t="s">
        <v>43</v>
      </c>
      <c r="S1288" s="36" t="str">
        <f>VLOOKUP(Tabla91116[[#This Row],[CODIGO DEL PRODUCTO]],Tabla797[],2,FALSE)</f>
        <v>PIEDRA 6-20</v>
      </c>
      <c r="T1288" s="37">
        <v>34.54</v>
      </c>
    </row>
    <row r="1289" spans="15:20" x14ac:dyDescent="0.25">
      <c r="O1289" s="76">
        <v>109564</v>
      </c>
      <c r="P1289" s="78" t="s">
        <v>684</v>
      </c>
      <c r="Q1289" s="77">
        <v>46174</v>
      </c>
      <c r="R1289" s="78" t="s">
        <v>43</v>
      </c>
      <c r="S1289" s="36" t="str">
        <f>VLOOKUP(Tabla91116[[#This Row],[CODIGO DEL PRODUCTO]],Tabla797[],2,FALSE)</f>
        <v>PIEDRA 6-20</v>
      </c>
      <c r="T1289" s="37">
        <v>34.299999999999997</v>
      </c>
    </row>
    <row r="1290" spans="15:20" x14ac:dyDescent="0.25">
      <c r="O1290" s="76">
        <v>109565</v>
      </c>
      <c r="P1290" s="78" t="s">
        <v>684</v>
      </c>
      <c r="Q1290" s="77">
        <v>46174</v>
      </c>
      <c r="R1290" s="78" t="s">
        <v>40</v>
      </c>
      <c r="S1290" s="36" t="str">
        <f>VLOOKUP(Tabla91116[[#This Row],[CODIGO DEL PRODUCTO]],Tabla797[],2,FALSE)</f>
        <v>PIEDRA 0-6</v>
      </c>
      <c r="T1290" s="37">
        <v>34.979999999999997</v>
      </c>
    </row>
    <row r="1291" spans="15:20" x14ac:dyDescent="0.25">
      <c r="O1291" s="76">
        <v>158829</v>
      </c>
      <c r="P1291" s="78" t="s">
        <v>679</v>
      </c>
      <c r="Q1291" s="77">
        <v>46174</v>
      </c>
      <c r="R1291" s="78" t="s">
        <v>43</v>
      </c>
      <c r="S1291" s="36" t="str">
        <f>VLOOKUP(Tabla91116[[#This Row],[CODIGO DEL PRODUCTO]],Tabla797[],2,FALSE)</f>
        <v>PIEDRA 6-20</v>
      </c>
      <c r="T1291" s="37">
        <v>34.159999999999997</v>
      </c>
    </row>
    <row r="1292" spans="15:20" x14ac:dyDescent="0.25">
      <c r="O1292" s="76">
        <v>158862</v>
      </c>
      <c r="P1292" s="78" t="s">
        <v>679</v>
      </c>
      <c r="Q1292" s="77">
        <v>46174</v>
      </c>
      <c r="R1292" s="78" t="s">
        <v>43</v>
      </c>
      <c r="S1292" s="36" t="str">
        <f>VLOOKUP(Tabla91116[[#This Row],[CODIGO DEL PRODUCTO]],Tabla797[],2,FALSE)</f>
        <v>PIEDRA 6-20</v>
      </c>
      <c r="T1292" s="37">
        <v>35.08</v>
      </c>
    </row>
    <row r="1293" spans="15:20" x14ac:dyDescent="0.25">
      <c r="O1293" s="76">
        <v>158863</v>
      </c>
      <c r="P1293" s="78" t="s">
        <v>679</v>
      </c>
      <c r="Q1293" s="77">
        <v>46174</v>
      </c>
      <c r="R1293" s="78" t="s">
        <v>43</v>
      </c>
      <c r="S1293" s="36" t="str">
        <f>VLOOKUP(Tabla91116[[#This Row],[CODIGO DEL PRODUCTO]],Tabla797[],2,FALSE)</f>
        <v>PIEDRA 6-20</v>
      </c>
      <c r="T1293" s="37">
        <v>34.68</v>
      </c>
    </row>
    <row r="1294" spans="15:20" x14ac:dyDescent="0.25">
      <c r="O1294" s="76">
        <v>158864</v>
      </c>
      <c r="P1294" s="78" t="s">
        <v>679</v>
      </c>
      <c r="Q1294" s="77">
        <v>46174</v>
      </c>
      <c r="R1294" s="78" t="s">
        <v>43</v>
      </c>
      <c r="S1294" s="36" t="str">
        <f>VLOOKUP(Tabla91116[[#This Row],[CODIGO DEL PRODUCTO]],Tabla797[],2,FALSE)</f>
        <v>PIEDRA 6-20</v>
      </c>
      <c r="T1294" s="37">
        <v>36.06</v>
      </c>
    </row>
    <row r="1295" spans="15:20" x14ac:dyDescent="0.25">
      <c r="O1295" s="76">
        <v>158868</v>
      </c>
      <c r="P1295" s="78" t="s">
        <v>679</v>
      </c>
      <c r="Q1295" s="77">
        <v>46174</v>
      </c>
      <c r="R1295" s="78" t="s">
        <v>43</v>
      </c>
      <c r="S1295" s="36" t="str">
        <f>VLOOKUP(Tabla91116[[#This Row],[CODIGO DEL PRODUCTO]],Tabla797[],2,FALSE)</f>
        <v>PIEDRA 6-20</v>
      </c>
      <c r="T1295" s="37">
        <v>36.28</v>
      </c>
    </row>
    <row r="1296" spans="15:20" x14ac:dyDescent="0.25">
      <c r="O1296" s="76">
        <v>158870</v>
      </c>
      <c r="P1296" s="78" t="s">
        <v>679</v>
      </c>
      <c r="Q1296" s="77">
        <v>46174</v>
      </c>
      <c r="R1296" s="78" t="s">
        <v>43</v>
      </c>
      <c r="S1296" s="36" t="str">
        <f>VLOOKUP(Tabla91116[[#This Row],[CODIGO DEL PRODUCTO]],Tabla797[],2,FALSE)</f>
        <v>PIEDRA 6-20</v>
      </c>
      <c r="T1296" s="37">
        <v>35.04</v>
      </c>
    </row>
    <row r="1297" spans="15:20" x14ac:dyDescent="0.25">
      <c r="O1297" s="76">
        <v>158871</v>
      </c>
      <c r="P1297" s="78" t="s">
        <v>679</v>
      </c>
      <c r="Q1297" s="77">
        <v>46174</v>
      </c>
      <c r="R1297" s="78" t="s">
        <v>43</v>
      </c>
      <c r="S1297" s="36" t="str">
        <f>VLOOKUP(Tabla91116[[#This Row],[CODIGO DEL PRODUCTO]],Tabla797[],2,FALSE)</f>
        <v>PIEDRA 6-20</v>
      </c>
      <c r="T1297" s="37">
        <v>35.26</v>
      </c>
    </row>
    <row r="1298" spans="15:20" x14ac:dyDescent="0.25">
      <c r="O1298" s="76">
        <v>2711813</v>
      </c>
      <c r="P1298" s="78" t="s">
        <v>679</v>
      </c>
      <c r="Q1298" s="77">
        <v>46174</v>
      </c>
      <c r="R1298" s="78" t="s">
        <v>286</v>
      </c>
      <c r="S1298" s="36" t="str">
        <f>VLOOKUP(Tabla91116[[#This Row],[CODIGO DEL PRODUCTO]],Tabla797[],2,FALSE)</f>
        <v>CPF 40 AVELLANEDA</v>
      </c>
      <c r="T1298" s="37">
        <v>35.06</v>
      </c>
    </row>
    <row r="1299" spans="15:20" x14ac:dyDescent="0.25">
      <c r="O1299" s="76">
        <v>2711844</v>
      </c>
      <c r="P1299" s="78" t="s">
        <v>679</v>
      </c>
      <c r="Q1299" s="77">
        <v>46174</v>
      </c>
      <c r="R1299" s="78" t="s">
        <v>286</v>
      </c>
      <c r="S1299" s="36" t="str">
        <f>VLOOKUP(Tabla91116[[#This Row],[CODIGO DEL PRODUCTO]],Tabla797[],2,FALSE)</f>
        <v>CPF 40 AVELLANEDA</v>
      </c>
      <c r="T1299" s="37">
        <v>36.58</v>
      </c>
    </row>
    <row r="1300" spans="15:20" x14ac:dyDescent="0.25">
      <c r="O1300" s="76">
        <v>104474</v>
      </c>
      <c r="P1300" s="78" t="s">
        <v>683</v>
      </c>
      <c r="Q1300" s="77">
        <v>46175</v>
      </c>
      <c r="R1300" s="78" t="s">
        <v>42</v>
      </c>
      <c r="S1300" s="36" t="str">
        <f>VLOOKUP(Tabla91116[[#This Row],[CODIGO DEL PRODUCTO]],Tabla797[],2,FALSE)</f>
        <v>ARENA FINA</v>
      </c>
      <c r="T1300" s="37">
        <v>34.22</v>
      </c>
    </row>
    <row r="1301" spans="15:20" x14ac:dyDescent="0.25">
      <c r="O1301" s="76">
        <v>104479</v>
      </c>
      <c r="P1301" s="78" t="s">
        <v>683</v>
      </c>
      <c r="Q1301" s="77">
        <v>46175</v>
      </c>
      <c r="R1301" s="78" t="s">
        <v>42</v>
      </c>
      <c r="S1301" s="36" t="str">
        <f>VLOOKUP(Tabla91116[[#This Row],[CODIGO DEL PRODUCTO]],Tabla797[],2,FALSE)</f>
        <v>ARENA FINA</v>
      </c>
      <c r="T1301" s="37">
        <v>35.299999999999997</v>
      </c>
    </row>
    <row r="1302" spans="15:20" x14ac:dyDescent="0.25">
      <c r="O1302" s="76">
        <v>109569</v>
      </c>
      <c r="P1302" s="78" t="s">
        <v>684</v>
      </c>
      <c r="Q1302" s="77">
        <v>46175</v>
      </c>
      <c r="R1302" s="78" t="s">
        <v>40</v>
      </c>
      <c r="S1302" s="36" t="str">
        <f>VLOOKUP(Tabla91116[[#This Row],[CODIGO DEL PRODUCTO]],Tabla797[],2,FALSE)</f>
        <v>PIEDRA 0-6</v>
      </c>
      <c r="T1302" s="37">
        <v>34.200000000000003</v>
      </c>
    </row>
    <row r="1303" spans="15:20" x14ac:dyDescent="0.25">
      <c r="O1303" s="76">
        <v>109575</v>
      </c>
      <c r="P1303" s="78" t="s">
        <v>684</v>
      </c>
      <c r="Q1303" s="77">
        <v>46175</v>
      </c>
      <c r="R1303" s="78" t="s">
        <v>40</v>
      </c>
      <c r="S1303" s="36" t="str">
        <f>VLOOKUP(Tabla91116[[#This Row],[CODIGO DEL PRODUCTO]],Tabla797[],2,FALSE)</f>
        <v>PIEDRA 0-6</v>
      </c>
      <c r="T1303" s="37">
        <v>35</v>
      </c>
    </row>
    <row r="1304" spans="15:20" x14ac:dyDescent="0.25">
      <c r="O1304" s="76">
        <v>109577</v>
      </c>
      <c r="P1304" s="78" t="s">
        <v>684</v>
      </c>
      <c r="Q1304" s="77">
        <v>46175</v>
      </c>
      <c r="R1304" s="78" t="s">
        <v>40</v>
      </c>
      <c r="S1304" s="36" t="str">
        <f>VLOOKUP(Tabla91116[[#This Row],[CODIGO DEL PRODUCTO]],Tabla797[],2,FALSE)</f>
        <v>PIEDRA 0-6</v>
      </c>
      <c r="T1304" s="37">
        <v>35.28</v>
      </c>
    </row>
    <row r="1305" spans="15:20" x14ac:dyDescent="0.25">
      <c r="O1305" s="76">
        <v>109579</v>
      </c>
      <c r="P1305" s="78" t="s">
        <v>684</v>
      </c>
      <c r="Q1305" s="77">
        <v>46175</v>
      </c>
      <c r="R1305" s="78" t="s">
        <v>43</v>
      </c>
      <c r="S1305" s="36" t="str">
        <f>VLOOKUP(Tabla91116[[#This Row],[CODIGO DEL PRODUCTO]],Tabla797[],2,FALSE)</f>
        <v>PIEDRA 6-20</v>
      </c>
      <c r="T1305" s="37">
        <v>35.74</v>
      </c>
    </row>
    <row r="1306" spans="15:20" x14ac:dyDescent="0.25">
      <c r="O1306" s="76">
        <v>109585</v>
      </c>
      <c r="P1306" s="78" t="s">
        <v>684</v>
      </c>
      <c r="Q1306" s="77">
        <v>46175</v>
      </c>
      <c r="R1306" s="78" t="s">
        <v>43</v>
      </c>
      <c r="S1306" s="36" t="str">
        <f>VLOOKUP(Tabla91116[[#This Row],[CODIGO DEL PRODUCTO]],Tabla797[],2,FALSE)</f>
        <v>PIEDRA 6-20</v>
      </c>
      <c r="T1306" s="37">
        <v>34.86</v>
      </c>
    </row>
    <row r="1307" spans="15:20" x14ac:dyDescent="0.25">
      <c r="O1307" s="76">
        <v>109586</v>
      </c>
      <c r="P1307" s="78" t="s">
        <v>684</v>
      </c>
      <c r="Q1307" s="77">
        <v>46175</v>
      </c>
      <c r="R1307" s="78" t="s">
        <v>40</v>
      </c>
      <c r="S1307" s="36" t="str">
        <f>VLOOKUP(Tabla91116[[#This Row],[CODIGO DEL PRODUCTO]],Tabla797[],2,FALSE)</f>
        <v>PIEDRA 0-6</v>
      </c>
      <c r="T1307" s="37">
        <v>35.299999999999997</v>
      </c>
    </row>
    <row r="1308" spans="15:20" x14ac:dyDescent="0.25">
      <c r="O1308" s="76">
        <v>109587</v>
      </c>
      <c r="P1308" s="78" t="s">
        <v>684</v>
      </c>
      <c r="Q1308" s="77">
        <v>46175</v>
      </c>
      <c r="R1308" s="78" t="s">
        <v>40</v>
      </c>
      <c r="S1308" s="36" t="str">
        <f>VLOOKUP(Tabla91116[[#This Row],[CODIGO DEL PRODUCTO]],Tabla797[],2,FALSE)</f>
        <v>PIEDRA 0-6</v>
      </c>
      <c r="T1308" s="37">
        <v>34.299999999999997</v>
      </c>
    </row>
    <row r="1309" spans="15:20" x14ac:dyDescent="0.25">
      <c r="O1309" s="76">
        <v>158880</v>
      </c>
      <c r="P1309" s="78" t="s">
        <v>679</v>
      </c>
      <c r="Q1309" s="77">
        <v>46175</v>
      </c>
      <c r="R1309" s="78" t="s">
        <v>43</v>
      </c>
      <c r="S1309" s="36" t="str">
        <f>VLOOKUP(Tabla91116[[#This Row],[CODIGO DEL PRODUCTO]],Tabla797[],2,FALSE)</f>
        <v>PIEDRA 6-20</v>
      </c>
      <c r="T1309" s="37">
        <v>35.18</v>
      </c>
    </row>
    <row r="1310" spans="15:20" x14ac:dyDescent="0.25">
      <c r="O1310" s="76">
        <v>158924</v>
      </c>
      <c r="P1310" s="78" t="s">
        <v>679</v>
      </c>
      <c r="Q1310" s="77">
        <v>46175</v>
      </c>
      <c r="R1310" s="78" t="s">
        <v>43</v>
      </c>
      <c r="S1310" s="36" t="str">
        <f>VLOOKUP(Tabla91116[[#This Row],[CODIGO DEL PRODUCTO]],Tabla797[],2,FALSE)</f>
        <v>PIEDRA 6-20</v>
      </c>
      <c r="T1310" s="37">
        <v>36</v>
      </c>
    </row>
    <row r="1311" spans="15:20" x14ac:dyDescent="0.25">
      <c r="O1311" s="76">
        <v>158926</v>
      </c>
      <c r="P1311" s="78" t="s">
        <v>679</v>
      </c>
      <c r="Q1311" s="77">
        <v>46175</v>
      </c>
      <c r="R1311" s="78" t="s">
        <v>43</v>
      </c>
      <c r="S1311" s="36" t="str">
        <f>VLOOKUP(Tabla91116[[#This Row],[CODIGO DEL PRODUCTO]],Tabla797[],2,FALSE)</f>
        <v>PIEDRA 6-20</v>
      </c>
      <c r="T1311" s="37">
        <v>34.479999999999997</v>
      </c>
    </row>
    <row r="1312" spans="15:20" x14ac:dyDescent="0.25">
      <c r="O1312" s="76">
        <v>158929</v>
      </c>
      <c r="P1312" s="78" t="s">
        <v>679</v>
      </c>
      <c r="Q1312" s="77">
        <v>46175</v>
      </c>
      <c r="R1312" s="78" t="s">
        <v>43</v>
      </c>
      <c r="S1312" s="36" t="str">
        <f>VLOOKUP(Tabla91116[[#This Row],[CODIGO DEL PRODUCTO]],Tabla797[],2,FALSE)</f>
        <v>PIEDRA 6-20</v>
      </c>
      <c r="T1312" s="37">
        <v>34.479999999999997</v>
      </c>
    </row>
    <row r="1313" spans="15:20" x14ac:dyDescent="0.25">
      <c r="O1313" s="76">
        <v>158932</v>
      </c>
      <c r="P1313" s="78" t="s">
        <v>679</v>
      </c>
      <c r="Q1313" s="77">
        <v>46175</v>
      </c>
      <c r="R1313" s="78" t="s">
        <v>43</v>
      </c>
      <c r="S1313" s="36" t="str">
        <f>VLOOKUP(Tabla91116[[#This Row],[CODIGO DEL PRODUCTO]],Tabla797[],2,FALSE)</f>
        <v>PIEDRA 6-20</v>
      </c>
      <c r="T1313" s="37">
        <v>35.1</v>
      </c>
    </row>
    <row r="1314" spans="15:20" x14ac:dyDescent="0.25">
      <c r="O1314" s="76">
        <v>158939</v>
      </c>
      <c r="P1314" s="78" t="s">
        <v>679</v>
      </c>
      <c r="Q1314" s="77">
        <v>46175</v>
      </c>
      <c r="R1314" s="78" t="s">
        <v>43</v>
      </c>
      <c r="S1314" s="36" t="str">
        <f>VLOOKUP(Tabla91116[[#This Row],[CODIGO DEL PRODUCTO]],Tabla797[],2,FALSE)</f>
        <v>PIEDRA 6-20</v>
      </c>
      <c r="T1314" s="37">
        <v>36.1</v>
      </c>
    </row>
    <row r="1315" spans="15:20" x14ac:dyDescent="0.25">
      <c r="O1315" s="76">
        <v>158946</v>
      </c>
      <c r="P1315" s="78" t="s">
        <v>679</v>
      </c>
      <c r="Q1315" s="77">
        <v>46175</v>
      </c>
      <c r="R1315" s="78" t="s">
        <v>43</v>
      </c>
      <c r="S1315" s="36" t="str">
        <f>VLOOKUP(Tabla91116[[#This Row],[CODIGO DEL PRODUCTO]],Tabla797[],2,FALSE)</f>
        <v>PIEDRA 6-20</v>
      </c>
      <c r="T1315" s="37">
        <v>35.08</v>
      </c>
    </row>
    <row r="1316" spans="15:20" x14ac:dyDescent="0.25">
      <c r="O1316" s="76">
        <v>2712106</v>
      </c>
      <c r="P1316" s="78" t="s">
        <v>679</v>
      </c>
      <c r="Q1316" s="77">
        <v>46175</v>
      </c>
      <c r="R1316" s="78" t="s">
        <v>286</v>
      </c>
      <c r="S1316" s="36" t="str">
        <f>VLOOKUP(Tabla91116[[#This Row],[CODIGO DEL PRODUCTO]],Tabla797[],2,FALSE)</f>
        <v>CPF 40 AVELLANEDA</v>
      </c>
      <c r="T1316" s="37">
        <v>36.64</v>
      </c>
    </row>
    <row r="1317" spans="15:20" x14ac:dyDescent="0.25">
      <c r="O1317" s="76">
        <v>2712060</v>
      </c>
      <c r="P1317" s="78" t="s">
        <v>679</v>
      </c>
      <c r="Q1317" s="77">
        <v>46175</v>
      </c>
      <c r="R1317" s="78" t="s">
        <v>286</v>
      </c>
      <c r="S1317" s="36" t="str">
        <f>VLOOKUP(Tabla91116[[#This Row],[CODIGO DEL PRODUCTO]],Tabla797[],2,FALSE)</f>
        <v>CPF 40 AVELLANEDA</v>
      </c>
      <c r="T1317" s="37">
        <v>36</v>
      </c>
    </row>
    <row r="1318" spans="15:20" x14ac:dyDescent="0.25">
      <c r="O1318" s="76">
        <v>104490</v>
      </c>
      <c r="P1318" s="78" t="s">
        <v>683</v>
      </c>
      <c r="Q1318" s="77">
        <v>46176</v>
      </c>
      <c r="R1318" s="78" t="s">
        <v>42</v>
      </c>
      <c r="S1318" s="36" t="str">
        <f>VLOOKUP(Tabla91116[[#This Row],[CODIGO DEL PRODUCTO]],Tabla797[],2,FALSE)</f>
        <v>ARENA FINA</v>
      </c>
      <c r="T1318" s="37">
        <v>34.700000000000003</v>
      </c>
    </row>
    <row r="1319" spans="15:20" x14ac:dyDescent="0.25">
      <c r="O1319" s="76">
        <v>104493</v>
      </c>
      <c r="P1319" s="78" t="s">
        <v>683</v>
      </c>
      <c r="Q1319" s="77">
        <v>46176</v>
      </c>
      <c r="R1319" s="78" t="s">
        <v>42</v>
      </c>
      <c r="S1319" s="36" t="str">
        <f>VLOOKUP(Tabla91116[[#This Row],[CODIGO DEL PRODUCTO]],Tabla797[],2,FALSE)</f>
        <v>ARENA FINA</v>
      </c>
      <c r="T1319" s="37">
        <v>35.44</v>
      </c>
    </row>
    <row r="1320" spans="15:20" x14ac:dyDescent="0.25">
      <c r="O1320" s="76">
        <v>109590</v>
      </c>
      <c r="P1320" s="78" t="s">
        <v>684</v>
      </c>
      <c r="Q1320" s="77">
        <v>46176</v>
      </c>
      <c r="R1320" s="78" t="s">
        <v>40</v>
      </c>
      <c r="S1320" s="36" t="str">
        <f>VLOOKUP(Tabla91116[[#This Row],[CODIGO DEL PRODUCTO]],Tabla797[],2,FALSE)</f>
        <v>PIEDRA 0-6</v>
      </c>
      <c r="T1320" s="37">
        <v>34.06</v>
      </c>
    </row>
    <row r="1321" spans="15:20" x14ac:dyDescent="0.25">
      <c r="O1321" s="76">
        <v>109597</v>
      </c>
      <c r="P1321" s="78" t="s">
        <v>684</v>
      </c>
      <c r="Q1321" s="77">
        <v>46176</v>
      </c>
      <c r="R1321" s="78" t="s">
        <v>40</v>
      </c>
      <c r="S1321" s="36" t="str">
        <f>VLOOKUP(Tabla91116[[#This Row],[CODIGO DEL PRODUCTO]],Tabla797[],2,FALSE)</f>
        <v>PIEDRA 0-6</v>
      </c>
      <c r="T1321" s="37">
        <v>34.9</v>
      </c>
    </row>
    <row r="1322" spans="15:20" x14ac:dyDescent="0.25">
      <c r="O1322" s="76">
        <v>109598</v>
      </c>
      <c r="P1322" s="78" t="s">
        <v>684</v>
      </c>
      <c r="Q1322" s="77">
        <v>46176</v>
      </c>
      <c r="R1322" s="78" t="s">
        <v>40</v>
      </c>
      <c r="S1322" s="36" t="str">
        <f>VLOOKUP(Tabla91116[[#This Row],[CODIGO DEL PRODUCTO]],Tabla797[],2,FALSE)</f>
        <v>PIEDRA 0-6</v>
      </c>
      <c r="T1322" s="37">
        <v>33.799999999999997</v>
      </c>
    </row>
    <row r="1323" spans="15:20" x14ac:dyDescent="0.25">
      <c r="O1323" s="76">
        <v>109609</v>
      </c>
      <c r="P1323" s="78" t="s">
        <v>684</v>
      </c>
      <c r="Q1323" s="77">
        <v>46176</v>
      </c>
      <c r="R1323" s="78" t="s">
        <v>43</v>
      </c>
      <c r="S1323" s="36" t="str">
        <f>VLOOKUP(Tabla91116[[#This Row],[CODIGO DEL PRODUCTO]],Tabla797[],2,FALSE)</f>
        <v>PIEDRA 6-20</v>
      </c>
      <c r="T1323" s="37">
        <v>35.26</v>
      </c>
    </row>
    <row r="1324" spans="15:20" x14ac:dyDescent="0.25">
      <c r="O1324" s="76">
        <v>109611</v>
      </c>
      <c r="P1324" s="78" t="s">
        <v>684</v>
      </c>
      <c r="Q1324" s="77">
        <v>46176</v>
      </c>
      <c r="R1324" s="78" t="s">
        <v>43</v>
      </c>
      <c r="S1324" s="36" t="str">
        <f>VLOOKUP(Tabla91116[[#This Row],[CODIGO DEL PRODUCTO]],Tabla797[],2,FALSE)</f>
        <v>PIEDRA 6-20</v>
      </c>
      <c r="T1324" s="37">
        <v>35.08</v>
      </c>
    </row>
    <row r="1325" spans="15:20" x14ac:dyDescent="0.25">
      <c r="O1325" s="76">
        <v>109612</v>
      </c>
      <c r="P1325" s="78" t="s">
        <v>684</v>
      </c>
      <c r="Q1325" s="77">
        <v>46176</v>
      </c>
      <c r="R1325" s="78" t="s">
        <v>40</v>
      </c>
      <c r="S1325" s="36" t="str">
        <f>VLOOKUP(Tabla91116[[#This Row],[CODIGO DEL PRODUCTO]],Tabla797[],2,FALSE)</f>
        <v>PIEDRA 0-6</v>
      </c>
      <c r="T1325" s="37">
        <v>34.86</v>
      </c>
    </row>
    <row r="1326" spans="15:20" x14ac:dyDescent="0.25">
      <c r="O1326" s="76">
        <v>109614</v>
      </c>
      <c r="P1326" s="78" t="s">
        <v>684</v>
      </c>
      <c r="Q1326" s="77">
        <v>46176</v>
      </c>
      <c r="R1326" s="78" t="s">
        <v>40</v>
      </c>
      <c r="S1326" s="36" t="str">
        <f>VLOOKUP(Tabla91116[[#This Row],[CODIGO DEL PRODUCTO]],Tabla797[],2,FALSE)</f>
        <v>PIEDRA 0-6</v>
      </c>
      <c r="T1326" s="37">
        <v>35.159999999999997</v>
      </c>
    </row>
    <row r="1327" spans="15:20" x14ac:dyDescent="0.25">
      <c r="O1327" s="76">
        <v>158956</v>
      </c>
      <c r="P1327" s="78" t="s">
        <v>679</v>
      </c>
      <c r="Q1327" s="77">
        <v>46176</v>
      </c>
      <c r="R1327" s="78" t="s">
        <v>43</v>
      </c>
      <c r="S1327" s="36" t="str">
        <f>VLOOKUP(Tabla91116[[#This Row],[CODIGO DEL PRODUCTO]],Tabla797[],2,FALSE)</f>
        <v>PIEDRA 6-20</v>
      </c>
      <c r="T1327" s="37">
        <v>35.200000000000003</v>
      </c>
    </row>
    <row r="1328" spans="15:20" x14ac:dyDescent="0.25">
      <c r="O1328" s="76">
        <v>158969</v>
      </c>
      <c r="P1328" s="78" t="s">
        <v>679</v>
      </c>
      <c r="Q1328" s="77">
        <v>46176</v>
      </c>
      <c r="R1328" s="78" t="s">
        <v>43</v>
      </c>
      <c r="S1328" s="36" t="str">
        <f>VLOOKUP(Tabla91116[[#This Row],[CODIGO DEL PRODUCTO]],Tabla797[],2,FALSE)</f>
        <v>PIEDRA 6-20</v>
      </c>
      <c r="T1328" s="37">
        <v>33.94</v>
      </c>
    </row>
    <row r="1329" spans="15:20" x14ac:dyDescent="0.25">
      <c r="O1329" s="76">
        <v>158998</v>
      </c>
      <c r="P1329" s="78" t="s">
        <v>679</v>
      </c>
      <c r="Q1329" s="77">
        <v>46176</v>
      </c>
      <c r="R1329" s="78" t="s">
        <v>43</v>
      </c>
      <c r="S1329" s="36" t="str">
        <f>VLOOKUP(Tabla91116[[#This Row],[CODIGO DEL PRODUCTO]],Tabla797[],2,FALSE)</f>
        <v>PIEDRA 6-20</v>
      </c>
      <c r="T1329" s="37">
        <v>35.06</v>
      </c>
    </row>
    <row r="1330" spans="15:20" x14ac:dyDescent="0.25">
      <c r="O1330" s="76">
        <v>158999</v>
      </c>
      <c r="P1330" s="78" t="s">
        <v>679</v>
      </c>
      <c r="Q1330" s="77">
        <v>46176</v>
      </c>
      <c r="R1330" s="78" t="s">
        <v>43</v>
      </c>
      <c r="S1330" s="36" t="str">
        <f>VLOOKUP(Tabla91116[[#This Row],[CODIGO DEL PRODUCTO]],Tabla797[],2,FALSE)</f>
        <v>PIEDRA 6-20</v>
      </c>
      <c r="T1330" s="37">
        <v>35</v>
      </c>
    </row>
    <row r="1331" spans="15:20" x14ac:dyDescent="0.25">
      <c r="O1331" s="76">
        <v>159007</v>
      </c>
      <c r="P1331" s="78" t="s">
        <v>679</v>
      </c>
      <c r="Q1331" s="77">
        <v>46176</v>
      </c>
      <c r="R1331" s="78" t="s">
        <v>43</v>
      </c>
      <c r="S1331" s="36" t="str">
        <f>VLOOKUP(Tabla91116[[#This Row],[CODIGO DEL PRODUCTO]],Tabla797[],2,FALSE)</f>
        <v>PIEDRA 6-20</v>
      </c>
      <c r="T1331" s="37">
        <v>35.86</v>
      </c>
    </row>
    <row r="1332" spans="15:20" x14ac:dyDescent="0.25">
      <c r="O1332" s="76">
        <v>159017</v>
      </c>
      <c r="P1332" s="78" t="s">
        <v>679</v>
      </c>
      <c r="Q1332" s="77">
        <v>46176</v>
      </c>
      <c r="R1332" s="78" t="s">
        <v>43</v>
      </c>
      <c r="S1332" s="36" t="str">
        <f>VLOOKUP(Tabla91116[[#This Row],[CODIGO DEL PRODUCTO]],Tabla797[],2,FALSE)</f>
        <v>PIEDRA 6-20</v>
      </c>
      <c r="T1332" s="37">
        <v>35.36</v>
      </c>
    </row>
    <row r="1333" spans="15:20" x14ac:dyDescent="0.25">
      <c r="O1333" s="76">
        <v>159022</v>
      </c>
      <c r="P1333" s="78" t="s">
        <v>679</v>
      </c>
      <c r="Q1333" s="77">
        <v>46176</v>
      </c>
      <c r="R1333" s="78" t="s">
        <v>43</v>
      </c>
      <c r="S1333" s="36" t="str">
        <f>VLOOKUP(Tabla91116[[#This Row],[CODIGO DEL PRODUCTO]],Tabla797[],2,FALSE)</f>
        <v>PIEDRA 6-20</v>
      </c>
      <c r="T1333" s="37">
        <v>35.1</v>
      </c>
    </row>
    <row r="1334" spans="15:20" x14ac:dyDescent="0.25">
      <c r="O1334" s="76">
        <v>2712377</v>
      </c>
      <c r="P1334" s="78" t="s">
        <v>679</v>
      </c>
      <c r="Q1334" s="77">
        <v>46176</v>
      </c>
      <c r="R1334" s="78" t="s">
        <v>286</v>
      </c>
      <c r="S1334" s="36" t="str">
        <f>VLOOKUP(Tabla91116[[#This Row],[CODIGO DEL PRODUCTO]],Tabla797[],2,FALSE)</f>
        <v>CPF 40 AVELLANEDA</v>
      </c>
      <c r="T1334" s="37">
        <v>35.82</v>
      </c>
    </row>
    <row r="1335" spans="15:20" x14ac:dyDescent="0.25">
      <c r="O1335" s="76">
        <v>2712382</v>
      </c>
      <c r="P1335" s="78" t="s">
        <v>679</v>
      </c>
      <c r="Q1335" s="77">
        <v>46176</v>
      </c>
      <c r="R1335" s="78" t="s">
        <v>286</v>
      </c>
      <c r="S1335" s="36" t="str">
        <f>VLOOKUP(Tabla91116[[#This Row],[CODIGO DEL PRODUCTO]],Tabla797[],2,FALSE)</f>
        <v>CPF 40 AVELLANEDA</v>
      </c>
      <c r="T1335" s="37">
        <v>36.32</v>
      </c>
    </row>
    <row r="1336" spans="15:20" x14ac:dyDescent="0.25">
      <c r="O1336" s="76">
        <v>104502</v>
      </c>
      <c r="P1336" s="78" t="s">
        <v>683</v>
      </c>
      <c r="Q1336" s="77">
        <v>46177</v>
      </c>
      <c r="R1336" s="78" t="s">
        <v>42</v>
      </c>
      <c r="S1336" s="36" t="str">
        <f>VLOOKUP(Tabla91116[[#This Row],[CODIGO DEL PRODUCTO]],Tabla797[],2,FALSE)</f>
        <v>ARENA FINA</v>
      </c>
      <c r="T1336" s="37">
        <v>34.56</v>
      </c>
    </row>
    <row r="1337" spans="15:20" x14ac:dyDescent="0.25">
      <c r="O1337" s="76">
        <v>40723</v>
      </c>
      <c r="P1337" s="78" t="s">
        <v>149</v>
      </c>
      <c r="Q1337" s="77">
        <v>46177</v>
      </c>
      <c r="R1337" s="78" t="s">
        <v>42</v>
      </c>
      <c r="S1337" s="36" t="str">
        <f>VLOOKUP(Tabla91116[[#This Row],[CODIGO DEL PRODUCTO]],Tabla797[],2,FALSE)</f>
        <v>ARENA FINA</v>
      </c>
      <c r="T1337" s="37">
        <v>37.520000000000003</v>
      </c>
    </row>
    <row r="1338" spans="15:20" x14ac:dyDescent="0.25">
      <c r="O1338" s="76">
        <v>40735</v>
      </c>
      <c r="P1338" s="78" t="s">
        <v>149</v>
      </c>
      <c r="Q1338" s="77">
        <v>46177</v>
      </c>
      <c r="R1338" s="78" t="s">
        <v>42</v>
      </c>
      <c r="S1338" s="36" t="str">
        <f>VLOOKUP(Tabla91116[[#This Row],[CODIGO DEL PRODUCTO]],Tabla797[],2,FALSE)</f>
        <v>ARENA FINA</v>
      </c>
      <c r="T1338" s="37">
        <v>23.7</v>
      </c>
    </row>
    <row r="1339" spans="15:20" x14ac:dyDescent="0.25">
      <c r="O1339" s="76">
        <v>40740</v>
      </c>
      <c r="P1339" s="78" t="s">
        <v>149</v>
      </c>
      <c r="Q1339" s="77">
        <v>46177</v>
      </c>
      <c r="R1339" s="78" t="s">
        <v>42</v>
      </c>
      <c r="S1339" s="36" t="str">
        <f>VLOOKUP(Tabla91116[[#This Row],[CODIGO DEL PRODUCTO]],Tabla797[],2,FALSE)</f>
        <v>ARENA FINA</v>
      </c>
      <c r="T1339" s="37">
        <v>37.700000000000003</v>
      </c>
    </row>
    <row r="1340" spans="15:20" x14ac:dyDescent="0.25">
      <c r="O1340" s="76">
        <v>109617</v>
      </c>
      <c r="P1340" s="78" t="s">
        <v>684</v>
      </c>
      <c r="Q1340" s="77">
        <v>46177</v>
      </c>
      <c r="R1340" s="78" t="s">
        <v>40</v>
      </c>
      <c r="S1340" s="36" t="str">
        <f>VLOOKUP(Tabla91116[[#This Row],[CODIGO DEL PRODUCTO]],Tabla797[],2,FALSE)</f>
        <v>PIEDRA 0-6</v>
      </c>
      <c r="T1340" s="37">
        <v>33.96</v>
      </c>
    </row>
    <row r="1341" spans="15:20" x14ac:dyDescent="0.25">
      <c r="O1341" s="76">
        <v>109621</v>
      </c>
      <c r="P1341" s="78" t="s">
        <v>684</v>
      </c>
      <c r="Q1341" s="77">
        <v>46177</v>
      </c>
      <c r="R1341" s="78" t="s">
        <v>40</v>
      </c>
      <c r="S1341" s="36" t="str">
        <f>VLOOKUP(Tabla91116[[#This Row],[CODIGO DEL PRODUCTO]],Tabla797[],2,FALSE)</f>
        <v>PIEDRA 0-6</v>
      </c>
      <c r="T1341" s="37">
        <v>34.72</v>
      </c>
    </row>
    <row r="1342" spans="15:20" x14ac:dyDescent="0.25">
      <c r="O1342" s="76">
        <v>109623</v>
      </c>
      <c r="P1342" s="78" t="s">
        <v>684</v>
      </c>
      <c r="Q1342" s="77">
        <v>46177</v>
      </c>
      <c r="R1342" s="78" t="s">
        <v>40</v>
      </c>
      <c r="S1342" s="36" t="str">
        <f>VLOOKUP(Tabla91116[[#This Row],[CODIGO DEL PRODUCTO]],Tabla797[],2,FALSE)</f>
        <v>PIEDRA 0-6</v>
      </c>
      <c r="T1342" s="37">
        <v>34.6</v>
      </c>
    </row>
    <row r="1343" spans="15:20" x14ac:dyDescent="0.25">
      <c r="O1343" s="76">
        <v>109628</v>
      </c>
      <c r="P1343" s="78" t="s">
        <v>684</v>
      </c>
      <c r="Q1343" s="77">
        <v>46177</v>
      </c>
      <c r="R1343" s="78" t="s">
        <v>40</v>
      </c>
      <c r="S1343" s="36" t="str">
        <f>VLOOKUP(Tabla91116[[#This Row],[CODIGO DEL PRODUCTO]],Tabla797[],2,FALSE)</f>
        <v>PIEDRA 0-6</v>
      </c>
      <c r="T1343" s="37">
        <v>35.340000000000003</v>
      </c>
    </row>
    <row r="1344" spans="15:20" x14ac:dyDescent="0.25">
      <c r="O1344" s="76">
        <v>109636</v>
      </c>
      <c r="P1344" s="78" t="s">
        <v>684</v>
      </c>
      <c r="Q1344" s="77">
        <v>46177</v>
      </c>
      <c r="R1344" s="78" t="s">
        <v>43</v>
      </c>
      <c r="S1344" s="36" t="str">
        <f>VLOOKUP(Tabla91116[[#This Row],[CODIGO DEL PRODUCTO]],Tabla797[],2,FALSE)</f>
        <v>PIEDRA 6-20</v>
      </c>
      <c r="T1344" s="37">
        <v>34.619999999999997</v>
      </c>
    </row>
    <row r="1345" spans="15:20" x14ac:dyDescent="0.25">
      <c r="O1345" s="76">
        <v>109638</v>
      </c>
      <c r="P1345" s="78" t="s">
        <v>684</v>
      </c>
      <c r="Q1345" s="77">
        <v>46177</v>
      </c>
      <c r="R1345" s="78" t="s">
        <v>43</v>
      </c>
      <c r="S1345" s="36" t="str">
        <f>VLOOKUP(Tabla91116[[#This Row],[CODIGO DEL PRODUCTO]],Tabla797[],2,FALSE)</f>
        <v>PIEDRA 6-20</v>
      </c>
      <c r="T1345" s="37">
        <v>34.18</v>
      </c>
    </row>
    <row r="1346" spans="15:20" x14ac:dyDescent="0.25">
      <c r="O1346" s="76">
        <v>109636</v>
      </c>
      <c r="P1346" s="78" t="s">
        <v>684</v>
      </c>
      <c r="Q1346" s="77">
        <v>46177</v>
      </c>
      <c r="R1346" s="78" t="s">
        <v>40</v>
      </c>
      <c r="S1346" s="36" t="str">
        <f>VLOOKUP(Tabla91116[[#This Row],[CODIGO DEL PRODUCTO]],Tabla797[],2,FALSE)</f>
        <v>PIEDRA 0-6</v>
      </c>
      <c r="T1346" s="37">
        <v>33.08</v>
      </c>
    </row>
    <row r="1347" spans="15:20" x14ac:dyDescent="0.25">
      <c r="O1347" s="76">
        <v>109640</v>
      </c>
      <c r="P1347" s="78" t="s">
        <v>684</v>
      </c>
      <c r="Q1347" s="77">
        <v>46177</v>
      </c>
      <c r="R1347" s="78" t="s">
        <v>40</v>
      </c>
      <c r="S1347" s="36" t="str">
        <f>VLOOKUP(Tabla91116[[#This Row],[CODIGO DEL PRODUCTO]],Tabla797[],2,FALSE)</f>
        <v>PIEDRA 0-6</v>
      </c>
      <c r="T1347" s="37">
        <v>33.28</v>
      </c>
    </row>
    <row r="1348" spans="15:20" x14ac:dyDescent="0.25">
      <c r="O1348" s="76">
        <v>159028</v>
      </c>
      <c r="P1348" s="78" t="s">
        <v>679</v>
      </c>
      <c r="Q1348" s="77">
        <v>46177</v>
      </c>
      <c r="R1348" s="78" t="s">
        <v>43</v>
      </c>
      <c r="S1348" s="36" t="str">
        <f>VLOOKUP(Tabla91116[[#This Row],[CODIGO DEL PRODUCTO]],Tabla797[],2,FALSE)</f>
        <v>PIEDRA 6-20</v>
      </c>
      <c r="T1348" s="37">
        <v>35.68</v>
      </c>
    </row>
    <row r="1349" spans="15:20" x14ac:dyDescent="0.25">
      <c r="O1349" s="76">
        <v>159042</v>
      </c>
      <c r="P1349" s="78" t="s">
        <v>679</v>
      </c>
      <c r="Q1349" s="77">
        <v>46177</v>
      </c>
      <c r="R1349" s="78" t="s">
        <v>43</v>
      </c>
      <c r="S1349" s="36" t="str">
        <f>VLOOKUP(Tabla91116[[#This Row],[CODIGO DEL PRODUCTO]],Tabla797[],2,FALSE)</f>
        <v>PIEDRA 6-20</v>
      </c>
      <c r="T1349" s="37">
        <v>35.22</v>
      </c>
    </row>
    <row r="1350" spans="15:20" x14ac:dyDescent="0.25">
      <c r="O1350" s="76">
        <v>159043</v>
      </c>
      <c r="P1350" s="78" t="s">
        <v>679</v>
      </c>
      <c r="Q1350" s="77">
        <v>46177</v>
      </c>
      <c r="R1350" s="78" t="s">
        <v>43</v>
      </c>
      <c r="S1350" s="36" t="str">
        <f>VLOOKUP(Tabla91116[[#This Row],[CODIGO DEL PRODUCTO]],Tabla797[],2,FALSE)</f>
        <v>PIEDRA 6-20</v>
      </c>
      <c r="T1350" s="37">
        <v>35.6</v>
      </c>
    </row>
    <row r="1351" spans="15:20" x14ac:dyDescent="0.25">
      <c r="O1351" s="76">
        <v>159045</v>
      </c>
      <c r="P1351" s="78" t="s">
        <v>679</v>
      </c>
      <c r="Q1351" s="77">
        <v>46177</v>
      </c>
      <c r="R1351" s="78" t="s">
        <v>43</v>
      </c>
      <c r="S1351" s="36" t="str">
        <f>VLOOKUP(Tabla91116[[#This Row],[CODIGO DEL PRODUCTO]],Tabla797[],2,FALSE)</f>
        <v>PIEDRA 6-20</v>
      </c>
      <c r="T1351" s="37">
        <v>34.44</v>
      </c>
    </row>
    <row r="1352" spans="15:20" x14ac:dyDescent="0.25">
      <c r="O1352" s="76">
        <v>159092</v>
      </c>
      <c r="P1352" s="78" t="s">
        <v>679</v>
      </c>
      <c r="Q1352" s="77">
        <v>46177</v>
      </c>
      <c r="R1352" s="78" t="s">
        <v>43</v>
      </c>
      <c r="S1352" s="36" t="str">
        <f>VLOOKUP(Tabla91116[[#This Row],[CODIGO DEL PRODUCTO]],Tabla797[],2,FALSE)</f>
        <v>PIEDRA 6-20</v>
      </c>
      <c r="T1352" s="37">
        <v>36.36</v>
      </c>
    </row>
    <row r="1353" spans="15:20" x14ac:dyDescent="0.25">
      <c r="O1353" s="76">
        <v>159104</v>
      </c>
      <c r="P1353" s="78" t="s">
        <v>679</v>
      </c>
      <c r="Q1353" s="77">
        <v>46177</v>
      </c>
      <c r="R1353" s="78" t="s">
        <v>43</v>
      </c>
      <c r="S1353" s="36" t="str">
        <f>VLOOKUP(Tabla91116[[#This Row],[CODIGO DEL PRODUCTO]],Tabla797[],2,FALSE)</f>
        <v>PIEDRA 6-20</v>
      </c>
      <c r="T1353" s="37">
        <v>35.54</v>
      </c>
    </row>
    <row r="1354" spans="15:20" x14ac:dyDescent="0.25">
      <c r="O1354" s="76">
        <v>159110</v>
      </c>
      <c r="P1354" s="78" t="s">
        <v>679</v>
      </c>
      <c r="Q1354" s="77">
        <v>46177</v>
      </c>
      <c r="R1354" s="78" t="s">
        <v>43</v>
      </c>
      <c r="S1354" s="36" t="str">
        <f>VLOOKUP(Tabla91116[[#This Row],[CODIGO DEL PRODUCTO]],Tabla797[],2,FALSE)</f>
        <v>PIEDRA 6-20</v>
      </c>
      <c r="T1354" s="37">
        <v>35.020000000000003</v>
      </c>
    </row>
    <row r="1355" spans="15:20" x14ac:dyDescent="0.25">
      <c r="O1355" s="76">
        <v>159114</v>
      </c>
      <c r="P1355" s="78" t="s">
        <v>679</v>
      </c>
      <c r="Q1355" s="77">
        <v>46177</v>
      </c>
      <c r="R1355" s="78" t="s">
        <v>43</v>
      </c>
      <c r="S1355" s="36" t="str">
        <f>VLOOKUP(Tabla91116[[#This Row],[CODIGO DEL PRODUCTO]],Tabla797[],2,FALSE)</f>
        <v>PIEDRA 6-20</v>
      </c>
      <c r="T1355" s="37">
        <v>34.24</v>
      </c>
    </row>
    <row r="1356" spans="15:20" x14ac:dyDescent="0.25">
      <c r="O1356" s="76">
        <v>2712550</v>
      </c>
      <c r="P1356" s="78" t="s">
        <v>679</v>
      </c>
      <c r="Q1356" s="77">
        <v>46177</v>
      </c>
      <c r="R1356" s="78" t="s">
        <v>286</v>
      </c>
      <c r="S1356" s="36" t="str">
        <f>VLOOKUP(Tabla91116[[#This Row],[CODIGO DEL PRODUCTO]],Tabla797[],2,FALSE)</f>
        <v>CPF 40 AVELLANEDA</v>
      </c>
      <c r="T1356" s="37">
        <v>36.479999999999997</v>
      </c>
    </row>
    <row r="1357" spans="15:20" x14ac:dyDescent="0.25">
      <c r="O1357" s="76">
        <v>2712661</v>
      </c>
      <c r="P1357" s="78" t="s">
        <v>679</v>
      </c>
      <c r="Q1357" s="77">
        <v>46177</v>
      </c>
      <c r="R1357" s="78" t="s">
        <v>286</v>
      </c>
      <c r="S1357" s="36" t="str">
        <f>VLOOKUP(Tabla91116[[#This Row],[CODIGO DEL PRODUCTO]],Tabla797[],2,FALSE)</f>
        <v>CPF 40 AVELLANEDA</v>
      </c>
      <c r="T1357" s="37">
        <v>35.74</v>
      </c>
    </row>
    <row r="1358" spans="15:20" x14ac:dyDescent="0.25">
      <c r="O1358" s="76">
        <v>104507</v>
      </c>
      <c r="P1358" s="78" t="s">
        <v>683</v>
      </c>
      <c r="Q1358" s="77">
        <v>46178</v>
      </c>
      <c r="R1358" s="78" t="s">
        <v>42</v>
      </c>
      <c r="S1358" s="36" t="str">
        <f>VLOOKUP(Tabla91116[[#This Row],[CODIGO DEL PRODUCTO]],Tabla797[],2,FALSE)</f>
        <v>ARENA FINA</v>
      </c>
      <c r="T1358" s="37">
        <v>35.700000000000003</v>
      </c>
    </row>
    <row r="1359" spans="15:20" x14ac:dyDescent="0.25">
      <c r="O1359" s="76">
        <v>104515</v>
      </c>
      <c r="P1359" s="78" t="s">
        <v>683</v>
      </c>
      <c r="Q1359" s="77">
        <v>46178</v>
      </c>
      <c r="R1359" s="78" t="s">
        <v>42</v>
      </c>
      <c r="S1359" s="36" t="str">
        <f>VLOOKUP(Tabla91116[[#This Row],[CODIGO DEL PRODUCTO]],Tabla797[],2,FALSE)</f>
        <v>ARENA FINA</v>
      </c>
      <c r="T1359" s="37">
        <v>33.82</v>
      </c>
    </row>
    <row r="1360" spans="15:20" x14ac:dyDescent="0.25">
      <c r="O1360" s="76">
        <v>40768</v>
      </c>
      <c r="P1360" s="78" t="s">
        <v>149</v>
      </c>
      <c r="Q1360" s="77">
        <v>46178</v>
      </c>
      <c r="R1360" s="78" t="s">
        <v>42</v>
      </c>
      <c r="S1360" s="36" t="str">
        <f>VLOOKUP(Tabla91116[[#This Row],[CODIGO DEL PRODUCTO]],Tabla797[],2,FALSE)</f>
        <v>ARENA FINA</v>
      </c>
      <c r="T1360" s="37">
        <v>18.82</v>
      </c>
    </row>
    <row r="1361" spans="15:20" x14ac:dyDescent="0.25">
      <c r="O1361" s="76">
        <v>40770</v>
      </c>
      <c r="P1361" s="78" t="s">
        <v>149</v>
      </c>
      <c r="Q1361" s="77">
        <v>46178</v>
      </c>
      <c r="R1361" s="78" t="s">
        <v>42</v>
      </c>
      <c r="S1361" s="36" t="str">
        <f>VLOOKUP(Tabla91116[[#This Row],[CODIGO DEL PRODUCTO]],Tabla797[],2,FALSE)</f>
        <v>ARENA FINA</v>
      </c>
      <c r="T1361" s="37">
        <v>35.78</v>
      </c>
    </row>
    <row r="1362" spans="15:20" x14ac:dyDescent="0.25">
      <c r="O1362" s="76">
        <v>109646</v>
      </c>
      <c r="P1362" s="78" t="s">
        <v>684</v>
      </c>
      <c r="Q1362" s="77">
        <v>46178</v>
      </c>
      <c r="R1362" s="78" t="s">
        <v>40</v>
      </c>
      <c r="S1362" s="36" t="str">
        <f>VLOOKUP(Tabla91116[[#This Row],[CODIGO DEL PRODUCTO]],Tabla797[],2,FALSE)</f>
        <v>PIEDRA 0-6</v>
      </c>
      <c r="T1362" s="37">
        <v>34.44</v>
      </c>
    </row>
    <row r="1363" spans="15:20" x14ac:dyDescent="0.25">
      <c r="O1363" s="76">
        <v>109647</v>
      </c>
      <c r="P1363" s="78" t="s">
        <v>684</v>
      </c>
      <c r="Q1363" s="77">
        <v>46178</v>
      </c>
      <c r="R1363" s="78" t="s">
        <v>40</v>
      </c>
      <c r="S1363" s="36" t="str">
        <f>VLOOKUP(Tabla91116[[#This Row],[CODIGO DEL PRODUCTO]],Tabla797[],2,FALSE)</f>
        <v>PIEDRA 0-6</v>
      </c>
      <c r="T1363" s="37">
        <v>34.56</v>
      </c>
    </row>
    <row r="1364" spans="15:20" x14ac:dyDescent="0.25">
      <c r="O1364" s="76">
        <v>109650</v>
      </c>
      <c r="P1364" s="78" t="s">
        <v>684</v>
      </c>
      <c r="Q1364" s="77">
        <v>46178</v>
      </c>
      <c r="R1364" s="78" t="s">
        <v>40</v>
      </c>
      <c r="S1364" s="36" t="str">
        <f>VLOOKUP(Tabla91116[[#This Row],[CODIGO DEL PRODUCTO]],Tabla797[],2,FALSE)</f>
        <v>PIEDRA 0-6</v>
      </c>
      <c r="T1364" s="37">
        <v>33.799999999999997</v>
      </c>
    </row>
    <row r="1365" spans="15:20" x14ac:dyDescent="0.25">
      <c r="O1365" s="76">
        <v>109657</v>
      </c>
      <c r="P1365" s="78" t="s">
        <v>684</v>
      </c>
      <c r="Q1365" s="77">
        <v>46178</v>
      </c>
      <c r="R1365" s="78" t="s">
        <v>43</v>
      </c>
      <c r="S1365" s="36" t="str">
        <f>VLOOKUP(Tabla91116[[#This Row],[CODIGO DEL PRODUCTO]],Tabla797[],2,FALSE)</f>
        <v>PIEDRA 6-20</v>
      </c>
      <c r="T1365" s="37">
        <v>35.32</v>
      </c>
    </row>
    <row r="1366" spans="15:20" x14ac:dyDescent="0.25">
      <c r="O1366" s="76">
        <v>109658</v>
      </c>
      <c r="P1366" s="78" t="s">
        <v>684</v>
      </c>
      <c r="Q1366" s="77">
        <v>46178</v>
      </c>
      <c r="R1366" s="78" t="s">
        <v>40</v>
      </c>
      <c r="S1366" s="36" t="str">
        <f>VLOOKUP(Tabla91116[[#This Row],[CODIGO DEL PRODUCTO]],Tabla797[],2,FALSE)</f>
        <v>PIEDRA 0-6</v>
      </c>
      <c r="T1366" s="37">
        <v>34.72</v>
      </c>
    </row>
    <row r="1367" spans="15:20" x14ac:dyDescent="0.25">
      <c r="O1367" s="76">
        <v>109659</v>
      </c>
      <c r="P1367" s="78" t="s">
        <v>684</v>
      </c>
      <c r="Q1367" s="77">
        <v>46178</v>
      </c>
      <c r="R1367" s="78" t="s">
        <v>43</v>
      </c>
      <c r="S1367" s="36" t="str">
        <f>VLOOKUP(Tabla91116[[#This Row],[CODIGO DEL PRODUCTO]],Tabla797[],2,FALSE)</f>
        <v>PIEDRA 6-20</v>
      </c>
      <c r="T1367" s="37">
        <v>35</v>
      </c>
    </row>
    <row r="1368" spans="15:20" x14ac:dyDescent="0.25">
      <c r="O1368" s="76">
        <v>109662</v>
      </c>
      <c r="P1368" s="78" t="s">
        <v>684</v>
      </c>
      <c r="Q1368" s="77">
        <v>46178</v>
      </c>
      <c r="R1368" s="78" t="s">
        <v>40</v>
      </c>
      <c r="S1368" s="36" t="str">
        <f>VLOOKUP(Tabla91116[[#This Row],[CODIGO DEL PRODUCTO]],Tabla797[],2,FALSE)</f>
        <v>PIEDRA 0-6</v>
      </c>
      <c r="T1368" s="37">
        <v>33.020000000000003</v>
      </c>
    </row>
    <row r="1369" spans="15:20" x14ac:dyDescent="0.25">
      <c r="O1369" s="76">
        <v>159115</v>
      </c>
      <c r="P1369" s="78" t="s">
        <v>679</v>
      </c>
      <c r="Q1369" s="77">
        <v>46178</v>
      </c>
      <c r="R1369" s="78" t="s">
        <v>43</v>
      </c>
      <c r="S1369" s="36" t="str">
        <f>VLOOKUP(Tabla91116[[#This Row],[CODIGO DEL PRODUCTO]],Tabla797[],2,FALSE)</f>
        <v>PIEDRA 6-20</v>
      </c>
      <c r="T1369" s="37">
        <v>35.92</v>
      </c>
    </row>
    <row r="1370" spans="15:20" x14ac:dyDescent="0.25">
      <c r="O1370" s="76">
        <v>159121</v>
      </c>
      <c r="P1370" s="78" t="s">
        <v>679</v>
      </c>
      <c r="Q1370" s="77">
        <v>46178</v>
      </c>
      <c r="R1370" s="78" t="s">
        <v>43</v>
      </c>
      <c r="S1370" s="36" t="str">
        <f>VLOOKUP(Tabla91116[[#This Row],[CODIGO DEL PRODUCTO]],Tabla797[],2,FALSE)</f>
        <v>PIEDRA 6-20</v>
      </c>
      <c r="T1370" s="37">
        <v>35.840000000000003</v>
      </c>
    </row>
    <row r="1371" spans="15:20" x14ac:dyDescent="0.25">
      <c r="O1371" s="76">
        <v>159122</v>
      </c>
      <c r="P1371" s="78" t="s">
        <v>679</v>
      </c>
      <c r="Q1371" s="77">
        <v>46178</v>
      </c>
      <c r="R1371" s="78" t="s">
        <v>43</v>
      </c>
      <c r="S1371" s="36" t="str">
        <f>VLOOKUP(Tabla91116[[#This Row],[CODIGO DEL PRODUCTO]],Tabla797[],2,FALSE)</f>
        <v>PIEDRA 6-20</v>
      </c>
      <c r="T1371" s="37">
        <v>34.86</v>
      </c>
    </row>
    <row r="1372" spans="15:20" x14ac:dyDescent="0.25">
      <c r="O1372" s="76">
        <v>159149</v>
      </c>
      <c r="P1372" s="78" t="s">
        <v>679</v>
      </c>
      <c r="Q1372" s="77">
        <v>46178</v>
      </c>
      <c r="R1372" s="78" t="s">
        <v>43</v>
      </c>
      <c r="S1372" s="36" t="str">
        <f>VLOOKUP(Tabla91116[[#This Row],[CODIGO DEL PRODUCTO]],Tabla797[],2,FALSE)</f>
        <v>PIEDRA 6-20</v>
      </c>
      <c r="T1372" s="37">
        <v>35.96</v>
      </c>
    </row>
    <row r="1373" spans="15:20" x14ac:dyDescent="0.25">
      <c r="O1373" s="76">
        <v>159155</v>
      </c>
      <c r="P1373" s="78" t="s">
        <v>679</v>
      </c>
      <c r="Q1373" s="77">
        <v>46178</v>
      </c>
      <c r="R1373" s="78" t="s">
        <v>43</v>
      </c>
      <c r="S1373" s="36" t="str">
        <f>VLOOKUP(Tabla91116[[#This Row],[CODIGO DEL PRODUCTO]],Tabla797[],2,FALSE)</f>
        <v>PIEDRA 6-20</v>
      </c>
      <c r="T1373" s="37">
        <v>35.28</v>
      </c>
    </row>
    <row r="1374" spans="15:20" x14ac:dyDescent="0.25">
      <c r="O1374" s="76">
        <v>159183</v>
      </c>
      <c r="P1374" s="78" t="s">
        <v>679</v>
      </c>
      <c r="Q1374" s="77">
        <v>46178</v>
      </c>
      <c r="R1374" s="78" t="s">
        <v>43</v>
      </c>
      <c r="S1374" s="36" t="str">
        <f>VLOOKUP(Tabla91116[[#This Row],[CODIGO DEL PRODUCTO]],Tabla797[],2,FALSE)</f>
        <v>PIEDRA 6-20</v>
      </c>
      <c r="T1374" s="37">
        <v>33.799999999999997</v>
      </c>
    </row>
    <row r="1375" spans="15:20" x14ac:dyDescent="0.25">
      <c r="O1375" s="76">
        <v>159185</v>
      </c>
      <c r="P1375" s="78" t="s">
        <v>679</v>
      </c>
      <c r="Q1375" s="77">
        <v>46178</v>
      </c>
      <c r="R1375" s="78" t="s">
        <v>43</v>
      </c>
      <c r="S1375" s="36" t="str">
        <f>VLOOKUP(Tabla91116[[#This Row],[CODIGO DEL PRODUCTO]],Tabla797[],2,FALSE)</f>
        <v>PIEDRA 6-20</v>
      </c>
      <c r="T1375" s="37">
        <v>34.340000000000003</v>
      </c>
    </row>
    <row r="1376" spans="15:20" x14ac:dyDescent="0.25">
      <c r="O1376" s="76">
        <v>159186</v>
      </c>
      <c r="P1376" s="78" t="s">
        <v>679</v>
      </c>
      <c r="Q1376" s="77">
        <v>46178</v>
      </c>
      <c r="R1376" s="78" t="s">
        <v>43</v>
      </c>
      <c r="S1376" s="36" t="str">
        <f>VLOOKUP(Tabla91116[[#This Row],[CODIGO DEL PRODUCTO]],Tabla797[],2,FALSE)</f>
        <v>PIEDRA 6-20</v>
      </c>
      <c r="T1376" s="37">
        <v>35.159999999999997</v>
      </c>
    </row>
    <row r="1377" spans="15:20" x14ac:dyDescent="0.25">
      <c r="O1377" s="76">
        <v>2712841</v>
      </c>
      <c r="P1377" s="78" t="s">
        <v>679</v>
      </c>
      <c r="Q1377" s="77">
        <v>46178</v>
      </c>
      <c r="R1377" s="78" t="s">
        <v>286</v>
      </c>
      <c r="S1377" s="36" t="str">
        <f>VLOOKUP(Tabla91116[[#This Row],[CODIGO DEL PRODUCTO]],Tabla797[],2,FALSE)</f>
        <v>CPF 40 AVELLANEDA</v>
      </c>
      <c r="T1377" s="37">
        <v>36.6</v>
      </c>
    </row>
    <row r="1378" spans="15:20" x14ac:dyDescent="0.25">
      <c r="O1378" s="76">
        <v>2712950</v>
      </c>
      <c r="P1378" s="78" t="s">
        <v>679</v>
      </c>
      <c r="Q1378" s="77">
        <v>46178</v>
      </c>
      <c r="R1378" s="78" t="s">
        <v>286</v>
      </c>
      <c r="S1378" s="36" t="str">
        <f>VLOOKUP(Tabla91116[[#This Row],[CODIGO DEL PRODUCTO]],Tabla797[],2,FALSE)</f>
        <v>CPF 40 AVELLANEDA</v>
      </c>
      <c r="T1378" s="37">
        <v>34.94</v>
      </c>
    </row>
    <row r="1379" spans="15:20" x14ac:dyDescent="0.25">
      <c r="O1379" s="76">
        <v>317</v>
      </c>
      <c r="P1379" s="78" t="s">
        <v>149</v>
      </c>
      <c r="Q1379" s="77">
        <v>46179</v>
      </c>
      <c r="R1379" s="78" t="s">
        <v>42</v>
      </c>
      <c r="S1379" s="36" t="str">
        <f>VLOOKUP(Tabla91116[[#This Row],[CODIGO DEL PRODUCTO]],Tabla797[],2,FALSE)</f>
        <v>ARENA FINA</v>
      </c>
      <c r="T1379" s="37">
        <v>36.92</v>
      </c>
    </row>
    <row r="1380" spans="15:20" x14ac:dyDescent="0.25">
      <c r="O1380" s="76">
        <v>40796</v>
      </c>
      <c r="P1380" s="78" t="s">
        <v>683</v>
      </c>
      <c r="Q1380" s="77">
        <v>46179</v>
      </c>
      <c r="R1380" s="78" t="s">
        <v>42</v>
      </c>
      <c r="S1380" s="36" t="str">
        <f>VLOOKUP(Tabla91116[[#This Row],[CODIGO DEL PRODUCTO]],Tabla797[],2,FALSE)</f>
        <v>ARENA FINA</v>
      </c>
      <c r="T1380" s="37">
        <v>18.48</v>
      </c>
    </row>
    <row r="1381" spans="15:20" x14ac:dyDescent="0.25">
      <c r="O1381" s="76">
        <v>159194</v>
      </c>
      <c r="P1381" s="78" t="s">
        <v>679</v>
      </c>
      <c r="Q1381" s="77">
        <v>46179</v>
      </c>
      <c r="R1381" s="78" t="s">
        <v>43</v>
      </c>
      <c r="S1381" s="36" t="str">
        <f>VLOOKUP(Tabla91116[[#This Row],[CODIGO DEL PRODUCTO]],Tabla797[],2,FALSE)</f>
        <v>PIEDRA 6-20</v>
      </c>
      <c r="T1381" s="37">
        <v>35.92</v>
      </c>
    </row>
    <row r="1382" spans="15:20" x14ac:dyDescent="0.25">
      <c r="O1382" s="76">
        <v>159196</v>
      </c>
      <c r="P1382" s="78" t="s">
        <v>679</v>
      </c>
      <c r="Q1382" s="77">
        <v>46179</v>
      </c>
      <c r="R1382" s="78" t="s">
        <v>43</v>
      </c>
      <c r="S1382" s="36" t="str">
        <f>VLOOKUP(Tabla91116[[#This Row],[CODIGO DEL PRODUCTO]],Tabla797[],2,FALSE)</f>
        <v>PIEDRA 6-20</v>
      </c>
      <c r="T1382" s="37">
        <v>36.020000000000003</v>
      </c>
    </row>
    <row r="1383" spans="15:20" x14ac:dyDescent="0.25">
      <c r="O1383" s="76">
        <v>159199</v>
      </c>
      <c r="P1383" s="78" t="s">
        <v>679</v>
      </c>
      <c r="Q1383" s="77">
        <v>46179</v>
      </c>
      <c r="R1383" s="78" t="s">
        <v>43</v>
      </c>
      <c r="S1383" s="36" t="str">
        <f>VLOOKUP(Tabla91116[[#This Row],[CODIGO DEL PRODUCTO]],Tabla797[],2,FALSE)</f>
        <v>PIEDRA 6-20</v>
      </c>
      <c r="T1383" s="37">
        <v>35.619999999999997</v>
      </c>
    </row>
    <row r="1384" spans="15:20" x14ac:dyDescent="0.25">
      <c r="O1384" s="76">
        <v>159204</v>
      </c>
      <c r="P1384" s="78" t="s">
        <v>679</v>
      </c>
      <c r="Q1384" s="77">
        <v>46179</v>
      </c>
      <c r="R1384" s="78" t="s">
        <v>43</v>
      </c>
      <c r="S1384" s="36" t="str">
        <f>VLOOKUP(Tabla91116[[#This Row],[CODIGO DEL PRODUCTO]],Tabla797[],2,FALSE)</f>
        <v>PIEDRA 6-20</v>
      </c>
      <c r="T1384" s="37">
        <v>35.26</v>
      </c>
    </row>
    <row r="1385" spans="15:20" x14ac:dyDescent="0.25">
      <c r="O1385" s="76">
        <v>159207</v>
      </c>
      <c r="P1385" s="78" t="s">
        <v>679</v>
      </c>
      <c r="Q1385" s="77">
        <v>46179</v>
      </c>
      <c r="R1385" s="78" t="s">
        <v>43</v>
      </c>
      <c r="S1385" s="36" t="str">
        <f>VLOOKUP(Tabla91116[[#This Row],[CODIGO DEL PRODUCTO]],Tabla797[],2,FALSE)</f>
        <v>PIEDRA 6-20</v>
      </c>
      <c r="T1385" s="37">
        <v>35.880000000000003</v>
      </c>
    </row>
    <row r="1386" spans="15:20" x14ac:dyDescent="0.25">
      <c r="O1386" s="76">
        <v>159218</v>
      </c>
      <c r="P1386" s="78" t="s">
        <v>679</v>
      </c>
      <c r="Q1386" s="77">
        <v>46179</v>
      </c>
      <c r="R1386" s="78" t="s">
        <v>43</v>
      </c>
      <c r="S1386" s="36" t="str">
        <f>VLOOKUP(Tabla91116[[#This Row],[CODIGO DEL PRODUCTO]],Tabla797[],2,FALSE)</f>
        <v>PIEDRA 6-20</v>
      </c>
      <c r="T1386" s="37">
        <v>35.44</v>
      </c>
    </row>
    <row r="1387" spans="15:20" x14ac:dyDescent="0.25">
      <c r="O1387" s="76">
        <v>2713112</v>
      </c>
      <c r="P1387" s="78" t="s">
        <v>679</v>
      </c>
      <c r="Q1387" s="77">
        <v>46179</v>
      </c>
      <c r="R1387" s="78" t="s">
        <v>286</v>
      </c>
      <c r="S1387" s="36" t="str">
        <f>VLOOKUP(Tabla91116[[#This Row],[CODIGO DEL PRODUCTO]],Tabla797[],2,FALSE)</f>
        <v>CPF 40 AVELLANEDA</v>
      </c>
      <c r="T1387" s="37">
        <v>36.74</v>
      </c>
    </row>
    <row r="1388" spans="15:20" x14ac:dyDescent="0.25">
      <c r="O1388" s="76">
        <v>104527</v>
      </c>
      <c r="P1388" s="78" t="s">
        <v>683</v>
      </c>
      <c r="Q1388" s="77">
        <v>46181</v>
      </c>
      <c r="R1388" s="78" t="s">
        <v>42</v>
      </c>
      <c r="S1388" s="36" t="str">
        <f>VLOOKUP(Tabla91116[[#This Row],[CODIGO DEL PRODUCTO]],Tabla797[],2,FALSE)</f>
        <v>ARENA FINA</v>
      </c>
      <c r="T1388" s="37">
        <v>34.5</v>
      </c>
    </row>
    <row r="1389" spans="15:20" x14ac:dyDescent="0.25">
      <c r="O1389" s="76">
        <v>104532</v>
      </c>
      <c r="P1389" s="78" t="s">
        <v>683</v>
      </c>
      <c r="Q1389" s="77">
        <v>46181</v>
      </c>
      <c r="R1389" s="78" t="s">
        <v>42</v>
      </c>
      <c r="S1389" s="36" t="str">
        <f>VLOOKUP(Tabla91116[[#This Row],[CODIGO DEL PRODUCTO]],Tabla797[],2,FALSE)</f>
        <v>ARENA FINA</v>
      </c>
      <c r="T1389" s="37">
        <v>35.32</v>
      </c>
    </row>
    <row r="1390" spans="15:20" x14ac:dyDescent="0.25">
      <c r="O1390" s="76">
        <v>104533</v>
      </c>
      <c r="P1390" s="78" t="s">
        <v>683</v>
      </c>
      <c r="Q1390" s="77">
        <v>46181</v>
      </c>
      <c r="R1390" s="78" t="s">
        <v>42</v>
      </c>
      <c r="S1390" s="36" t="str">
        <f>VLOOKUP(Tabla91116[[#This Row],[CODIGO DEL PRODUCTO]],Tabla797[],2,FALSE)</f>
        <v>ARENA FINA</v>
      </c>
      <c r="T1390" s="37">
        <v>35.28</v>
      </c>
    </row>
    <row r="1391" spans="15:20" x14ac:dyDescent="0.25">
      <c r="O1391" s="76">
        <v>109670</v>
      </c>
      <c r="P1391" s="78" t="s">
        <v>684</v>
      </c>
      <c r="Q1391" s="77">
        <v>46181</v>
      </c>
      <c r="R1391" s="78" t="s">
        <v>40</v>
      </c>
      <c r="S1391" s="36" t="str">
        <f>VLOOKUP(Tabla91116[[#This Row],[CODIGO DEL PRODUCTO]],Tabla797[],2,FALSE)</f>
        <v>PIEDRA 0-6</v>
      </c>
      <c r="T1391" s="37">
        <v>35.14</v>
      </c>
    </row>
    <row r="1392" spans="15:20" x14ac:dyDescent="0.25">
      <c r="O1392" s="76">
        <v>109673</v>
      </c>
      <c r="P1392" s="78" t="s">
        <v>684</v>
      </c>
      <c r="Q1392" s="77">
        <v>46181</v>
      </c>
      <c r="R1392" s="78" t="s">
        <v>40</v>
      </c>
      <c r="S1392" s="36" t="str">
        <f>VLOOKUP(Tabla91116[[#This Row],[CODIGO DEL PRODUCTO]],Tabla797[],2,FALSE)</f>
        <v>PIEDRA 0-6</v>
      </c>
      <c r="T1392" s="37">
        <v>35.520000000000003</v>
      </c>
    </row>
    <row r="1393" spans="15:20" x14ac:dyDescent="0.25">
      <c r="O1393" s="76">
        <v>109682</v>
      </c>
      <c r="P1393" s="78" t="s">
        <v>684</v>
      </c>
      <c r="Q1393" s="77">
        <v>46181</v>
      </c>
      <c r="R1393" s="78" t="s">
        <v>40</v>
      </c>
      <c r="S1393" s="36" t="str">
        <f>VLOOKUP(Tabla91116[[#This Row],[CODIGO DEL PRODUCTO]],Tabla797[],2,FALSE)</f>
        <v>PIEDRA 0-6</v>
      </c>
      <c r="T1393" s="37">
        <v>34.880000000000003</v>
      </c>
    </row>
    <row r="1394" spans="15:20" x14ac:dyDescent="0.25">
      <c r="O1394" s="76">
        <v>109683</v>
      </c>
      <c r="P1394" s="78" t="s">
        <v>684</v>
      </c>
      <c r="Q1394" s="77">
        <v>46181</v>
      </c>
      <c r="R1394" s="78" t="s">
        <v>43</v>
      </c>
      <c r="S1394" s="36" t="str">
        <f>VLOOKUP(Tabla91116[[#This Row],[CODIGO DEL PRODUCTO]],Tabla797[],2,FALSE)</f>
        <v>PIEDRA 6-20</v>
      </c>
      <c r="T1394" s="37">
        <v>34.94</v>
      </c>
    </row>
    <row r="1395" spans="15:20" x14ac:dyDescent="0.25">
      <c r="O1395" s="76">
        <v>109684</v>
      </c>
      <c r="P1395" s="78" t="s">
        <v>684</v>
      </c>
      <c r="Q1395" s="77">
        <v>46181</v>
      </c>
      <c r="R1395" s="78" t="s">
        <v>40</v>
      </c>
      <c r="S1395" s="36" t="str">
        <f>VLOOKUP(Tabla91116[[#This Row],[CODIGO DEL PRODUCTO]],Tabla797[],2,FALSE)</f>
        <v>PIEDRA 0-6</v>
      </c>
      <c r="T1395" s="37">
        <v>35.380000000000003</v>
      </c>
    </row>
    <row r="1396" spans="15:20" x14ac:dyDescent="0.25">
      <c r="O1396" s="76">
        <v>109685</v>
      </c>
      <c r="P1396" s="78" t="s">
        <v>684</v>
      </c>
      <c r="Q1396" s="77">
        <v>46181</v>
      </c>
      <c r="R1396" s="78" t="s">
        <v>40</v>
      </c>
      <c r="S1396" s="36" t="str">
        <f>VLOOKUP(Tabla91116[[#This Row],[CODIGO DEL PRODUCTO]],Tabla797[],2,FALSE)</f>
        <v>PIEDRA 0-6</v>
      </c>
      <c r="T1396" s="37">
        <v>35.22</v>
      </c>
    </row>
    <row r="1397" spans="15:20" x14ac:dyDescent="0.25">
      <c r="O1397" s="76">
        <v>159303</v>
      </c>
      <c r="P1397" s="78" t="s">
        <v>679</v>
      </c>
      <c r="Q1397" s="77">
        <v>46181</v>
      </c>
      <c r="R1397" s="78" t="s">
        <v>43</v>
      </c>
      <c r="S1397" s="36" t="str">
        <f>VLOOKUP(Tabla91116[[#This Row],[CODIGO DEL PRODUCTO]],Tabla797[],2,FALSE)</f>
        <v>PIEDRA 6-20</v>
      </c>
      <c r="T1397" s="37">
        <v>36.119999999999997</v>
      </c>
    </row>
    <row r="1398" spans="15:20" x14ac:dyDescent="0.25">
      <c r="O1398" s="76">
        <v>159295</v>
      </c>
      <c r="P1398" s="78" t="s">
        <v>679</v>
      </c>
      <c r="Q1398" s="77">
        <v>46181</v>
      </c>
      <c r="R1398" s="78" t="s">
        <v>43</v>
      </c>
      <c r="S1398" s="36" t="str">
        <f>VLOOKUP(Tabla91116[[#This Row],[CODIGO DEL PRODUCTO]],Tabla797[],2,FALSE)</f>
        <v>PIEDRA 6-20</v>
      </c>
      <c r="T1398" s="37">
        <v>36.08</v>
      </c>
    </row>
    <row r="1399" spans="15:20" x14ac:dyDescent="0.25">
      <c r="O1399" s="76">
        <v>159290</v>
      </c>
      <c r="P1399" s="78" t="s">
        <v>679</v>
      </c>
      <c r="Q1399" s="77">
        <v>46181</v>
      </c>
      <c r="R1399" s="78" t="s">
        <v>43</v>
      </c>
      <c r="S1399" s="36" t="str">
        <f>VLOOKUP(Tabla91116[[#This Row],[CODIGO DEL PRODUCTO]],Tabla797[],2,FALSE)</f>
        <v>PIEDRA 6-20</v>
      </c>
      <c r="T1399" s="37">
        <v>34.92</v>
      </c>
    </row>
    <row r="1400" spans="15:20" x14ac:dyDescent="0.25">
      <c r="O1400" s="76">
        <v>159281</v>
      </c>
      <c r="P1400" s="78" t="s">
        <v>679</v>
      </c>
      <c r="Q1400" s="77">
        <v>46181</v>
      </c>
      <c r="R1400" s="78" t="s">
        <v>43</v>
      </c>
      <c r="S1400" s="36" t="str">
        <f>VLOOKUP(Tabla91116[[#This Row],[CODIGO DEL PRODUCTO]],Tabla797[],2,FALSE)</f>
        <v>PIEDRA 6-20</v>
      </c>
      <c r="T1400" s="37">
        <v>35.76</v>
      </c>
    </row>
    <row r="1401" spans="15:20" x14ac:dyDescent="0.25">
      <c r="O1401" s="76">
        <v>2713355</v>
      </c>
      <c r="P1401" s="78" t="s">
        <v>679</v>
      </c>
      <c r="Q1401" s="77">
        <v>46181</v>
      </c>
      <c r="R1401" s="78" t="s">
        <v>286</v>
      </c>
      <c r="S1401" s="36" t="str">
        <f>VLOOKUP(Tabla91116[[#This Row],[CODIGO DEL PRODUCTO]],Tabla797[],2,FALSE)</f>
        <v>CPF 40 AVELLANEDA</v>
      </c>
      <c r="T1401" s="37">
        <v>35.659999999999997</v>
      </c>
    </row>
    <row r="1402" spans="15:20" x14ac:dyDescent="0.25">
      <c r="O1402" s="76">
        <v>2713366</v>
      </c>
      <c r="P1402" s="78" t="s">
        <v>679</v>
      </c>
      <c r="Q1402" s="77">
        <v>46181</v>
      </c>
      <c r="R1402" s="78" t="s">
        <v>286</v>
      </c>
      <c r="S1402" s="36" t="str">
        <f>VLOOKUP(Tabla91116[[#This Row],[CODIGO DEL PRODUCTO]],Tabla797[],2,FALSE)</f>
        <v>CPF 40 AVELLANEDA</v>
      </c>
      <c r="T1402" s="37">
        <v>36.72</v>
      </c>
    </row>
    <row r="1403" spans="15:20" x14ac:dyDescent="0.25">
      <c r="O1403" s="76">
        <v>40799</v>
      </c>
      <c r="P1403" s="78" t="s">
        <v>149</v>
      </c>
      <c r="Q1403" s="77">
        <v>46181</v>
      </c>
      <c r="R1403" s="78" t="s">
        <v>42</v>
      </c>
      <c r="S1403" s="36" t="str">
        <f>VLOOKUP(Tabla91116[[#This Row],[CODIGO DEL PRODUCTO]],Tabla797[],2,FALSE)</f>
        <v>ARENA FINA</v>
      </c>
      <c r="T1403" s="37">
        <v>36.28</v>
      </c>
    </row>
    <row r="1404" spans="15:20" x14ac:dyDescent="0.25">
      <c r="O1404" s="76">
        <v>104541</v>
      </c>
      <c r="P1404" s="78" t="s">
        <v>683</v>
      </c>
      <c r="Q1404" s="77">
        <v>46182</v>
      </c>
      <c r="R1404" s="78" t="s">
        <v>42</v>
      </c>
      <c r="S1404" s="36" t="str">
        <f>VLOOKUP(Tabla91116[[#This Row],[CODIGO DEL PRODUCTO]],Tabla797[],2,FALSE)</f>
        <v>ARENA FINA</v>
      </c>
      <c r="T1404" s="37">
        <v>37.26</v>
      </c>
    </row>
    <row r="1405" spans="15:20" x14ac:dyDescent="0.25">
      <c r="O1405" s="76">
        <v>104546</v>
      </c>
      <c r="P1405" s="78" t="s">
        <v>683</v>
      </c>
      <c r="Q1405" s="77">
        <v>46182</v>
      </c>
      <c r="R1405" s="78" t="s">
        <v>42</v>
      </c>
      <c r="S1405" s="36" t="str">
        <f>VLOOKUP(Tabla91116[[#This Row],[CODIGO DEL PRODUCTO]],Tabla797[],2,FALSE)</f>
        <v>ARENA FINA</v>
      </c>
      <c r="T1405" s="37">
        <v>35.06</v>
      </c>
    </row>
    <row r="1406" spans="15:20" x14ac:dyDescent="0.25">
      <c r="O1406" s="76">
        <v>104547</v>
      </c>
      <c r="P1406" s="78" t="s">
        <v>683</v>
      </c>
      <c r="Q1406" s="77">
        <v>46182</v>
      </c>
      <c r="R1406" s="78" t="s">
        <v>42</v>
      </c>
      <c r="S1406" s="36" t="str">
        <f>VLOOKUP(Tabla91116[[#This Row],[CODIGO DEL PRODUCTO]],Tabla797[],2,FALSE)</f>
        <v>ARENA FINA</v>
      </c>
      <c r="T1406" s="37">
        <v>36.4</v>
      </c>
    </row>
    <row r="1407" spans="15:20" x14ac:dyDescent="0.25">
      <c r="O1407" s="76">
        <v>109690</v>
      </c>
      <c r="P1407" s="78" t="s">
        <v>684</v>
      </c>
      <c r="Q1407" s="77">
        <v>46182</v>
      </c>
      <c r="R1407" s="78" t="s">
        <v>43</v>
      </c>
      <c r="S1407" s="36" t="str">
        <f>VLOOKUP(Tabla91116[[#This Row],[CODIGO DEL PRODUCTO]],Tabla797[],2,FALSE)</f>
        <v>PIEDRA 6-20</v>
      </c>
      <c r="T1407" s="37">
        <v>34.56</v>
      </c>
    </row>
    <row r="1408" spans="15:20" x14ac:dyDescent="0.25">
      <c r="O1408" s="76">
        <v>109702</v>
      </c>
      <c r="P1408" s="78" t="s">
        <v>684</v>
      </c>
      <c r="Q1408" s="77">
        <v>46182</v>
      </c>
      <c r="R1408" s="78" t="s">
        <v>40</v>
      </c>
      <c r="S1408" s="36" t="str">
        <f>VLOOKUP(Tabla91116[[#This Row],[CODIGO DEL PRODUCTO]],Tabla797[],2,FALSE)</f>
        <v>PIEDRA 0-6</v>
      </c>
      <c r="T1408" s="37">
        <v>35.380000000000003</v>
      </c>
    </row>
    <row r="1409" spans="15:20" x14ac:dyDescent="0.25">
      <c r="O1409" s="76">
        <v>109704</v>
      </c>
      <c r="P1409" s="78" t="s">
        <v>684</v>
      </c>
      <c r="Q1409" s="77">
        <v>46182</v>
      </c>
      <c r="R1409" s="78" t="s">
        <v>40</v>
      </c>
      <c r="S1409" s="36" t="str">
        <f>VLOOKUP(Tabla91116[[#This Row],[CODIGO DEL PRODUCTO]],Tabla797[],2,FALSE)</f>
        <v>PIEDRA 0-6</v>
      </c>
      <c r="T1409" s="37">
        <v>34.64</v>
      </c>
    </row>
    <row r="1410" spans="15:20" x14ac:dyDescent="0.25">
      <c r="O1410" s="76">
        <v>109712</v>
      </c>
      <c r="P1410" s="78" t="s">
        <v>684</v>
      </c>
      <c r="Q1410" s="77">
        <v>46182</v>
      </c>
      <c r="R1410" s="78" t="s">
        <v>43</v>
      </c>
      <c r="S1410" s="36" t="str">
        <f>VLOOKUP(Tabla91116[[#This Row],[CODIGO DEL PRODUCTO]],Tabla797[],2,FALSE)</f>
        <v>PIEDRA 6-20</v>
      </c>
      <c r="T1410" s="37">
        <v>34.880000000000003</v>
      </c>
    </row>
    <row r="1411" spans="15:20" x14ac:dyDescent="0.25">
      <c r="O1411" s="76">
        <v>109713</v>
      </c>
      <c r="P1411" s="78" t="s">
        <v>684</v>
      </c>
      <c r="Q1411" s="77">
        <v>46182</v>
      </c>
      <c r="R1411" s="78" t="s">
        <v>40</v>
      </c>
      <c r="S1411" s="36" t="str">
        <f>VLOOKUP(Tabla91116[[#This Row],[CODIGO DEL PRODUCTO]],Tabla797[],2,FALSE)</f>
        <v>PIEDRA 0-6</v>
      </c>
      <c r="T1411" s="37">
        <v>34.76</v>
      </c>
    </row>
    <row r="1412" spans="15:20" x14ac:dyDescent="0.25">
      <c r="O1412" s="76">
        <v>109715</v>
      </c>
      <c r="P1412" s="78" t="s">
        <v>684</v>
      </c>
      <c r="Q1412" s="77">
        <v>46182</v>
      </c>
      <c r="R1412" s="78" t="s">
        <v>40</v>
      </c>
      <c r="S1412" s="36" t="str">
        <f>VLOOKUP(Tabla91116[[#This Row],[CODIGO DEL PRODUCTO]],Tabla797[],2,FALSE)</f>
        <v>PIEDRA 0-6</v>
      </c>
      <c r="T1412" s="37">
        <v>34.78</v>
      </c>
    </row>
    <row r="1413" spans="15:20" x14ac:dyDescent="0.25">
      <c r="O1413" s="76">
        <v>159308</v>
      </c>
      <c r="P1413" s="78" t="s">
        <v>679</v>
      </c>
      <c r="Q1413" s="77">
        <v>46182</v>
      </c>
      <c r="R1413" s="78" t="s">
        <v>43</v>
      </c>
      <c r="S1413" s="36" t="str">
        <f>VLOOKUP(Tabla91116[[#This Row],[CODIGO DEL PRODUCTO]],Tabla797[],2,FALSE)</f>
        <v>PIEDRA 6-20</v>
      </c>
      <c r="T1413" s="37">
        <v>35.700000000000003</v>
      </c>
    </row>
    <row r="1414" spans="15:20" x14ac:dyDescent="0.25">
      <c r="O1414" s="76">
        <v>159315</v>
      </c>
      <c r="P1414" s="78" t="s">
        <v>679</v>
      </c>
      <c r="Q1414" s="77">
        <v>46182</v>
      </c>
      <c r="R1414" s="78" t="s">
        <v>43</v>
      </c>
      <c r="S1414" s="36" t="str">
        <f>VLOOKUP(Tabla91116[[#This Row],[CODIGO DEL PRODUCTO]],Tabla797[],2,FALSE)</f>
        <v>PIEDRA 6-20</v>
      </c>
      <c r="T1414" s="37">
        <v>36.090000000000003</v>
      </c>
    </row>
    <row r="1415" spans="15:20" x14ac:dyDescent="0.25">
      <c r="O1415" s="76">
        <v>159334</v>
      </c>
      <c r="P1415" s="78" t="s">
        <v>679</v>
      </c>
      <c r="Q1415" s="77">
        <v>46182</v>
      </c>
      <c r="R1415" s="78" t="s">
        <v>43</v>
      </c>
      <c r="S1415" s="36" t="str">
        <f>VLOOKUP(Tabla91116[[#This Row],[CODIGO DEL PRODUCTO]],Tabla797[],2,FALSE)</f>
        <v>PIEDRA 6-20</v>
      </c>
      <c r="T1415" s="37">
        <v>35.1</v>
      </c>
    </row>
    <row r="1416" spans="15:20" x14ac:dyDescent="0.25">
      <c r="O1416" s="76">
        <v>159344</v>
      </c>
      <c r="P1416" s="78" t="s">
        <v>679</v>
      </c>
      <c r="Q1416" s="77">
        <v>46182</v>
      </c>
      <c r="R1416" s="78" t="s">
        <v>43</v>
      </c>
      <c r="S1416" s="36" t="str">
        <f>VLOOKUP(Tabla91116[[#This Row],[CODIGO DEL PRODUCTO]],Tabla797[],2,FALSE)</f>
        <v>PIEDRA 6-20</v>
      </c>
      <c r="T1416" s="37">
        <v>35.04</v>
      </c>
    </row>
    <row r="1417" spans="15:20" x14ac:dyDescent="0.25">
      <c r="O1417" s="76">
        <v>159355</v>
      </c>
      <c r="P1417" s="78" t="s">
        <v>679</v>
      </c>
      <c r="Q1417" s="77">
        <v>46182</v>
      </c>
      <c r="R1417" s="78" t="s">
        <v>43</v>
      </c>
      <c r="S1417" s="36" t="str">
        <f>VLOOKUP(Tabla91116[[#This Row],[CODIGO DEL PRODUCTO]],Tabla797[],2,FALSE)</f>
        <v>PIEDRA 6-20</v>
      </c>
      <c r="T1417" s="37">
        <v>36.06</v>
      </c>
    </row>
    <row r="1418" spans="15:20" x14ac:dyDescent="0.25">
      <c r="O1418" s="76">
        <v>2713587</v>
      </c>
      <c r="P1418" s="78" t="s">
        <v>679</v>
      </c>
      <c r="Q1418" s="77">
        <v>46182</v>
      </c>
      <c r="R1418" s="78" t="s">
        <v>286</v>
      </c>
      <c r="S1418" s="36" t="str">
        <f>VLOOKUP(Tabla91116[[#This Row],[CODIGO DEL PRODUCTO]],Tabla797[],2,FALSE)</f>
        <v>CPF 40 AVELLANEDA</v>
      </c>
      <c r="T1418" s="37">
        <v>35.68</v>
      </c>
    </row>
    <row r="1419" spans="15:20" x14ac:dyDescent="0.25">
      <c r="O1419" s="76">
        <v>2713611</v>
      </c>
      <c r="P1419" s="78" t="s">
        <v>679</v>
      </c>
      <c r="Q1419" s="77">
        <v>46182</v>
      </c>
      <c r="R1419" s="78" t="s">
        <v>286</v>
      </c>
      <c r="S1419" s="36" t="str">
        <f>VLOOKUP(Tabla91116[[#This Row],[CODIGO DEL PRODUCTO]],Tabla797[],2,FALSE)</f>
        <v>CPF 40 AVELLANEDA</v>
      </c>
      <c r="T1419" s="37">
        <v>35.22</v>
      </c>
    </row>
    <row r="1420" spans="15:20" x14ac:dyDescent="0.25">
      <c r="O1420" s="76">
        <v>46950</v>
      </c>
      <c r="P1420" s="78" t="s">
        <v>449</v>
      </c>
      <c r="Q1420" s="77">
        <v>46182</v>
      </c>
      <c r="R1420" s="78" t="s">
        <v>425</v>
      </c>
      <c r="S1420" s="36" t="str">
        <f>VLOOKUP(Tabla91116[[#This Row],[CODIGO DEL PRODUCTO]],Tabla797[],2,FALSE)</f>
        <v>W351R</v>
      </c>
      <c r="T1420" s="37">
        <v>2</v>
      </c>
    </row>
    <row r="1421" spans="15:20" x14ac:dyDescent="0.25">
      <c r="O1421" s="76">
        <v>104552</v>
      </c>
      <c r="P1421" s="78" t="s">
        <v>683</v>
      </c>
      <c r="Q1421" s="77">
        <v>46183</v>
      </c>
      <c r="R1421" s="78" t="s">
        <v>42</v>
      </c>
      <c r="S1421" s="36" t="str">
        <f>VLOOKUP(Tabla91116[[#This Row],[CODIGO DEL PRODUCTO]],Tabla797[],2,FALSE)</f>
        <v>ARENA FINA</v>
      </c>
      <c r="T1421" s="37">
        <v>35.619999999999997</v>
      </c>
    </row>
    <row r="1422" spans="15:20" x14ac:dyDescent="0.25">
      <c r="O1422" s="76">
        <v>104553</v>
      </c>
      <c r="P1422" s="78" t="s">
        <v>683</v>
      </c>
      <c r="Q1422" s="77">
        <v>46183</v>
      </c>
      <c r="R1422" s="78" t="s">
        <v>42</v>
      </c>
      <c r="S1422" s="36" t="str">
        <f>VLOOKUP(Tabla91116[[#This Row],[CODIGO DEL PRODUCTO]],Tabla797[],2,FALSE)</f>
        <v>ARENA FINA</v>
      </c>
      <c r="T1422" s="37">
        <v>36.18</v>
      </c>
    </row>
    <row r="1423" spans="15:20" x14ac:dyDescent="0.25">
      <c r="O1423" s="76">
        <v>104562</v>
      </c>
      <c r="P1423" s="78" t="s">
        <v>683</v>
      </c>
      <c r="Q1423" s="77">
        <v>46183</v>
      </c>
      <c r="R1423" s="78" t="s">
        <v>42</v>
      </c>
      <c r="S1423" s="36" t="str">
        <f>VLOOKUP(Tabla91116[[#This Row],[CODIGO DEL PRODUCTO]],Tabla797[],2,FALSE)</f>
        <v>ARENA FINA</v>
      </c>
      <c r="T1423" s="37">
        <v>33.979999999999997</v>
      </c>
    </row>
    <row r="1424" spans="15:20" x14ac:dyDescent="0.25">
      <c r="O1424" s="76">
        <v>109718</v>
      </c>
      <c r="P1424" s="78" t="s">
        <v>684</v>
      </c>
      <c r="Q1424" s="77">
        <v>46183</v>
      </c>
      <c r="R1424" s="78" t="s">
        <v>43</v>
      </c>
      <c r="S1424" s="36" t="str">
        <f>VLOOKUP(Tabla91116[[#This Row],[CODIGO DEL PRODUCTO]],Tabla797[],2,FALSE)</f>
        <v>PIEDRA 6-20</v>
      </c>
      <c r="T1424" s="37">
        <v>35.1</v>
      </c>
    </row>
    <row r="1425" spans="15:20" x14ac:dyDescent="0.25">
      <c r="O1425" s="76">
        <v>109730</v>
      </c>
      <c r="P1425" s="78" t="s">
        <v>684</v>
      </c>
      <c r="Q1425" s="77">
        <v>46183</v>
      </c>
      <c r="R1425" s="78" t="s">
        <v>40</v>
      </c>
      <c r="S1425" s="36" t="str">
        <f>VLOOKUP(Tabla91116[[#This Row],[CODIGO DEL PRODUCTO]],Tabla797[],2,FALSE)</f>
        <v>PIEDRA 0-6</v>
      </c>
      <c r="T1425" s="37">
        <v>34.700000000000003</v>
      </c>
    </row>
    <row r="1426" spans="15:20" x14ac:dyDescent="0.25">
      <c r="O1426" s="76">
        <v>109736</v>
      </c>
      <c r="P1426" s="78" t="s">
        <v>684</v>
      </c>
      <c r="Q1426" s="77">
        <v>46183</v>
      </c>
      <c r="R1426" s="78" t="s">
        <v>40</v>
      </c>
      <c r="S1426" s="36" t="str">
        <f>VLOOKUP(Tabla91116[[#This Row],[CODIGO DEL PRODUCTO]],Tabla797[],2,FALSE)</f>
        <v>PIEDRA 0-6</v>
      </c>
      <c r="T1426" s="37">
        <v>34.08</v>
      </c>
    </row>
    <row r="1427" spans="15:20" x14ac:dyDescent="0.25">
      <c r="O1427" s="76">
        <v>109736</v>
      </c>
      <c r="P1427" s="78" t="s">
        <v>684</v>
      </c>
      <c r="Q1427" s="77">
        <v>46183</v>
      </c>
      <c r="R1427" s="78" t="s">
        <v>40</v>
      </c>
      <c r="S1427" s="36" t="str">
        <f>VLOOKUP(Tabla91116[[#This Row],[CODIGO DEL PRODUCTO]],Tabla797[],2,FALSE)</f>
        <v>PIEDRA 0-6</v>
      </c>
      <c r="T1427" s="37">
        <v>34.08</v>
      </c>
    </row>
    <row r="1428" spans="15:20" x14ac:dyDescent="0.25">
      <c r="O1428" s="76">
        <v>109737</v>
      </c>
      <c r="P1428" s="78" t="s">
        <v>684</v>
      </c>
      <c r="Q1428" s="77">
        <v>46183</v>
      </c>
      <c r="R1428" s="78" t="s">
        <v>43</v>
      </c>
      <c r="S1428" s="36" t="str">
        <f>VLOOKUP(Tabla91116[[#This Row],[CODIGO DEL PRODUCTO]],Tabla797[],2,FALSE)</f>
        <v>PIEDRA 6-20</v>
      </c>
      <c r="T1428" s="37">
        <v>34.5</v>
      </c>
    </row>
    <row r="1429" spans="15:20" x14ac:dyDescent="0.25">
      <c r="O1429" s="76">
        <v>109740</v>
      </c>
      <c r="P1429" s="78" t="s">
        <v>684</v>
      </c>
      <c r="Q1429" s="77">
        <v>46183</v>
      </c>
      <c r="R1429" s="78" t="s">
        <v>40</v>
      </c>
      <c r="S1429" s="36" t="str">
        <f>VLOOKUP(Tabla91116[[#This Row],[CODIGO DEL PRODUCTO]],Tabla797[],2,FALSE)</f>
        <v>PIEDRA 0-6</v>
      </c>
      <c r="T1429" s="37">
        <v>35.68</v>
      </c>
    </row>
    <row r="1430" spans="15:20" x14ac:dyDescent="0.25">
      <c r="O1430" s="76">
        <v>109741</v>
      </c>
      <c r="P1430" s="78" t="s">
        <v>684</v>
      </c>
      <c r="Q1430" s="77">
        <v>46183</v>
      </c>
      <c r="R1430" s="78" t="s">
        <v>40</v>
      </c>
      <c r="S1430" s="36" t="str">
        <f>VLOOKUP(Tabla91116[[#This Row],[CODIGO DEL PRODUCTO]],Tabla797[],2,FALSE)</f>
        <v>PIEDRA 0-6</v>
      </c>
      <c r="T1430" s="37">
        <v>34.46</v>
      </c>
    </row>
    <row r="1431" spans="15:20" x14ac:dyDescent="0.25">
      <c r="O1431" s="76">
        <v>159372</v>
      </c>
      <c r="P1431" s="78" t="s">
        <v>679</v>
      </c>
      <c r="Q1431" s="77">
        <v>46183</v>
      </c>
      <c r="R1431" s="78" t="s">
        <v>43</v>
      </c>
      <c r="S1431" s="36" t="str">
        <f>VLOOKUP(Tabla91116[[#This Row],[CODIGO DEL PRODUCTO]],Tabla797[],2,FALSE)</f>
        <v>PIEDRA 6-20</v>
      </c>
      <c r="T1431" s="37">
        <v>35.32</v>
      </c>
    </row>
    <row r="1432" spans="15:20" x14ac:dyDescent="0.25">
      <c r="O1432" s="76">
        <v>159412</v>
      </c>
      <c r="P1432" s="78" t="s">
        <v>679</v>
      </c>
      <c r="Q1432" s="77">
        <v>46183</v>
      </c>
      <c r="R1432" s="78" t="s">
        <v>43</v>
      </c>
      <c r="S1432" s="36" t="str">
        <f>VLOOKUP(Tabla91116[[#This Row],[CODIGO DEL PRODUCTO]],Tabla797[],2,FALSE)</f>
        <v>PIEDRA 6-20</v>
      </c>
      <c r="T1432" s="37">
        <v>34.9</v>
      </c>
    </row>
    <row r="1433" spans="15:20" x14ac:dyDescent="0.25">
      <c r="O1433" s="76">
        <v>159415</v>
      </c>
      <c r="P1433" s="78" t="s">
        <v>679</v>
      </c>
      <c r="Q1433" s="77">
        <v>46183</v>
      </c>
      <c r="R1433" s="78" t="s">
        <v>43</v>
      </c>
      <c r="S1433" s="36" t="str">
        <f>VLOOKUP(Tabla91116[[#This Row],[CODIGO DEL PRODUCTO]],Tabla797[],2,FALSE)</f>
        <v>PIEDRA 6-20</v>
      </c>
      <c r="T1433" s="37">
        <v>35.1</v>
      </c>
    </row>
    <row r="1434" spans="15:20" x14ac:dyDescent="0.25">
      <c r="O1434" s="76">
        <v>2713855</v>
      </c>
      <c r="P1434" s="78" t="s">
        <v>679</v>
      </c>
      <c r="Q1434" s="77">
        <v>46183</v>
      </c>
      <c r="R1434" s="78" t="s">
        <v>286</v>
      </c>
      <c r="S1434" s="36" t="str">
        <f>VLOOKUP(Tabla91116[[#This Row],[CODIGO DEL PRODUCTO]],Tabla797[],2,FALSE)</f>
        <v>CPF 40 AVELLANEDA</v>
      </c>
      <c r="T1434" s="37">
        <v>35.44</v>
      </c>
    </row>
    <row r="1435" spans="15:20" x14ac:dyDescent="0.25">
      <c r="O1435" s="76">
        <v>104573</v>
      </c>
      <c r="P1435" s="78" t="s">
        <v>683</v>
      </c>
      <c r="Q1435" s="77">
        <v>46184</v>
      </c>
      <c r="R1435" s="78" t="s">
        <v>42</v>
      </c>
      <c r="S1435" s="36" t="str">
        <f>VLOOKUP(Tabla91116[[#This Row],[CODIGO DEL PRODUCTO]],Tabla797[],2,FALSE)</f>
        <v>ARENA FINA</v>
      </c>
      <c r="T1435" s="37">
        <v>34.96</v>
      </c>
    </row>
    <row r="1436" spans="15:20" x14ac:dyDescent="0.25">
      <c r="O1436" s="76">
        <v>104575</v>
      </c>
      <c r="P1436" s="78" t="s">
        <v>683</v>
      </c>
      <c r="Q1436" s="77">
        <v>46184</v>
      </c>
      <c r="R1436" s="78" t="s">
        <v>42</v>
      </c>
      <c r="S1436" s="36" t="str">
        <f>VLOOKUP(Tabla91116[[#This Row],[CODIGO DEL PRODUCTO]],Tabla797[],2,FALSE)</f>
        <v>ARENA FINA</v>
      </c>
      <c r="T1436" s="37">
        <v>35.96</v>
      </c>
    </row>
    <row r="1437" spans="15:20" x14ac:dyDescent="0.25">
      <c r="O1437" s="76">
        <v>104580</v>
      </c>
      <c r="P1437" s="78" t="s">
        <v>683</v>
      </c>
      <c r="Q1437" s="77">
        <v>46184</v>
      </c>
      <c r="R1437" s="78" t="s">
        <v>42</v>
      </c>
      <c r="S1437" s="36" t="str">
        <f>VLOOKUP(Tabla91116[[#This Row],[CODIGO DEL PRODUCTO]],Tabla797[],2,FALSE)</f>
        <v>ARENA FINA</v>
      </c>
      <c r="T1437" s="37">
        <v>34.020000000000003</v>
      </c>
    </row>
    <row r="1438" spans="15:20" x14ac:dyDescent="0.25">
      <c r="O1438" s="76">
        <v>104581</v>
      </c>
      <c r="P1438" s="78" t="s">
        <v>683</v>
      </c>
      <c r="Q1438" s="77">
        <v>46184</v>
      </c>
      <c r="R1438" s="78" t="s">
        <v>42</v>
      </c>
      <c r="S1438" s="36" t="str">
        <f>VLOOKUP(Tabla91116[[#This Row],[CODIGO DEL PRODUCTO]],Tabla797[],2,FALSE)</f>
        <v>ARENA FINA</v>
      </c>
      <c r="T1438" s="37">
        <v>37.22</v>
      </c>
    </row>
    <row r="1439" spans="15:20" x14ac:dyDescent="0.25">
      <c r="O1439" s="76">
        <v>109748</v>
      </c>
      <c r="P1439" s="78" t="s">
        <v>684</v>
      </c>
      <c r="Q1439" s="77">
        <v>46184</v>
      </c>
      <c r="R1439" s="78" t="s">
        <v>43</v>
      </c>
      <c r="S1439" s="36" t="str">
        <f>VLOOKUP(Tabla91116[[#This Row],[CODIGO DEL PRODUCTO]],Tabla797[],2,FALSE)</f>
        <v>PIEDRA 6-20</v>
      </c>
      <c r="T1439" s="37">
        <v>35.76</v>
      </c>
    </row>
    <row r="1440" spans="15:20" x14ac:dyDescent="0.25">
      <c r="O1440" s="76">
        <v>109753</v>
      </c>
      <c r="P1440" s="78" t="s">
        <v>684</v>
      </c>
      <c r="Q1440" s="77">
        <v>46184</v>
      </c>
      <c r="R1440" s="78" t="s">
        <v>40</v>
      </c>
      <c r="S1440" s="36" t="str">
        <f>VLOOKUP(Tabla91116[[#This Row],[CODIGO DEL PRODUCTO]],Tabla797[],2,FALSE)</f>
        <v>PIEDRA 0-6</v>
      </c>
      <c r="T1440" s="37">
        <v>35.28</v>
      </c>
    </row>
    <row r="1441" spans="15:20" x14ac:dyDescent="0.25">
      <c r="O1441" s="76">
        <v>109758</v>
      </c>
      <c r="P1441" s="78" t="s">
        <v>684</v>
      </c>
      <c r="Q1441" s="77">
        <v>46184</v>
      </c>
      <c r="R1441" s="78" t="s">
        <v>43</v>
      </c>
      <c r="S1441" s="36" t="str">
        <f>VLOOKUP(Tabla91116[[#This Row],[CODIGO DEL PRODUCTO]],Tabla797[],2,FALSE)</f>
        <v>PIEDRA 6-20</v>
      </c>
      <c r="T1441" s="37">
        <v>35.18</v>
      </c>
    </row>
    <row r="1442" spans="15:20" x14ac:dyDescent="0.25">
      <c r="O1442" s="76">
        <v>109762</v>
      </c>
      <c r="P1442" s="78" t="s">
        <v>684</v>
      </c>
      <c r="Q1442" s="77">
        <v>46184</v>
      </c>
      <c r="R1442" s="78" t="s">
        <v>40</v>
      </c>
      <c r="S1442" s="36" t="str">
        <f>VLOOKUP(Tabla91116[[#This Row],[CODIGO DEL PRODUCTO]],Tabla797[],2,FALSE)</f>
        <v>PIEDRA 0-6</v>
      </c>
      <c r="T1442" s="37">
        <v>34.6</v>
      </c>
    </row>
    <row r="1443" spans="15:20" x14ac:dyDescent="0.25">
      <c r="O1443" s="76">
        <v>109763</v>
      </c>
      <c r="P1443" s="78" t="s">
        <v>684</v>
      </c>
      <c r="Q1443" s="77">
        <v>46184</v>
      </c>
      <c r="R1443" s="78" t="s">
        <v>40</v>
      </c>
      <c r="S1443" s="36" t="str">
        <f>VLOOKUP(Tabla91116[[#This Row],[CODIGO DEL PRODUCTO]],Tabla797[],2,FALSE)</f>
        <v>PIEDRA 0-6</v>
      </c>
      <c r="T1443" s="37">
        <v>34.520000000000003</v>
      </c>
    </row>
    <row r="1444" spans="15:20" x14ac:dyDescent="0.25">
      <c r="O1444" s="76">
        <v>109764</v>
      </c>
      <c r="P1444" s="78" t="s">
        <v>684</v>
      </c>
      <c r="Q1444" s="77">
        <v>46184</v>
      </c>
      <c r="R1444" s="78" t="s">
        <v>40</v>
      </c>
      <c r="S1444" s="36" t="str">
        <f>VLOOKUP(Tabla91116[[#This Row],[CODIGO DEL PRODUCTO]],Tabla797[],2,FALSE)</f>
        <v>PIEDRA 0-6</v>
      </c>
      <c r="T1444" s="37">
        <v>34.82</v>
      </c>
    </row>
    <row r="1445" spans="15:20" x14ac:dyDescent="0.25">
      <c r="O1445" s="76">
        <v>159452</v>
      </c>
      <c r="P1445" s="78" t="s">
        <v>679</v>
      </c>
      <c r="Q1445" s="77">
        <v>46184</v>
      </c>
      <c r="R1445" s="78" t="s">
        <v>43</v>
      </c>
      <c r="S1445" s="36" t="str">
        <f>VLOOKUP(Tabla91116[[#This Row],[CODIGO DEL PRODUCTO]],Tabla797[],2,FALSE)</f>
        <v>PIEDRA 6-20</v>
      </c>
      <c r="T1445" s="37">
        <v>35.520000000000003</v>
      </c>
    </row>
    <row r="1446" spans="15:20" x14ac:dyDescent="0.25">
      <c r="O1446" s="76">
        <v>159454</v>
      </c>
      <c r="P1446" s="78" t="s">
        <v>679</v>
      </c>
      <c r="Q1446" s="77">
        <v>46184</v>
      </c>
      <c r="R1446" s="78" t="s">
        <v>43</v>
      </c>
      <c r="S1446" s="36" t="str">
        <f>VLOOKUP(Tabla91116[[#This Row],[CODIGO DEL PRODUCTO]],Tabla797[],2,FALSE)</f>
        <v>PIEDRA 6-20</v>
      </c>
      <c r="T1446" s="37">
        <v>35.46</v>
      </c>
    </row>
    <row r="1447" spans="15:20" x14ac:dyDescent="0.25">
      <c r="O1447" s="76">
        <v>159470</v>
      </c>
      <c r="P1447" s="78" t="s">
        <v>679</v>
      </c>
      <c r="Q1447" s="77">
        <v>46184</v>
      </c>
      <c r="R1447" s="78" t="s">
        <v>43</v>
      </c>
      <c r="S1447" s="36" t="str">
        <f>VLOOKUP(Tabla91116[[#This Row],[CODIGO DEL PRODUCTO]],Tabla797[],2,FALSE)</f>
        <v>PIEDRA 6-20</v>
      </c>
      <c r="T1447" s="37">
        <v>35.56</v>
      </c>
    </row>
    <row r="1448" spans="15:20" x14ac:dyDescent="0.25">
      <c r="O1448" s="76">
        <v>2713881</v>
      </c>
      <c r="P1448" s="78" t="s">
        <v>679</v>
      </c>
      <c r="Q1448" s="77">
        <v>46184</v>
      </c>
      <c r="R1448" s="78" t="s">
        <v>286</v>
      </c>
      <c r="S1448" s="36" t="str">
        <f>VLOOKUP(Tabla91116[[#This Row],[CODIGO DEL PRODUCTO]],Tabla797[],2,FALSE)</f>
        <v>CPF 40 AVELLANEDA</v>
      </c>
      <c r="T1448" s="37">
        <v>36.92</v>
      </c>
    </row>
    <row r="1449" spans="15:20" x14ac:dyDescent="0.25">
      <c r="O1449" s="76">
        <v>104585</v>
      </c>
      <c r="P1449" s="78" t="s">
        <v>683</v>
      </c>
      <c r="Q1449" s="77">
        <v>46185</v>
      </c>
      <c r="R1449" s="78" t="s">
        <v>42</v>
      </c>
      <c r="S1449" s="36" t="str">
        <f>VLOOKUP(Tabla91116[[#This Row],[CODIGO DEL PRODUCTO]],Tabla797[],2,FALSE)</f>
        <v>ARENA FINA</v>
      </c>
      <c r="T1449" s="37">
        <v>37.659999999999997</v>
      </c>
    </row>
    <row r="1450" spans="15:20" x14ac:dyDescent="0.25">
      <c r="O1450" s="76">
        <v>104587</v>
      </c>
      <c r="P1450" s="78" t="s">
        <v>683</v>
      </c>
      <c r="Q1450" s="77">
        <v>46185</v>
      </c>
      <c r="R1450" s="78" t="s">
        <v>42</v>
      </c>
      <c r="S1450" s="36" t="str">
        <f>VLOOKUP(Tabla91116[[#This Row],[CODIGO DEL PRODUCTO]],Tabla797[],2,FALSE)</f>
        <v>ARENA FINA</v>
      </c>
      <c r="T1450" s="37">
        <v>37.9</v>
      </c>
    </row>
    <row r="1451" spans="15:20" x14ac:dyDescent="0.25">
      <c r="O1451" s="76">
        <v>104591</v>
      </c>
      <c r="P1451" s="78" t="s">
        <v>683</v>
      </c>
      <c r="Q1451" s="77">
        <v>46185</v>
      </c>
      <c r="R1451" s="78" t="s">
        <v>42</v>
      </c>
      <c r="S1451" s="36" t="str">
        <f>VLOOKUP(Tabla91116[[#This Row],[CODIGO DEL PRODUCTO]],Tabla797[],2,FALSE)</f>
        <v>ARENA FINA</v>
      </c>
      <c r="T1451" s="37">
        <v>35.14</v>
      </c>
    </row>
    <row r="1452" spans="15:20" x14ac:dyDescent="0.25">
      <c r="O1452" s="76">
        <v>104592</v>
      </c>
      <c r="P1452" s="78" t="s">
        <v>683</v>
      </c>
      <c r="Q1452" s="77">
        <v>46185</v>
      </c>
      <c r="R1452" s="78" t="s">
        <v>42</v>
      </c>
      <c r="S1452" s="36" t="str">
        <f>VLOOKUP(Tabla91116[[#This Row],[CODIGO DEL PRODUCTO]],Tabla797[],2,FALSE)</f>
        <v>ARENA FINA</v>
      </c>
      <c r="T1452" s="37">
        <v>37.200000000000003</v>
      </c>
    </row>
    <row r="1453" spans="15:20" x14ac:dyDescent="0.25">
      <c r="O1453" s="76">
        <v>109766</v>
      </c>
      <c r="P1453" s="78" t="s">
        <v>684</v>
      </c>
      <c r="Q1453" s="77">
        <v>46185</v>
      </c>
      <c r="R1453" s="78" t="s">
        <v>43</v>
      </c>
      <c r="S1453" s="36" t="str">
        <f>VLOOKUP(Tabla91116[[#This Row],[CODIGO DEL PRODUCTO]],Tabla797[],2,FALSE)</f>
        <v>PIEDRA 6-20</v>
      </c>
      <c r="T1453" s="37">
        <v>35.1</v>
      </c>
    </row>
    <row r="1454" spans="15:20" x14ac:dyDescent="0.25">
      <c r="O1454" s="76">
        <v>109774</v>
      </c>
      <c r="P1454" s="78" t="s">
        <v>684</v>
      </c>
      <c r="Q1454" s="77">
        <v>46185</v>
      </c>
      <c r="R1454" s="78" t="s">
        <v>40</v>
      </c>
      <c r="S1454" s="36" t="str">
        <f>VLOOKUP(Tabla91116[[#This Row],[CODIGO DEL PRODUCTO]],Tabla797[],2,FALSE)</f>
        <v>PIEDRA 0-6</v>
      </c>
      <c r="T1454" s="37">
        <v>35.28</v>
      </c>
    </row>
    <row r="1455" spans="15:20" x14ac:dyDescent="0.25">
      <c r="O1455" s="76">
        <v>109781</v>
      </c>
      <c r="P1455" s="78" t="s">
        <v>684</v>
      </c>
      <c r="Q1455" s="77">
        <v>46185</v>
      </c>
      <c r="R1455" s="78" t="s">
        <v>43</v>
      </c>
      <c r="S1455" s="36" t="str">
        <f>VLOOKUP(Tabla91116[[#This Row],[CODIGO DEL PRODUCTO]],Tabla797[],2,FALSE)</f>
        <v>PIEDRA 6-20</v>
      </c>
      <c r="T1455" s="37">
        <v>35.020000000000003</v>
      </c>
    </row>
    <row r="1456" spans="15:20" x14ac:dyDescent="0.25">
      <c r="O1456" s="76">
        <v>109782</v>
      </c>
      <c r="P1456" s="78" t="s">
        <v>684</v>
      </c>
      <c r="Q1456" s="77">
        <v>46185</v>
      </c>
      <c r="R1456" s="78" t="s">
        <v>40</v>
      </c>
      <c r="S1456" s="36" t="str">
        <f>VLOOKUP(Tabla91116[[#This Row],[CODIGO DEL PRODUCTO]],Tabla797[],2,FALSE)</f>
        <v>PIEDRA 0-6</v>
      </c>
      <c r="T1456" s="37">
        <v>34.76</v>
      </c>
    </row>
    <row r="1457" spans="15:20" x14ac:dyDescent="0.25">
      <c r="O1457" s="76">
        <v>109783</v>
      </c>
      <c r="P1457" s="78" t="s">
        <v>684</v>
      </c>
      <c r="Q1457" s="77">
        <v>46185</v>
      </c>
      <c r="R1457" s="78" t="s">
        <v>40</v>
      </c>
      <c r="S1457" s="36" t="str">
        <f>VLOOKUP(Tabla91116[[#This Row],[CODIGO DEL PRODUCTO]],Tabla797[],2,FALSE)</f>
        <v>PIEDRA 0-6</v>
      </c>
      <c r="T1457" s="37">
        <v>34.24</v>
      </c>
    </row>
    <row r="1458" spans="15:20" x14ac:dyDescent="0.25">
      <c r="O1458" s="76">
        <v>109786</v>
      </c>
      <c r="P1458" s="78" t="s">
        <v>684</v>
      </c>
      <c r="Q1458" s="77">
        <v>46185</v>
      </c>
      <c r="R1458" s="78" t="s">
        <v>40</v>
      </c>
      <c r="S1458" s="36" t="str">
        <f>VLOOKUP(Tabla91116[[#This Row],[CODIGO DEL PRODUCTO]],Tabla797[],2,FALSE)</f>
        <v>PIEDRA 0-6</v>
      </c>
      <c r="T1458" s="37">
        <v>34.42</v>
      </c>
    </row>
    <row r="1459" spans="15:20" x14ac:dyDescent="0.25">
      <c r="O1459" s="76">
        <v>159513</v>
      </c>
      <c r="P1459" s="78" t="s">
        <v>679</v>
      </c>
      <c r="Q1459" s="77">
        <v>46185</v>
      </c>
      <c r="R1459" s="78" t="s">
        <v>43</v>
      </c>
      <c r="S1459" s="36" t="str">
        <f>VLOOKUP(Tabla91116[[#This Row],[CODIGO DEL PRODUCTO]],Tabla797[],2,FALSE)</f>
        <v>PIEDRA 6-20</v>
      </c>
      <c r="T1459" s="37">
        <v>35.82</v>
      </c>
    </row>
    <row r="1460" spans="15:20" x14ac:dyDescent="0.25">
      <c r="O1460" s="76">
        <v>159543</v>
      </c>
      <c r="P1460" s="78" t="s">
        <v>679</v>
      </c>
      <c r="Q1460" s="77">
        <v>46185</v>
      </c>
      <c r="R1460" s="78" t="s">
        <v>43</v>
      </c>
      <c r="S1460" s="36" t="str">
        <f>VLOOKUP(Tabla91116[[#This Row],[CODIGO DEL PRODUCTO]],Tabla797[],2,FALSE)</f>
        <v>PIEDRA 6-20</v>
      </c>
      <c r="T1460" s="37">
        <v>36.28</v>
      </c>
    </row>
    <row r="1461" spans="15:20" x14ac:dyDescent="0.25">
      <c r="O1461" s="76">
        <v>2714121</v>
      </c>
      <c r="P1461" s="78" t="s">
        <v>679</v>
      </c>
      <c r="Q1461" s="77">
        <v>46185</v>
      </c>
      <c r="R1461" s="78" t="s">
        <v>286</v>
      </c>
      <c r="S1461" s="36" t="str">
        <f>VLOOKUP(Tabla91116[[#This Row],[CODIGO DEL PRODUCTO]],Tabla797[],2,FALSE)</f>
        <v>CPF 40 AVELLANEDA</v>
      </c>
      <c r="T1461" s="37">
        <v>35.76</v>
      </c>
    </row>
    <row r="1462" spans="15:20" x14ac:dyDescent="0.25">
      <c r="O1462" s="76">
        <v>104600</v>
      </c>
      <c r="P1462" s="78" t="s">
        <v>683</v>
      </c>
      <c r="Q1462" s="77">
        <v>46186</v>
      </c>
      <c r="R1462" s="78" t="s">
        <v>42</v>
      </c>
      <c r="S1462" s="36" t="str">
        <f>VLOOKUP(Tabla91116[[#This Row],[CODIGO DEL PRODUCTO]],Tabla797[],2,FALSE)</f>
        <v>ARENA FINA</v>
      </c>
      <c r="T1462" s="37">
        <v>34.78</v>
      </c>
    </row>
    <row r="1463" spans="15:20" x14ac:dyDescent="0.25">
      <c r="O1463" s="76">
        <v>109792</v>
      </c>
      <c r="P1463" s="78" t="s">
        <v>684</v>
      </c>
      <c r="Q1463" s="77">
        <v>46186</v>
      </c>
      <c r="R1463" s="78" t="s">
        <v>40</v>
      </c>
      <c r="S1463" s="36" t="str">
        <f>VLOOKUP(Tabla91116[[#This Row],[CODIGO DEL PRODUCTO]],Tabla797[],2,FALSE)</f>
        <v>PIEDRA 0-6</v>
      </c>
      <c r="T1463" s="37">
        <v>35.1</v>
      </c>
    </row>
    <row r="1464" spans="15:20" x14ac:dyDescent="0.25">
      <c r="O1464" s="76">
        <v>159597</v>
      </c>
      <c r="P1464" s="78" t="s">
        <v>679</v>
      </c>
      <c r="Q1464" s="77">
        <v>46186</v>
      </c>
      <c r="R1464" s="78" t="s">
        <v>43</v>
      </c>
      <c r="S1464" s="36" t="str">
        <f>VLOOKUP(Tabla91116[[#This Row],[CODIGO DEL PRODUCTO]],Tabla797[],2,FALSE)</f>
        <v>PIEDRA 6-20</v>
      </c>
      <c r="T1464" s="37">
        <v>36.44</v>
      </c>
    </row>
    <row r="1465" spans="15:20" x14ac:dyDescent="0.25">
      <c r="O1465" s="76">
        <v>159604</v>
      </c>
      <c r="P1465" s="78" t="s">
        <v>679</v>
      </c>
      <c r="Q1465" s="77">
        <v>46186</v>
      </c>
      <c r="R1465" s="78" t="s">
        <v>43</v>
      </c>
      <c r="S1465" s="36" t="str">
        <f>VLOOKUP(Tabla91116[[#This Row],[CODIGO DEL PRODUCTO]],Tabla797[],2,FALSE)</f>
        <v>PIEDRA 6-20</v>
      </c>
      <c r="T1465" s="37">
        <v>36.36</v>
      </c>
    </row>
    <row r="1466" spans="15:20" x14ac:dyDescent="0.25">
      <c r="O1466" s="76">
        <v>104605</v>
      </c>
      <c r="P1466" s="78" t="s">
        <v>683</v>
      </c>
      <c r="Q1466" s="77">
        <v>46189</v>
      </c>
      <c r="R1466" s="78" t="s">
        <v>42</v>
      </c>
      <c r="S1466" s="36" t="str">
        <f>VLOOKUP(Tabla91116[[#This Row],[CODIGO DEL PRODUCTO]],Tabla797[],2,FALSE)</f>
        <v>ARENA FINA</v>
      </c>
      <c r="T1466" s="37">
        <v>36.74</v>
      </c>
    </row>
    <row r="1467" spans="15:20" x14ac:dyDescent="0.25">
      <c r="O1467" s="76">
        <v>104611</v>
      </c>
      <c r="P1467" s="78" t="s">
        <v>683</v>
      </c>
      <c r="Q1467" s="77">
        <v>46189</v>
      </c>
      <c r="R1467" s="78" t="s">
        <v>42</v>
      </c>
      <c r="S1467" s="36" t="str">
        <f>VLOOKUP(Tabla91116[[#This Row],[CODIGO DEL PRODUCTO]],Tabla797[],2,FALSE)</f>
        <v>ARENA FINA</v>
      </c>
      <c r="T1467" s="37">
        <v>34.380000000000003</v>
      </c>
    </row>
    <row r="1468" spans="15:20" x14ac:dyDescent="0.25">
      <c r="O1468" s="76">
        <v>104613</v>
      </c>
      <c r="P1468" s="78" t="s">
        <v>683</v>
      </c>
      <c r="Q1468" s="77">
        <v>46189</v>
      </c>
      <c r="R1468" s="78" t="s">
        <v>42</v>
      </c>
      <c r="S1468" s="36" t="str">
        <f>VLOOKUP(Tabla91116[[#This Row],[CODIGO DEL PRODUCTO]],Tabla797[],2,FALSE)</f>
        <v>ARENA FINA</v>
      </c>
      <c r="T1468" s="37">
        <v>38.659999999999997</v>
      </c>
    </row>
    <row r="1469" spans="15:20" x14ac:dyDescent="0.25">
      <c r="O1469" s="76">
        <v>109804</v>
      </c>
      <c r="P1469" s="78" t="s">
        <v>684</v>
      </c>
      <c r="Q1469" s="77">
        <v>46189</v>
      </c>
      <c r="R1469" s="78" t="s">
        <v>40</v>
      </c>
      <c r="S1469" s="36" t="str">
        <f>VLOOKUP(Tabla91116[[#This Row],[CODIGO DEL PRODUCTO]],Tabla797[],2,FALSE)</f>
        <v>PIEDRA 0-6</v>
      </c>
      <c r="T1469" s="37">
        <v>35.36</v>
      </c>
    </row>
    <row r="1470" spans="15:20" x14ac:dyDescent="0.25">
      <c r="O1470" s="76">
        <v>109799</v>
      </c>
      <c r="P1470" s="78" t="s">
        <v>684</v>
      </c>
      <c r="Q1470" s="77">
        <v>46189</v>
      </c>
      <c r="R1470" s="78" t="s">
        <v>40</v>
      </c>
      <c r="S1470" s="36" t="str">
        <f>VLOOKUP(Tabla91116[[#This Row],[CODIGO DEL PRODUCTO]],Tabla797[],2,FALSE)</f>
        <v>PIEDRA 0-6</v>
      </c>
      <c r="T1470" s="37">
        <v>35.119999999999997</v>
      </c>
    </row>
    <row r="1471" spans="15:20" x14ac:dyDescent="0.25">
      <c r="O1471" s="76">
        <v>109808</v>
      </c>
      <c r="P1471" s="78" t="s">
        <v>684</v>
      </c>
      <c r="Q1471" s="77">
        <v>46189</v>
      </c>
      <c r="R1471" s="78" t="s">
        <v>40</v>
      </c>
      <c r="S1471" s="36" t="str">
        <f>VLOOKUP(Tabla91116[[#This Row],[CODIGO DEL PRODUCTO]],Tabla797[],2,FALSE)</f>
        <v>PIEDRA 0-6</v>
      </c>
      <c r="T1471" s="37">
        <v>34.700000000000003</v>
      </c>
    </row>
    <row r="1472" spans="15:20" x14ac:dyDescent="0.25">
      <c r="O1472" s="76">
        <v>109819</v>
      </c>
      <c r="P1472" s="78" t="s">
        <v>684</v>
      </c>
      <c r="Q1472" s="77">
        <v>46189</v>
      </c>
      <c r="R1472" s="78" t="s">
        <v>40</v>
      </c>
      <c r="S1472" s="36" t="str">
        <f>VLOOKUP(Tabla91116[[#This Row],[CODIGO DEL PRODUCTO]],Tabla797[],2,FALSE)</f>
        <v>PIEDRA 0-6</v>
      </c>
      <c r="T1472" s="37">
        <v>35.340000000000003</v>
      </c>
    </row>
    <row r="1473" spans="15:20" x14ac:dyDescent="0.25">
      <c r="O1473" s="76">
        <v>109795</v>
      </c>
      <c r="P1473" s="78" t="s">
        <v>684</v>
      </c>
      <c r="Q1473" s="77">
        <v>46189</v>
      </c>
      <c r="R1473" s="78" t="s">
        <v>40</v>
      </c>
      <c r="S1473" s="36" t="str">
        <f>VLOOKUP(Tabla91116[[#This Row],[CODIGO DEL PRODUCTO]],Tabla797[],2,FALSE)</f>
        <v>PIEDRA 0-6</v>
      </c>
      <c r="T1473" s="37">
        <v>35.159999999999997</v>
      </c>
    </row>
    <row r="1474" spans="15:20" x14ac:dyDescent="0.25">
      <c r="O1474" s="76">
        <v>2714265</v>
      </c>
      <c r="P1474" s="78" t="s">
        <v>679</v>
      </c>
      <c r="Q1474" s="77">
        <v>46189</v>
      </c>
      <c r="R1474" s="78" t="s">
        <v>286</v>
      </c>
      <c r="S1474" s="36" t="str">
        <f>VLOOKUP(Tabla91116[[#This Row],[CODIGO DEL PRODUCTO]],Tabla797[],2,FALSE)</f>
        <v>CPF 40 AVELLANEDA</v>
      </c>
      <c r="T1474" s="37">
        <v>35.700000000000003</v>
      </c>
    </row>
    <row r="1475" spans="15:20" x14ac:dyDescent="0.25">
      <c r="O1475" s="76">
        <v>104614</v>
      </c>
      <c r="P1475" s="78" t="s">
        <v>683</v>
      </c>
      <c r="Q1475" s="77">
        <v>46190</v>
      </c>
      <c r="R1475" s="78" t="s">
        <v>42</v>
      </c>
      <c r="S1475" s="36" t="str">
        <f>VLOOKUP(Tabla91116[[#This Row],[CODIGO DEL PRODUCTO]],Tabla797[],2,FALSE)</f>
        <v>ARENA FINA</v>
      </c>
      <c r="T1475" s="37">
        <v>36.08</v>
      </c>
    </row>
    <row r="1476" spans="15:20" x14ac:dyDescent="0.25">
      <c r="O1476" s="76">
        <v>104615</v>
      </c>
      <c r="P1476" s="78" t="s">
        <v>683</v>
      </c>
      <c r="Q1476" s="77">
        <v>46190</v>
      </c>
      <c r="R1476" s="78" t="s">
        <v>42</v>
      </c>
      <c r="S1476" s="36" t="str">
        <f>VLOOKUP(Tabla91116[[#This Row],[CODIGO DEL PRODUCTO]],Tabla797[],2,FALSE)</f>
        <v>ARENA FINA</v>
      </c>
      <c r="T1476" s="37">
        <v>36.68</v>
      </c>
    </row>
    <row r="1477" spans="15:20" x14ac:dyDescent="0.25">
      <c r="O1477" s="76">
        <v>104620</v>
      </c>
      <c r="P1477" s="78" t="s">
        <v>683</v>
      </c>
      <c r="Q1477" s="77">
        <v>46190</v>
      </c>
      <c r="R1477" s="78" t="s">
        <v>42</v>
      </c>
      <c r="S1477" s="36" t="str">
        <f>VLOOKUP(Tabla91116[[#This Row],[CODIGO DEL PRODUCTO]],Tabla797[],2,FALSE)</f>
        <v>ARENA FINA</v>
      </c>
      <c r="T1477" s="37">
        <v>33.74</v>
      </c>
    </row>
    <row r="1478" spans="15:20" x14ac:dyDescent="0.25">
      <c r="O1478" s="76">
        <v>104621</v>
      </c>
      <c r="P1478" s="78" t="s">
        <v>683</v>
      </c>
      <c r="Q1478" s="77">
        <v>46190</v>
      </c>
      <c r="R1478" s="78" t="s">
        <v>42</v>
      </c>
      <c r="S1478" s="36" t="str">
        <f>VLOOKUP(Tabla91116[[#This Row],[CODIGO DEL PRODUCTO]],Tabla797[],2,FALSE)</f>
        <v>ARENA FINA</v>
      </c>
      <c r="T1478" s="37">
        <v>35.54</v>
      </c>
    </row>
    <row r="1479" spans="15:20" x14ac:dyDescent="0.25">
      <c r="O1479" s="76">
        <v>109828</v>
      </c>
      <c r="P1479" s="78" t="s">
        <v>684</v>
      </c>
      <c r="Q1479" s="77">
        <v>46190</v>
      </c>
      <c r="R1479" s="78" t="s">
        <v>40</v>
      </c>
      <c r="S1479" s="36" t="str">
        <f>VLOOKUP(Tabla91116[[#This Row],[CODIGO DEL PRODUCTO]],Tabla797[],2,FALSE)</f>
        <v>PIEDRA 0-6</v>
      </c>
      <c r="T1479" s="37">
        <v>35.1</v>
      </c>
    </row>
    <row r="1480" spans="15:20" x14ac:dyDescent="0.25">
      <c r="O1480" s="76">
        <v>109835</v>
      </c>
      <c r="P1480" s="78" t="s">
        <v>684</v>
      </c>
      <c r="Q1480" s="77">
        <v>46190</v>
      </c>
      <c r="R1480" s="78" t="s">
        <v>40</v>
      </c>
      <c r="S1480" s="36" t="str">
        <f>VLOOKUP(Tabla91116[[#This Row],[CODIGO DEL PRODUCTO]],Tabla797[],2,FALSE)</f>
        <v>PIEDRA 0-6</v>
      </c>
      <c r="T1480" s="37">
        <v>34.9</v>
      </c>
    </row>
    <row r="1481" spans="15:20" x14ac:dyDescent="0.25">
      <c r="O1481" s="76">
        <v>109849</v>
      </c>
      <c r="P1481" s="78" t="s">
        <v>684</v>
      </c>
      <c r="Q1481" s="77">
        <v>46190</v>
      </c>
      <c r="R1481" s="78" t="s">
        <v>40</v>
      </c>
      <c r="S1481" s="36" t="str">
        <f>VLOOKUP(Tabla91116[[#This Row],[CODIGO DEL PRODUCTO]],Tabla797[],2,FALSE)</f>
        <v>PIEDRA 0-6</v>
      </c>
      <c r="T1481" s="37">
        <v>35.159999999999997</v>
      </c>
    </row>
    <row r="1482" spans="15:20" x14ac:dyDescent="0.25">
      <c r="O1482" s="76">
        <v>109852</v>
      </c>
      <c r="P1482" s="78" t="s">
        <v>684</v>
      </c>
      <c r="Q1482" s="77">
        <v>46190</v>
      </c>
      <c r="R1482" s="78" t="s">
        <v>40</v>
      </c>
      <c r="S1482" s="36" t="str">
        <f>VLOOKUP(Tabla91116[[#This Row],[CODIGO DEL PRODUCTO]],Tabla797[],2,FALSE)</f>
        <v>PIEDRA 0-6</v>
      </c>
      <c r="T1482" s="37">
        <v>34.619999999999997</v>
      </c>
    </row>
    <row r="1483" spans="15:20" x14ac:dyDescent="0.25">
      <c r="O1483" s="76">
        <v>159748</v>
      </c>
      <c r="P1483" s="78" t="s">
        <v>679</v>
      </c>
      <c r="Q1483" s="77">
        <v>46190</v>
      </c>
      <c r="R1483" s="78" t="s">
        <v>43</v>
      </c>
      <c r="S1483" s="36" t="str">
        <f>VLOOKUP(Tabla91116[[#This Row],[CODIGO DEL PRODUCTO]],Tabla797[],2,FALSE)</f>
        <v>PIEDRA 6-20</v>
      </c>
      <c r="T1483" s="37">
        <v>35.68</v>
      </c>
    </row>
    <row r="1484" spans="15:20" x14ac:dyDescent="0.25">
      <c r="O1484" s="76">
        <v>2714792</v>
      </c>
      <c r="P1484" s="78" t="s">
        <v>679</v>
      </c>
      <c r="Q1484" s="77">
        <v>46190</v>
      </c>
      <c r="R1484" s="78" t="s">
        <v>286</v>
      </c>
      <c r="S1484" s="36" t="str">
        <f>VLOOKUP(Tabla91116[[#This Row],[CODIGO DEL PRODUCTO]],Tabla797[],2,FALSE)</f>
        <v>CPF 40 AVELLANEDA</v>
      </c>
      <c r="T1484" s="37">
        <v>35.4</v>
      </c>
    </row>
    <row r="1485" spans="15:20" x14ac:dyDescent="0.25">
      <c r="O1485" s="76">
        <v>104629</v>
      </c>
      <c r="P1485" s="78" t="s">
        <v>683</v>
      </c>
      <c r="Q1485" s="77">
        <v>46191</v>
      </c>
      <c r="R1485" s="78" t="s">
        <v>42</v>
      </c>
      <c r="S1485" s="36" t="str">
        <f>VLOOKUP(Tabla91116[[#This Row],[CODIGO DEL PRODUCTO]],Tabla797[],2,FALSE)</f>
        <v>ARENA FINA</v>
      </c>
      <c r="T1485" s="37">
        <v>35.46</v>
      </c>
    </row>
    <row r="1486" spans="15:20" x14ac:dyDescent="0.25">
      <c r="O1486" s="76">
        <v>104630</v>
      </c>
      <c r="P1486" s="78" t="s">
        <v>683</v>
      </c>
      <c r="Q1486" s="77">
        <v>46191</v>
      </c>
      <c r="R1486" s="78" t="s">
        <v>42</v>
      </c>
      <c r="S1486" s="36" t="str">
        <f>VLOOKUP(Tabla91116[[#This Row],[CODIGO DEL PRODUCTO]],Tabla797[],2,FALSE)</f>
        <v>ARENA FINA</v>
      </c>
      <c r="T1486" s="37">
        <v>36.659999999999997</v>
      </c>
    </row>
    <row r="1487" spans="15:20" x14ac:dyDescent="0.25">
      <c r="O1487" s="76">
        <v>104639</v>
      </c>
      <c r="P1487" s="78" t="s">
        <v>683</v>
      </c>
      <c r="Q1487" s="77">
        <v>46191</v>
      </c>
      <c r="R1487" s="78" t="s">
        <v>42</v>
      </c>
      <c r="S1487" s="36" t="str">
        <f>VLOOKUP(Tabla91116[[#This Row],[CODIGO DEL PRODUCTO]],Tabla797[],2,FALSE)</f>
        <v>ARENA FINA</v>
      </c>
      <c r="T1487" s="37">
        <v>38.5</v>
      </c>
    </row>
    <row r="1488" spans="15:20" x14ac:dyDescent="0.25">
      <c r="O1488" s="76">
        <v>104640</v>
      </c>
      <c r="P1488" s="78" t="s">
        <v>683</v>
      </c>
      <c r="Q1488" s="77">
        <v>46191</v>
      </c>
      <c r="R1488" s="78" t="s">
        <v>42</v>
      </c>
      <c r="S1488" s="36" t="str">
        <f>VLOOKUP(Tabla91116[[#This Row],[CODIGO DEL PRODUCTO]],Tabla797[],2,FALSE)</f>
        <v>ARENA FINA</v>
      </c>
      <c r="T1488" s="37">
        <v>36.74</v>
      </c>
    </row>
    <row r="1489" spans="15:20" x14ac:dyDescent="0.25">
      <c r="O1489" s="76">
        <v>109863</v>
      </c>
      <c r="P1489" s="78" t="s">
        <v>684</v>
      </c>
      <c r="Q1489" s="77">
        <v>46191</v>
      </c>
      <c r="R1489" s="78" t="s">
        <v>40</v>
      </c>
      <c r="S1489" s="36" t="str">
        <f>VLOOKUP(Tabla91116[[#This Row],[CODIGO DEL PRODUCTO]],Tabla797[],2,FALSE)</f>
        <v>PIEDRA 0-6</v>
      </c>
      <c r="T1489" s="37">
        <v>35.159999999999997</v>
      </c>
    </row>
    <row r="1490" spans="15:20" x14ac:dyDescent="0.25">
      <c r="O1490" s="76">
        <v>109866</v>
      </c>
      <c r="P1490" s="78" t="s">
        <v>684</v>
      </c>
      <c r="Q1490" s="77">
        <v>46191</v>
      </c>
      <c r="R1490" s="78" t="s">
        <v>40</v>
      </c>
      <c r="S1490" s="36" t="str">
        <f>VLOOKUP(Tabla91116[[#This Row],[CODIGO DEL PRODUCTO]],Tabla797[],2,FALSE)</f>
        <v>PIEDRA 0-6</v>
      </c>
      <c r="T1490" s="37">
        <v>34.520000000000003</v>
      </c>
    </row>
    <row r="1491" spans="15:20" x14ac:dyDescent="0.25">
      <c r="O1491" s="76">
        <v>109870</v>
      </c>
      <c r="P1491" s="78" t="s">
        <v>684</v>
      </c>
      <c r="Q1491" s="77">
        <v>46191</v>
      </c>
      <c r="R1491" s="78" t="s">
        <v>40</v>
      </c>
      <c r="S1491" s="36" t="str">
        <f>VLOOKUP(Tabla91116[[#This Row],[CODIGO DEL PRODUCTO]],Tabla797[],2,FALSE)</f>
        <v>PIEDRA 0-6</v>
      </c>
      <c r="T1491" s="37">
        <v>35.299999999999997</v>
      </c>
    </row>
    <row r="1492" spans="15:20" x14ac:dyDescent="0.25">
      <c r="O1492" s="76">
        <v>109878</v>
      </c>
      <c r="P1492" s="78" t="s">
        <v>684</v>
      </c>
      <c r="Q1492" s="77">
        <v>46191</v>
      </c>
      <c r="R1492" s="78" t="s">
        <v>40</v>
      </c>
      <c r="S1492" s="36" t="str">
        <f>VLOOKUP(Tabla91116[[#This Row],[CODIGO DEL PRODUCTO]],Tabla797[],2,FALSE)</f>
        <v>PIEDRA 0-6</v>
      </c>
      <c r="T1492" s="37">
        <v>35.74</v>
      </c>
    </row>
    <row r="1493" spans="15:20" x14ac:dyDescent="0.25">
      <c r="O1493" s="76">
        <v>109881</v>
      </c>
      <c r="P1493" s="78" t="s">
        <v>684</v>
      </c>
      <c r="Q1493" s="77">
        <v>46191</v>
      </c>
      <c r="R1493" s="78" t="s">
        <v>40</v>
      </c>
      <c r="S1493" s="36" t="str">
        <f>VLOOKUP(Tabla91116[[#This Row],[CODIGO DEL PRODUCTO]],Tabla797[],2,FALSE)</f>
        <v>PIEDRA 0-6</v>
      </c>
      <c r="T1493" s="37">
        <v>35.6</v>
      </c>
    </row>
    <row r="1494" spans="15:20" x14ac:dyDescent="0.25">
      <c r="O1494" s="76">
        <v>159825</v>
      </c>
      <c r="P1494" s="78" t="s">
        <v>679</v>
      </c>
      <c r="Q1494" s="77">
        <v>46191</v>
      </c>
      <c r="R1494" s="78" t="s">
        <v>43</v>
      </c>
      <c r="S1494" s="36" t="str">
        <f>VLOOKUP(Tabla91116[[#This Row],[CODIGO DEL PRODUCTO]],Tabla797[],2,FALSE)</f>
        <v>PIEDRA 6-20</v>
      </c>
      <c r="T1494" s="37">
        <v>35.020000000000003</v>
      </c>
    </row>
    <row r="1495" spans="15:20" x14ac:dyDescent="0.25">
      <c r="O1495" s="76">
        <v>2715295</v>
      </c>
      <c r="P1495" s="78" t="s">
        <v>679</v>
      </c>
      <c r="Q1495" s="77">
        <v>46191</v>
      </c>
      <c r="R1495" s="78" t="s">
        <v>286</v>
      </c>
      <c r="S1495" s="36" t="str">
        <f>VLOOKUP(Tabla91116[[#This Row],[CODIGO DEL PRODUCTO]],Tabla797[],2,FALSE)</f>
        <v>CPF 40 AVELLANEDA</v>
      </c>
      <c r="T1495" s="37">
        <v>35.700000000000003</v>
      </c>
    </row>
    <row r="1496" spans="15:20" x14ac:dyDescent="0.25">
      <c r="O1496" s="76">
        <v>104644</v>
      </c>
      <c r="P1496" s="78" t="s">
        <v>683</v>
      </c>
      <c r="Q1496" s="77">
        <v>46192</v>
      </c>
      <c r="R1496" s="78" t="s">
        <v>42</v>
      </c>
      <c r="S1496" s="36" t="str">
        <f>VLOOKUP(Tabla91116[[#This Row],[CODIGO DEL PRODUCTO]],Tabla797[],2,FALSE)</f>
        <v>ARENA FINA</v>
      </c>
      <c r="T1496" s="37">
        <v>34.24</v>
      </c>
    </row>
    <row r="1497" spans="15:20" x14ac:dyDescent="0.25">
      <c r="O1497" s="76">
        <v>104648</v>
      </c>
      <c r="P1497" s="78" t="s">
        <v>683</v>
      </c>
      <c r="Q1497" s="77">
        <v>46192</v>
      </c>
      <c r="R1497" s="78" t="s">
        <v>42</v>
      </c>
      <c r="S1497" s="36" t="str">
        <f>VLOOKUP(Tabla91116[[#This Row],[CODIGO DEL PRODUCTO]],Tabla797[],2,FALSE)</f>
        <v>ARENA FINA</v>
      </c>
      <c r="T1497" s="37">
        <v>37.020000000000003</v>
      </c>
    </row>
    <row r="1498" spans="15:20" x14ac:dyDescent="0.25">
      <c r="O1498" s="76">
        <v>104650</v>
      </c>
      <c r="P1498" s="78" t="s">
        <v>683</v>
      </c>
      <c r="Q1498" s="77">
        <v>46192</v>
      </c>
      <c r="R1498" s="78" t="s">
        <v>42</v>
      </c>
      <c r="S1498" s="36" t="str">
        <f>VLOOKUP(Tabla91116[[#This Row],[CODIGO DEL PRODUCTO]],Tabla797[],2,FALSE)</f>
        <v>ARENA FINA</v>
      </c>
      <c r="T1498" s="37">
        <v>36.28</v>
      </c>
    </row>
    <row r="1499" spans="15:20" x14ac:dyDescent="0.25">
      <c r="O1499" s="76">
        <v>109893</v>
      </c>
      <c r="P1499" s="78" t="s">
        <v>684</v>
      </c>
      <c r="Q1499" s="77">
        <v>46192</v>
      </c>
      <c r="R1499" s="78" t="s">
        <v>40</v>
      </c>
      <c r="S1499" s="36" t="str">
        <f>VLOOKUP(Tabla91116[[#This Row],[CODIGO DEL PRODUCTO]],Tabla797[],2,FALSE)</f>
        <v>PIEDRA 0-6</v>
      </c>
      <c r="T1499" s="37">
        <v>35</v>
      </c>
    </row>
    <row r="1500" spans="15:20" x14ac:dyDescent="0.25">
      <c r="O1500" s="76">
        <v>109894</v>
      </c>
      <c r="P1500" s="78" t="s">
        <v>684</v>
      </c>
      <c r="Q1500" s="77">
        <v>46192</v>
      </c>
      <c r="R1500" s="78" t="s">
        <v>40</v>
      </c>
      <c r="S1500" s="36" t="str">
        <f>VLOOKUP(Tabla91116[[#This Row],[CODIGO DEL PRODUCTO]],Tabla797[],2,FALSE)</f>
        <v>PIEDRA 0-6</v>
      </c>
      <c r="T1500" s="37">
        <v>34.6</v>
      </c>
    </row>
    <row r="1501" spans="15:20" x14ac:dyDescent="0.25">
      <c r="O1501" s="76">
        <v>109900</v>
      </c>
      <c r="P1501" s="78" t="s">
        <v>684</v>
      </c>
      <c r="Q1501" s="77">
        <v>46192</v>
      </c>
      <c r="R1501" s="78" t="s">
        <v>40</v>
      </c>
      <c r="S1501" s="36" t="str">
        <f>VLOOKUP(Tabla91116[[#This Row],[CODIGO DEL PRODUCTO]],Tabla797[],2,FALSE)</f>
        <v>PIEDRA 0-6</v>
      </c>
      <c r="T1501" s="37">
        <v>35.119999999999997</v>
      </c>
    </row>
    <row r="1502" spans="15:20" x14ac:dyDescent="0.25">
      <c r="O1502" s="76">
        <v>109909</v>
      </c>
      <c r="P1502" s="78" t="s">
        <v>684</v>
      </c>
      <c r="Q1502" s="77">
        <v>46192</v>
      </c>
      <c r="R1502" s="78" t="s">
        <v>40</v>
      </c>
      <c r="S1502" s="36" t="str">
        <f>VLOOKUP(Tabla91116[[#This Row],[CODIGO DEL PRODUCTO]],Tabla797[],2,FALSE)</f>
        <v>PIEDRA 0-6</v>
      </c>
      <c r="T1502" s="37">
        <v>35.26</v>
      </c>
    </row>
    <row r="1503" spans="15:20" x14ac:dyDescent="0.25">
      <c r="O1503" s="76">
        <v>109912</v>
      </c>
      <c r="P1503" s="78" t="s">
        <v>684</v>
      </c>
      <c r="Q1503" s="77">
        <v>46192</v>
      </c>
      <c r="R1503" s="78" t="s">
        <v>40</v>
      </c>
      <c r="S1503" s="36" t="str">
        <f>VLOOKUP(Tabla91116[[#This Row],[CODIGO DEL PRODUCTO]],Tabla797[],2,FALSE)</f>
        <v>PIEDRA 0-6</v>
      </c>
      <c r="T1503" s="37">
        <v>35.380000000000003</v>
      </c>
    </row>
    <row r="1504" spans="15:20" x14ac:dyDescent="0.25">
      <c r="O1504" s="76">
        <v>159894</v>
      </c>
      <c r="P1504" s="78" t="s">
        <v>679</v>
      </c>
      <c r="Q1504" s="77">
        <v>46192</v>
      </c>
      <c r="R1504" s="78" t="s">
        <v>43</v>
      </c>
      <c r="S1504" s="36" t="str">
        <f>VLOOKUP(Tabla91116[[#This Row],[CODIGO DEL PRODUCTO]],Tabla797[],2,FALSE)</f>
        <v>PIEDRA 6-20</v>
      </c>
      <c r="T1504" s="37">
        <v>35.840000000000003</v>
      </c>
    </row>
    <row r="1505" spans="15:21" x14ac:dyDescent="0.25">
      <c r="O1505" s="76">
        <v>2715562</v>
      </c>
      <c r="P1505" s="78" t="s">
        <v>679</v>
      </c>
      <c r="Q1505" s="77">
        <v>46192</v>
      </c>
      <c r="R1505" s="78" t="s">
        <v>286</v>
      </c>
      <c r="S1505" s="36" t="str">
        <f>VLOOKUP(Tabla91116[[#This Row],[CODIGO DEL PRODUCTO]],Tabla797[],2,FALSE)</f>
        <v>CPF 40 AVELLANEDA</v>
      </c>
      <c r="T1505" s="37">
        <v>35.5</v>
      </c>
    </row>
    <row r="1506" spans="15:21" x14ac:dyDescent="0.25">
      <c r="O1506" s="76">
        <v>104653</v>
      </c>
      <c r="P1506" s="78" t="s">
        <v>683</v>
      </c>
      <c r="Q1506" s="77">
        <v>46195</v>
      </c>
      <c r="R1506" s="78" t="s">
        <v>42</v>
      </c>
      <c r="S1506" s="36" t="str">
        <f>VLOOKUP(Tabla91116[[#This Row],[CODIGO DEL PRODUCTO]],Tabla797[],2,FALSE)</f>
        <v>ARENA FINA</v>
      </c>
      <c r="T1506" s="37">
        <v>35.979999999999997</v>
      </c>
    </row>
    <row r="1507" spans="15:21" x14ac:dyDescent="0.25">
      <c r="O1507" s="76">
        <v>104654</v>
      </c>
      <c r="P1507" s="78" t="s">
        <v>683</v>
      </c>
      <c r="Q1507" s="77">
        <v>46195</v>
      </c>
      <c r="R1507" s="78" t="s">
        <v>42</v>
      </c>
      <c r="S1507" s="36" t="str">
        <f>VLOOKUP(Tabla91116[[#This Row],[CODIGO DEL PRODUCTO]],Tabla797[],2,FALSE)</f>
        <v>ARENA FINA</v>
      </c>
      <c r="T1507" s="37">
        <v>36.64</v>
      </c>
    </row>
    <row r="1508" spans="15:21" x14ac:dyDescent="0.25">
      <c r="O1508" s="76">
        <v>104660</v>
      </c>
      <c r="P1508" s="78" t="s">
        <v>683</v>
      </c>
      <c r="Q1508" s="77">
        <v>46195</v>
      </c>
      <c r="R1508" s="78" t="s">
        <v>42</v>
      </c>
      <c r="S1508" s="36" t="str">
        <f>VLOOKUP(Tabla91116[[#This Row],[CODIGO DEL PRODUCTO]],Tabla797[],2,FALSE)</f>
        <v>ARENA FINA</v>
      </c>
      <c r="T1508" s="37">
        <v>34.14</v>
      </c>
    </row>
    <row r="1509" spans="15:21" x14ac:dyDescent="0.25">
      <c r="O1509" s="76">
        <v>104661</v>
      </c>
      <c r="P1509" s="78" t="s">
        <v>683</v>
      </c>
      <c r="Q1509" s="77">
        <v>46195</v>
      </c>
      <c r="R1509" s="78" t="s">
        <v>42</v>
      </c>
      <c r="S1509" s="36" t="str">
        <f>VLOOKUP(Tabla91116[[#This Row],[CODIGO DEL PRODUCTO]],Tabla797[],2,FALSE)</f>
        <v>ARENA FINA</v>
      </c>
      <c r="T1509" s="37">
        <v>36.82</v>
      </c>
    </row>
    <row r="1510" spans="15:21" x14ac:dyDescent="0.25">
      <c r="O1510" s="76">
        <v>109926</v>
      </c>
      <c r="P1510" s="78" t="s">
        <v>684</v>
      </c>
      <c r="Q1510" s="77">
        <v>46195</v>
      </c>
      <c r="R1510" s="78" t="s">
        <v>40</v>
      </c>
      <c r="S1510" s="36" t="str">
        <f>VLOOKUP(Tabla91116[[#This Row],[CODIGO DEL PRODUCTO]],Tabla797[],2,FALSE)</f>
        <v>PIEDRA 0-6</v>
      </c>
      <c r="T1510" s="37">
        <v>34.76</v>
      </c>
    </row>
    <row r="1511" spans="15:21" x14ac:dyDescent="0.25">
      <c r="O1511" s="76">
        <v>109927</v>
      </c>
      <c r="P1511" s="78" t="s">
        <v>684</v>
      </c>
      <c r="Q1511" s="77">
        <v>46195</v>
      </c>
      <c r="R1511" s="78" t="s">
        <v>40</v>
      </c>
      <c r="S1511" s="36" t="str">
        <f>VLOOKUP(Tabla91116[[#This Row],[CODIGO DEL PRODUCTO]],Tabla797[],2,FALSE)</f>
        <v>PIEDRA 0-6</v>
      </c>
      <c r="T1511" s="37">
        <v>34.659999999999997</v>
      </c>
    </row>
    <row r="1512" spans="15:21" x14ac:dyDescent="0.25">
      <c r="O1512" s="76">
        <v>109931</v>
      </c>
      <c r="P1512" s="78" t="s">
        <v>684</v>
      </c>
      <c r="Q1512" s="77">
        <v>46195</v>
      </c>
      <c r="R1512" s="78" t="s">
        <v>40</v>
      </c>
      <c r="S1512" s="36" t="str">
        <f>VLOOKUP(Tabla91116[[#This Row],[CODIGO DEL PRODUCTO]],Tabla797[],2,FALSE)</f>
        <v>PIEDRA 0-6</v>
      </c>
      <c r="T1512" s="37">
        <v>35.72</v>
      </c>
    </row>
    <row r="1513" spans="15:21" x14ac:dyDescent="0.25">
      <c r="O1513" s="76">
        <v>109936</v>
      </c>
      <c r="P1513" s="78" t="s">
        <v>684</v>
      </c>
      <c r="Q1513" s="77">
        <v>46195</v>
      </c>
      <c r="R1513" s="78" t="s">
        <v>40</v>
      </c>
      <c r="S1513" s="36" t="str">
        <f>VLOOKUP(Tabla91116[[#This Row],[CODIGO DEL PRODUCTO]],Tabla797[],2,FALSE)</f>
        <v>PIEDRA 0-6</v>
      </c>
      <c r="T1513" s="37">
        <v>34.4</v>
      </c>
    </row>
    <row r="1514" spans="15:21" x14ac:dyDescent="0.25">
      <c r="O1514" s="76">
        <v>159967</v>
      </c>
      <c r="P1514" s="78" t="s">
        <v>679</v>
      </c>
      <c r="Q1514" s="77">
        <v>46195</v>
      </c>
      <c r="R1514" s="78" t="s">
        <v>43</v>
      </c>
      <c r="S1514" s="36" t="str">
        <f>VLOOKUP(Tabla91116[[#This Row],[CODIGO DEL PRODUCTO]],Tabla797[],2,FALSE)</f>
        <v>PIEDRA 6-20</v>
      </c>
      <c r="T1514" s="37">
        <v>35.1</v>
      </c>
    </row>
    <row r="1515" spans="15:21" x14ac:dyDescent="0.25">
      <c r="O1515" s="76">
        <v>159975</v>
      </c>
      <c r="P1515" s="78" t="s">
        <v>679</v>
      </c>
      <c r="Q1515" s="77">
        <v>46195</v>
      </c>
      <c r="R1515" s="78" t="s">
        <v>43</v>
      </c>
      <c r="S1515" s="36" t="str">
        <f>VLOOKUP(Tabla91116[[#This Row],[CODIGO DEL PRODUCTO]],Tabla797[],2,FALSE)</f>
        <v>PIEDRA 6-20</v>
      </c>
      <c r="T1515" s="37">
        <v>36.28</v>
      </c>
      <c r="U1515" s="7"/>
    </row>
    <row r="1516" spans="15:21" x14ac:dyDescent="0.25">
      <c r="O1516" s="76">
        <v>104665</v>
      </c>
      <c r="P1516" s="78" t="s">
        <v>683</v>
      </c>
      <c r="Q1516" s="77">
        <v>46196</v>
      </c>
      <c r="R1516" s="78" t="s">
        <v>42</v>
      </c>
      <c r="S1516" s="36" t="str">
        <f>VLOOKUP(Tabla91116[[#This Row],[CODIGO DEL PRODUCTO]],Tabla797[],2,FALSE)</f>
        <v>ARENA FINA</v>
      </c>
      <c r="T1516" s="37">
        <v>35.659999999999997</v>
      </c>
    </row>
    <row r="1517" spans="15:21" x14ac:dyDescent="0.25">
      <c r="O1517" s="76">
        <v>104667</v>
      </c>
      <c r="P1517" s="78" t="s">
        <v>683</v>
      </c>
      <c r="Q1517" s="77">
        <v>46196</v>
      </c>
      <c r="R1517" s="78" t="s">
        <v>42</v>
      </c>
      <c r="S1517" s="36" t="str">
        <f>VLOOKUP(Tabla91116[[#This Row],[CODIGO DEL PRODUCTO]],Tabla797[],2,FALSE)</f>
        <v>ARENA FINA</v>
      </c>
      <c r="T1517" s="37">
        <v>36.92</v>
      </c>
    </row>
    <row r="1518" spans="15:21" x14ac:dyDescent="0.25">
      <c r="O1518" s="76">
        <v>104673</v>
      </c>
      <c r="P1518" s="78" t="s">
        <v>683</v>
      </c>
      <c r="Q1518" s="77">
        <v>46196</v>
      </c>
      <c r="R1518" s="78" t="s">
        <v>42</v>
      </c>
      <c r="S1518" s="36" t="str">
        <f>VLOOKUP(Tabla91116[[#This Row],[CODIGO DEL PRODUCTO]],Tabla797[],2,FALSE)</f>
        <v>ARENA FINA</v>
      </c>
      <c r="T1518" s="37">
        <v>35.78</v>
      </c>
    </row>
    <row r="1519" spans="15:21" x14ac:dyDescent="0.25">
      <c r="O1519" s="76">
        <v>104674</v>
      </c>
      <c r="P1519" s="78" t="s">
        <v>683</v>
      </c>
      <c r="Q1519" s="77">
        <v>46196</v>
      </c>
      <c r="R1519" s="78" t="s">
        <v>42</v>
      </c>
      <c r="S1519" s="36" t="str">
        <f>VLOOKUP(Tabla91116[[#This Row],[CODIGO DEL PRODUCTO]],Tabla797[],2,FALSE)</f>
        <v>ARENA FINA</v>
      </c>
      <c r="T1519" s="37">
        <v>36.979999999999997</v>
      </c>
    </row>
    <row r="1520" spans="15:21" x14ac:dyDescent="0.25">
      <c r="O1520" s="76">
        <v>41004</v>
      </c>
      <c r="P1520" s="78" t="s">
        <v>149</v>
      </c>
      <c r="Q1520" s="77">
        <v>46196</v>
      </c>
      <c r="R1520" s="78" t="s">
        <v>42</v>
      </c>
      <c r="S1520" s="36" t="str">
        <f>VLOOKUP(Tabla91116[[#This Row],[CODIGO DEL PRODUCTO]],Tabla797[],2,FALSE)</f>
        <v>ARENA FINA</v>
      </c>
      <c r="T1520" s="37">
        <v>21.18</v>
      </c>
    </row>
    <row r="1521" spans="15:20" x14ac:dyDescent="0.25">
      <c r="O1521" s="76">
        <v>109948</v>
      </c>
      <c r="P1521" s="78" t="s">
        <v>684</v>
      </c>
      <c r="Q1521" s="77">
        <v>46196</v>
      </c>
      <c r="R1521" s="78" t="s">
        <v>40</v>
      </c>
      <c r="S1521" s="36" t="str">
        <f>VLOOKUP(Tabla91116[[#This Row],[CODIGO DEL PRODUCTO]],Tabla797[],2,FALSE)</f>
        <v>PIEDRA 0-6</v>
      </c>
      <c r="T1521" s="37">
        <v>35.36</v>
      </c>
    </row>
    <row r="1522" spans="15:20" x14ac:dyDescent="0.25">
      <c r="O1522" s="76">
        <v>109956</v>
      </c>
      <c r="P1522" s="78" t="s">
        <v>684</v>
      </c>
      <c r="Q1522" s="77">
        <v>46196</v>
      </c>
      <c r="R1522" s="78" t="s">
        <v>40</v>
      </c>
      <c r="S1522" s="36" t="str">
        <f>VLOOKUP(Tabla91116[[#This Row],[CODIGO DEL PRODUCTO]],Tabla797[],2,FALSE)</f>
        <v>PIEDRA 0-6</v>
      </c>
      <c r="T1522" s="37">
        <v>34.58</v>
      </c>
    </row>
    <row r="1523" spans="15:20" x14ac:dyDescent="0.25">
      <c r="O1523" s="76">
        <v>109958</v>
      </c>
      <c r="P1523" s="78" t="s">
        <v>684</v>
      </c>
      <c r="Q1523" s="77">
        <v>46196</v>
      </c>
      <c r="R1523" s="78" t="s">
        <v>40</v>
      </c>
      <c r="S1523" s="36" t="str">
        <f>VLOOKUP(Tabla91116[[#This Row],[CODIGO DEL PRODUCTO]],Tabla797[],2,FALSE)</f>
        <v>PIEDRA 0-6</v>
      </c>
      <c r="T1523" s="37">
        <v>35.28</v>
      </c>
    </row>
    <row r="1524" spans="15:20" x14ac:dyDescent="0.25">
      <c r="O1524" s="76">
        <v>160031</v>
      </c>
      <c r="P1524" s="78" t="s">
        <v>679</v>
      </c>
      <c r="Q1524" s="77">
        <v>46196</v>
      </c>
      <c r="R1524" s="78" t="s">
        <v>43</v>
      </c>
      <c r="S1524" s="36" t="str">
        <f>VLOOKUP(Tabla91116[[#This Row],[CODIGO DEL PRODUCTO]],Tabla797[],2,FALSE)</f>
        <v>PIEDRA 6-20</v>
      </c>
      <c r="T1524" s="37">
        <v>34.24</v>
      </c>
    </row>
    <row r="1525" spans="15:20" x14ac:dyDescent="0.25">
      <c r="O1525" s="76">
        <v>160041</v>
      </c>
      <c r="P1525" s="78" t="s">
        <v>679</v>
      </c>
      <c r="Q1525" s="77">
        <v>46196</v>
      </c>
      <c r="R1525" s="78" t="s">
        <v>43</v>
      </c>
      <c r="S1525" s="36" t="str">
        <f>VLOOKUP(Tabla91116[[#This Row],[CODIGO DEL PRODUCTO]],Tabla797[],2,FALSE)</f>
        <v>PIEDRA 6-20</v>
      </c>
      <c r="T1525" s="37">
        <v>35.56</v>
      </c>
    </row>
    <row r="1526" spans="15:20" x14ac:dyDescent="0.25">
      <c r="O1526" s="76">
        <v>2715878</v>
      </c>
      <c r="P1526" s="78" t="s">
        <v>679</v>
      </c>
      <c r="Q1526" s="77">
        <v>46196</v>
      </c>
      <c r="R1526" s="78" t="s">
        <v>286</v>
      </c>
      <c r="S1526" s="36" t="str">
        <f>VLOOKUP(Tabla91116[[#This Row],[CODIGO DEL PRODUCTO]],Tabla797[],2,FALSE)</f>
        <v>CPF 40 AVELLANEDA</v>
      </c>
      <c r="T1526" s="37">
        <v>35.340000000000003</v>
      </c>
    </row>
    <row r="1527" spans="15:20" x14ac:dyDescent="0.25">
      <c r="O1527" s="76">
        <v>104679</v>
      </c>
      <c r="P1527" s="78" t="s">
        <v>683</v>
      </c>
      <c r="Q1527" s="77">
        <v>46197</v>
      </c>
      <c r="R1527" s="78" t="s">
        <v>42</v>
      </c>
      <c r="S1527" s="36" t="str">
        <f>VLOOKUP(Tabla91116[[#This Row],[CODIGO DEL PRODUCTO]],Tabla797[],2,FALSE)</f>
        <v>ARENA FINA</v>
      </c>
      <c r="T1527" s="37">
        <v>33.9</v>
      </c>
    </row>
    <row r="1528" spans="15:20" x14ac:dyDescent="0.25">
      <c r="O1528" s="76">
        <v>104680</v>
      </c>
      <c r="P1528" s="78" t="s">
        <v>683</v>
      </c>
      <c r="Q1528" s="77">
        <v>46197</v>
      </c>
      <c r="R1528" s="78" t="s">
        <v>42</v>
      </c>
      <c r="S1528" s="36" t="str">
        <f>VLOOKUP(Tabla91116[[#This Row],[CODIGO DEL PRODUCTO]],Tabla797[],2,FALSE)</f>
        <v>ARENA FINA</v>
      </c>
      <c r="T1528" s="37">
        <v>36.32</v>
      </c>
    </row>
    <row r="1529" spans="15:20" x14ac:dyDescent="0.25">
      <c r="O1529" s="76">
        <v>104686</v>
      </c>
      <c r="P1529" s="78" t="s">
        <v>683</v>
      </c>
      <c r="Q1529" s="77">
        <v>46197</v>
      </c>
      <c r="R1529" s="78" t="s">
        <v>42</v>
      </c>
      <c r="S1529" s="36" t="str">
        <f>VLOOKUP(Tabla91116[[#This Row],[CODIGO DEL PRODUCTO]],Tabla797[],2,FALSE)</f>
        <v>ARENA FINA</v>
      </c>
      <c r="T1529" s="37">
        <v>35.64</v>
      </c>
    </row>
    <row r="1530" spans="15:20" x14ac:dyDescent="0.25">
      <c r="O1530" s="76">
        <v>104687</v>
      </c>
      <c r="P1530" s="78" t="s">
        <v>683</v>
      </c>
      <c r="Q1530" s="77">
        <v>46197</v>
      </c>
      <c r="R1530" s="78" t="s">
        <v>42</v>
      </c>
      <c r="S1530" s="36" t="str">
        <f>VLOOKUP(Tabla91116[[#This Row],[CODIGO DEL PRODUCTO]],Tabla797[],2,FALSE)</f>
        <v>ARENA FINA</v>
      </c>
      <c r="T1530" s="37">
        <v>35.46</v>
      </c>
    </row>
    <row r="1531" spans="15:20" x14ac:dyDescent="0.25">
      <c r="O1531" s="76">
        <v>41022</v>
      </c>
      <c r="P1531" s="78" t="s">
        <v>149</v>
      </c>
      <c r="Q1531" s="77">
        <v>46197</v>
      </c>
      <c r="R1531" s="78" t="s">
        <v>42</v>
      </c>
      <c r="S1531" s="36" t="str">
        <f>VLOOKUP(Tabla91116[[#This Row],[CODIGO DEL PRODUCTO]],Tabla797[],2,FALSE)</f>
        <v>ARENA FINA</v>
      </c>
      <c r="T1531" s="37">
        <v>21.36</v>
      </c>
    </row>
    <row r="1532" spans="15:20" x14ac:dyDescent="0.25">
      <c r="O1532" s="76">
        <v>109972</v>
      </c>
      <c r="P1532" s="78" t="s">
        <v>684</v>
      </c>
      <c r="Q1532" s="77">
        <v>46197</v>
      </c>
      <c r="R1532" s="78" t="s">
        <v>48</v>
      </c>
      <c r="S1532" s="36" t="str">
        <f>VLOOKUP(Tabla91116[[#This Row],[CODIGO DEL PRODUCTO]],Tabla797[],2,FALSE)</f>
        <v>PIEDRA 6-12</v>
      </c>
      <c r="T1532" s="37">
        <v>34.4</v>
      </c>
    </row>
    <row r="1533" spans="15:20" x14ac:dyDescent="0.25">
      <c r="O1533" s="76">
        <v>109975</v>
      </c>
      <c r="P1533" s="78" t="s">
        <v>684</v>
      </c>
      <c r="Q1533" s="77">
        <v>46197</v>
      </c>
      <c r="R1533" s="78" t="s">
        <v>40</v>
      </c>
      <c r="S1533" s="36" t="str">
        <f>VLOOKUP(Tabla91116[[#This Row],[CODIGO DEL PRODUCTO]],Tabla797[],2,FALSE)</f>
        <v>PIEDRA 0-6</v>
      </c>
      <c r="T1533" s="37">
        <v>35.020000000000003</v>
      </c>
    </row>
    <row r="1534" spans="15:20" x14ac:dyDescent="0.25">
      <c r="O1534" s="76">
        <v>109976</v>
      </c>
      <c r="P1534" s="78" t="s">
        <v>684</v>
      </c>
      <c r="Q1534" s="77">
        <v>46197</v>
      </c>
      <c r="R1534" s="78" t="s">
        <v>40</v>
      </c>
      <c r="S1534" s="36" t="str">
        <f>VLOOKUP(Tabla91116[[#This Row],[CODIGO DEL PRODUCTO]],Tabla797[],2,FALSE)</f>
        <v>PIEDRA 0-6</v>
      </c>
      <c r="T1534" s="37">
        <v>34.880000000000003</v>
      </c>
    </row>
    <row r="1535" spans="15:20" x14ac:dyDescent="0.25">
      <c r="O1535" s="76">
        <v>109987</v>
      </c>
      <c r="P1535" s="78" t="s">
        <v>684</v>
      </c>
      <c r="Q1535" s="77">
        <v>46197</v>
      </c>
      <c r="R1535" s="78" t="s">
        <v>40</v>
      </c>
      <c r="S1535" s="36" t="str">
        <f>VLOOKUP(Tabla91116[[#This Row],[CODIGO DEL PRODUCTO]],Tabla797[],2,FALSE)</f>
        <v>PIEDRA 0-6</v>
      </c>
      <c r="T1535" s="37">
        <v>36.1</v>
      </c>
    </row>
    <row r="1536" spans="15:20" x14ac:dyDescent="0.25">
      <c r="O1536" s="76">
        <v>109991</v>
      </c>
      <c r="P1536" s="78" t="s">
        <v>684</v>
      </c>
      <c r="Q1536" s="77">
        <v>46197</v>
      </c>
      <c r="R1536" s="78" t="s">
        <v>40</v>
      </c>
      <c r="S1536" s="36" t="str">
        <f>VLOOKUP(Tabla91116[[#This Row],[CODIGO DEL PRODUCTO]],Tabla797[],2,FALSE)</f>
        <v>PIEDRA 0-6</v>
      </c>
      <c r="T1536" s="37">
        <v>34.14</v>
      </c>
    </row>
    <row r="1537" spans="15:21" x14ac:dyDescent="0.25">
      <c r="O1537" s="76">
        <v>160108</v>
      </c>
      <c r="P1537" s="78" t="s">
        <v>679</v>
      </c>
      <c r="Q1537" s="77">
        <v>46197</v>
      </c>
      <c r="R1537" s="78" t="s">
        <v>43</v>
      </c>
      <c r="S1537" s="36" t="str">
        <f>VLOOKUP(Tabla91116[[#This Row],[CODIGO DEL PRODUCTO]],Tabla797[],2,FALSE)</f>
        <v>PIEDRA 6-20</v>
      </c>
      <c r="T1537" s="37">
        <v>35.56</v>
      </c>
    </row>
    <row r="1538" spans="15:21" x14ac:dyDescent="0.25">
      <c r="O1538" s="76">
        <v>160116</v>
      </c>
      <c r="P1538" s="78" t="s">
        <v>679</v>
      </c>
      <c r="Q1538" s="77">
        <v>46197</v>
      </c>
      <c r="R1538" s="78" t="s">
        <v>43</v>
      </c>
      <c r="S1538" s="36" t="str">
        <f>VLOOKUP(Tabla91116[[#This Row],[CODIGO DEL PRODUCTO]],Tabla797[],2,FALSE)</f>
        <v>PIEDRA 6-20</v>
      </c>
      <c r="T1538" s="37">
        <v>36.200000000000003</v>
      </c>
    </row>
    <row r="1539" spans="15:21" x14ac:dyDescent="0.25">
      <c r="O1539" s="76">
        <v>2716210</v>
      </c>
      <c r="P1539" s="78" t="s">
        <v>679</v>
      </c>
      <c r="Q1539" s="77">
        <v>46197</v>
      </c>
      <c r="R1539" s="78" t="s">
        <v>286</v>
      </c>
      <c r="S1539" s="36" t="str">
        <f>VLOOKUP(Tabla91116[[#This Row],[CODIGO DEL PRODUCTO]],Tabla797[],2,FALSE)</f>
        <v>CPF 40 AVELLANEDA</v>
      </c>
      <c r="T1539" s="37">
        <v>35.700000000000003</v>
      </c>
    </row>
    <row r="1540" spans="15:21" x14ac:dyDescent="0.25">
      <c r="O1540" s="76">
        <v>47555</v>
      </c>
      <c r="P1540" s="78" t="s">
        <v>449</v>
      </c>
      <c r="Q1540" s="77">
        <v>46197</v>
      </c>
      <c r="R1540" s="78" t="s">
        <v>425</v>
      </c>
      <c r="S1540" s="36" t="str">
        <f>VLOOKUP(Tabla91116[[#This Row],[CODIGO DEL PRODUCTO]],Tabla797[],2,FALSE)</f>
        <v>W351R</v>
      </c>
      <c r="T1540" s="37">
        <v>2</v>
      </c>
    </row>
    <row r="1541" spans="15:21" x14ac:dyDescent="0.25">
      <c r="O1541" s="76">
        <v>104692</v>
      </c>
      <c r="P1541" s="78" t="s">
        <v>683</v>
      </c>
      <c r="Q1541" s="77">
        <v>46198</v>
      </c>
      <c r="R1541" s="78" t="s">
        <v>42</v>
      </c>
      <c r="S1541" s="36" t="str">
        <f>VLOOKUP(Tabla91116[[#This Row],[CODIGO DEL PRODUCTO]],Tabla797[],2,FALSE)</f>
        <v>ARENA FINA</v>
      </c>
      <c r="T1541" s="37">
        <v>35.840000000000003</v>
      </c>
    </row>
    <row r="1542" spans="15:21" x14ac:dyDescent="0.25">
      <c r="O1542" s="76">
        <v>104693</v>
      </c>
      <c r="P1542" s="78" t="s">
        <v>683</v>
      </c>
      <c r="Q1542" s="77">
        <v>46198</v>
      </c>
      <c r="R1542" s="78" t="s">
        <v>42</v>
      </c>
      <c r="S1542" s="36" t="str">
        <f>VLOOKUP(Tabla91116[[#This Row],[CODIGO DEL PRODUCTO]],Tabla797[],2,FALSE)</f>
        <v>ARENA FINA</v>
      </c>
      <c r="T1542" s="37">
        <v>35.880000000000003</v>
      </c>
    </row>
    <row r="1543" spans="15:21" x14ac:dyDescent="0.25">
      <c r="O1543" s="76">
        <v>104699</v>
      </c>
      <c r="P1543" s="78" t="s">
        <v>683</v>
      </c>
      <c r="Q1543" s="77">
        <v>46198</v>
      </c>
      <c r="R1543" s="78" t="s">
        <v>42</v>
      </c>
      <c r="S1543" s="36" t="str">
        <f>VLOOKUP(Tabla91116[[#This Row],[CODIGO DEL PRODUCTO]],Tabla797[],2,FALSE)</f>
        <v>ARENA FINA</v>
      </c>
      <c r="T1543" s="37">
        <v>37.28</v>
      </c>
    </row>
    <row r="1544" spans="15:21" x14ac:dyDescent="0.25">
      <c r="O1544" s="76">
        <v>41037</v>
      </c>
      <c r="P1544" s="78" t="s">
        <v>149</v>
      </c>
      <c r="Q1544" s="77">
        <v>46198</v>
      </c>
      <c r="R1544" s="78" t="s">
        <v>42</v>
      </c>
      <c r="S1544" s="36" t="str">
        <f>VLOOKUP(Tabla91116[[#This Row],[CODIGO DEL PRODUCTO]],Tabla797[],2,FALSE)</f>
        <v>ARENA FINA</v>
      </c>
      <c r="T1544" s="37">
        <v>21.64</v>
      </c>
    </row>
    <row r="1545" spans="15:21" x14ac:dyDescent="0.25">
      <c r="O1545" s="76">
        <v>110005</v>
      </c>
      <c r="P1545" s="78" t="s">
        <v>684</v>
      </c>
      <c r="Q1545" s="77">
        <v>46198</v>
      </c>
      <c r="R1545" s="78" t="s">
        <v>40</v>
      </c>
      <c r="S1545" s="36" t="str">
        <f>VLOOKUP(Tabla91116[[#This Row],[CODIGO DEL PRODUCTO]],Tabla797[],2,FALSE)</f>
        <v>PIEDRA 0-6</v>
      </c>
      <c r="T1545" s="37">
        <v>35.479999999999997</v>
      </c>
    </row>
    <row r="1546" spans="15:21" x14ac:dyDescent="0.25">
      <c r="O1546" s="76">
        <v>110009</v>
      </c>
      <c r="P1546" s="78" t="s">
        <v>684</v>
      </c>
      <c r="Q1546" s="77">
        <v>46198</v>
      </c>
      <c r="R1546" s="78" t="s">
        <v>40</v>
      </c>
      <c r="S1546" s="36" t="str">
        <f>VLOOKUP(Tabla91116[[#This Row],[CODIGO DEL PRODUCTO]],Tabla797[],2,FALSE)</f>
        <v>PIEDRA 0-6</v>
      </c>
      <c r="T1546" s="37">
        <v>34.14</v>
      </c>
    </row>
    <row r="1547" spans="15:21" x14ac:dyDescent="0.25">
      <c r="O1547" s="76">
        <v>160159</v>
      </c>
      <c r="P1547" s="78" t="s">
        <v>679</v>
      </c>
      <c r="Q1547" s="77">
        <v>46198</v>
      </c>
      <c r="R1547" s="78" t="s">
        <v>43</v>
      </c>
      <c r="S1547" s="36" t="str">
        <f>VLOOKUP(Tabla91116[[#This Row],[CODIGO DEL PRODUCTO]],Tabla797[],2,FALSE)</f>
        <v>PIEDRA 6-20</v>
      </c>
      <c r="T1547" s="37">
        <v>35.06</v>
      </c>
    </row>
    <row r="1548" spans="15:21" x14ac:dyDescent="0.25">
      <c r="O1548" s="76">
        <v>160175</v>
      </c>
      <c r="P1548" s="78" t="s">
        <v>679</v>
      </c>
      <c r="Q1548" s="77">
        <v>46198</v>
      </c>
      <c r="R1548" s="78" t="s">
        <v>43</v>
      </c>
      <c r="S1548" s="36" t="str">
        <f>VLOOKUP(Tabla91116[[#This Row],[CODIGO DEL PRODUCTO]],Tabla797[],2,FALSE)</f>
        <v>PIEDRA 6-20</v>
      </c>
      <c r="T1548" s="37">
        <v>34.94</v>
      </c>
    </row>
    <row r="1549" spans="15:21" x14ac:dyDescent="0.25">
      <c r="O1549" s="76">
        <v>160193</v>
      </c>
      <c r="P1549" s="78" t="s">
        <v>679</v>
      </c>
      <c r="Q1549" s="77">
        <v>46198</v>
      </c>
      <c r="R1549" s="78" t="s">
        <v>43</v>
      </c>
      <c r="S1549" s="36" t="str">
        <f>VLOOKUP(Tabla91116[[#This Row],[CODIGO DEL PRODUCTO]],Tabla797[],2,FALSE)</f>
        <v>PIEDRA 6-20</v>
      </c>
      <c r="T1549" s="37">
        <v>36.08</v>
      </c>
    </row>
    <row r="1550" spans="15:21" x14ac:dyDescent="0.25">
      <c r="O1550" s="76">
        <v>2716705</v>
      </c>
      <c r="P1550" s="78" t="s">
        <v>679</v>
      </c>
      <c r="Q1550" s="77">
        <v>46198</v>
      </c>
      <c r="R1550" s="78" t="s">
        <v>286</v>
      </c>
      <c r="S1550" s="36" t="str">
        <f>VLOOKUP(Tabla91116[[#This Row],[CODIGO DEL PRODUCTO]],Tabla797[],2,FALSE)</f>
        <v>CPF 40 AVELLANEDA</v>
      </c>
      <c r="T1550" s="37">
        <v>35.36</v>
      </c>
    </row>
    <row r="1551" spans="15:21" x14ac:dyDescent="0.25">
      <c r="O1551" s="76">
        <v>104705</v>
      </c>
      <c r="P1551" s="78" t="s">
        <v>683</v>
      </c>
      <c r="Q1551" s="77">
        <v>46199</v>
      </c>
      <c r="R1551" s="78" t="s">
        <v>42</v>
      </c>
      <c r="S1551" s="36" t="str">
        <f>VLOOKUP(Tabla91116[[#This Row],[CODIGO DEL PRODUCTO]],Tabla797[],2,FALSE)</f>
        <v>ARENA FINA</v>
      </c>
      <c r="T1551" s="37">
        <v>35.9</v>
      </c>
      <c r="U1551" s="7"/>
    </row>
    <row r="1552" spans="15:21" x14ac:dyDescent="0.25">
      <c r="O1552" s="76">
        <v>104707</v>
      </c>
      <c r="P1552" s="78" t="s">
        <v>683</v>
      </c>
      <c r="Q1552" s="77">
        <v>46199</v>
      </c>
      <c r="R1552" s="78" t="s">
        <v>42</v>
      </c>
      <c r="S1552" s="36" t="str">
        <f>VLOOKUP(Tabla91116[[#This Row],[CODIGO DEL PRODUCTO]],Tabla797[],2,FALSE)</f>
        <v>ARENA FINA</v>
      </c>
      <c r="T1552" s="37">
        <v>36.82</v>
      </c>
    </row>
    <row r="1553" spans="15:21" x14ac:dyDescent="0.25">
      <c r="O1553" s="76">
        <v>104713</v>
      </c>
      <c r="P1553" s="78" t="s">
        <v>683</v>
      </c>
      <c r="Q1553" s="77">
        <v>46199</v>
      </c>
      <c r="R1553" s="78" t="s">
        <v>42</v>
      </c>
      <c r="S1553" s="36" t="str">
        <f>VLOOKUP(Tabla91116[[#This Row],[CODIGO DEL PRODUCTO]],Tabla797[],2,FALSE)</f>
        <v>ARENA FINA</v>
      </c>
      <c r="T1553" s="37">
        <v>36.200000000000003</v>
      </c>
    </row>
    <row r="1554" spans="15:21" x14ac:dyDescent="0.25">
      <c r="O1554" s="76">
        <v>110022</v>
      </c>
      <c r="P1554" s="78" t="s">
        <v>684</v>
      </c>
      <c r="Q1554" s="77">
        <v>46199</v>
      </c>
      <c r="R1554" s="78" t="s">
        <v>40</v>
      </c>
      <c r="S1554" s="36" t="str">
        <f>VLOOKUP(Tabla91116[[#This Row],[CODIGO DEL PRODUCTO]],Tabla797[],2,FALSE)</f>
        <v>PIEDRA 0-6</v>
      </c>
      <c r="T1554" s="37">
        <v>34.159999999999997</v>
      </c>
    </row>
    <row r="1555" spans="15:21" x14ac:dyDescent="0.25">
      <c r="O1555" s="76">
        <v>110026</v>
      </c>
      <c r="P1555" s="78" t="s">
        <v>684</v>
      </c>
      <c r="Q1555" s="77">
        <v>46199</v>
      </c>
      <c r="R1555" s="78" t="s">
        <v>40</v>
      </c>
      <c r="S1555" s="36" t="str">
        <f>VLOOKUP(Tabla91116[[#This Row],[CODIGO DEL PRODUCTO]],Tabla797[],2,FALSE)</f>
        <v>PIEDRA 0-6</v>
      </c>
      <c r="T1555" s="37">
        <v>34.700000000000003</v>
      </c>
    </row>
    <row r="1556" spans="15:21" x14ac:dyDescent="0.25">
      <c r="O1556" s="76">
        <v>110034</v>
      </c>
      <c r="P1556" s="78" t="s">
        <v>684</v>
      </c>
      <c r="Q1556" s="77">
        <v>46199</v>
      </c>
      <c r="R1556" s="78" t="s">
        <v>48</v>
      </c>
      <c r="S1556" s="36" t="str">
        <f>VLOOKUP(Tabla91116[[#This Row],[CODIGO DEL PRODUCTO]],Tabla797[],2,FALSE)</f>
        <v>PIEDRA 6-12</v>
      </c>
      <c r="T1556" s="37">
        <v>35.28</v>
      </c>
    </row>
    <row r="1557" spans="15:21" x14ac:dyDescent="0.25">
      <c r="O1557" s="76">
        <v>110043</v>
      </c>
      <c r="P1557" s="78" t="s">
        <v>684</v>
      </c>
      <c r="Q1557" s="77">
        <v>46199</v>
      </c>
      <c r="R1557" s="78" t="s">
        <v>40</v>
      </c>
      <c r="S1557" s="36" t="str">
        <f>VLOOKUP(Tabla91116[[#This Row],[CODIGO DEL PRODUCTO]],Tabla797[],2,FALSE)</f>
        <v>PIEDRA 0-6</v>
      </c>
      <c r="T1557" s="37">
        <v>34.200000000000003</v>
      </c>
    </row>
    <row r="1558" spans="15:21" x14ac:dyDescent="0.25">
      <c r="O1558" s="76">
        <v>160233</v>
      </c>
      <c r="P1558" s="78" t="s">
        <v>679</v>
      </c>
      <c r="Q1558" s="77">
        <v>46199</v>
      </c>
      <c r="R1558" s="78" t="s">
        <v>43</v>
      </c>
      <c r="S1558" s="36" t="str">
        <f>VLOOKUP(Tabla91116[[#This Row],[CODIGO DEL PRODUCTO]],Tabla797[],2,FALSE)</f>
        <v>PIEDRA 6-20</v>
      </c>
      <c r="T1558" s="37">
        <v>34.979999999999997</v>
      </c>
      <c r="U1558" s="7"/>
    </row>
    <row r="1559" spans="15:21" x14ac:dyDescent="0.25">
      <c r="O1559" s="76">
        <v>104718</v>
      </c>
      <c r="P1559" s="78" t="s">
        <v>683</v>
      </c>
      <c r="Q1559" s="77">
        <v>46200</v>
      </c>
      <c r="R1559" s="78" t="s">
        <v>42</v>
      </c>
      <c r="S1559" s="36" t="str">
        <f>VLOOKUP(Tabla91116[[#This Row],[CODIGO DEL PRODUCTO]],Tabla797[],2,FALSE)</f>
        <v>ARENA FINA</v>
      </c>
      <c r="T1559" s="37">
        <v>38.04</v>
      </c>
    </row>
    <row r="1560" spans="15:21" x14ac:dyDescent="0.25">
      <c r="O1560" s="76">
        <v>2717165</v>
      </c>
      <c r="P1560" s="78" t="s">
        <v>679</v>
      </c>
      <c r="Q1560" s="77">
        <v>46200</v>
      </c>
      <c r="R1560" s="78" t="s">
        <v>286</v>
      </c>
      <c r="S1560" s="36" t="str">
        <f>VLOOKUP(Tabla91116[[#This Row],[CODIGO DEL PRODUCTO]],Tabla797[],2,FALSE)</f>
        <v>CPF 40 AVELLANEDA</v>
      </c>
      <c r="T1560" s="37">
        <v>35.32</v>
      </c>
    </row>
    <row r="1561" spans="15:21" x14ac:dyDescent="0.25">
      <c r="O1561" s="76">
        <v>104724</v>
      </c>
      <c r="P1561" s="78" t="s">
        <v>683</v>
      </c>
      <c r="Q1561" s="77">
        <v>46202</v>
      </c>
      <c r="R1561" s="78" t="s">
        <v>42</v>
      </c>
      <c r="S1561" s="36" t="str">
        <f>VLOOKUP(Tabla91116[[#This Row],[CODIGO DEL PRODUCTO]],Tabla797[],2,FALSE)</f>
        <v>ARENA FINA</v>
      </c>
      <c r="T1561" s="37">
        <v>35.22</v>
      </c>
    </row>
    <row r="1562" spans="15:21" x14ac:dyDescent="0.25">
      <c r="O1562" s="76">
        <v>104731</v>
      </c>
      <c r="P1562" s="78" t="s">
        <v>683</v>
      </c>
      <c r="Q1562" s="77">
        <v>46202</v>
      </c>
      <c r="R1562" s="78" t="s">
        <v>42</v>
      </c>
      <c r="S1562" s="36" t="str">
        <f>VLOOKUP(Tabla91116[[#This Row],[CODIGO DEL PRODUCTO]],Tabla797[],2,FALSE)</f>
        <v>ARENA FINA</v>
      </c>
      <c r="T1562" s="37">
        <v>33.92</v>
      </c>
    </row>
    <row r="1563" spans="15:21" x14ac:dyDescent="0.25">
      <c r="O1563" s="76">
        <v>104725</v>
      </c>
      <c r="P1563" s="78" t="s">
        <v>683</v>
      </c>
      <c r="Q1563" s="77">
        <v>46202</v>
      </c>
      <c r="R1563" s="78" t="s">
        <v>42</v>
      </c>
      <c r="S1563" s="36" t="str">
        <f>VLOOKUP(Tabla91116[[#This Row],[CODIGO DEL PRODUCTO]],Tabla797[],2,FALSE)</f>
        <v>ARENA FINA</v>
      </c>
      <c r="T1563" s="37">
        <v>36.9</v>
      </c>
    </row>
    <row r="1564" spans="15:21" x14ac:dyDescent="0.25">
      <c r="O1564" s="76">
        <v>110065</v>
      </c>
      <c r="P1564" s="78" t="s">
        <v>684</v>
      </c>
      <c r="Q1564" s="77">
        <v>46202</v>
      </c>
      <c r="R1564" s="78" t="s">
        <v>40</v>
      </c>
      <c r="S1564" s="36" t="str">
        <f>VLOOKUP(Tabla91116[[#This Row],[CODIGO DEL PRODUCTO]],Tabla797[],2,FALSE)</f>
        <v>PIEDRA 0-6</v>
      </c>
      <c r="T1564" s="37">
        <v>34.92</v>
      </c>
    </row>
    <row r="1565" spans="15:21" x14ac:dyDescent="0.25">
      <c r="O1565" s="76">
        <v>110072</v>
      </c>
      <c r="P1565" s="78" t="s">
        <v>684</v>
      </c>
      <c r="Q1565" s="77">
        <v>46202</v>
      </c>
      <c r="R1565" s="78" t="s">
        <v>48</v>
      </c>
      <c r="S1565" s="36" t="str">
        <f>VLOOKUP(Tabla91116[[#This Row],[CODIGO DEL PRODUCTO]],Tabla797[],2,FALSE)</f>
        <v>PIEDRA 6-12</v>
      </c>
      <c r="T1565" s="37">
        <v>33.159999999999997</v>
      </c>
    </row>
    <row r="1566" spans="15:21" x14ac:dyDescent="0.25">
      <c r="O1566" s="76">
        <v>110075</v>
      </c>
      <c r="P1566" s="78" t="s">
        <v>684</v>
      </c>
      <c r="Q1566" s="77">
        <v>46202</v>
      </c>
      <c r="R1566" s="78" t="s">
        <v>43</v>
      </c>
      <c r="S1566" s="36" t="str">
        <f>VLOOKUP(Tabla91116[[#This Row],[CODIGO DEL PRODUCTO]],Tabla797[],2,FALSE)</f>
        <v>PIEDRA 6-20</v>
      </c>
      <c r="T1566" s="37">
        <v>34.619999999999997</v>
      </c>
    </row>
    <row r="1567" spans="15:21" x14ac:dyDescent="0.25">
      <c r="O1567" s="76">
        <v>110076</v>
      </c>
      <c r="P1567" s="78" t="s">
        <v>684</v>
      </c>
      <c r="Q1567" s="77">
        <v>46202</v>
      </c>
      <c r="R1567" s="78" t="s">
        <v>40</v>
      </c>
      <c r="S1567" s="36" t="str">
        <f>VLOOKUP(Tabla91116[[#This Row],[CODIGO DEL PRODUCTO]],Tabla797[],2,FALSE)</f>
        <v>PIEDRA 0-6</v>
      </c>
      <c r="T1567" s="37">
        <v>35.36</v>
      </c>
    </row>
    <row r="1568" spans="15:21" x14ac:dyDescent="0.25">
      <c r="O1568" s="76">
        <v>110077</v>
      </c>
      <c r="P1568" s="78" t="s">
        <v>684</v>
      </c>
      <c r="Q1568" s="77">
        <v>46202</v>
      </c>
      <c r="R1568" s="78" t="s">
        <v>48</v>
      </c>
      <c r="S1568" s="36" t="str">
        <f>VLOOKUP(Tabla91116[[#This Row],[CODIGO DEL PRODUCTO]],Tabla797[],2,FALSE)</f>
        <v>PIEDRA 6-12</v>
      </c>
      <c r="T1568" s="37">
        <v>34.32</v>
      </c>
    </row>
    <row r="1569" spans="15:21" x14ac:dyDescent="0.25">
      <c r="O1569" s="76">
        <v>160410</v>
      </c>
      <c r="P1569" s="78" t="s">
        <v>679</v>
      </c>
      <c r="Q1569" s="77">
        <v>46202</v>
      </c>
      <c r="R1569" s="78" t="s">
        <v>43</v>
      </c>
      <c r="S1569" s="36" t="str">
        <f>VLOOKUP(Tabla91116[[#This Row],[CODIGO DEL PRODUCTO]],Tabla797[],2,FALSE)</f>
        <v>PIEDRA 6-20</v>
      </c>
      <c r="T1569" s="37">
        <v>34.979999999999997</v>
      </c>
    </row>
    <row r="1570" spans="15:21" x14ac:dyDescent="0.25">
      <c r="O1570" s="76">
        <v>2717435</v>
      </c>
      <c r="P1570" s="78" t="s">
        <v>679</v>
      </c>
      <c r="Q1570" s="77">
        <v>46202</v>
      </c>
      <c r="R1570" s="78" t="s">
        <v>286</v>
      </c>
      <c r="S1570" s="36" t="str">
        <f>VLOOKUP(Tabla91116[[#This Row],[CODIGO DEL PRODUCTO]],Tabla797[],2,FALSE)</f>
        <v>CPF 40 AVELLANEDA</v>
      </c>
      <c r="T1570" s="37">
        <v>35.56</v>
      </c>
    </row>
    <row r="1571" spans="15:21" x14ac:dyDescent="0.25">
      <c r="O1571" s="76">
        <v>104736</v>
      </c>
      <c r="P1571" s="78" t="s">
        <v>683</v>
      </c>
      <c r="Q1571" s="77">
        <v>46203</v>
      </c>
      <c r="R1571" s="78" t="s">
        <v>42</v>
      </c>
      <c r="S1571" s="36" t="str">
        <f>VLOOKUP(Tabla91116[[#This Row],[CODIGO DEL PRODUCTO]],Tabla797[],2,FALSE)</f>
        <v>ARENA FINA</v>
      </c>
      <c r="T1571" s="37">
        <v>35.020000000000003</v>
      </c>
    </row>
    <row r="1572" spans="15:21" x14ac:dyDescent="0.25">
      <c r="O1572" s="76">
        <v>104737</v>
      </c>
      <c r="P1572" s="78" t="s">
        <v>683</v>
      </c>
      <c r="Q1572" s="77">
        <v>46203</v>
      </c>
      <c r="R1572" s="78" t="s">
        <v>42</v>
      </c>
      <c r="S1572" s="36" t="str">
        <f>VLOOKUP(Tabla91116[[#This Row],[CODIGO DEL PRODUCTO]],Tabla797[],2,FALSE)</f>
        <v>ARENA FINA</v>
      </c>
      <c r="T1572" s="37">
        <v>36.520000000000003</v>
      </c>
    </row>
    <row r="1573" spans="15:21" x14ac:dyDescent="0.25">
      <c r="O1573" s="76">
        <v>104743</v>
      </c>
      <c r="P1573" s="78" t="s">
        <v>683</v>
      </c>
      <c r="Q1573" s="77">
        <v>46203</v>
      </c>
      <c r="R1573" s="78" t="s">
        <v>42</v>
      </c>
      <c r="S1573" s="36" t="str">
        <f>VLOOKUP(Tabla91116[[#This Row],[CODIGO DEL PRODUCTO]],Tabla797[],2,FALSE)</f>
        <v>ARENA FINA</v>
      </c>
      <c r="T1573" s="37">
        <v>35</v>
      </c>
    </row>
    <row r="1574" spans="15:21" x14ac:dyDescent="0.25">
      <c r="O1574" s="76">
        <v>104744</v>
      </c>
      <c r="P1574" s="78" t="s">
        <v>683</v>
      </c>
      <c r="Q1574" s="77">
        <v>46203</v>
      </c>
      <c r="R1574" s="78" t="s">
        <v>42</v>
      </c>
      <c r="S1574" s="36" t="str">
        <f>VLOOKUP(Tabla91116[[#This Row],[CODIGO DEL PRODUCTO]],Tabla797[],2,FALSE)</f>
        <v>ARENA FINA</v>
      </c>
      <c r="T1574" s="37">
        <v>36.42</v>
      </c>
    </row>
    <row r="1575" spans="15:21" x14ac:dyDescent="0.25">
      <c r="O1575" s="76">
        <v>110095</v>
      </c>
      <c r="P1575" s="78" t="s">
        <v>684</v>
      </c>
      <c r="Q1575" s="77">
        <v>46203</v>
      </c>
      <c r="R1575" s="78" t="s">
        <v>40</v>
      </c>
      <c r="S1575" s="36" t="str">
        <f>VLOOKUP(Tabla91116[[#This Row],[CODIGO DEL PRODUCTO]],Tabla797[],2,FALSE)</f>
        <v>PIEDRA 0-6</v>
      </c>
      <c r="T1575" s="37">
        <v>35.54</v>
      </c>
    </row>
    <row r="1576" spans="15:21" x14ac:dyDescent="0.25">
      <c r="O1576" s="76">
        <v>110103</v>
      </c>
      <c r="P1576" s="78" t="s">
        <v>684</v>
      </c>
      <c r="Q1576" s="77">
        <v>46203</v>
      </c>
      <c r="R1576" s="78" t="s">
        <v>40</v>
      </c>
      <c r="S1576" s="36" t="str">
        <f>VLOOKUP(Tabla91116[[#This Row],[CODIGO DEL PRODUCTO]],Tabla797[],2,FALSE)</f>
        <v>PIEDRA 0-6</v>
      </c>
      <c r="T1576" s="37">
        <v>35.24</v>
      </c>
      <c r="U1576" s="7"/>
    </row>
    <row r="1577" spans="15:21" x14ac:dyDescent="0.25">
      <c r="O1577" s="76">
        <v>110102</v>
      </c>
      <c r="P1577" s="78" t="s">
        <v>684</v>
      </c>
      <c r="Q1577" s="77">
        <v>46203</v>
      </c>
      <c r="R1577" s="78" t="s">
        <v>43</v>
      </c>
      <c r="S1577" s="36" t="str">
        <f>VLOOKUP(Tabla91116[[#This Row],[CODIGO DEL PRODUCTO]],Tabla797[],2,FALSE)</f>
        <v>PIEDRA 6-20</v>
      </c>
      <c r="T1577" s="37">
        <v>34.380000000000003</v>
      </c>
    </row>
    <row r="1578" spans="15:21" x14ac:dyDescent="0.25">
      <c r="O1578" s="76">
        <v>110109</v>
      </c>
      <c r="P1578" s="78" t="s">
        <v>684</v>
      </c>
      <c r="Q1578" s="77">
        <v>46203</v>
      </c>
      <c r="R1578" s="78" t="s">
        <v>43</v>
      </c>
      <c r="S1578" s="36" t="str">
        <f>VLOOKUP(Tabla91116[[#This Row],[CODIGO DEL PRODUCTO]],Tabla797[],2,FALSE)</f>
        <v>PIEDRA 6-20</v>
      </c>
      <c r="T1578" s="37">
        <v>34.700000000000003</v>
      </c>
    </row>
    <row r="1579" spans="15:21" x14ac:dyDescent="0.25">
      <c r="O1579" s="76">
        <v>160433</v>
      </c>
      <c r="P1579" s="78" t="s">
        <v>679</v>
      </c>
      <c r="Q1579" s="77">
        <v>46203</v>
      </c>
      <c r="R1579" s="78" t="s">
        <v>43</v>
      </c>
      <c r="S1579" s="36" t="str">
        <f>VLOOKUP(Tabla91116[[#This Row],[CODIGO DEL PRODUCTO]],Tabla797[],2,FALSE)</f>
        <v>PIEDRA 6-20</v>
      </c>
      <c r="T1579" s="37">
        <v>34.659999999999997</v>
      </c>
    </row>
    <row r="1580" spans="15:21" x14ac:dyDescent="0.25">
      <c r="O1580" s="76">
        <v>160491</v>
      </c>
      <c r="P1580" s="78" t="s">
        <v>679</v>
      </c>
      <c r="Q1580" s="77">
        <v>46203</v>
      </c>
      <c r="R1580" s="78" t="s">
        <v>43</v>
      </c>
      <c r="S1580" s="36" t="str">
        <f>VLOOKUP(Tabla91116[[#This Row],[CODIGO DEL PRODUCTO]],Tabla797[],2,FALSE)</f>
        <v>PIEDRA 6-20</v>
      </c>
      <c r="T1580" s="37">
        <v>35.68</v>
      </c>
    </row>
    <row r="1581" spans="15:21" x14ac:dyDescent="0.25">
      <c r="O1581" s="76">
        <v>2717724</v>
      </c>
      <c r="P1581" s="78" t="s">
        <v>679</v>
      </c>
      <c r="Q1581" s="77">
        <v>46203</v>
      </c>
      <c r="R1581" s="78" t="s">
        <v>286</v>
      </c>
      <c r="S1581" s="36" t="str">
        <f>VLOOKUP(Tabla91116[[#This Row],[CODIGO DEL PRODUCTO]],Tabla797[],2,FALSE)</f>
        <v>CPF 40 AVELLANEDA</v>
      </c>
      <c r="T1581" s="37">
        <v>35.28</v>
      </c>
    </row>
    <row r="1582" spans="15:21" x14ac:dyDescent="0.25">
      <c r="O1582" s="76">
        <v>104750</v>
      </c>
      <c r="P1582" s="78" t="s">
        <v>683</v>
      </c>
      <c r="Q1582" s="77">
        <v>46204</v>
      </c>
      <c r="R1582" s="78" t="s">
        <v>42</v>
      </c>
      <c r="S1582" s="36" t="str">
        <f>VLOOKUP(Tabla91116[[#This Row],[CODIGO DEL PRODUCTO]],Tabla797[],2,FALSE)</f>
        <v>ARENA FINA</v>
      </c>
      <c r="T1582" s="37">
        <v>35.44</v>
      </c>
    </row>
    <row r="1583" spans="15:21" x14ac:dyDescent="0.25">
      <c r="O1583" s="76">
        <v>104752</v>
      </c>
      <c r="P1583" s="78" t="s">
        <v>683</v>
      </c>
      <c r="Q1583" s="77">
        <v>46204</v>
      </c>
      <c r="R1583" s="78" t="s">
        <v>42</v>
      </c>
      <c r="S1583" s="36" t="str">
        <f>VLOOKUP(Tabla91116[[#This Row],[CODIGO DEL PRODUCTO]],Tabla797[],2,FALSE)</f>
        <v>ARENA FINA</v>
      </c>
      <c r="T1583" s="37">
        <v>36.5</v>
      </c>
    </row>
    <row r="1584" spans="15:21" x14ac:dyDescent="0.25">
      <c r="O1584" s="76">
        <v>104756</v>
      </c>
      <c r="P1584" s="78" t="s">
        <v>683</v>
      </c>
      <c r="Q1584" s="77">
        <v>46204</v>
      </c>
      <c r="R1584" s="78" t="s">
        <v>42</v>
      </c>
      <c r="S1584" s="36" t="str">
        <f>VLOOKUP(Tabla91116[[#This Row],[CODIGO DEL PRODUCTO]],Tabla797[],2,FALSE)</f>
        <v>ARENA FINA</v>
      </c>
      <c r="T1584" s="37">
        <v>35.119999999999997</v>
      </c>
    </row>
    <row r="1585" spans="15:20" x14ac:dyDescent="0.25">
      <c r="O1585" s="76">
        <v>104757</v>
      </c>
      <c r="P1585" s="78" t="s">
        <v>683</v>
      </c>
      <c r="Q1585" s="77">
        <v>46204</v>
      </c>
      <c r="R1585" s="78" t="s">
        <v>42</v>
      </c>
      <c r="S1585" s="36" t="str">
        <f>VLOOKUP(Tabla91116[[#This Row],[CODIGO DEL PRODUCTO]],Tabla797[],2,FALSE)</f>
        <v>ARENA FINA</v>
      </c>
      <c r="T1585" s="37">
        <v>36.82</v>
      </c>
    </row>
    <row r="1586" spans="15:20" x14ac:dyDescent="0.25">
      <c r="O1586" s="76">
        <v>110124</v>
      </c>
      <c r="P1586" s="78" t="s">
        <v>684</v>
      </c>
      <c r="Q1586" s="77">
        <v>46204</v>
      </c>
      <c r="R1586" s="78" t="s">
        <v>40</v>
      </c>
      <c r="S1586" s="36" t="str">
        <f>VLOOKUP(Tabla91116[[#This Row],[CODIGO DEL PRODUCTO]],Tabla797[],2,FALSE)</f>
        <v>PIEDRA 0-6</v>
      </c>
      <c r="T1586" s="37">
        <v>35.08</v>
      </c>
    </row>
    <row r="1587" spans="15:20" x14ac:dyDescent="0.25">
      <c r="O1587" s="76">
        <v>110130</v>
      </c>
      <c r="P1587" s="78" t="s">
        <v>684</v>
      </c>
      <c r="Q1587" s="77">
        <v>46204</v>
      </c>
      <c r="R1587" s="78" t="s">
        <v>40</v>
      </c>
      <c r="S1587" s="36" t="str">
        <f>VLOOKUP(Tabla91116[[#This Row],[CODIGO DEL PRODUCTO]],Tabla797[],2,FALSE)</f>
        <v>PIEDRA 0-6</v>
      </c>
      <c r="T1587" s="37">
        <v>35.56</v>
      </c>
    </row>
    <row r="1588" spans="15:20" x14ac:dyDescent="0.25">
      <c r="O1588" s="76">
        <v>110138</v>
      </c>
      <c r="P1588" s="78" t="s">
        <v>684</v>
      </c>
      <c r="Q1588" s="77">
        <v>46204</v>
      </c>
      <c r="R1588" s="78" t="s">
        <v>43</v>
      </c>
      <c r="S1588" s="36" t="str">
        <f>VLOOKUP(Tabla91116[[#This Row],[CODIGO DEL PRODUCTO]],Tabla797[],2,FALSE)</f>
        <v>PIEDRA 6-20</v>
      </c>
      <c r="T1588" s="37">
        <v>33.979999999999997</v>
      </c>
    </row>
    <row r="1589" spans="15:20" x14ac:dyDescent="0.25">
      <c r="O1589" s="76">
        <v>110139</v>
      </c>
      <c r="P1589" s="78" t="s">
        <v>684</v>
      </c>
      <c r="Q1589" s="77">
        <v>46204</v>
      </c>
      <c r="R1589" s="78" t="s">
        <v>43</v>
      </c>
      <c r="S1589" s="36" t="str">
        <f>VLOOKUP(Tabla91116[[#This Row],[CODIGO DEL PRODUCTO]],Tabla797[],2,FALSE)</f>
        <v>PIEDRA 6-20</v>
      </c>
      <c r="T1589" s="37">
        <v>34.72</v>
      </c>
    </row>
    <row r="1590" spans="15:20" x14ac:dyDescent="0.25">
      <c r="O1590" s="76">
        <v>160514</v>
      </c>
      <c r="P1590" s="78" t="s">
        <v>679</v>
      </c>
      <c r="Q1590" s="77">
        <v>46204</v>
      </c>
      <c r="R1590" s="78" t="s">
        <v>43</v>
      </c>
      <c r="S1590" s="36" t="str">
        <f>VLOOKUP(Tabla91116[[#This Row],[CODIGO DEL PRODUCTO]],Tabla797[],2,FALSE)</f>
        <v>PIEDRA 6-20</v>
      </c>
      <c r="T1590" s="37">
        <v>34.619999999999997</v>
      </c>
    </row>
    <row r="1591" spans="15:20" x14ac:dyDescent="0.25">
      <c r="O1591" s="76">
        <v>160552</v>
      </c>
      <c r="P1591" s="78" t="s">
        <v>679</v>
      </c>
      <c r="Q1591" s="77">
        <v>46204</v>
      </c>
      <c r="R1591" s="78" t="s">
        <v>43</v>
      </c>
      <c r="S1591" s="36" t="str">
        <f>VLOOKUP(Tabla91116[[#This Row],[CODIGO DEL PRODUCTO]],Tabla797[],2,FALSE)</f>
        <v>PIEDRA 6-20</v>
      </c>
      <c r="T1591" s="37">
        <v>35.880000000000003</v>
      </c>
    </row>
    <row r="1592" spans="15:20" x14ac:dyDescent="0.25">
      <c r="O1592" s="76">
        <v>2718089</v>
      </c>
      <c r="P1592" s="78" t="s">
        <v>679</v>
      </c>
      <c r="Q1592" s="77">
        <v>46204</v>
      </c>
      <c r="R1592" s="78" t="s">
        <v>286</v>
      </c>
      <c r="S1592" s="36" t="str">
        <f>VLOOKUP(Tabla91116[[#This Row],[CODIGO DEL PRODUCTO]],Tabla797[],2,FALSE)</f>
        <v>CPF 40 AVELLANEDA</v>
      </c>
      <c r="T1592" s="37">
        <v>36.479999999999997</v>
      </c>
    </row>
    <row r="1593" spans="15:20" x14ac:dyDescent="0.25">
      <c r="O1593" s="76">
        <v>2718101</v>
      </c>
      <c r="P1593" s="78" t="s">
        <v>679</v>
      </c>
      <c r="Q1593" s="77">
        <v>46204</v>
      </c>
      <c r="R1593" s="78" t="s">
        <v>286</v>
      </c>
      <c r="S1593" s="36" t="str">
        <f>VLOOKUP(Tabla91116[[#This Row],[CODIGO DEL PRODUCTO]],Tabla797[],2,FALSE)</f>
        <v>CPF 40 AVELLANEDA</v>
      </c>
      <c r="T1593" s="37">
        <v>35.479999999999997</v>
      </c>
    </row>
    <row r="1594" spans="15:20" x14ac:dyDescent="0.25">
      <c r="O1594" s="76">
        <v>104762</v>
      </c>
      <c r="P1594" s="78" t="s">
        <v>683</v>
      </c>
      <c r="Q1594" s="77">
        <v>46205</v>
      </c>
      <c r="R1594" s="78" t="s">
        <v>42</v>
      </c>
      <c r="S1594" s="36" t="str">
        <f>VLOOKUP(Tabla91116[[#This Row],[CODIGO DEL PRODUCTO]],Tabla797[],2,FALSE)</f>
        <v>ARENA FINA</v>
      </c>
      <c r="T1594" s="37">
        <v>35.56</v>
      </c>
    </row>
    <row r="1595" spans="15:20" x14ac:dyDescent="0.25">
      <c r="O1595" s="76">
        <v>104763</v>
      </c>
      <c r="P1595" s="78" t="s">
        <v>683</v>
      </c>
      <c r="Q1595" s="77">
        <v>46205</v>
      </c>
      <c r="R1595" s="78" t="s">
        <v>42</v>
      </c>
      <c r="S1595" s="36" t="str">
        <f>VLOOKUP(Tabla91116[[#This Row],[CODIGO DEL PRODUCTO]],Tabla797[],2,FALSE)</f>
        <v>ARENA FINA</v>
      </c>
      <c r="T1595" s="37">
        <v>36.4</v>
      </c>
    </row>
    <row r="1596" spans="15:20" x14ac:dyDescent="0.25">
      <c r="O1596" s="76">
        <v>104770</v>
      </c>
      <c r="P1596" s="78" t="s">
        <v>683</v>
      </c>
      <c r="Q1596" s="77">
        <v>46205</v>
      </c>
      <c r="R1596" s="78" t="s">
        <v>42</v>
      </c>
      <c r="S1596" s="36" t="str">
        <f>VLOOKUP(Tabla91116[[#This Row],[CODIGO DEL PRODUCTO]],Tabla797[],2,FALSE)</f>
        <v>ARENA FINA</v>
      </c>
      <c r="T1596" s="37">
        <v>34.24</v>
      </c>
    </row>
    <row r="1597" spans="15:20" x14ac:dyDescent="0.25">
      <c r="O1597" s="76">
        <v>104771</v>
      </c>
      <c r="P1597" s="78" t="s">
        <v>683</v>
      </c>
      <c r="Q1597" s="77">
        <v>46205</v>
      </c>
      <c r="R1597" s="78" t="s">
        <v>42</v>
      </c>
      <c r="S1597" s="36" t="str">
        <f>VLOOKUP(Tabla91116[[#This Row],[CODIGO DEL PRODUCTO]],Tabla797[],2,FALSE)</f>
        <v>ARENA FINA</v>
      </c>
      <c r="T1597" s="37">
        <v>36.82</v>
      </c>
    </row>
    <row r="1598" spans="15:20" x14ac:dyDescent="0.25">
      <c r="O1598" s="76">
        <v>110147</v>
      </c>
      <c r="P1598" s="78" t="s">
        <v>684</v>
      </c>
      <c r="Q1598" s="77">
        <v>46205</v>
      </c>
      <c r="R1598" s="78" t="s">
        <v>43</v>
      </c>
      <c r="S1598" s="36" t="str">
        <f>VLOOKUP(Tabla91116[[#This Row],[CODIGO DEL PRODUCTO]],Tabla797[],2,FALSE)</f>
        <v>PIEDRA 6-20</v>
      </c>
      <c r="T1598" s="37">
        <v>34.72</v>
      </c>
    </row>
    <row r="1599" spans="15:20" x14ac:dyDescent="0.25">
      <c r="O1599" s="76">
        <v>110156</v>
      </c>
      <c r="P1599" s="78" t="s">
        <v>684</v>
      </c>
      <c r="Q1599" s="77">
        <v>46205</v>
      </c>
      <c r="R1599" s="78" t="s">
        <v>40</v>
      </c>
      <c r="S1599" s="36" t="str">
        <f>VLOOKUP(Tabla91116[[#This Row],[CODIGO DEL PRODUCTO]],Tabla797[],2,FALSE)</f>
        <v>PIEDRA 0-6</v>
      </c>
      <c r="T1599" s="37">
        <v>34.76</v>
      </c>
    </row>
    <row r="1600" spans="15:20" x14ac:dyDescent="0.25">
      <c r="O1600" s="76">
        <v>110159</v>
      </c>
      <c r="P1600" s="78" t="s">
        <v>684</v>
      </c>
      <c r="Q1600" s="77">
        <v>46205</v>
      </c>
      <c r="R1600" s="78" t="s">
        <v>40</v>
      </c>
      <c r="S1600" s="36" t="str">
        <f>VLOOKUP(Tabla91116[[#This Row],[CODIGO DEL PRODUCTO]],Tabla797[],2,FALSE)</f>
        <v>PIEDRA 0-6</v>
      </c>
      <c r="T1600" s="37">
        <v>35.92</v>
      </c>
    </row>
    <row r="1601" spans="15:21" x14ac:dyDescent="0.25">
      <c r="O1601" s="76">
        <v>110168</v>
      </c>
      <c r="P1601" s="78" t="s">
        <v>684</v>
      </c>
      <c r="Q1601" s="77">
        <v>46205</v>
      </c>
      <c r="R1601" s="78" t="s">
        <v>43</v>
      </c>
      <c r="S1601" s="36" t="str">
        <f>VLOOKUP(Tabla91116[[#This Row],[CODIGO DEL PRODUCTO]],Tabla797[],2,FALSE)</f>
        <v>PIEDRA 6-20</v>
      </c>
      <c r="T1601" s="37">
        <v>35.08</v>
      </c>
    </row>
    <row r="1602" spans="15:21" x14ac:dyDescent="0.25">
      <c r="O1602" s="76">
        <v>110171</v>
      </c>
      <c r="P1602" s="78" t="s">
        <v>684</v>
      </c>
      <c r="Q1602" s="77">
        <v>46205</v>
      </c>
      <c r="R1602" s="78" t="s">
        <v>43</v>
      </c>
      <c r="S1602" s="36" t="str">
        <f>VLOOKUP(Tabla91116[[#This Row],[CODIGO DEL PRODUCTO]],Tabla797[],2,FALSE)</f>
        <v>PIEDRA 6-20</v>
      </c>
      <c r="T1602" s="37">
        <v>34.14</v>
      </c>
    </row>
    <row r="1603" spans="15:21" x14ac:dyDescent="0.25">
      <c r="O1603" s="76">
        <v>160591</v>
      </c>
      <c r="P1603" s="78" t="s">
        <v>679</v>
      </c>
      <c r="Q1603" s="77">
        <v>46205</v>
      </c>
      <c r="R1603" s="78" t="s">
        <v>43</v>
      </c>
      <c r="S1603" s="36" t="str">
        <f>VLOOKUP(Tabla91116[[#This Row],[CODIGO DEL PRODUCTO]],Tabla797[],2,FALSE)</f>
        <v>PIEDRA 6-20</v>
      </c>
      <c r="T1603" s="37">
        <v>34.94</v>
      </c>
    </row>
    <row r="1604" spans="15:21" x14ac:dyDescent="0.25">
      <c r="O1604" s="76">
        <v>160624</v>
      </c>
      <c r="P1604" s="78" t="s">
        <v>679</v>
      </c>
      <c r="Q1604" s="77">
        <v>46205</v>
      </c>
      <c r="R1604" s="78" t="s">
        <v>43</v>
      </c>
      <c r="S1604" s="36" t="str">
        <f>VLOOKUP(Tabla91116[[#This Row],[CODIGO DEL PRODUCTO]],Tabla797[],2,FALSE)</f>
        <v>PIEDRA 6-20</v>
      </c>
      <c r="T1604" s="37">
        <v>36</v>
      </c>
    </row>
    <row r="1605" spans="15:21" x14ac:dyDescent="0.25">
      <c r="O1605" s="76">
        <v>2718259</v>
      </c>
      <c r="P1605" s="78" t="s">
        <v>679</v>
      </c>
      <c r="Q1605" s="77">
        <v>46205</v>
      </c>
      <c r="R1605" s="78" t="s">
        <v>286</v>
      </c>
      <c r="S1605" s="36" t="str">
        <f>VLOOKUP(Tabla91116[[#This Row],[CODIGO DEL PRODUCTO]],Tabla797[],2,FALSE)</f>
        <v>CPF 40 AVELLANEDA</v>
      </c>
      <c r="T1605" s="37">
        <v>36.200000000000003</v>
      </c>
    </row>
    <row r="1606" spans="15:21" x14ac:dyDescent="0.25">
      <c r="O1606" s="76">
        <v>2718345</v>
      </c>
      <c r="P1606" s="78" t="s">
        <v>679</v>
      </c>
      <c r="Q1606" s="77">
        <v>46205</v>
      </c>
      <c r="R1606" s="78" t="s">
        <v>286</v>
      </c>
      <c r="S1606" s="36" t="str">
        <f>VLOOKUP(Tabla91116[[#This Row],[CODIGO DEL PRODUCTO]],Tabla797[],2,FALSE)</f>
        <v>CPF 40 AVELLANEDA</v>
      </c>
      <c r="T1606" s="37">
        <v>35.26</v>
      </c>
    </row>
    <row r="1607" spans="15:21" x14ac:dyDescent="0.25">
      <c r="O1607" s="76">
        <v>104775</v>
      </c>
      <c r="P1607" s="78" t="s">
        <v>683</v>
      </c>
      <c r="Q1607" s="77">
        <v>46206</v>
      </c>
      <c r="R1607" s="78" t="s">
        <v>42</v>
      </c>
      <c r="S1607" s="36" t="str">
        <f>VLOOKUP(Tabla91116[[#This Row],[CODIGO DEL PRODUCTO]],Tabla797[],2,FALSE)</f>
        <v>ARENA FINA</v>
      </c>
      <c r="T1607" s="37">
        <v>36.96</v>
      </c>
    </row>
    <row r="1608" spans="15:21" x14ac:dyDescent="0.25">
      <c r="O1608" s="76">
        <v>104776</v>
      </c>
      <c r="P1608" s="78" t="s">
        <v>683</v>
      </c>
      <c r="Q1608" s="77">
        <v>46206</v>
      </c>
      <c r="R1608" s="78" t="s">
        <v>42</v>
      </c>
      <c r="S1608" s="36" t="str">
        <f>VLOOKUP(Tabla91116[[#This Row],[CODIGO DEL PRODUCTO]],Tabla797[],2,FALSE)</f>
        <v>ARENA FINA</v>
      </c>
      <c r="T1608" s="37">
        <v>38.28</v>
      </c>
    </row>
    <row r="1609" spans="15:21" x14ac:dyDescent="0.25">
      <c r="O1609" s="76">
        <v>104781</v>
      </c>
      <c r="P1609" s="78" t="s">
        <v>683</v>
      </c>
      <c r="Q1609" s="77">
        <v>46206</v>
      </c>
      <c r="R1609" s="78" t="s">
        <v>42</v>
      </c>
      <c r="S1609" s="36" t="str">
        <f>VLOOKUP(Tabla91116[[#This Row],[CODIGO DEL PRODUCTO]],Tabla797[],2,FALSE)</f>
        <v>ARENA FINA</v>
      </c>
      <c r="T1609" s="37">
        <v>36.06</v>
      </c>
      <c r="U1609" s="7"/>
    </row>
    <row r="1610" spans="15:21" x14ac:dyDescent="0.25">
      <c r="O1610" s="76">
        <v>104781</v>
      </c>
      <c r="P1610" s="78" t="s">
        <v>683</v>
      </c>
      <c r="Q1610" s="77">
        <v>46206</v>
      </c>
      <c r="R1610" s="78" t="s">
        <v>42</v>
      </c>
      <c r="S1610" s="36" t="str">
        <f>VLOOKUP(Tabla91116[[#This Row],[CODIGO DEL PRODUCTO]],Tabla797[],2,FALSE)</f>
        <v>ARENA FINA</v>
      </c>
      <c r="T1610" s="37">
        <v>36.86</v>
      </c>
      <c r="U1610" s="7"/>
    </row>
    <row r="1611" spans="15:21" x14ac:dyDescent="0.25">
      <c r="O1611" s="76">
        <v>110183</v>
      </c>
      <c r="P1611" s="78" t="s">
        <v>684</v>
      </c>
      <c r="Q1611" s="77">
        <v>46206</v>
      </c>
      <c r="R1611" s="78" t="s">
        <v>40</v>
      </c>
      <c r="S1611" s="36" t="str">
        <f>VLOOKUP(Tabla91116[[#This Row],[CODIGO DEL PRODUCTO]],Tabla797[],2,FALSE)</f>
        <v>PIEDRA 0-6</v>
      </c>
      <c r="T1611" s="37">
        <v>35.18</v>
      </c>
    </row>
    <row r="1612" spans="15:21" x14ac:dyDescent="0.25">
      <c r="O1612" s="76">
        <v>110187</v>
      </c>
      <c r="P1612" s="78" t="s">
        <v>684</v>
      </c>
      <c r="Q1612" s="77">
        <v>46206</v>
      </c>
      <c r="R1612" s="78" t="s">
        <v>40</v>
      </c>
      <c r="S1612" s="36" t="str">
        <f>VLOOKUP(Tabla91116[[#This Row],[CODIGO DEL PRODUCTO]],Tabla797[],2,FALSE)</f>
        <v>PIEDRA 0-6</v>
      </c>
      <c r="T1612" s="37">
        <v>35.380000000000003</v>
      </c>
    </row>
    <row r="1613" spans="15:21" x14ac:dyDescent="0.25">
      <c r="O1613" s="76">
        <v>110194</v>
      </c>
      <c r="P1613" s="78" t="s">
        <v>684</v>
      </c>
      <c r="Q1613" s="77">
        <v>46206</v>
      </c>
      <c r="R1613" s="78" t="s">
        <v>43</v>
      </c>
      <c r="S1613" s="36" t="str">
        <f>VLOOKUP(Tabla91116[[#This Row],[CODIGO DEL PRODUCTO]],Tabla797[],2,FALSE)</f>
        <v>PIEDRA 6-20</v>
      </c>
      <c r="T1613" s="37">
        <v>34.44</v>
      </c>
    </row>
    <row r="1614" spans="15:21" x14ac:dyDescent="0.25">
      <c r="O1614" s="76">
        <v>110199</v>
      </c>
      <c r="P1614" s="78" t="s">
        <v>684</v>
      </c>
      <c r="Q1614" s="77">
        <v>46206</v>
      </c>
      <c r="R1614" s="78" t="s">
        <v>43</v>
      </c>
      <c r="S1614" s="36" t="str">
        <f>VLOOKUP(Tabla91116[[#This Row],[CODIGO DEL PRODUCTO]],Tabla797[],2,FALSE)</f>
        <v>PIEDRA 6-20</v>
      </c>
      <c r="T1614" s="37">
        <v>35.479999999999997</v>
      </c>
    </row>
    <row r="1615" spans="15:21" x14ac:dyDescent="0.25">
      <c r="O1615" s="76">
        <v>160657</v>
      </c>
      <c r="P1615" s="78" t="s">
        <v>679</v>
      </c>
      <c r="Q1615" s="77">
        <v>46206</v>
      </c>
      <c r="R1615" s="78" t="s">
        <v>43</v>
      </c>
      <c r="S1615" s="36" t="str">
        <f>VLOOKUP(Tabla91116[[#This Row],[CODIGO DEL PRODUCTO]],Tabla797[],2,FALSE)</f>
        <v>PIEDRA 6-20</v>
      </c>
      <c r="T1615" s="37">
        <v>34.659999999999997</v>
      </c>
    </row>
    <row r="1616" spans="15:21" x14ac:dyDescent="0.25">
      <c r="O1616" s="76">
        <v>160679</v>
      </c>
      <c r="P1616" s="78" t="s">
        <v>679</v>
      </c>
      <c r="Q1616" s="77">
        <v>46206</v>
      </c>
      <c r="R1616" s="78" t="s">
        <v>43</v>
      </c>
      <c r="S1616" s="36" t="str">
        <f>VLOOKUP(Tabla91116[[#This Row],[CODIGO DEL PRODUCTO]],Tabla797[],2,FALSE)</f>
        <v>PIEDRA 6-20</v>
      </c>
      <c r="T1616" s="37">
        <v>35.68</v>
      </c>
    </row>
    <row r="1617" spans="15:20" x14ac:dyDescent="0.25">
      <c r="O1617" s="76">
        <v>2718528</v>
      </c>
      <c r="P1617" s="78" t="s">
        <v>679</v>
      </c>
      <c r="Q1617" s="77">
        <v>46206</v>
      </c>
      <c r="R1617" s="78" t="s">
        <v>286</v>
      </c>
      <c r="S1617" s="36" t="str">
        <f>VLOOKUP(Tabla91116[[#This Row],[CODIGO DEL PRODUCTO]],Tabla797[],2,FALSE)</f>
        <v>CPF 40 AVELLANEDA</v>
      </c>
      <c r="T1617" s="37">
        <v>35.94</v>
      </c>
    </row>
    <row r="1618" spans="15:20" x14ac:dyDescent="0.25">
      <c r="O1618" s="76">
        <v>2718460</v>
      </c>
      <c r="P1618" s="78" t="s">
        <v>679</v>
      </c>
      <c r="Q1618" s="77">
        <v>46206</v>
      </c>
      <c r="R1618" s="78" t="s">
        <v>286</v>
      </c>
      <c r="S1618" s="36" t="str">
        <f>VLOOKUP(Tabla91116[[#This Row],[CODIGO DEL PRODUCTO]],Tabla797[],2,FALSE)</f>
        <v>CPF 40 AVELLANEDA</v>
      </c>
      <c r="T1618" s="37">
        <v>36.22</v>
      </c>
    </row>
    <row r="1619" spans="15:20" x14ac:dyDescent="0.25">
      <c r="O1619" s="76">
        <v>104793</v>
      </c>
      <c r="P1619" s="78" t="s">
        <v>683</v>
      </c>
      <c r="Q1619" s="77">
        <v>46207</v>
      </c>
      <c r="R1619" s="78" t="s">
        <v>42</v>
      </c>
      <c r="S1619" s="36" t="str">
        <f>VLOOKUP(Tabla91116[[#This Row],[CODIGO DEL PRODUCTO]],Tabla797[],2,FALSE)</f>
        <v>ARENA FINA</v>
      </c>
      <c r="T1619" s="37">
        <v>36.700000000000003</v>
      </c>
    </row>
    <row r="1620" spans="15:20" x14ac:dyDescent="0.25">
      <c r="O1620" s="76">
        <v>110206</v>
      </c>
      <c r="P1620" s="78" t="s">
        <v>684</v>
      </c>
      <c r="Q1620" s="77">
        <v>46207</v>
      </c>
      <c r="R1620" s="78" t="s">
        <v>43</v>
      </c>
      <c r="S1620" s="36" t="str">
        <f>VLOOKUP(Tabla91116[[#This Row],[CODIGO DEL PRODUCTO]],Tabla797[],2,FALSE)</f>
        <v>PIEDRA 6-20</v>
      </c>
      <c r="T1620" s="37">
        <v>35.24</v>
      </c>
    </row>
    <row r="1621" spans="15:20" x14ac:dyDescent="0.25">
      <c r="O1621" s="76">
        <v>110210</v>
      </c>
      <c r="P1621" s="78" t="s">
        <v>684</v>
      </c>
      <c r="Q1621" s="77">
        <v>46207</v>
      </c>
      <c r="R1621" s="78" t="s">
        <v>43</v>
      </c>
      <c r="S1621" s="36" t="str">
        <f>VLOOKUP(Tabla91116[[#This Row],[CODIGO DEL PRODUCTO]],Tabla797[],2,FALSE)</f>
        <v>PIEDRA 6-20</v>
      </c>
      <c r="T1621" s="37">
        <v>35.159999999999997</v>
      </c>
    </row>
    <row r="1622" spans="15:20" x14ac:dyDescent="0.25">
      <c r="O1622" s="76">
        <v>110173</v>
      </c>
      <c r="P1622" s="78" t="s">
        <v>684</v>
      </c>
      <c r="Q1622" s="77">
        <v>46207</v>
      </c>
      <c r="R1622" s="78" t="s">
        <v>43</v>
      </c>
      <c r="S1622" s="36" t="str">
        <f>VLOOKUP(Tabla91116[[#This Row],[CODIGO DEL PRODUCTO]],Tabla797[],2,FALSE)</f>
        <v>PIEDRA 6-20</v>
      </c>
      <c r="T1622" s="37">
        <v>34.18</v>
      </c>
    </row>
    <row r="1623" spans="15:20" x14ac:dyDescent="0.25">
      <c r="O1623" s="76">
        <v>160704</v>
      </c>
      <c r="P1623" s="78" t="s">
        <v>679</v>
      </c>
      <c r="Q1623" s="77">
        <v>46207</v>
      </c>
      <c r="R1623" s="78" t="s">
        <v>43</v>
      </c>
      <c r="S1623" s="36" t="str">
        <f>VLOOKUP(Tabla91116[[#This Row],[CODIGO DEL PRODUCTO]],Tabla797[],2,FALSE)</f>
        <v>PIEDRA 6-20</v>
      </c>
      <c r="T1623" s="37">
        <v>35.36</v>
      </c>
    </row>
    <row r="1624" spans="15:20" x14ac:dyDescent="0.25">
      <c r="O1624" s="76">
        <v>2718712</v>
      </c>
      <c r="P1624" s="78" t="s">
        <v>679</v>
      </c>
      <c r="Q1624" s="77">
        <v>46207</v>
      </c>
      <c r="R1624" s="78" t="s">
        <v>286</v>
      </c>
      <c r="S1624" s="36" t="str">
        <f>VLOOKUP(Tabla91116[[#This Row],[CODIGO DEL PRODUCTO]],Tabla797[],2,FALSE)</f>
        <v>CPF 40 AVELLANEDA</v>
      </c>
      <c r="T1624" s="37">
        <v>35.380000000000003</v>
      </c>
    </row>
    <row r="1625" spans="15:20" x14ac:dyDescent="0.25">
      <c r="O1625" s="76">
        <v>2718718</v>
      </c>
      <c r="P1625" s="78" t="s">
        <v>679</v>
      </c>
      <c r="Q1625" s="77">
        <v>46207</v>
      </c>
      <c r="R1625" s="78" t="s">
        <v>286</v>
      </c>
      <c r="S1625" s="36" t="str">
        <f>VLOOKUP(Tabla91116[[#This Row],[CODIGO DEL PRODUCTO]],Tabla797[],2,FALSE)</f>
        <v>CPF 40 AVELLANEDA</v>
      </c>
      <c r="T1625" s="37">
        <v>35.28</v>
      </c>
    </row>
    <row r="1626" spans="15:20" x14ac:dyDescent="0.25">
      <c r="O1626" s="76">
        <v>41150</v>
      </c>
      <c r="P1626" s="78" t="s">
        <v>683</v>
      </c>
      <c r="Q1626" s="77">
        <v>46209</v>
      </c>
      <c r="R1626" s="78" t="s">
        <v>42</v>
      </c>
      <c r="S1626" s="36" t="str">
        <f>VLOOKUP(Tabla91116[[#This Row],[CODIGO DEL PRODUCTO]],Tabla797[],2,FALSE)</f>
        <v>ARENA FINA</v>
      </c>
      <c r="T1626" s="37">
        <v>22.8</v>
      </c>
    </row>
    <row r="1627" spans="15:20" x14ac:dyDescent="0.25">
      <c r="O1627" s="76">
        <v>104801</v>
      </c>
      <c r="P1627" s="78" t="s">
        <v>683</v>
      </c>
      <c r="Q1627" s="77">
        <v>46209</v>
      </c>
      <c r="R1627" s="78" t="s">
        <v>42</v>
      </c>
      <c r="S1627" s="36" t="str">
        <f>VLOOKUP(Tabla91116[[#This Row],[CODIGO DEL PRODUCTO]],Tabla797[],2,FALSE)</f>
        <v>ARENA FINA</v>
      </c>
      <c r="T1627" s="37">
        <v>33.5</v>
      </c>
    </row>
    <row r="1628" spans="15:20" x14ac:dyDescent="0.25">
      <c r="O1628" s="76">
        <v>104802</v>
      </c>
      <c r="P1628" s="78" t="s">
        <v>683</v>
      </c>
      <c r="Q1628" s="77">
        <v>46209</v>
      </c>
      <c r="R1628" s="78" t="s">
        <v>42</v>
      </c>
      <c r="S1628" s="36" t="str">
        <f>VLOOKUP(Tabla91116[[#This Row],[CODIGO DEL PRODUCTO]],Tabla797[],2,FALSE)</f>
        <v>ARENA FINA</v>
      </c>
      <c r="T1628" s="37">
        <v>36.56</v>
      </c>
    </row>
    <row r="1629" spans="15:20" x14ac:dyDescent="0.25">
      <c r="O1629" s="76">
        <v>104808</v>
      </c>
      <c r="P1629" s="78" t="s">
        <v>683</v>
      </c>
      <c r="Q1629" s="77">
        <v>46209</v>
      </c>
      <c r="R1629" s="78" t="s">
        <v>42</v>
      </c>
      <c r="S1629" s="36" t="str">
        <f>VLOOKUP(Tabla91116[[#This Row],[CODIGO DEL PRODUCTO]],Tabla797[],2,FALSE)</f>
        <v>ARENA FINA</v>
      </c>
      <c r="T1629" s="37">
        <v>37.06</v>
      </c>
    </row>
    <row r="1630" spans="15:20" x14ac:dyDescent="0.25">
      <c r="O1630" s="76">
        <v>104809</v>
      </c>
      <c r="P1630" s="78" t="s">
        <v>683</v>
      </c>
      <c r="Q1630" s="77">
        <v>46209</v>
      </c>
      <c r="R1630" s="78" t="s">
        <v>42</v>
      </c>
      <c r="S1630" s="36" t="str">
        <f>VLOOKUP(Tabla91116[[#This Row],[CODIGO DEL PRODUCTO]],Tabla797[],2,FALSE)</f>
        <v>ARENA FINA</v>
      </c>
      <c r="T1630" s="37">
        <v>35.82</v>
      </c>
    </row>
    <row r="1631" spans="15:20" x14ac:dyDescent="0.25">
      <c r="O1631" s="76">
        <v>110218</v>
      </c>
      <c r="P1631" s="78" t="s">
        <v>684</v>
      </c>
      <c r="Q1631" s="77">
        <v>46209</v>
      </c>
      <c r="R1631" s="78" t="s">
        <v>40</v>
      </c>
      <c r="S1631" s="36" t="str">
        <f>VLOOKUP(Tabla91116[[#This Row],[CODIGO DEL PRODUCTO]],Tabla797[],2,FALSE)</f>
        <v>PIEDRA 0-6</v>
      </c>
      <c r="T1631" s="37">
        <v>34.86</v>
      </c>
    </row>
    <row r="1632" spans="15:20" x14ac:dyDescent="0.25">
      <c r="O1632" s="76">
        <v>110220</v>
      </c>
      <c r="P1632" s="78" t="s">
        <v>684</v>
      </c>
      <c r="Q1632" s="77">
        <v>46209</v>
      </c>
      <c r="R1632" s="78" t="s">
        <v>43</v>
      </c>
      <c r="S1632" s="36" t="str">
        <f>VLOOKUP(Tabla91116[[#This Row],[CODIGO DEL PRODUCTO]],Tabla797[],2,FALSE)</f>
        <v>PIEDRA 6-20</v>
      </c>
      <c r="T1632" s="37">
        <v>35.299999999999997</v>
      </c>
    </row>
    <row r="1633" spans="15:20" x14ac:dyDescent="0.25">
      <c r="O1633" s="76">
        <v>110224</v>
      </c>
      <c r="P1633" s="78" t="s">
        <v>684</v>
      </c>
      <c r="Q1633" s="77">
        <v>46209</v>
      </c>
      <c r="R1633" s="78" t="s">
        <v>40</v>
      </c>
      <c r="S1633" s="36" t="str">
        <f>VLOOKUP(Tabla91116[[#This Row],[CODIGO DEL PRODUCTO]],Tabla797[],2,FALSE)</f>
        <v>PIEDRA 0-6</v>
      </c>
      <c r="T1633" s="37">
        <v>34.9</v>
      </c>
    </row>
    <row r="1634" spans="15:20" x14ac:dyDescent="0.25">
      <c r="O1634" s="76">
        <v>110231</v>
      </c>
      <c r="P1634" s="78" t="s">
        <v>684</v>
      </c>
      <c r="Q1634" s="77">
        <v>46209</v>
      </c>
      <c r="R1634" s="78" t="s">
        <v>43</v>
      </c>
      <c r="S1634" s="36" t="str">
        <f>VLOOKUP(Tabla91116[[#This Row],[CODIGO DEL PRODUCTO]],Tabla797[],2,FALSE)</f>
        <v>PIEDRA 6-20</v>
      </c>
      <c r="T1634" s="37">
        <v>35.68</v>
      </c>
    </row>
    <row r="1635" spans="15:20" x14ac:dyDescent="0.25">
      <c r="O1635" s="76">
        <v>110232</v>
      </c>
      <c r="P1635" s="78" t="s">
        <v>684</v>
      </c>
      <c r="Q1635" s="77">
        <v>46209</v>
      </c>
      <c r="R1635" s="78" t="s">
        <v>43</v>
      </c>
      <c r="S1635" s="36" t="str">
        <f>VLOOKUP(Tabla91116[[#This Row],[CODIGO DEL PRODUCTO]],Tabla797[],2,FALSE)</f>
        <v>PIEDRA 6-20</v>
      </c>
      <c r="T1635" s="37">
        <v>34.78</v>
      </c>
    </row>
    <row r="1636" spans="15:20" x14ac:dyDescent="0.25">
      <c r="O1636" s="76">
        <v>110235</v>
      </c>
      <c r="P1636" s="78" t="s">
        <v>684</v>
      </c>
      <c r="Q1636" s="77">
        <v>46209</v>
      </c>
      <c r="R1636" s="78" t="s">
        <v>43</v>
      </c>
      <c r="S1636" s="36" t="str">
        <f>VLOOKUP(Tabla91116[[#This Row],[CODIGO DEL PRODUCTO]],Tabla797[],2,FALSE)</f>
        <v>PIEDRA 6-20</v>
      </c>
      <c r="T1636" s="37">
        <v>35.32</v>
      </c>
    </row>
    <row r="1637" spans="15:20" x14ac:dyDescent="0.25">
      <c r="O1637" s="76">
        <v>2719040</v>
      </c>
      <c r="P1637" s="78" t="s">
        <v>679</v>
      </c>
      <c r="Q1637" s="77">
        <v>46209</v>
      </c>
      <c r="R1637" s="78" t="s">
        <v>286</v>
      </c>
      <c r="S1637" s="36" t="str">
        <f>VLOOKUP(Tabla91116[[#This Row],[CODIGO DEL PRODUCTO]],Tabla797[],2,FALSE)</f>
        <v>CPF 40 AVELLANEDA</v>
      </c>
      <c r="T1637" s="37">
        <v>35.54</v>
      </c>
    </row>
    <row r="1638" spans="15:20" x14ac:dyDescent="0.25">
      <c r="O1638" s="76">
        <v>2719065</v>
      </c>
      <c r="P1638" s="78" t="s">
        <v>679</v>
      </c>
      <c r="Q1638" s="77">
        <v>46209</v>
      </c>
      <c r="R1638" s="78" t="s">
        <v>286</v>
      </c>
      <c r="S1638" s="36" t="str">
        <f>VLOOKUP(Tabla91116[[#This Row],[CODIGO DEL PRODUCTO]],Tabla797[],2,FALSE)</f>
        <v>CPF 40 AVELLANEDA</v>
      </c>
      <c r="T1638" s="37">
        <v>36.44</v>
      </c>
    </row>
    <row r="1639" spans="15:20" x14ac:dyDescent="0.25">
      <c r="O1639" s="76">
        <v>104815</v>
      </c>
      <c r="P1639" s="78" t="s">
        <v>683</v>
      </c>
      <c r="Q1639" s="77">
        <v>46210</v>
      </c>
      <c r="R1639" s="78" t="s">
        <v>42</v>
      </c>
      <c r="S1639" s="36" t="str">
        <f>VLOOKUP(Tabla91116[[#This Row],[CODIGO DEL PRODUCTO]],Tabla797[],2,FALSE)</f>
        <v>ARENA FINA</v>
      </c>
      <c r="T1639" s="37">
        <v>36.159999999999997</v>
      </c>
    </row>
    <row r="1640" spans="15:20" x14ac:dyDescent="0.25">
      <c r="O1640" s="76">
        <v>104816</v>
      </c>
      <c r="P1640" s="78" t="s">
        <v>683</v>
      </c>
      <c r="Q1640" s="77">
        <v>46210</v>
      </c>
      <c r="R1640" s="78" t="s">
        <v>42</v>
      </c>
      <c r="S1640" s="36" t="str">
        <f>VLOOKUP(Tabla91116[[#This Row],[CODIGO DEL PRODUCTO]],Tabla797[],2,FALSE)</f>
        <v>ARENA FINA</v>
      </c>
      <c r="T1640" s="37">
        <v>35.26</v>
      </c>
    </row>
    <row r="1641" spans="15:20" x14ac:dyDescent="0.25">
      <c r="O1641" s="76">
        <v>104826</v>
      </c>
      <c r="P1641" s="78" t="s">
        <v>683</v>
      </c>
      <c r="Q1641" s="77">
        <v>46210</v>
      </c>
      <c r="R1641" s="78" t="s">
        <v>42</v>
      </c>
      <c r="S1641" s="36" t="str">
        <f>VLOOKUP(Tabla91116[[#This Row],[CODIGO DEL PRODUCTO]],Tabla797[],2,FALSE)</f>
        <v>ARENA FINA</v>
      </c>
      <c r="T1641" s="37">
        <v>34.76</v>
      </c>
    </row>
    <row r="1642" spans="15:20" x14ac:dyDescent="0.25">
      <c r="O1642" s="76">
        <v>104827</v>
      </c>
      <c r="P1642" s="78" t="s">
        <v>683</v>
      </c>
      <c r="Q1642" s="77">
        <v>46210</v>
      </c>
      <c r="R1642" s="78" t="s">
        <v>42</v>
      </c>
      <c r="S1642" s="36" t="str">
        <f>VLOOKUP(Tabla91116[[#This Row],[CODIGO DEL PRODUCTO]],Tabla797[],2,FALSE)</f>
        <v>ARENA FINA</v>
      </c>
      <c r="T1642" s="37">
        <v>35.76</v>
      </c>
    </row>
    <row r="1643" spans="15:20" x14ac:dyDescent="0.25">
      <c r="O1643" s="76">
        <v>110242</v>
      </c>
      <c r="P1643" s="78" t="s">
        <v>684</v>
      </c>
      <c r="Q1643" s="77">
        <v>46210</v>
      </c>
      <c r="R1643" s="78" t="s">
        <v>40</v>
      </c>
      <c r="S1643" s="36" t="str">
        <f>VLOOKUP(Tabla91116[[#This Row],[CODIGO DEL PRODUCTO]],Tabla797[],2,FALSE)</f>
        <v>PIEDRA 0-6</v>
      </c>
      <c r="T1643" s="37">
        <v>36.28</v>
      </c>
    </row>
    <row r="1644" spans="15:20" x14ac:dyDescent="0.25">
      <c r="O1644" s="76">
        <v>110251</v>
      </c>
      <c r="P1644" s="78" t="s">
        <v>684</v>
      </c>
      <c r="Q1644" s="77">
        <v>46210</v>
      </c>
      <c r="R1644" s="78" t="s">
        <v>43</v>
      </c>
      <c r="S1644" s="36" t="str">
        <f>VLOOKUP(Tabla91116[[#This Row],[CODIGO DEL PRODUCTO]],Tabla797[],2,FALSE)</f>
        <v>PIEDRA 6-20</v>
      </c>
      <c r="T1644" s="37">
        <v>36.380000000000003</v>
      </c>
    </row>
    <row r="1645" spans="15:20" x14ac:dyDescent="0.25">
      <c r="O1645" s="76">
        <v>110255</v>
      </c>
      <c r="P1645" s="78" t="s">
        <v>684</v>
      </c>
      <c r="Q1645" s="77">
        <v>46210</v>
      </c>
      <c r="R1645" s="78" t="s">
        <v>43</v>
      </c>
      <c r="S1645" s="36" t="str">
        <f>VLOOKUP(Tabla91116[[#This Row],[CODIGO DEL PRODUCTO]],Tabla797[],2,FALSE)</f>
        <v>PIEDRA 6-20</v>
      </c>
      <c r="T1645" s="37">
        <v>34.840000000000003</v>
      </c>
    </row>
    <row r="1646" spans="15:20" x14ac:dyDescent="0.25">
      <c r="O1646" s="76">
        <v>110259</v>
      </c>
      <c r="P1646" s="78" t="s">
        <v>684</v>
      </c>
      <c r="Q1646" s="77">
        <v>46210</v>
      </c>
      <c r="R1646" s="78" t="s">
        <v>40</v>
      </c>
      <c r="S1646" s="36" t="str">
        <f>VLOOKUP(Tabla91116[[#This Row],[CODIGO DEL PRODUCTO]],Tabla797[],2,FALSE)</f>
        <v>PIEDRA 0-6</v>
      </c>
      <c r="T1646" s="37">
        <v>35.36</v>
      </c>
    </row>
    <row r="1647" spans="15:20" x14ac:dyDescent="0.25">
      <c r="O1647" s="76">
        <v>110264</v>
      </c>
      <c r="P1647" s="78" t="s">
        <v>684</v>
      </c>
      <c r="Q1647" s="77">
        <v>46210</v>
      </c>
      <c r="R1647" s="78" t="s">
        <v>43</v>
      </c>
      <c r="S1647" s="36" t="str">
        <f>VLOOKUP(Tabla91116[[#This Row],[CODIGO DEL PRODUCTO]],Tabla797[],2,FALSE)</f>
        <v>PIEDRA 6-20</v>
      </c>
      <c r="T1647" s="37">
        <v>35.200000000000003</v>
      </c>
    </row>
    <row r="1648" spans="15:20" x14ac:dyDescent="0.25">
      <c r="O1648" s="76">
        <v>110267</v>
      </c>
      <c r="P1648" s="78" t="s">
        <v>684</v>
      </c>
      <c r="Q1648" s="77">
        <v>46210</v>
      </c>
      <c r="R1648" s="78" t="s">
        <v>43</v>
      </c>
      <c r="S1648" s="36" t="str">
        <f>VLOOKUP(Tabla91116[[#This Row],[CODIGO DEL PRODUCTO]],Tabla797[],2,FALSE)</f>
        <v>PIEDRA 6-20</v>
      </c>
      <c r="T1648" s="37">
        <v>35</v>
      </c>
    </row>
    <row r="1649" spans="15:20" x14ac:dyDescent="0.25">
      <c r="O1649" s="76">
        <v>2719171</v>
      </c>
      <c r="P1649" s="78" t="s">
        <v>679</v>
      </c>
      <c r="Q1649" s="77">
        <v>46210</v>
      </c>
      <c r="R1649" s="78" t="s">
        <v>286</v>
      </c>
      <c r="S1649" s="36" t="str">
        <f>VLOOKUP(Tabla91116[[#This Row],[CODIGO DEL PRODUCTO]],Tabla797[],2,FALSE)</f>
        <v>CPF 40 AVELLANEDA</v>
      </c>
      <c r="T1649" s="37">
        <v>36.020000000000003</v>
      </c>
    </row>
    <row r="1650" spans="15:20" x14ac:dyDescent="0.25">
      <c r="O1650" s="76">
        <v>2719301</v>
      </c>
      <c r="P1650" s="78" t="s">
        <v>679</v>
      </c>
      <c r="Q1650" s="77">
        <v>46210</v>
      </c>
      <c r="R1650" s="78" t="s">
        <v>286</v>
      </c>
      <c r="S1650" s="36" t="str">
        <f>VLOOKUP(Tabla91116[[#This Row],[CODIGO DEL PRODUCTO]],Tabla797[],2,FALSE)</f>
        <v>CPF 40 AVELLANEDA</v>
      </c>
      <c r="T1650" s="37">
        <v>36.4</v>
      </c>
    </row>
    <row r="1651" spans="15:20" x14ac:dyDescent="0.25">
      <c r="O1651" s="76">
        <v>104832</v>
      </c>
      <c r="P1651" s="78" t="s">
        <v>683</v>
      </c>
      <c r="Q1651" s="77">
        <v>46211</v>
      </c>
      <c r="R1651" s="78" t="s">
        <v>42</v>
      </c>
      <c r="S1651" s="36" t="str">
        <f>VLOOKUP(Tabla91116[[#This Row],[CODIGO DEL PRODUCTO]],Tabla797[],2,FALSE)</f>
        <v>ARENA FINA</v>
      </c>
      <c r="T1651" s="37">
        <v>34.56</v>
      </c>
    </row>
    <row r="1652" spans="15:20" x14ac:dyDescent="0.25">
      <c r="O1652" s="76">
        <v>104834</v>
      </c>
      <c r="P1652" s="78" t="s">
        <v>683</v>
      </c>
      <c r="Q1652" s="77">
        <v>46211</v>
      </c>
      <c r="R1652" s="78" t="s">
        <v>42</v>
      </c>
      <c r="S1652" s="36" t="str">
        <f>VLOOKUP(Tabla91116[[#This Row],[CODIGO DEL PRODUCTO]],Tabla797[],2,FALSE)</f>
        <v>ARENA FINA</v>
      </c>
      <c r="T1652" s="37">
        <v>37.159999999999997</v>
      </c>
    </row>
    <row r="1653" spans="15:20" x14ac:dyDescent="0.25">
      <c r="O1653" s="76">
        <v>104838</v>
      </c>
      <c r="P1653" s="78" t="s">
        <v>683</v>
      </c>
      <c r="Q1653" s="77">
        <v>46211</v>
      </c>
      <c r="R1653" s="78" t="s">
        <v>42</v>
      </c>
      <c r="S1653" s="36" t="str">
        <f>VLOOKUP(Tabla91116[[#This Row],[CODIGO DEL PRODUCTO]],Tabla797[],2,FALSE)</f>
        <v>ARENA FINA</v>
      </c>
      <c r="T1653" s="37">
        <v>34.32</v>
      </c>
    </row>
    <row r="1654" spans="15:20" x14ac:dyDescent="0.25">
      <c r="O1654" s="76">
        <v>104839</v>
      </c>
      <c r="P1654" s="78" t="s">
        <v>683</v>
      </c>
      <c r="Q1654" s="77">
        <v>46211</v>
      </c>
      <c r="R1654" s="78" t="s">
        <v>42</v>
      </c>
      <c r="S1654" s="36" t="str">
        <f>VLOOKUP(Tabla91116[[#This Row],[CODIGO DEL PRODUCTO]],Tabla797[],2,FALSE)</f>
        <v>ARENA FINA</v>
      </c>
      <c r="T1654" s="37">
        <v>35.92</v>
      </c>
    </row>
    <row r="1655" spans="15:20" x14ac:dyDescent="0.25">
      <c r="O1655" s="76">
        <v>110272</v>
      </c>
      <c r="P1655" s="78" t="s">
        <v>684</v>
      </c>
      <c r="Q1655" s="77">
        <v>46211</v>
      </c>
      <c r="R1655" s="78" t="s">
        <v>40</v>
      </c>
      <c r="S1655" s="36" t="str">
        <f>VLOOKUP(Tabla91116[[#This Row],[CODIGO DEL PRODUCTO]],Tabla797[],2,FALSE)</f>
        <v>PIEDRA 0-6</v>
      </c>
      <c r="T1655" s="37">
        <v>34.94</v>
      </c>
    </row>
    <row r="1656" spans="15:20" x14ac:dyDescent="0.25">
      <c r="O1656" s="76">
        <v>110279</v>
      </c>
      <c r="P1656" s="78" t="s">
        <v>684</v>
      </c>
      <c r="Q1656" s="77">
        <v>46211</v>
      </c>
      <c r="R1656" s="78" t="s">
        <v>43</v>
      </c>
      <c r="S1656" s="36" t="str">
        <f>VLOOKUP(Tabla91116[[#This Row],[CODIGO DEL PRODUCTO]],Tabla797[],2,FALSE)</f>
        <v>PIEDRA 6-20</v>
      </c>
      <c r="T1656" s="37">
        <v>36.86</v>
      </c>
    </row>
    <row r="1657" spans="15:20" x14ac:dyDescent="0.25">
      <c r="O1657" s="76">
        <v>110281</v>
      </c>
      <c r="P1657" s="78" t="s">
        <v>684</v>
      </c>
      <c r="Q1657" s="77">
        <v>46211</v>
      </c>
      <c r="R1657" s="78" t="s">
        <v>43</v>
      </c>
      <c r="S1657" s="36" t="str">
        <f>VLOOKUP(Tabla91116[[#This Row],[CODIGO DEL PRODUCTO]],Tabla797[],2,FALSE)</f>
        <v>PIEDRA 6-20</v>
      </c>
      <c r="T1657" s="37">
        <v>34.880000000000003</v>
      </c>
    </row>
    <row r="1658" spans="15:20" x14ac:dyDescent="0.25">
      <c r="O1658" s="76">
        <v>110288</v>
      </c>
      <c r="P1658" s="78" t="s">
        <v>684</v>
      </c>
      <c r="Q1658" s="77">
        <v>46211</v>
      </c>
      <c r="R1658" s="78" t="s">
        <v>40</v>
      </c>
      <c r="S1658" s="36" t="str">
        <f>VLOOKUP(Tabla91116[[#This Row],[CODIGO DEL PRODUCTO]],Tabla797[],2,FALSE)</f>
        <v>PIEDRA 0-6</v>
      </c>
      <c r="T1658" s="37">
        <v>35.479999999999997</v>
      </c>
    </row>
    <row r="1659" spans="15:20" x14ac:dyDescent="0.25">
      <c r="O1659" s="76">
        <v>110290</v>
      </c>
      <c r="P1659" s="78" t="s">
        <v>684</v>
      </c>
      <c r="Q1659" s="77">
        <v>46211</v>
      </c>
      <c r="R1659" s="78" t="s">
        <v>43</v>
      </c>
      <c r="S1659" s="36" t="str">
        <f>VLOOKUP(Tabla91116[[#This Row],[CODIGO DEL PRODUCTO]],Tabla797[],2,FALSE)</f>
        <v>PIEDRA 6-20</v>
      </c>
      <c r="T1659" s="37">
        <v>36.340000000000003</v>
      </c>
    </row>
    <row r="1660" spans="15:20" x14ac:dyDescent="0.25">
      <c r="O1660" s="76">
        <v>110295</v>
      </c>
      <c r="P1660" s="78" t="s">
        <v>684</v>
      </c>
      <c r="Q1660" s="77">
        <v>46211</v>
      </c>
      <c r="R1660" s="78" t="s">
        <v>43</v>
      </c>
      <c r="S1660" s="36" t="str">
        <f>VLOOKUP(Tabla91116[[#This Row],[CODIGO DEL PRODUCTO]],Tabla797[],2,FALSE)</f>
        <v>PIEDRA 6-20</v>
      </c>
      <c r="T1660" s="37">
        <v>35.979999999999997</v>
      </c>
    </row>
    <row r="1661" spans="15:20" x14ac:dyDescent="0.25">
      <c r="O1661" s="76">
        <v>2719571</v>
      </c>
      <c r="P1661" s="78" t="s">
        <v>679</v>
      </c>
      <c r="Q1661" s="77">
        <v>46211</v>
      </c>
      <c r="R1661" s="78" t="s">
        <v>286</v>
      </c>
      <c r="S1661" s="36" t="str">
        <f>VLOOKUP(Tabla91116[[#This Row],[CODIGO DEL PRODUCTO]],Tabla797[],2,FALSE)</f>
        <v>CPF 40 AVELLANEDA</v>
      </c>
      <c r="T1661" s="37">
        <v>35.46</v>
      </c>
    </row>
    <row r="1662" spans="15:20" x14ac:dyDescent="0.25">
      <c r="O1662" s="76">
        <v>2719610</v>
      </c>
      <c r="P1662" s="78" t="s">
        <v>679</v>
      </c>
      <c r="Q1662" s="77">
        <v>46211</v>
      </c>
      <c r="R1662" s="78" t="s">
        <v>286</v>
      </c>
      <c r="S1662" s="36" t="str">
        <f>VLOOKUP(Tabla91116[[#This Row],[CODIGO DEL PRODUCTO]],Tabla797[],2,FALSE)</f>
        <v>CPF 40 AVELLANEDA</v>
      </c>
      <c r="T1662" s="37">
        <v>36.26</v>
      </c>
    </row>
    <row r="1663" spans="15:20" x14ac:dyDescent="0.25">
      <c r="O1663" s="76">
        <v>160955</v>
      </c>
      <c r="P1663" s="78" t="s">
        <v>679</v>
      </c>
      <c r="Q1663" s="77">
        <v>46212</v>
      </c>
      <c r="R1663" s="78" t="s">
        <v>43</v>
      </c>
      <c r="S1663" s="36" t="str">
        <f>VLOOKUP(Tabla91116[[#This Row],[CODIGO DEL PRODUCTO]],Tabla797[],2,FALSE)</f>
        <v>PIEDRA 6-20</v>
      </c>
      <c r="T1663" s="37">
        <v>35.340000000000003</v>
      </c>
    </row>
    <row r="1664" spans="15:20" x14ac:dyDescent="0.25">
      <c r="O1664" s="76">
        <v>160981</v>
      </c>
      <c r="P1664" s="78" t="s">
        <v>679</v>
      </c>
      <c r="Q1664" s="77">
        <v>46212</v>
      </c>
      <c r="R1664" s="78" t="s">
        <v>43</v>
      </c>
      <c r="S1664" s="36" t="str">
        <f>VLOOKUP(Tabla91116[[#This Row],[CODIGO DEL PRODUCTO]],Tabla797[],2,FALSE)</f>
        <v>PIEDRA 6-20</v>
      </c>
      <c r="T1664" s="37">
        <v>35.9</v>
      </c>
    </row>
    <row r="1665" spans="15:20" x14ac:dyDescent="0.25">
      <c r="O1665" s="76">
        <v>104845</v>
      </c>
      <c r="P1665" s="78" t="s">
        <v>683</v>
      </c>
      <c r="Q1665" s="77">
        <v>46213</v>
      </c>
      <c r="R1665" s="78" t="s">
        <v>42</v>
      </c>
      <c r="S1665" s="36" t="str">
        <f>VLOOKUP(Tabla91116[[#This Row],[CODIGO DEL PRODUCTO]],Tabla797[],2,FALSE)</f>
        <v>ARENA FINA</v>
      </c>
      <c r="T1665" s="37">
        <v>36.44</v>
      </c>
    </row>
    <row r="1666" spans="15:20" x14ac:dyDescent="0.25">
      <c r="O1666" s="76">
        <v>104847</v>
      </c>
      <c r="P1666" s="78" t="s">
        <v>683</v>
      </c>
      <c r="Q1666" s="77">
        <v>46213</v>
      </c>
      <c r="R1666" s="78" t="s">
        <v>42</v>
      </c>
      <c r="S1666" s="36" t="str">
        <f>VLOOKUP(Tabla91116[[#This Row],[CODIGO DEL PRODUCTO]],Tabla797[],2,FALSE)</f>
        <v>ARENA FINA</v>
      </c>
      <c r="T1666" s="37">
        <v>35.26</v>
      </c>
    </row>
    <row r="1667" spans="15:20" x14ac:dyDescent="0.25">
      <c r="O1667" s="76">
        <v>104855</v>
      </c>
      <c r="P1667" s="78" t="s">
        <v>683</v>
      </c>
      <c r="Q1667" s="77">
        <v>46213</v>
      </c>
      <c r="R1667" s="78" t="s">
        <v>42</v>
      </c>
      <c r="S1667" s="36" t="str">
        <f>VLOOKUP(Tabla91116[[#This Row],[CODIGO DEL PRODUCTO]],Tabla797[],2,FALSE)</f>
        <v>ARENA FINA</v>
      </c>
      <c r="T1667" s="37">
        <v>35</v>
      </c>
    </row>
    <row r="1668" spans="15:20" x14ac:dyDescent="0.25">
      <c r="O1668" s="76">
        <v>104856</v>
      </c>
      <c r="P1668" s="78" t="s">
        <v>683</v>
      </c>
      <c r="Q1668" s="77">
        <v>46213</v>
      </c>
      <c r="R1668" s="78" t="s">
        <v>42</v>
      </c>
      <c r="S1668" s="36" t="str">
        <f>VLOOKUP(Tabla91116[[#This Row],[CODIGO DEL PRODUCTO]],Tabla797[],2,FALSE)</f>
        <v>ARENA FINA</v>
      </c>
      <c r="T1668" s="37">
        <v>36.799999999999997</v>
      </c>
    </row>
    <row r="1669" spans="15:20" x14ac:dyDescent="0.25">
      <c r="O1669" s="76">
        <v>110308</v>
      </c>
      <c r="P1669" s="78" t="s">
        <v>684</v>
      </c>
      <c r="Q1669" s="77">
        <v>46213</v>
      </c>
      <c r="R1669" s="78" t="s">
        <v>40</v>
      </c>
      <c r="S1669" s="36" t="str">
        <f>VLOOKUP(Tabla91116[[#This Row],[CODIGO DEL PRODUCTO]],Tabla797[],2,FALSE)</f>
        <v>PIEDRA 0-6</v>
      </c>
      <c r="T1669" s="37">
        <v>35.54</v>
      </c>
    </row>
    <row r="1670" spans="15:20" x14ac:dyDescent="0.25">
      <c r="O1670" s="76">
        <v>110316</v>
      </c>
      <c r="P1670" s="78" t="s">
        <v>684</v>
      </c>
      <c r="Q1670" s="77">
        <v>46213</v>
      </c>
      <c r="R1670" s="78" t="s">
        <v>43</v>
      </c>
      <c r="S1670" s="36" t="str">
        <f>VLOOKUP(Tabla91116[[#This Row],[CODIGO DEL PRODUCTO]],Tabla797[],2,FALSE)</f>
        <v>PIEDRA 6-20</v>
      </c>
      <c r="T1670" s="37">
        <v>35.119999999999997</v>
      </c>
    </row>
    <row r="1671" spans="15:20" x14ac:dyDescent="0.25">
      <c r="O1671" s="76">
        <v>110323</v>
      </c>
      <c r="P1671" s="78" t="s">
        <v>684</v>
      </c>
      <c r="Q1671" s="77">
        <v>46213</v>
      </c>
      <c r="R1671" s="78" t="s">
        <v>40</v>
      </c>
      <c r="S1671" s="36" t="str">
        <f>VLOOKUP(Tabla91116[[#This Row],[CODIGO DEL PRODUCTO]],Tabla797[],2,FALSE)</f>
        <v>PIEDRA 0-6</v>
      </c>
      <c r="T1671" s="37">
        <v>36.22</v>
      </c>
    </row>
    <row r="1672" spans="15:20" x14ac:dyDescent="0.25">
      <c r="O1672" s="76">
        <v>110327</v>
      </c>
      <c r="P1672" s="78" t="s">
        <v>684</v>
      </c>
      <c r="Q1672" s="77">
        <v>46213</v>
      </c>
      <c r="R1672" s="78" t="s">
        <v>43</v>
      </c>
      <c r="S1672" s="36" t="str">
        <f>VLOOKUP(Tabla91116[[#This Row],[CODIGO DEL PRODUCTO]],Tabla797[],2,FALSE)</f>
        <v>PIEDRA 6-20</v>
      </c>
      <c r="T1672" s="37">
        <v>35.74</v>
      </c>
    </row>
    <row r="1673" spans="15:20" x14ac:dyDescent="0.25">
      <c r="O1673" s="76">
        <v>110328</v>
      </c>
      <c r="P1673" s="78" t="s">
        <v>684</v>
      </c>
      <c r="Q1673" s="77">
        <v>46213</v>
      </c>
      <c r="R1673" s="78" t="s">
        <v>43</v>
      </c>
      <c r="S1673" s="36" t="str">
        <f>VLOOKUP(Tabla91116[[#This Row],[CODIGO DEL PRODUCTO]],Tabla797[],2,FALSE)</f>
        <v>PIEDRA 6-20</v>
      </c>
      <c r="T1673" s="37">
        <v>34.94</v>
      </c>
    </row>
    <row r="1674" spans="15:20" x14ac:dyDescent="0.25">
      <c r="O1674" s="76">
        <v>161038</v>
      </c>
      <c r="P1674" s="78" t="s">
        <v>679</v>
      </c>
      <c r="Q1674" s="77">
        <v>46213</v>
      </c>
      <c r="R1674" s="78" t="s">
        <v>43</v>
      </c>
      <c r="S1674" s="36" t="str">
        <f>VLOOKUP(Tabla91116[[#This Row],[CODIGO DEL PRODUCTO]],Tabla797[],2,FALSE)</f>
        <v>PIEDRA 6-20</v>
      </c>
      <c r="T1674" s="37">
        <v>35.42</v>
      </c>
    </row>
    <row r="1675" spans="15:20" x14ac:dyDescent="0.25">
      <c r="O1675" s="76">
        <v>2719737</v>
      </c>
      <c r="P1675" s="78" t="s">
        <v>679</v>
      </c>
      <c r="Q1675" s="77">
        <v>46213</v>
      </c>
      <c r="R1675" s="78" t="s">
        <v>286</v>
      </c>
      <c r="S1675" s="36" t="str">
        <f>VLOOKUP(Tabla91116[[#This Row],[CODIGO DEL PRODUCTO]],Tabla797[],2,FALSE)</f>
        <v>CPF 40 AVELLANEDA</v>
      </c>
      <c r="T1675" s="37">
        <v>35.74</v>
      </c>
    </row>
    <row r="1676" spans="15:20" x14ac:dyDescent="0.25">
      <c r="O1676" s="76">
        <v>104867</v>
      </c>
      <c r="P1676" s="78" t="s">
        <v>683</v>
      </c>
      <c r="Q1676" s="77">
        <v>46214</v>
      </c>
      <c r="R1676" s="78" t="s">
        <v>42</v>
      </c>
      <c r="S1676" s="36" t="str">
        <f>VLOOKUP(Tabla91116[[#This Row],[CODIGO DEL PRODUCTO]],Tabla797[],2,FALSE)</f>
        <v>ARENA FINA</v>
      </c>
      <c r="T1676" s="37">
        <v>36.54</v>
      </c>
    </row>
    <row r="1677" spans="15:20" x14ac:dyDescent="0.25">
      <c r="O1677" s="76">
        <v>110330</v>
      </c>
      <c r="P1677" s="78" t="s">
        <v>684</v>
      </c>
      <c r="Q1677" s="77">
        <v>46214</v>
      </c>
      <c r="R1677" s="78" t="s">
        <v>43</v>
      </c>
      <c r="S1677" s="36" t="str">
        <f>VLOOKUP(Tabla91116[[#This Row],[CODIGO DEL PRODUCTO]],Tabla797[],2,FALSE)</f>
        <v>PIEDRA 6-20</v>
      </c>
      <c r="T1677" s="37">
        <v>34.92</v>
      </c>
    </row>
    <row r="1678" spans="15:20" x14ac:dyDescent="0.25">
      <c r="O1678" s="76">
        <v>161074</v>
      </c>
      <c r="P1678" s="78" t="s">
        <v>679</v>
      </c>
      <c r="Q1678" s="77">
        <v>46214</v>
      </c>
      <c r="R1678" s="78" t="s">
        <v>43</v>
      </c>
      <c r="S1678" s="36" t="str">
        <f>VLOOKUP(Tabla91116[[#This Row],[CODIGO DEL PRODUCTO]],Tabla797[],2,FALSE)</f>
        <v>PIEDRA 6-20</v>
      </c>
      <c r="T1678" s="37">
        <v>35.840000000000003</v>
      </c>
    </row>
    <row r="1679" spans="15:20" x14ac:dyDescent="0.25">
      <c r="O1679" s="76">
        <v>161093</v>
      </c>
      <c r="P1679" s="78" t="s">
        <v>679</v>
      </c>
      <c r="Q1679" s="77">
        <v>46214</v>
      </c>
      <c r="R1679" s="78" t="s">
        <v>43</v>
      </c>
      <c r="S1679" s="36" t="str">
        <f>VLOOKUP(Tabla91116[[#This Row],[CODIGO DEL PRODUCTO]],Tabla797[],2,FALSE)</f>
        <v>PIEDRA 6-20</v>
      </c>
      <c r="T1679" s="37">
        <v>35</v>
      </c>
    </row>
    <row r="1680" spans="15:20" x14ac:dyDescent="0.25">
      <c r="O1680" s="76">
        <v>161113</v>
      </c>
      <c r="P1680" s="78" t="s">
        <v>679</v>
      </c>
      <c r="Q1680" s="77">
        <v>46214</v>
      </c>
      <c r="R1680" s="78" t="s">
        <v>43</v>
      </c>
      <c r="S1680" s="36" t="str">
        <f>VLOOKUP(Tabla91116[[#This Row],[CODIGO DEL PRODUCTO]],Tabla797[],2,FALSE)</f>
        <v>PIEDRA 6-20</v>
      </c>
      <c r="T1680" s="37">
        <v>34.64</v>
      </c>
    </row>
    <row r="1681" spans="15:20" x14ac:dyDescent="0.25">
      <c r="O1681" s="76">
        <v>2720073</v>
      </c>
      <c r="P1681" s="78" t="s">
        <v>679</v>
      </c>
      <c r="Q1681" s="77">
        <v>46214</v>
      </c>
      <c r="R1681" s="78" t="s">
        <v>286</v>
      </c>
      <c r="S1681" s="36" t="str">
        <f>VLOOKUP(Tabla91116[[#This Row],[CODIGO DEL PRODUCTO]],Tabla797[],2,FALSE)</f>
        <v>CPF 40 AVELLANEDA</v>
      </c>
      <c r="T1681" s="37">
        <v>35.78</v>
      </c>
    </row>
    <row r="1682" spans="15:20" x14ac:dyDescent="0.25">
      <c r="O1682" s="76">
        <v>104877</v>
      </c>
      <c r="P1682" s="78" t="s">
        <v>683</v>
      </c>
      <c r="Q1682" s="77">
        <v>46216</v>
      </c>
      <c r="R1682" s="78" t="s">
        <v>42</v>
      </c>
      <c r="S1682" s="36" t="str">
        <f>VLOOKUP(Tabla91116[[#This Row],[CODIGO DEL PRODUCTO]],Tabla797[],2,FALSE)</f>
        <v>ARENA FINA</v>
      </c>
      <c r="T1682" s="37">
        <v>33.26</v>
      </c>
    </row>
    <row r="1683" spans="15:20" x14ac:dyDescent="0.25">
      <c r="O1683" s="76">
        <v>110348</v>
      </c>
      <c r="P1683" s="78" t="s">
        <v>684</v>
      </c>
      <c r="Q1683" s="77">
        <v>46216</v>
      </c>
      <c r="R1683" s="78" t="s">
        <v>40</v>
      </c>
      <c r="S1683" s="36" t="str">
        <f>VLOOKUP(Tabla91116[[#This Row],[CODIGO DEL PRODUCTO]],Tabla797[],2,FALSE)</f>
        <v>PIEDRA 0-6</v>
      </c>
      <c r="T1683" s="37">
        <v>36.06</v>
      </c>
    </row>
    <row r="1684" spans="15:20" x14ac:dyDescent="0.25">
      <c r="O1684" s="76">
        <v>110352</v>
      </c>
      <c r="P1684" s="78" t="s">
        <v>684</v>
      </c>
      <c r="Q1684" s="77">
        <v>46216</v>
      </c>
      <c r="R1684" s="78" t="s">
        <v>40</v>
      </c>
      <c r="S1684" s="36" t="str">
        <f>VLOOKUP(Tabla91116[[#This Row],[CODIGO DEL PRODUCTO]],Tabla797[],2,FALSE)</f>
        <v>PIEDRA 0-6</v>
      </c>
      <c r="T1684" s="37">
        <v>34.86</v>
      </c>
    </row>
    <row r="1685" spans="15:20" x14ac:dyDescent="0.25">
      <c r="O1685" s="76">
        <v>110356</v>
      </c>
      <c r="P1685" s="78" t="s">
        <v>684</v>
      </c>
      <c r="Q1685" s="77">
        <v>46216</v>
      </c>
      <c r="R1685" s="78" t="s">
        <v>40</v>
      </c>
      <c r="S1685" s="36" t="str">
        <f>VLOOKUP(Tabla91116[[#This Row],[CODIGO DEL PRODUCTO]],Tabla797[],2,FALSE)</f>
        <v>PIEDRA 0-6</v>
      </c>
      <c r="T1685" s="37">
        <v>35.4</v>
      </c>
    </row>
    <row r="1686" spans="15:20" x14ac:dyDescent="0.25">
      <c r="O1686" s="76">
        <v>110357</v>
      </c>
      <c r="P1686" s="78" t="s">
        <v>684</v>
      </c>
      <c r="Q1686" s="77">
        <v>46216</v>
      </c>
      <c r="R1686" s="78" t="s">
        <v>43</v>
      </c>
      <c r="S1686" s="36" t="str">
        <f>VLOOKUP(Tabla91116[[#This Row],[CODIGO DEL PRODUCTO]],Tabla797[],2,FALSE)</f>
        <v>PIEDRA 6-20</v>
      </c>
      <c r="T1686" s="37">
        <v>34.08</v>
      </c>
    </row>
    <row r="1687" spans="15:20" x14ac:dyDescent="0.25">
      <c r="O1687" s="76">
        <v>110358</v>
      </c>
      <c r="P1687" s="78" t="s">
        <v>684</v>
      </c>
      <c r="Q1687" s="77">
        <v>46216</v>
      </c>
      <c r="R1687" s="78" t="s">
        <v>43</v>
      </c>
      <c r="S1687" s="36" t="str">
        <f>VLOOKUP(Tabla91116[[#This Row],[CODIGO DEL PRODUCTO]],Tabla797[],2,FALSE)</f>
        <v>PIEDRA 6-20</v>
      </c>
      <c r="T1687" s="37">
        <v>34.64</v>
      </c>
    </row>
    <row r="1688" spans="15:20" x14ac:dyDescent="0.25">
      <c r="O1688" s="76">
        <v>2720233</v>
      </c>
      <c r="P1688" s="78" t="s">
        <v>679</v>
      </c>
      <c r="Q1688" s="77">
        <v>46216</v>
      </c>
      <c r="R1688" s="78" t="s">
        <v>286</v>
      </c>
      <c r="S1688" s="36" t="str">
        <f>VLOOKUP(Tabla91116[[#This Row],[CODIGO DEL PRODUCTO]],Tabla797[],2,FALSE)</f>
        <v>CPF 40 AVELLANEDA</v>
      </c>
      <c r="T1688" s="37">
        <v>35.14</v>
      </c>
    </row>
    <row r="1689" spans="15:20" x14ac:dyDescent="0.25">
      <c r="O1689" s="76">
        <v>48506</v>
      </c>
      <c r="P1689" s="78" t="s">
        <v>449</v>
      </c>
      <c r="Q1689" s="77">
        <v>46217</v>
      </c>
      <c r="R1689" s="78" t="s">
        <v>425</v>
      </c>
      <c r="S1689" s="36" t="str">
        <f>VLOOKUP(Tabla91116[[#This Row],[CODIGO DEL PRODUCTO]],Tabla797[],2,FALSE)</f>
        <v>W351R</v>
      </c>
      <c r="T1689" s="37">
        <v>2</v>
      </c>
    </row>
    <row r="1690" spans="15:20" x14ac:dyDescent="0.25">
      <c r="O1690" s="76">
        <v>48507</v>
      </c>
      <c r="P1690" s="78" t="s">
        <v>449</v>
      </c>
      <c r="Q1690" s="77">
        <v>46217</v>
      </c>
      <c r="R1690" s="78" t="s">
        <v>425</v>
      </c>
      <c r="S1690" s="36" t="str">
        <f>VLOOKUP(Tabla91116[[#This Row],[CODIGO DEL PRODUCTO]],Tabla797[],2,FALSE)</f>
        <v>W351R</v>
      </c>
      <c r="T1690" s="37">
        <v>2</v>
      </c>
    </row>
    <row r="1691" spans="15:20" x14ac:dyDescent="0.25">
      <c r="O1691" s="76">
        <v>104889</v>
      </c>
      <c r="P1691" s="78" t="s">
        <v>683</v>
      </c>
      <c r="Q1691" s="77">
        <v>46217</v>
      </c>
      <c r="R1691" s="78" t="s">
        <v>42</v>
      </c>
      <c r="S1691" s="36" t="str">
        <f>VLOOKUP(Tabla91116[[#This Row],[CODIGO DEL PRODUCTO]],Tabla797[],2,FALSE)</f>
        <v>ARENA FINA</v>
      </c>
      <c r="T1691" s="37">
        <v>37.14</v>
      </c>
    </row>
    <row r="1692" spans="15:20" x14ac:dyDescent="0.25">
      <c r="O1692" s="76">
        <v>104896</v>
      </c>
      <c r="P1692" s="78" t="s">
        <v>683</v>
      </c>
      <c r="Q1692" s="77">
        <v>46217</v>
      </c>
      <c r="R1692" s="78" t="s">
        <v>42</v>
      </c>
      <c r="S1692" s="36" t="str">
        <f>VLOOKUP(Tabla91116[[#This Row],[CODIGO DEL PRODUCTO]],Tabla797[],2,FALSE)</f>
        <v>ARENA FINA</v>
      </c>
      <c r="T1692" s="37">
        <v>37</v>
      </c>
    </row>
    <row r="1693" spans="15:20" x14ac:dyDescent="0.25">
      <c r="O1693" s="76">
        <v>110369</v>
      </c>
      <c r="P1693" s="78" t="s">
        <v>684</v>
      </c>
      <c r="Q1693" s="77">
        <v>46217</v>
      </c>
      <c r="R1693" s="78" t="s">
        <v>40</v>
      </c>
      <c r="S1693" s="36" t="str">
        <f>VLOOKUP(Tabla91116[[#This Row],[CODIGO DEL PRODUCTO]],Tabla797[],2,FALSE)</f>
        <v>PIEDRA 0-6</v>
      </c>
      <c r="T1693" s="37">
        <v>35.44</v>
      </c>
    </row>
    <row r="1694" spans="15:20" x14ac:dyDescent="0.25">
      <c r="O1694" s="76">
        <v>110372</v>
      </c>
      <c r="P1694" s="78" t="s">
        <v>684</v>
      </c>
      <c r="Q1694" s="77">
        <v>46217</v>
      </c>
      <c r="R1694" s="78" t="s">
        <v>43</v>
      </c>
      <c r="S1694" s="36" t="str">
        <f>VLOOKUP(Tabla91116[[#This Row],[CODIGO DEL PRODUCTO]],Tabla797[],2,FALSE)</f>
        <v>PIEDRA 6-20</v>
      </c>
      <c r="T1694" s="37">
        <v>35.880000000000003</v>
      </c>
    </row>
    <row r="1695" spans="15:20" x14ac:dyDescent="0.25">
      <c r="O1695" s="76">
        <v>110373</v>
      </c>
      <c r="P1695" s="78" t="s">
        <v>684</v>
      </c>
      <c r="Q1695" s="77">
        <v>46217</v>
      </c>
      <c r="R1695" s="78" t="s">
        <v>43</v>
      </c>
      <c r="S1695" s="36" t="str">
        <f>VLOOKUP(Tabla91116[[#This Row],[CODIGO DEL PRODUCTO]],Tabla797[],2,FALSE)</f>
        <v>PIEDRA 6-20</v>
      </c>
      <c r="T1695" s="37">
        <v>34.82</v>
      </c>
    </row>
    <row r="1696" spans="15:20" x14ac:dyDescent="0.25">
      <c r="O1696" s="76">
        <v>110375</v>
      </c>
      <c r="P1696" s="78" t="s">
        <v>684</v>
      </c>
      <c r="Q1696" s="77">
        <v>46217</v>
      </c>
      <c r="R1696" s="78" t="s">
        <v>40</v>
      </c>
      <c r="S1696" s="36" t="str">
        <f>VLOOKUP(Tabla91116[[#This Row],[CODIGO DEL PRODUCTO]],Tabla797[],2,FALSE)</f>
        <v>PIEDRA 0-6</v>
      </c>
      <c r="T1696" s="37">
        <v>34.799999999999997</v>
      </c>
    </row>
    <row r="1697" spans="15:21" x14ac:dyDescent="0.25">
      <c r="O1697" s="76">
        <v>110376</v>
      </c>
      <c r="P1697" s="78" t="s">
        <v>684</v>
      </c>
      <c r="Q1697" s="77">
        <v>46217</v>
      </c>
      <c r="R1697" s="78" t="s">
        <v>40</v>
      </c>
      <c r="S1697" s="36" t="str">
        <f>VLOOKUP(Tabla91116[[#This Row],[CODIGO DEL PRODUCTO]],Tabla797[],2,FALSE)</f>
        <v>PIEDRA 0-6</v>
      </c>
      <c r="T1697" s="37">
        <v>34.44</v>
      </c>
    </row>
    <row r="1698" spans="15:21" x14ac:dyDescent="0.25">
      <c r="O1698" s="76">
        <v>110379</v>
      </c>
      <c r="P1698" s="78" t="s">
        <v>684</v>
      </c>
      <c r="Q1698" s="77">
        <v>46217</v>
      </c>
      <c r="R1698" s="78" t="s">
        <v>43</v>
      </c>
      <c r="S1698" s="36" t="str">
        <f>VLOOKUP(Tabla91116[[#This Row],[CODIGO DEL PRODUCTO]],Tabla797[],2,FALSE)</f>
        <v>PIEDRA 6-20</v>
      </c>
      <c r="T1698" s="37">
        <v>35.380000000000003</v>
      </c>
    </row>
    <row r="1699" spans="15:21" x14ac:dyDescent="0.25">
      <c r="O1699" s="76">
        <v>2720512</v>
      </c>
      <c r="P1699" s="78" t="s">
        <v>679</v>
      </c>
      <c r="Q1699" s="77">
        <v>46217</v>
      </c>
      <c r="R1699" s="78" t="s">
        <v>286</v>
      </c>
      <c r="S1699" s="36" t="str">
        <f>VLOOKUP(Tabla91116[[#This Row],[CODIGO DEL PRODUCTO]],Tabla797[],2,FALSE)</f>
        <v>CPF 40 AVELLANEDA</v>
      </c>
      <c r="T1699" s="37">
        <v>35.4</v>
      </c>
    </row>
    <row r="1700" spans="15:21" x14ac:dyDescent="0.25">
      <c r="O1700" s="76">
        <v>104901</v>
      </c>
      <c r="P1700" s="78" t="s">
        <v>683</v>
      </c>
      <c r="Q1700" s="77">
        <v>46218</v>
      </c>
      <c r="R1700" s="78" t="s">
        <v>42</v>
      </c>
      <c r="S1700" s="36" t="str">
        <f>VLOOKUP(Tabla91116[[#This Row],[CODIGO DEL PRODUCTO]],Tabla797[],2,FALSE)</f>
        <v>ARENA FINA</v>
      </c>
      <c r="T1700" s="37">
        <v>37.46</v>
      </c>
    </row>
    <row r="1701" spans="15:21" x14ac:dyDescent="0.25">
      <c r="O1701" s="76">
        <v>104908</v>
      </c>
      <c r="P1701" s="78" t="s">
        <v>683</v>
      </c>
      <c r="Q1701" s="77">
        <v>46218</v>
      </c>
      <c r="R1701" s="78" t="s">
        <v>42</v>
      </c>
      <c r="S1701" s="36" t="str">
        <f>VLOOKUP(Tabla91116[[#This Row],[CODIGO DEL PRODUCTO]],Tabla797[],2,FALSE)</f>
        <v>ARENA FINA</v>
      </c>
      <c r="T1701" s="37">
        <v>35.32</v>
      </c>
    </row>
    <row r="1702" spans="15:21" x14ac:dyDescent="0.25">
      <c r="O1702" s="76">
        <v>110396</v>
      </c>
      <c r="P1702" s="78" t="s">
        <v>684</v>
      </c>
      <c r="Q1702" s="77">
        <v>46218</v>
      </c>
      <c r="R1702" s="78" t="s">
        <v>40</v>
      </c>
      <c r="S1702" s="36" t="str">
        <f>VLOOKUP(Tabla91116[[#This Row],[CODIGO DEL PRODUCTO]],Tabla797[],2,FALSE)</f>
        <v>PIEDRA 0-6</v>
      </c>
      <c r="T1702" s="37">
        <v>35.520000000000003</v>
      </c>
      <c r="U1702" s="7"/>
    </row>
    <row r="1703" spans="15:21" x14ac:dyDescent="0.25">
      <c r="O1703" s="76">
        <v>110397</v>
      </c>
      <c r="P1703" s="78" t="s">
        <v>684</v>
      </c>
      <c r="Q1703" s="77">
        <v>46218</v>
      </c>
      <c r="R1703" s="78" t="s">
        <v>43</v>
      </c>
      <c r="S1703" s="36" t="str">
        <f>VLOOKUP(Tabla91116[[#This Row],[CODIGO DEL PRODUCTO]],Tabla797[],2,FALSE)</f>
        <v>PIEDRA 6-20</v>
      </c>
      <c r="T1703" s="37">
        <v>35.299999999999997</v>
      </c>
    </row>
    <row r="1704" spans="15:21" x14ac:dyDescent="0.25">
      <c r="O1704" s="76">
        <v>110398</v>
      </c>
      <c r="P1704" s="78" t="s">
        <v>684</v>
      </c>
      <c r="Q1704" s="77">
        <v>46218</v>
      </c>
      <c r="R1704" s="78" t="s">
        <v>40</v>
      </c>
      <c r="S1704" s="36" t="str">
        <f>VLOOKUP(Tabla91116[[#This Row],[CODIGO DEL PRODUCTO]],Tabla797[],2,FALSE)</f>
        <v>PIEDRA 0-6</v>
      </c>
      <c r="T1704" s="37">
        <v>34.94</v>
      </c>
    </row>
    <row r="1705" spans="15:21" x14ac:dyDescent="0.25">
      <c r="O1705" s="76">
        <v>110399</v>
      </c>
      <c r="P1705" s="78" t="s">
        <v>684</v>
      </c>
      <c r="Q1705" s="77">
        <v>46218</v>
      </c>
      <c r="R1705" s="78" t="s">
        <v>43</v>
      </c>
      <c r="S1705" s="36" t="str">
        <f>VLOOKUP(Tabla91116[[#This Row],[CODIGO DEL PRODUCTO]],Tabla797[],2,FALSE)</f>
        <v>PIEDRA 6-20</v>
      </c>
      <c r="T1705" s="37">
        <v>34.619999999999997</v>
      </c>
    </row>
    <row r="1706" spans="15:21" x14ac:dyDescent="0.25">
      <c r="O1706" s="76">
        <v>110400</v>
      </c>
      <c r="P1706" s="78" t="s">
        <v>684</v>
      </c>
      <c r="Q1706" s="77">
        <v>46218</v>
      </c>
      <c r="R1706" s="78" t="s">
        <v>40</v>
      </c>
      <c r="S1706" s="36" t="str">
        <f>VLOOKUP(Tabla91116[[#This Row],[CODIGO DEL PRODUCTO]],Tabla797[],2,FALSE)</f>
        <v>PIEDRA 0-6</v>
      </c>
      <c r="T1706" s="37">
        <v>35.78</v>
      </c>
    </row>
    <row r="1707" spans="15:21" x14ac:dyDescent="0.25">
      <c r="O1707" s="76">
        <v>110401</v>
      </c>
      <c r="P1707" s="78" t="s">
        <v>684</v>
      </c>
      <c r="Q1707" s="77">
        <v>46218</v>
      </c>
      <c r="R1707" s="78" t="s">
        <v>43</v>
      </c>
      <c r="S1707" s="36" t="str">
        <f>VLOOKUP(Tabla91116[[#This Row],[CODIGO DEL PRODUCTO]],Tabla797[],2,FALSE)</f>
        <v>PIEDRA 6-20</v>
      </c>
      <c r="T1707" s="37">
        <v>35.14</v>
      </c>
    </row>
    <row r="1708" spans="15:21" x14ac:dyDescent="0.25">
      <c r="O1708" s="76">
        <v>161230</v>
      </c>
      <c r="P1708" s="78" t="s">
        <v>679</v>
      </c>
      <c r="Q1708" s="77">
        <v>46218</v>
      </c>
      <c r="R1708" s="78" t="s">
        <v>43</v>
      </c>
      <c r="S1708" s="36" t="str">
        <f>VLOOKUP(Tabla91116[[#This Row],[CODIGO DEL PRODUCTO]],Tabla797[],2,FALSE)</f>
        <v>PIEDRA 6-20</v>
      </c>
      <c r="T1708" s="37">
        <v>35.04</v>
      </c>
    </row>
    <row r="1709" spans="15:21" x14ac:dyDescent="0.25">
      <c r="O1709" s="76">
        <v>161242</v>
      </c>
      <c r="P1709" s="78" t="s">
        <v>679</v>
      </c>
      <c r="Q1709" s="77">
        <v>46218</v>
      </c>
      <c r="R1709" s="78" t="s">
        <v>43</v>
      </c>
      <c r="S1709" s="36" t="str">
        <f>VLOOKUP(Tabla91116[[#This Row],[CODIGO DEL PRODUCTO]],Tabla797[],2,FALSE)</f>
        <v>PIEDRA 6-20</v>
      </c>
      <c r="T1709" s="37">
        <v>34.799999999999997</v>
      </c>
    </row>
    <row r="1710" spans="15:21" x14ac:dyDescent="0.25">
      <c r="O1710" s="76">
        <v>161244</v>
      </c>
      <c r="P1710" s="78" t="s">
        <v>679</v>
      </c>
      <c r="Q1710" s="77">
        <v>46218</v>
      </c>
      <c r="R1710" s="78" t="s">
        <v>43</v>
      </c>
      <c r="S1710" s="36" t="str">
        <f>VLOOKUP(Tabla91116[[#This Row],[CODIGO DEL PRODUCTO]],Tabla797[],2,FALSE)</f>
        <v>PIEDRA 6-20</v>
      </c>
      <c r="T1710" s="37">
        <v>34.880000000000003</v>
      </c>
    </row>
    <row r="1711" spans="15:21" x14ac:dyDescent="0.25">
      <c r="O1711" s="76">
        <v>2720694</v>
      </c>
      <c r="P1711" s="78" t="s">
        <v>679</v>
      </c>
      <c r="Q1711" s="77">
        <v>46218</v>
      </c>
      <c r="R1711" s="78" t="s">
        <v>286</v>
      </c>
      <c r="S1711" s="36" t="str">
        <f>VLOOKUP(Tabla91116[[#This Row],[CODIGO DEL PRODUCTO]],Tabla797[],2,FALSE)</f>
        <v>CPF 40 AVELLANEDA</v>
      </c>
      <c r="T1711" s="37">
        <v>34.94</v>
      </c>
    </row>
    <row r="1712" spans="15:21" x14ac:dyDescent="0.25">
      <c r="O1712" s="76">
        <v>104911</v>
      </c>
      <c r="P1712" s="78" t="s">
        <v>683</v>
      </c>
      <c r="Q1712" s="77">
        <v>46219</v>
      </c>
      <c r="R1712" s="78" t="s">
        <v>42</v>
      </c>
      <c r="S1712" s="36" t="str">
        <f>VLOOKUP(Tabla91116[[#This Row],[CODIGO DEL PRODUCTO]],Tabla797[],2,FALSE)</f>
        <v>ARENA FINA</v>
      </c>
      <c r="T1712" s="37">
        <v>34.06</v>
      </c>
    </row>
    <row r="1713" spans="15:20" x14ac:dyDescent="0.25">
      <c r="O1713" s="76">
        <v>104920</v>
      </c>
      <c r="P1713" s="78" t="s">
        <v>683</v>
      </c>
      <c r="Q1713" s="77">
        <v>46219</v>
      </c>
      <c r="R1713" s="78" t="s">
        <v>42</v>
      </c>
      <c r="S1713" s="36" t="str">
        <f>VLOOKUP(Tabla91116[[#This Row],[CODIGO DEL PRODUCTO]],Tabla797[],2,FALSE)</f>
        <v>ARENA FINA</v>
      </c>
      <c r="T1713" s="37">
        <v>35.200000000000003</v>
      </c>
    </row>
    <row r="1714" spans="15:20" x14ac:dyDescent="0.25">
      <c r="O1714" s="76">
        <v>110413</v>
      </c>
      <c r="P1714" s="78" t="s">
        <v>684</v>
      </c>
      <c r="Q1714" s="77">
        <v>46219</v>
      </c>
      <c r="R1714" s="78" t="s">
        <v>40</v>
      </c>
      <c r="S1714" s="36" t="str">
        <f>VLOOKUP(Tabla91116[[#This Row],[CODIGO DEL PRODUCTO]],Tabla797[],2,FALSE)</f>
        <v>PIEDRA 0-6</v>
      </c>
      <c r="T1714" s="37">
        <v>35.520000000000003</v>
      </c>
    </row>
    <row r="1715" spans="15:20" x14ac:dyDescent="0.25">
      <c r="O1715" s="76">
        <v>110414</v>
      </c>
      <c r="P1715" s="78" t="s">
        <v>684</v>
      </c>
      <c r="Q1715" s="77">
        <v>46219</v>
      </c>
      <c r="R1715" s="78" t="s">
        <v>43</v>
      </c>
      <c r="S1715" s="36" t="str">
        <f>VLOOKUP(Tabla91116[[#This Row],[CODIGO DEL PRODUCTO]],Tabla797[],2,FALSE)</f>
        <v>PIEDRA 6-20</v>
      </c>
      <c r="T1715" s="37">
        <v>35.28</v>
      </c>
    </row>
    <row r="1716" spans="15:20" x14ac:dyDescent="0.25">
      <c r="O1716" s="76">
        <v>110415</v>
      </c>
      <c r="P1716" s="78" t="s">
        <v>684</v>
      </c>
      <c r="Q1716" s="77">
        <v>46219</v>
      </c>
      <c r="R1716" s="78" t="s">
        <v>43</v>
      </c>
      <c r="S1716" s="36" t="str">
        <f>VLOOKUP(Tabla91116[[#This Row],[CODIGO DEL PRODUCTO]],Tabla797[],2,FALSE)</f>
        <v>PIEDRA 6-20</v>
      </c>
      <c r="T1716" s="37">
        <v>34.5</v>
      </c>
    </row>
    <row r="1717" spans="15:20" x14ac:dyDescent="0.25">
      <c r="O1717" s="76">
        <v>110416</v>
      </c>
      <c r="P1717" s="78" t="s">
        <v>684</v>
      </c>
      <c r="Q1717" s="77">
        <v>46219</v>
      </c>
      <c r="R1717" s="78" t="s">
        <v>43</v>
      </c>
      <c r="S1717" s="36" t="str">
        <f>VLOOKUP(Tabla91116[[#This Row],[CODIGO DEL PRODUCTO]],Tabla797[],2,FALSE)</f>
        <v>PIEDRA 6-20</v>
      </c>
      <c r="T1717" s="37">
        <v>34.659999999999997</v>
      </c>
    </row>
    <row r="1718" spans="15:20" x14ac:dyDescent="0.25">
      <c r="O1718" s="76">
        <v>110421</v>
      </c>
      <c r="P1718" s="78" t="s">
        <v>684</v>
      </c>
      <c r="Q1718" s="77">
        <v>46219</v>
      </c>
      <c r="R1718" s="78" t="s">
        <v>40</v>
      </c>
      <c r="S1718" s="36" t="str">
        <f>VLOOKUP(Tabla91116[[#This Row],[CODIGO DEL PRODUCTO]],Tabla797[],2,FALSE)</f>
        <v>PIEDRA 0-6</v>
      </c>
      <c r="T1718" s="37">
        <v>34.56</v>
      </c>
    </row>
    <row r="1719" spans="15:20" x14ac:dyDescent="0.25">
      <c r="O1719" s="76">
        <v>110424</v>
      </c>
      <c r="P1719" s="78" t="s">
        <v>684</v>
      </c>
      <c r="Q1719" s="77">
        <v>46219</v>
      </c>
      <c r="R1719" s="78" t="s">
        <v>40</v>
      </c>
      <c r="S1719" s="36" t="str">
        <f>VLOOKUP(Tabla91116[[#This Row],[CODIGO DEL PRODUCTO]],Tabla797[],2,FALSE)</f>
        <v>PIEDRA 0-6</v>
      </c>
      <c r="T1719" s="37">
        <v>33.340000000000003</v>
      </c>
    </row>
    <row r="1720" spans="15:20" x14ac:dyDescent="0.25">
      <c r="O1720" s="76">
        <v>110429</v>
      </c>
      <c r="P1720" s="78" t="s">
        <v>684</v>
      </c>
      <c r="Q1720" s="77">
        <v>46219</v>
      </c>
      <c r="R1720" s="78" t="s">
        <v>43</v>
      </c>
      <c r="S1720" s="36" t="str">
        <f>VLOOKUP(Tabla91116[[#This Row],[CODIGO DEL PRODUCTO]],Tabla797[],2,FALSE)</f>
        <v>PIEDRA 6-20</v>
      </c>
      <c r="T1720" s="37">
        <v>35.200000000000003</v>
      </c>
    </row>
    <row r="1721" spans="15:20" x14ac:dyDescent="0.25">
      <c r="O1721" s="76">
        <v>161337</v>
      </c>
      <c r="P1721" s="78" t="s">
        <v>679</v>
      </c>
      <c r="Q1721" s="77">
        <v>46219</v>
      </c>
      <c r="R1721" s="78" t="s">
        <v>43</v>
      </c>
      <c r="S1721" s="36" t="str">
        <f>VLOOKUP(Tabla91116[[#This Row],[CODIGO DEL PRODUCTO]],Tabla797[],2,FALSE)</f>
        <v>PIEDRA 6-20</v>
      </c>
      <c r="T1721" s="37">
        <v>35.94</v>
      </c>
    </row>
    <row r="1722" spans="15:20" x14ac:dyDescent="0.25">
      <c r="O1722" s="76">
        <v>2721092</v>
      </c>
      <c r="P1722" s="78" t="s">
        <v>679</v>
      </c>
      <c r="Q1722" s="77">
        <v>46219</v>
      </c>
      <c r="R1722" s="78" t="s">
        <v>286</v>
      </c>
      <c r="S1722" s="36" t="str">
        <f>VLOOKUP(Tabla91116[[#This Row],[CODIGO DEL PRODUCTO]],Tabla797[],2,FALSE)</f>
        <v>CPF 40 AVELLANEDA</v>
      </c>
      <c r="T1722" s="37">
        <v>35.64</v>
      </c>
    </row>
    <row r="1723" spans="15:20" x14ac:dyDescent="0.25">
      <c r="O1723" s="76">
        <v>104927</v>
      </c>
      <c r="P1723" s="78" t="s">
        <v>683</v>
      </c>
      <c r="Q1723" s="77">
        <v>46220</v>
      </c>
      <c r="R1723" s="78" t="s">
        <v>42</v>
      </c>
      <c r="S1723" s="36" t="str">
        <f>VLOOKUP(Tabla91116[[#This Row],[CODIGO DEL PRODUCTO]],Tabla797[],2,FALSE)</f>
        <v>ARENA FINA</v>
      </c>
      <c r="T1723" s="37">
        <v>35.200000000000003</v>
      </c>
    </row>
    <row r="1724" spans="15:20" x14ac:dyDescent="0.25">
      <c r="O1724" s="76">
        <v>104934</v>
      </c>
      <c r="P1724" s="78" t="s">
        <v>683</v>
      </c>
      <c r="Q1724" s="77">
        <v>46220</v>
      </c>
      <c r="R1724" s="78" t="s">
        <v>42</v>
      </c>
      <c r="S1724" s="36" t="str">
        <f>VLOOKUP(Tabla91116[[#This Row],[CODIGO DEL PRODUCTO]],Tabla797[],2,FALSE)</f>
        <v>ARENA FINA</v>
      </c>
      <c r="T1724" s="37">
        <v>36.82</v>
      </c>
    </row>
    <row r="1725" spans="15:20" x14ac:dyDescent="0.25">
      <c r="O1725" s="76">
        <v>110439</v>
      </c>
      <c r="P1725" s="78" t="s">
        <v>684</v>
      </c>
      <c r="Q1725" s="77">
        <v>46220</v>
      </c>
      <c r="R1725" s="78" t="s">
        <v>40</v>
      </c>
      <c r="S1725" s="36" t="str">
        <f>VLOOKUP(Tabla91116[[#This Row],[CODIGO DEL PRODUCTO]],Tabla797[],2,FALSE)</f>
        <v>PIEDRA 0-6</v>
      </c>
      <c r="T1725" s="37">
        <v>35.5</v>
      </c>
    </row>
    <row r="1726" spans="15:20" x14ac:dyDescent="0.25">
      <c r="O1726" s="76">
        <v>110441</v>
      </c>
      <c r="P1726" s="78" t="s">
        <v>684</v>
      </c>
      <c r="Q1726" s="77">
        <v>46220</v>
      </c>
      <c r="R1726" s="78" t="s">
        <v>40</v>
      </c>
      <c r="S1726" s="36" t="str">
        <f>VLOOKUP(Tabla91116[[#This Row],[CODIGO DEL PRODUCTO]],Tabla797[],2,FALSE)</f>
        <v>PIEDRA 0-6</v>
      </c>
      <c r="T1726" s="37">
        <v>34.68</v>
      </c>
    </row>
    <row r="1727" spans="15:20" x14ac:dyDescent="0.25">
      <c r="O1727" s="76">
        <v>110443</v>
      </c>
      <c r="P1727" s="78" t="s">
        <v>684</v>
      </c>
      <c r="Q1727" s="77">
        <v>46220</v>
      </c>
      <c r="R1727" s="78" t="s">
        <v>43</v>
      </c>
      <c r="S1727" s="36" t="str">
        <f>VLOOKUP(Tabla91116[[#This Row],[CODIGO DEL PRODUCTO]],Tabla797[],2,FALSE)</f>
        <v>PIEDRA 6-20</v>
      </c>
      <c r="T1727" s="37">
        <v>35.18</v>
      </c>
    </row>
    <row r="1728" spans="15:20" x14ac:dyDescent="0.25">
      <c r="O1728" s="76">
        <v>110447</v>
      </c>
      <c r="P1728" s="78" t="s">
        <v>684</v>
      </c>
      <c r="Q1728" s="77">
        <v>46220</v>
      </c>
      <c r="R1728" s="78" t="s">
        <v>43</v>
      </c>
      <c r="S1728" s="36" t="str">
        <f>VLOOKUP(Tabla91116[[#This Row],[CODIGO DEL PRODUCTO]],Tabla797[],2,FALSE)</f>
        <v>PIEDRA 6-20</v>
      </c>
      <c r="T1728" s="37">
        <v>34.54</v>
      </c>
    </row>
    <row r="1729" spans="15:20" x14ac:dyDescent="0.25">
      <c r="O1729" s="76">
        <v>110456</v>
      </c>
      <c r="P1729" s="78" t="s">
        <v>684</v>
      </c>
      <c r="Q1729" s="77">
        <v>46220</v>
      </c>
      <c r="R1729" s="78" t="s">
        <v>40</v>
      </c>
      <c r="S1729" s="36" t="str">
        <f>VLOOKUP(Tabla91116[[#This Row],[CODIGO DEL PRODUCTO]],Tabla797[],2,FALSE)</f>
        <v>PIEDRA 0-6</v>
      </c>
      <c r="T1729" s="37">
        <v>34.68</v>
      </c>
    </row>
    <row r="1730" spans="15:20" x14ac:dyDescent="0.25">
      <c r="O1730" s="76">
        <v>110459</v>
      </c>
      <c r="P1730" s="78" t="s">
        <v>684</v>
      </c>
      <c r="Q1730" s="77">
        <v>46220</v>
      </c>
      <c r="R1730" s="78" t="s">
        <v>43</v>
      </c>
      <c r="S1730" s="36" t="str">
        <f>VLOOKUP(Tabla91116[[#This Row],[CODIGO DEL PRODUCTO]],Tabla797[],2,FALSE)</f>
        <v>PIEDRA 6-20</v>
      </c>
      <c r="T1730" s="37">
        <v>35.74</v>
      </c>
    </row>
    <row r="1731" spans="15:20" x14ac:dyDescent="0.25">
      <c r="O1731" s="76">
        <v>161375</v>
      </c>
      <c r="P1731" s="78" t="s">
        <v>679</v>
      </c>
      <c r="Q1731" s="77">
        <v>46220</v>
      </c>
      <c r="R1731" s="78" t="s">
        <v>43</v>
      </c>
      <c r="S1731" s="36" t="str">
        <f>VLOOKUP(Tabla91116[[#This Row],[CODIGO DEL PRODUCTO]],Tabla797[],2,FALSE)</f>
        <v>PIEDRA 6-20</v>
      </c>
      <c r="T1731" s="37">
        <v>36.14</v>
      </c>
    </row>
    <row r="1732" spans="15:20" x14ac:dyDescent="0.25">
      <c r="O1732" s="76">
        <v>161375</v>
      </c>
      <c r="P1732" s="78" t="s">
        <v>679</v>
      </c>
      <c r="Q1732" s="77">
        <v>46220</v>
      </c>
      <c r="R1732" s="78" t="s">
        <v>43</v>
      </c>
      <c r="S1732" s="36" t="str">
        <f>VLOOKUP(Tabla91116[[#This Row],[CODIGO DEL PRODUCTO]],Tabla797[],2,FALSE)</f>
        <v>PIEDRA 6-20</v>
      </c>
      <c r="T1732" s="37">
        <v>36.14</v>
      </c>
    </row>
    <row r="1733" spans="15:20" x14ac:dyDescent="0.25">
      <c r="O1733" s="76">
        <v>2721371</v>
      </c>
      <c r="P1733" s="78" t="s">
        <v>679</v>
      </c>
      <c r="Q1733" s="77">
        <v>46220</v>
      </c>
      <c r="R1733" s="78" t="s">
        <v>286</v>
      </c>
      <c r="S1733" s="36" t="str">
        <f>VLOOKUP(Tabla91116[[#This Row],[CODIGO DEL PRODUCTO]],Tabla797[],2,FALSE)</f>
        <v>CPF 40 AVELLANEDA</v>
      </c>
      <c r="T1733" s="37">
        <v>36</v>
      </c>
    </row>
    <row r="1734" spans="15:20" x14ac:dyDescent="0.25">
      <c r="O1734" s="76">
        <v>104939</v>
      </c>
      <c r="P1734" s="78" t="s">
        <v>683</v>
      </c>
      <c r="Q1734" s="77">
        <v>46221</v>
      </c>
      <c r="R1734" s="78" t="s">
        <v>42</v>
      </c>
      <c r="S1734" s="36" t="str">
        <f>VLOOKUP(Tabla91116[[#This Row],[CODIGO DEL PRODUCTO]],Tabla797[],2,FALSE)</f>
        <v>ARENA FINA</v>
      </c>
      <c r="T1734" s="37">
        <v>37.46</v>
      </c>
    </row>
    <row r="1735" spans="15:20" x14ac:dyDescent="0.25">
      <c r="O1735" s="76">
        <v>110465</v>
      </c>
      <c r="P1735" s="78" t="s">
        <v>684</v>
      </c>
      <c r="Q1735" s="77">
        <v>46221</v>
      </c>
      <c r="R1735" s="78" t="s">
        <v>43</v>
      </c>
      <c r="S1735" s="36" t="str">
        <f>VLOOKUP(Tabla91116[[#This Row],[CODIGO DEL PRODUCTO]],Tabla797[],2,FALSE)</f>
        <v>PIEDRA 6-20</v>
      </c>
      <c r="T1735" s="37">
        <v>35.22</v>
      </c>
    </row>
    <row r="1736" spans="15:20" x14ac:dyDescent="0.25">
      <c r="O1736" s="76">
        <v>110466</v>
      </c>
      <c r="P1736" s="78" t="s">
        <v>684</v>
      </c>
      <c r="Q1736" s="77">
        <v>46221</v>
      </c>
      <c r="R1736" s="78" t="s">
        <v>43</v>
      </c>
      <c r="S1736" s="36" t="str">
        <f>VLOOKUP(Tabla91116[[#This Row],[CODIGO DEL PRODUCTO]],Tabla797[],2,FALSE)</f>
        <v>PIEDRA 6-20</v>
      </c>
      <c r="T1736" s="37">
        <v>35.32</v>
      </c>
    </row>
    <row r="1737" spans="15:20" x14ac:dyDescent="0.25">
      <c r="O1737" s="76">
        <v>161457</v>
      </c>
      <c r="P1737" s="78" t="s">
        <v>679</v>
      </c>
      <c r="Q1737" s="77">
        <v>46221</v>
      </c>
      <c r="R1737" s="78" t="s">
        <v>43</v>
      </c>
      <c r="S1737" s="36" t="str">
        <f>VLOOKUP(Tabla91116[[#This Row],[CODIGO DEL PRODUCTO]],Tabla797[],2,FALSE)</f>
        <v>PIEDRA 6-20</v>
      </c>
      <c r="T1737" s="37">
        <v>35.74</v>
      </c>
    </row>
    <row r="1738" spans="15:20" x14ac:dyDescent="0.25">
      <c r="O1738" s="76">
        <v>161462</v>
      </c>
      <c r="P1738" s="78" t="s">
        <v>679</v>
      </c>
      <c r="Q1738" s="77">
        <v>46221</v>
      </c>
      <c r="R1738" s="78" t="s">
        <v>43</v>
      </c>
      <c r="S1738" s="36" t="str">
        <f>VLOOKUP(Tabla91116[[#This Row],[CODIGO DEL PRODUCTO]],Tabla797[],2,FALSE)</f>
        <v>PIEDRA 6-20</v>
      </c>
      <c r="T1738" s="37">
        <v>35.54</v>
      </c>
    </row>
    <row r="1739" spans="15:20" x14ac:dyDescent="0.25">
      <c r="O1739" s="76">
        <v>2721498</v>
      </c>
      <c r="P1739" s="78" t="s">
        <v>679</v>
      </c>
      <c r="Q1739" s="77">
        <v>46221</v>
      </c>
      <c r="R1739" s="78" t="s">
        <v>286</v>
      </c>
      <c r="S1739" s="36" t="str">
        <f>VLOOKUP(Tabla91116[[#This Row],[CODIGO DEL PRODUCTO]],Tabla797[],2,FALSE)</f>
        <v>CPF 40 AVELLANEDA</v>
      </c>
      <c r="T1739" s="37">
        <v>35.56</v>
      </c>
    </row>
    <row r="1740" spans="15:20" x14ac:dyDescent="0.25">
      <c r="O1740" s="76">
        <v>104942</v>
      </c>
      <c r="P1740" s="78" t="s">
        <v>683</v>
      </c>
      <c r="Q1740" s="77">
        <v>46223</v>
      </c>
      <c r="R1740" s="78" t="s">
        <v>42</v>
      </c>
      <c r="S1740" s="36" t="str">
        <f>VLOOKUP(Tabla91116[[#This Row],[CODIGO DEL PRODUCTO]],Tabla797[],2,FALSE)</f>
        <v>ARENA FINA</v>
      </c>
      <c r="T1740" s="37">
        <v>34.06</v>
      </c>
    </row>
    <row r="1741" spans="15:20" x14ac:dyDescent="0.25">
      <c r="O1741" s="76">
        <v>104944</v>
      </c>
      <c r="P1741" s="78" t="s">
        <v>683</v>
      </c>
      <c r="Q1741" s="77">
        <v>46223</v>
      </c>
      <c r="R1741" s="78" t="s">
        <v>42</v>
      </c>
      <c r="S1741" s="36" t="str">
        <f>VLOOKUP(Tabla91116[[#This Row],[CODIGO DEL PRODUCTO]],Tabla797[],2,FALSE)</f>
        <v>ARENA FINA</v>
      </c>
      <c r="T1741" s="37">
        <v>35.96</v>
      </c>
    </row>
    <row r="1742" spans="15:20" x14ac:dyDescent="0.25">
      <c r="O1742" s="76">
        <v>104951</v>
      </c>
      <c r="P1742" s="78" t="s">
        <v>683</v>
      </c>
      <c r="Q1742" s="77">
        <v>46223</v>
      </c>
      <c r="R1742" s="78" t="s">
        <v>42</v>
      </c>
      <c r="S1742" s="36" t="str">
        <f>VLOOKUP(Tabla91116[[#This Row],[CODIGO DEL PRODUCTO]],Tabla797[],2,FALSE)</f>
        <v>ARENA FINA</v>
      </c>
      <c r="T1742" s="37">
        <v>35.68</v>
      </c>
    </row>
    <row r="1743" spans="15:20" x14ac:dyDescent="0.25">
      <c r="O1743" s="76">
        <v>104953</v>
      </c>
      <c r="P1743" s="78" t="s">
        <v>683</v>
      </c>
      <c r="Q1743" s="77">
        <v>46223</v>
      </c>
      <c r="R1743" s="78" t="s">
        <v>42</v>
      </c>
      <c r="S1743" s="36" t="str">
        <f>VLOOKUP(Tabla91116[[#This Row],[CODIGO DEL PRODUCTO]],Tabla797[],2,FALSE)</f>
        <v>ARENA FINA</v>
      </c>
      <c r="T1743" s="37">
        <v>38.6</v>
      </c>
    </row>
    <row r="1744" spans="15:20" x14ac:dyDescent="0.25">
      <c r="O1744" s="76">
        <v>110477</v>
      </c>
      <c r="P1744" s="78" t="s">
        <v>684</v>
      </c>
      <c r="Q1744" s="77">
        <v>46223</v>
      </c>
      <c r="R1744" s="78" t="s">
        <v>48</v>
      </c>
      <c r="S1744" s="36" t="str">
        <f>VLOOKUP(Tabla91116[[#This Row],[CODIGO DEL PRODUCTO]],Tabla797[],2,FALSE)</f>
        <v>PIEDRA 6-12</v>
      </c>
      <c r="T1744" s="37">
        <v>35.4</v>
      </c>
    </row>
    <row r="1745" spans="15:20" x14ac:dyDescent="0.25">
      <c r="O1745" s="76">
        <v>110482</v>
      </c>
      <c r="P1745" s="78" t="s">
        <v>684</v>
      </c>
      <c r="Q1745" s="77">
        <v>46223</v>
      </c>
      <c r="R1745" s="78" t="s">
        <v>43</v>
      </c>
      <c r="S1745" s="36" t="str">
        <f>VLOOKUP(Tabla91116[[#This Row],[CODIGO DEL PRODUCTO]],Tabla797[],2,FALSE)</f>
        <v>PIEDRA 6-20</v>
      </c>
      <c r="T1745" s="37">
        <v>35.72</v>
      </c>
    </row>
    <row r="1746" spans="15:20" x14ac:dyDescent="0.25">
      <c r="O1746" s="76">
        <v>110485</v>
      </c>
      <c r="P1746" s="78" t="s">
        <v>684</v>
      </c>
      <c r="Q1746" s="77">
        <v>46223</v>
      </c>
      <c r="R1746" s="78" t="s">
        <v>43</v>
      </c>
      <c r="S1746" s="36" t="str">
        <f>VLOOKUP(Tabla91116[[#This Row],[CODIGO DEL PRODUCTO]],Tabla797[],2,FALSE)</f>
        <v>PIEDRA 6-20</v>
      </c>
      <c r="T1746" s="37">
        <v>35.24</v>
      </c>
    </row>
    <row r="1747" spans="15:20" x14ac:dyDescent="0.25">
      <c r="O1747" s="76">
        <v>161544</v>
      </c>
      <c r="P1747" s="78" t="s">
        <v>679</v>
      </c>
      <c r="Q1747" s="77">
        <v>46223</v>
      </c>
      <c r="R1747" s="78" t="s">
        <v>43</v>
      </c>
      <c r="S1747" s="36" t="str">
        <f>VLOOKUP(Tabla91116[[#This Row],[CODIGO DEL PRODUCTO]],Tabla797[],2,FALSE)</f>
        <v>PIEDRA 6-20</v>
      </c>
      <c r="T1747" s="37">
        <v>36.06</v>
      </c>
    </row>
    <row r="1748" spans="15:20" x14ac:dyDescent="0.25">
      <c r="O1748" s="76">
        <v>161549</v>
      </c>
      <c r="P1748" s="78" t="s">
        <v>679</v>
      </c>
      <c r="Q1748" s="77">
        <v>46223</v>
      </c>
      <c r="R1748" s="78" t="s">
        <v>43</v>
      </c>
      <c r="S1748" s="36" t="str">
        <f>VLOOKUP(Tabla91116[[#This Row],[CODIGO DEL PRODUCTO]],Tabla797[],2,FALSE)</f>
        <v>PIEDRA 6-20</v>
      </c>
      <c r="T1748" s="37">
        <v>35.82</v>
      </c>
    </row>
    <row r="1749" spans="15:20" x14ac:dyDescent="0.25">
      <c r="O1749" s="76">
        <v>2721755</v>
      </c>
      <c r="P1749" s="78" t="s">
        <v>679</v>
      </c>
      <c r="Q1749" s="77">
        <v>46223</v>
      </c>
      <c r="R1749" s="78" t="s">
        <v>286</v>
      </c>
      <c r="S1749" s="36" t="str">
        <f>VLOOKUP(Tabla91116[[#This Row],[CODIGO DEL PRODUCTO]],Tabla797[],2,FALSE)</f>
        <v>CPF 40 AVELLANEDA</v>
      </c>
      <c r="T1749" s="37">
        <v>35.799999999999997</v>
      </c>
    </row>
    <row r="1750" spans="15:20" x14ac:dyDescent="0.25">
      <c r="O1750" s="76">
        <v>104956</v>
      </c>
      <c r="P1750" s="78" t="s">
        <v>683</v>
      </c>
      <c r="Q1750" s="77">
        <v>46224</v>
      </c>
      <c r="R1750" s="78" t="s">
        <v>42</v>
      </c>
      <c r="S1750" s="36" t="str">
        <f>VLOOKUP(Tabla91116[[#This Row],[CODIGO DEL PRODUCTO]],Tabla797[],2,FALSE)</f>
        <v>ARENA FINA</v>
      </c>
      <c r="T1750" s="37">
        <v>35.22</v>
      </c>
    </row>
    <row r="1751" spans="15:20" x14ac:dyDescent="0.25">
      <c r="O1751" s="76">
        <v>104960</v>
      </c>
      <c r="P1751" s="78" t="s">
        <v>683</v>
      </c>
      <c r="Q1751" s="77">
        <v>46224</v>
      </c>
      <c r="R1751" s="78" t="s">
        <v>42</v>
      </c>
      <c r="S1751" s="36" t="str">
        <f>VLOOKUP(Tabla91116[[#This Row],[CODIGO DEL PRODUCTO]],Tabla797[],2,FALSE)</f>
        <v>ARENA FINA</v>
      </c>
      <c r="T1751" s="37">
        <v>37.96</v>
      </c>
    </row>
    <row r="1752" spans="15:20" x14ac:dyDescent="0.25">
      <c r="O1752" s="76">
        <v>104964</v>
      </c>
      <c r="P1752" s="78" t="s">
        <v>683</v>
      </c>
      <c r="Q1752" s="77">
        <v>46224</v>
      </c>
      <c r="R1752" s="78" t="s">
        <v>42</v>
      </c>
      <c r="S1752" s="36" t="str">
        <f>VLOOKUP(Tabla91116[[#This Row],[CODIGO DEL PRODUCTO]],Tabla797[],2,FALSE)</f>
        <v>ARENA FINA</v>
      </c>
      <c r="T1752" s="37">
        <v>37.36</v>
      </c>
    </row>
    <row r="1753" spans="15:20" x14ac:dyDescent="0.25">
      <c r="O1753" s="76">
        <v>104965</v>
      </c>
      <c r="P1753" s="78" t="s">
        <v>683</v>
      </c>
      <c r="Q1753" s="77">
        <v>46224</v>
      </c>
      <c r="R1753" s="78" t="s">
        <v>42</v>
      </c>
      <c r="S1753" s="36" t="str">
        <f>VLOOKUP(Tabla91116[[#This Row],[CODIGO DEL PRODUCTO]],Tabla797[],2,FALSE)</f>
        <v>ARENA FINA</v>
      </c>
      <c r="T1753" s="37">
        <v>37.9</v>
      </c>
    </row>
    <row r="1754" spans="15:20" x14ac:dyDescent="0.25">
      <c r="O1754" s="76">
        <v>110491</v>
      </c>
      <c r="P1754" s="78" t="s">
        <v>684</v>
      </c>
      <c r="Q1754" s="77">
        <v>46224</v>
      </c>
      <c r="R1754" s="78" t="s">
        <v>43</v>
      </c>
      <c r="S1754" s="36" t="str">
        <f>VLOOKUP(Tabla91116[[#This Row],[CODIGO DEL PRODUCTO]],Tabla797[],2,FALSE)</f>
        <v>PIEDRA 6-20</v>
      </c>
      <c r="T1754" s="37">
        <v>34.96</v>
      </c>
    </row>
    <row r="1755" spans="15:20" x14ac:dyDescent="0.25">
      <c r="O1755" s="76">
        <v>110492</v>
      </c>
      <c r="P1755" s="78" t="s">
        <v>684</v>
      </c>
      <c r="Q1755" s="77">
        <v>46224</v>
      </c>
      <c r="R1755" s="78" t="s">
        <v>43</v>
      </c>
      <c r="S1755" s="36" t="str">
        <f>VLOOKUP(Tabla91116[[#This Row],[CODIGO DEL PRODUCTO]],Tabla797[],2,FALSE)</f>
        <v>PIEDRA 6-20</v>
      </c>
      <c r="T1755" s="37">
        <v>35.14</v>
      </c>
    </row>
    <row r="1756" spans="15:20" x14ac:dyDescent="0.25">
      <c r="O1756" s="76">
        <v>110496</v>
      </c>
      <c r="P1756" s="78" t="s">
        <v>684</v>
      </c>
      <c r="Q1756" s="77">
        <v>46224</v>
      </c>
      <c r="R1756" s="78" t="s">
        <v>43</v>
      </c>
      <c r="S1756" s="36" t="str">
        <f>VLOOKUP(Tabla91116[[#This Row],[CODIGO DEL PRODUCTO]],Tabla797[],2,FALSE)</f>
        <v>PIEDRA 6-20</v>
      </c>
      <c r="T1756" s="37">
        <v>35.26</v>
      </c>
    </row>
    <row r="1757" spans="15:20" x14ac:dyDescent="0.25">
      <c r="O1757" s="76">
        <v>110498</v>
      </c>
      <c r="P1757" s="78" t="s">
        <v>684</v>
      </c>
      <c r="Q1757" s="77">
        <v>46224</v>
      </c>
      <c r="R1757" s="78" t="s">
        <v>48</v>
      </c>
      <c r="S1757" s="36" t="str">
        <f>VLOOKUP(Tabla91116[[#This Row],[CODIGO DEL PRODUCTO]],Tabla797[],2,FALSE)</f>
        <v>PIEDRA 6-12</v>
      </c>
      <c r="T1757" s="37">
        <v>35.26</v>
      </c>
    </row>
    <row r="1758" spans="15:20" x14ac:dyDescent="0.25">
      <c r="O1758" s="76">
        <v>110505</v>
      </c>
      <c r="P1758" s="78" t="s">
        <v>684</v>
      </c>
      <c r="Q1758" s="77">
        <v>46224</v>
      </c>
      <c r="R1758" s="78" t="s">
        <v>43</v>
      </c>
      <c r="S1758" s="36" t="str">
        <f>VLOOKUP(Tabla91116[[#This Row],[CODIGO DEL PRODUCTO]],Tabla797[],2,FALSE)</f>
        <v>PIEDRA 6-20</v>
      </c>
      <c r="T1758" s="37">
        <v>35.4</v>
      </c>
    </row>
    <row r="1759" spans="15:20" x14ac:dyDescent="0.25">
      <c r="O1759" s="76">
        <v>2721981</v>
      </c>
      <c r="P1759" s="78" t="s">
        <v>679</v>
      </c>
      <c r="Q1759" s="77">
        <v>46224</v>
      </c>
      <c r="R1759" s="78" t="s">
        <v>286</v>
      </c>
      <c r="S1759" s="36" t="str">
        <f>VLOOKUP(Tabla91116[[#This Row],[CODIGO DEL PRODUCTO]],Tabla797[],2,FALSE)</f>
        <v>CPF 40 AVELLANEDA</v>
      </c>
      <c r="T1759" s="37">
        <v>36.04</v>
      </c>
    </row>
    <row r="1760" spans="15:20" x14ac:dyDescent="0.25">
      <c r="O1760" s="76">
        <v>104970</v>
      </c>
      <c r="P1760" s="78" t="s">
        <v>683</v>
      </c>
      <c r="Q1760" s="77">
        <v>46225</v>
      </c>
      <c r="R1760" s="78" t="s">
        <v>42</v>
      </c>
      <c r="S1760" s="36" t="str">
        <f>VLOOKUP(Tabla91116[[#This Row],[CODIGO DEL PRODUCTO]],Tabla797[],2,FALSE)</f>
        <v>ARENA FINA</v>
      </c>
      <c r="T1760" s="37">
        <v>37.659999999999997</v>
      </c>
    </row>
    <row r="1761" spans="15:20" x14ac:dyDescent="0.25">
      <c r="O1761" s="76">
        <v>104971</v>
      </c>
      <c r="P1761" s="78" t="s">
        <v>683</v>
      </c>
      <c r="Q1761" s="77">
        <v>46225</v>
      </c>
      <c r="R1761" s="78" t="s">
        <v>42</v>
      </c>
      <c r="S1761" s="36" t="str">
        <f>VLOOKUP(Tabla91116[[#This Row],[CODIGO DEL PRODUCTO]],Tabla797[],2,FALSE)</f>
        <v>ARENA FINA</v>
      </c>
      <c r="T1761" s="37">
        <v>36.08</v>
      </c>
    </row>
    <row r="1762" spans="15:20" x14ac:dyDescent="0.25">
      <c r="O1762" s="76">
        <v>104974</v>
      </c>
      <c r="P1762" s="78" t="s">
        <v>683</v>
      </c>
      <c r="Q1762" s="77">
        <v>46225</v>
      </c>
      <c r="R1762" s="78" t="s">
        <v>42</v>
      </c>
      <c r="S1762" s="36" t="str">
        <f>VLOOKUP(Tabla91116[[#This Row],[CODIGO DEL PRODUCTO]],Tabla797[],2,FALSE)</f>
        <v>ARENA FINA</v>
      </c>
      <c r="T1762" s="37">
        <v>34.82</v>
      </c>
    </row>
    <row r="1763" spans="15:20" x14ac:dyDescent="0.25">
      <c r="O1763" s="76">
        <v>104975</v>
      </c>
      <c r="P1763" s="78" t="s">
        <v>683</v>
      </c>
      <c r="Q1763" s="77">
        <v>46225</v>
      </c>
      <c r="R1763" s="78" t="s">
        <v>42</v>
      </c>
      <c r="S1763" s="36" t="str">
        <f>VLOOKUP(Tabla91116[[#This Row],[CODIGO DEL PRODUCTO]],Tabla797[],2,FALSE)</f>
        <v>ARENA FINA</v>
      </c>
      <c r="T1763" s="37">
        <v>36.520000000000003</v>
      </c>
    </row>
    <row r="1764" spans="15:20" x14ac:dyDescent="0.25">
      <c r="O1764" s="76">
        <v>110508</v>
      </c>
      <c r="P1764" s="78" t="s">
        <v>684</v>
      </c>
      <c r="Q1764" s="77">
        <v>46225</v>
      </c>
      <c r="R1764" s="78" t="s">
        <v>43</v>
      </c>
      <c r="S1764" s="36" t="str">
        <f>VLOOKUP(Tabla91116[[#This Row],[CODIGO DEL PRODUCTO]],Tabla797[],2,FALSE)</f>
        <v>PIEDRA 6-20</v>
      </c>
      <c r="T1764" s="37">
        <v>36.28</v>
      </c>
    </row>
    <row r="1765" spans="15:20" x14ac:dyDescent="0.25">
      <c r="O1765" s="76">
        <v>110522</v>
      </c>
      <c r="P1765" s="78" t="s">
        <v>684</v>
      </c>
      <c r="Q1765" s="77">
        <v>46225</v>
      </c>
      <c r="R1765" s="78" t="s">
        <v>48</v>
      </c>
      <c r="S1765" s="36" t="str">
        <f>VLOOKUP(Tabla91116[[#This Row],[CODIGO DEL PRODUCTO]],Tabla797[],2,FALSE)</f>
        <v>PIEDRA 6-12</v>
      </c>
      <c r="T1765" s="37">
        <v>35.799999999999997</v>
      </c>
    </row>
    <row r="1766" spans="15:20" x14ac:dyDescent="0.25">
      <c r="O1766" s="76">
        <v>110523</v>
      </c>
      <c r="P1766" s="78" t="s">
        <v>684</v>
      </c>
      <c r="Q1766" s="77">
        <v>46225</v>
      </c>
      <c r="R1766" s="78" t="s">
        <v>43</v>
      </c>
      <c r="S1766" s="36" t="str">
        <f>VLOOKUP(Tabla91116[[#This Row],[CODIGO DEL PRODUCTO]],Tabla797[],2,FALSE)</f>
        <v>PIEDRA 6-20</v>
      </c>
      <c r="T1766" s="37">
        <v>34.94</v>
      </c>
    </row>
    <row r="1767" spans="15:20" x14ac:dyDescent="0.25">
      <c r="O1767" s="76">
        <v>110530</v>
      </c>
      <c r="P1767" s="78" t="s">
        <v>684</v>
      </c>
      <c r="Q1767" s="77">
        <v>46225</v>
      </c>
      <c r="R1767" s="78" t="s">
        <v>43</v>
      </c>
      <c r="S1767" s="36" t="str">
        <f>VLOOKUP(Tabla91116[[#This Row],[CODIGO DEL PRODUCTO]],Tabla797[],2,FALSE)</f>
        <v>PIEDRA 6-20</v>
      </c>
      <c r="T1767" s="37">
        <v>35.74</v>
      </c>
    </row>
    <row r="1768" spans="15:20" x14ac:dyDescent="0.25">
      <c r="O1768" s="76">
        <v>161657</v>
      </c>
      <c r="P1768" s="78" t="s">
        <v>679</v>
      </c>
      <c r="Q1768" s="77">
        <v>46225</v>
      </c>
      <c r="R1768" s="78" t="s">
        <v>43</v>
      </c>
      <c r="S1768" s="36" t="str">
        <f>VLOOKUP(Tabla91116[[#This Row],[CODIGO DEL PRODUCTO]],Tabla797[],2,FALSE)</f>
        <v>PIEDRA 6-20</v>
      </c>
      <c r="T1768" s="37">
        <v>34.799999999999997</v>
      </c>
    </row>
    <row r="1769" spans="15:20" x14ac:dyDescent="0.25">
      <c r="O1769" s="76">
        <v>2722215</v>
      </c>
      <c r="P1769" s="78" t="s">
        <v>679</v>
      </c>
      <c r="Q1769" s="77">
        <v>46225</v>
      </c>
      <c r="R1769" s="78" t="s">
        <v>286</v>
      </c>
      <c r="S1769" s="36" t="str">
        <f>VLOOKUP(Tabla91116[[#This Row],[CODIGO DEL PRODUCTO]],Tabla797[],2,FALSE)</f>
        <v>CPF 40 AVELLANEDA</v>
      </c>
      <c r="T1769" s="37">
        <v>35.54</v>
      </c>
    </row>
    <row r="1770" spans="15:20" x14ac:dyDescent="0.25">
      <c r="O1770" s="76">
        <v>49092</v>
      </c>
      <c r="P1770" s="78" t="s">
        <v>449</v>
      </c>
      <c r="Q1770" s="77">
        <v>46226</v>
      </c>
      <c r="R1770" s="78" t="s">
        <v>425</v>
      </c>
      <c r="S1770" s="36" t="str">
        <f>VLOOKUP(Tabla91116[[#This Row],[CODIGO DEL PRODUCTO]],Tabla797[],2,FALSE)</f>
        <v>W351R</v>
      </c>
      <c r="T1770" s="37">
        <v>2</v>
      </c>
    </row>
    <row r="1771" spans="15:20" x14ac:dyDescent="0.25">
      <c r="O1771" s="76">
        <v>104979</v>
      </c>
      <c r="P1771" s="78" t="s">
        <v>683</v>
      </c>
      <c r="Q1771" s="77">
        <v>46226</v>
      </c>
      <c r="R1771" s="78" t="s">
        <v>42</v>
      </c>
      <c r="S1771" s="36" t="str">
        <f>VLOOKUP(Tabla91116[[#This Row],[CODIGO DEL PRODUCTO]],Tabla797[],2,FALSE)</f>
        <v>ARENA FINA</v>
      </c>
      <c r="T1771" s="37">
        <v>36.200000000000003</v>
      </c>
    </row>
    <row r="1772" spans="15:20" x14ac:dyDescent="0.25">
      <c r="O1772" s="76">
        <v>104980</v>
      </c>
      <c r="P1772" s="78" t="s">
        <v>683</v>
      </c>
      <c r="Q1772" s="77">
        <v>46226</v>
      </c>
      <c r="R1772" s="78" t="s">
        <v>42</v>
      </c>
      <c r="S1772" s="36" t="str">
        <f>VLOOKUP(Tabla91116[[#This Row],[CODIGO DEL PRODUCTO]],Tabla797[],2,FALSE)</f>
        <v>ARENA FINA</v>
      </c>
      <c r="T1772" s="37">
        <v>36.86</v>
      </c>
    </row>
    <row r="1773" spans="15:20" x14ac:dyDescent="0.25">
      <c r="O1773" s="76">
        <v>104986</v>
      </c>
      <c r="P1773" s="78" t="s">
        <v>683</v>
      </c>
      <c r="Q1773" s="77">
        <v>46226</v>
      </c>
      <c r="R1773" s="78" t="s">
        <v>42</v>
      </c>
      <c r="S1773" s="36" t="str">
        <f>VLOOKUP(Tabla91116[[#This Row],[CODIGO DEL PRODUCTO]],Tabla797[],2,FALSE)</f>
        <v>ARENA FINA</v>
      </c>
      <c r="T1773" s="37">
        <v>37.32</v>
      </c>
    </row>
    <row r="1774" spans="15:20" x14ac:dyDescent="0.25">
      <c r="O1774" s="76">
        <v>104987</v>
      </c>
      <c r="P1774" s="78" t="s">
        <v>683</v>
      </c>
      <c r="Q1774" s="77">
        <v>46226</v>
      </c>
      <c r="R1774" s="78" t="s">
        <v>42</v>
      </c>
      <c r="S1774" s="36" t="str">
        <f>VLOOKUP(Tabla91116[[#This Row],[CODIGO DEL PRODUCTO]],Tabla797[],2,FALSE)</f>
        <v>ARENA FINA</v>
      </c>
      <c r="T1774" s="37">
        <v>35.68</v>
      </c>
    </row>
    <row r="1775" spans="15:20" x14ac:dyDescent="0.25">
      <c r="O1775" s="76">
        <v>110532</v>
      </c>
      <c r="P1775" s="78" t="s">
        <v>684</v>
      </c>
      <c r="Q1775" s="77">
        <v>46226</v>
      </c>
      <c r="R1775" s="78" t="s">
        <v>43</v>
      </c>
      <c r="S1775" s="36" t="str">
        <f>VLOOKUP(Tabla91116[[#This Row],[CODIGO DEL PRODUCTO]],Tabla797[],2,FALSE)</f>
        <v>PIEDRA 6-20</v>
      </c>
      <c r="T1775" s="37">
        <v>35.36</v>
      </c>
    </row>
    <row r="1776" spans="15:20" x14ac:dyDescent="0.25">
      <c r="O1776" s="76">
        <v>110543</v>
      </c>
      <c r="P1776" s="78" t="s">
        <v>684</v>
      </c>
      <c r="Q1776" s="77">
        <v>46226</v>
      </c>
      <c r="R1776" s="78" t="s">
        <v>48</v>
      </c>
      <c r="S1776" s="36" t="str">
        <f>VLOOKUP(Tabla91116[[#This Row],[CODIGO DEL PRODUCTO]],Tabla797[],2,FALSE)</f>
        <v>PIEDRA 6-12</v>
      </c>
      <c r="T1776" s="37">
        <v>35.119999999999997</v>
      </c>
    </row>
    <row r="1777" spans="15:20" x14ac:dyDescent="0.25">
      <c r="O1777" s="76">
        <v>110555</v>
      </c>
      <c r="P1777" s="78" t="s">
        <v>684</v>
      </c>
      <c r="Q1777" s="77">
        <v>46226</v>
      </c>
      <c r="R1777" s="78" t="s">
        <v>43</v>
      </c>
      <c r="S1777" s="36" t="str">
        <f>VLOOKUP(Tabla91116[[#This Row],[CODIGO DEL PRODUCTO]],Tabla797[],2,FALSE)</f>
        <v>PIEDRA 6-20</v>
      </c>
      <c r="T1777" s="37">
        <v>34.92</v>
      </c>
    </row>
    <row r="1778" spans="15:20" x14ac:dyDescent="0.25">
      <c r="O1778" s="76">
        <v>110557</v>
      </c>
      <c r="P1778" s="78" t="s">
        <v>684</v>
      </c>
      <c r="Q1778" s="77">
        <v>46226</v>
      </c>
      <c r="R1778" s="78" t="s">
        <v>43</v>
      </c>
      <c r="S1778" s="36" t="str">
        <f>VLOOKUP(Tabla91116[[#This Row],[CODIGO DEL PRODUCTO]],Tabla797[],2,FALSE)</f>
        <v>PIEDRA 6-20</v>
      </c>
      <c r="T1778" s="37">
        <v>34.44</v>
      </c>
    </row>
    <row r="1779" spans="15:20" x14ac:dyDescent="0.25">
      <c r="O1779" s="76">
        <v>161705</v>
      </c>
      <c r="P1779" s="78" t="s">
        <v>679</v>
      </c>
      <c r="Q1779" s="77">
        <v>46226</v>
      </c>
      <c r="R1779" s="78" t="s">
        <v>43</v>
      </c>
      <c r="S1779" s="36" t="str">
        <f>VLOOKUP(Tabla91116[[#This Row],[CODIGO DEL PRODUCTO]],Tabla797[],2,FALSE)</f>
        <v>PIEDRA 6-20</v>
      </c>
      <c r="T1779" s="37">
        <v>34.659999999999997</v>
      </c>
    </row>
    <row r="1780" spans="15:20" x14ac:dyDescent="0.25">
      <c r="O1780" s="76">
        <v>2722470</v>
      </c>
      <c r="P1780" s="78" t="s">
        <v>679</v>
      </c>
      <c r="Q1780" s="77">
        <v>46226</v>
      </c>
      <c r="R1780" s="78" t="s">
        <v>286</v>
      </c>
      <c r="S1780" s="36" t="str">
        <f>VLOOKUP(Tabla91116[[#This Row],[CODIGO DEL PRODUCTO]],Tabla797[],2,FALSE)</f>
        <v>CPF 40 AVELLANEDA</v>
      </c>
      <c r="T1780" s="37">
        <v>35.380000000000003</v>
      </c>
    </row>
    <row r="1781" spans="15:20" x14ac:dyDescent="0.25">
      <c r="O1781" s="76">
        <v>104990</v>
      </c>
      <c r="P1781" s="78" t="s">
        <v>683</v>
      </c>
      <c r="Q1781" s="77">
        <v>46227</v>
      </c>
      <c r="R1781" s="78" t="s">
        <v>42</v>
      </c>
      <c r="S1781" s="36" t="str">
        <f>VLOOKUP(Tabla91116[[#This Row],[CODIGO DEL PRODUCTO]],Tabla797[],2,FALSE)</f>
        <v>ARENA FINA</v>
      </c>
      <c r="T1781" s="37">
        <v>35.92</v>
      </c>
    </row>
    <row r="1782" spans="15:20" x14ac:dyDescent="0.25">
      <c r="O1782" s="76">
        <v>104991</v>
      </c>
      <c r="P1782" s="78" t="s">
        <v>683</v>
      </c>
      <c r="Q1782" s="77">
        <v>46227</v>
      </c>
      <c r="R1782" s="78" t="s">
        <v>42</v>
      </c>
      <c r="S1782" s="36" t="str">
        <f>VLOOKUP(Tabla91116[[#This Row],[CODIGO DEL PRODUCTO]],Tabla797[],2,FALSE)</f>
        <v>ARENA FINA</v>
      </c>
      <c r="T1782" s="37">
        <v>37.96</v>
      </c>
    </row>
    <row r="1783" spans="15:20" x14ac:dyDescent="0.25">
      <c r="O1783" s="76">
        <v>104994</v>
      </c>
      <c r="P1783" s="78" t="s">
        <v>683</v>
      </c>
      <c r="Q1783" s="77">
        <v>46227</v>
      </c>
      <c r="R1783" s="78" t="s">
        <v>42</v>
      </c>
      <c r="S1783" s="36" t="str">
        <f>VLOOKUP(Tabla91116[[#This Row],[CODIGO DEL PRODUCTO]],Tabla797[],2,FALSE)</f>
        <v>ARENA FINA</v>
      </c>
      <c r="T1783" s="37">
        <v>35.4</v>
      </c>
    </row>
    <row r="1784" spans="15:20" x14ac:dyDescent="0.25">
      <c r="O1784" s="76">
        <v>104995</v>
      </c>
      <c r="P1784" s="78" t="s">
        <v>683</v>
      </c>
      <c r="Q1784" s="77">
        <v>46227</v>
      </c>
      <c r="R1784" s="78" t="s">
        <v>42</v>
      </c>
      <c r="S1784" s="36" t="str">
        <f>VLOOKUP(Tabla91116[[#This Row],[CODIGO DEL PRODUCTO]],Tabla797[],2,FALSE)</f>
        <v>ARENA FINA</v>
      </c>
      <c r="T1784" s="37">
        <v>36.619999999999997</v>
      </c>
    </row>
    <row r="1785" spans="15:20" x14ac:dyDescent="0.25">
      <c r="O1785" s="76">
        <v>110559</v>
      </c>
      <c r="P1785" s="78" t="s">
        <v>684</v>
      </c>
      <c r="Q1785" s="77">
        <v>46227</v>
      </c>
      <c r="R1785" s="78" t="s">
        <v>43</v>
      </c>
      <c r="S1785" s="36" t="str">
        <f>VLOOKUP(Tabla91116[[#This Row],[CODIGO DEL PRODUCTO]],Tabla797[],2,FALSE)</f>
        <v>PIEDRA 6-20</v>
      </c>
      <c r="T1785" s="37">
        <v>36.04</v>
      </c>
    </row>
    <row r="1786" spans="15:20" x14ac:dyDescent="0.25">
      <c r="O1786" s="76">
        <v>110575</v>
      </c>
      <c r="P1786" s="78" t="s">
        <v>684</v>
      </c>
      <c r="Q1786" s="77">
        <v>46227</v>
      </c>
      <c r="R1786" s="78" t="s">
        <v>43</v>
      </c>
      <c r="S1786" s="36" t="str">
        <f>VLOOKUP(Tabla91116[[#This Row],[CODIGO DEL PRODUCTO]],Tabla797[],2,FALSE)</f>
        <v>PIEDRA 6-20</v>
      </c>
      <c r="T1786" s="37">
        <v>34.86</v>
      </c>
    </row>
    <row r="1787" spans="15:20" x14ac:dyDescent="0.25">
      <c r="O1787" s="76">
        <v>110583</v>
      </c>
      <c r="P1787" s="78" t="s">
        <v>684</v>
      </c>
      <c r="Q1787" s="77">
        <v>46227</v>
      </c>
      <c r="R1787" s="78" t="s">
        <v>43</v>
      </c>
      <c r="S1787" s="36" t="str">
        <f>VLOOKUP(Tabla91116[[#This Row],[CODIGO DEL PRODUCTO]],Tabla797[],2,FALSE)</f>
        <v>PIEDRA 6-20</v>
      </c>
      <c r="T1787" s="37">
        <v>35.76</v>
      </c>
    </row>
    <row r="1788" spans="15:20" x14ac:dyDescent="0.25">
      <c r="O1788" s="76">
        <v>161745</v>
      </c>
      <c r="P1788" s="78" t="s">
        <v>679</v>
      </c>
      <c r="Q1788" s="77">
        <v>46227</v>
      </c>
      <c r="R1788" s="78" t="s">
        <v>43</v>
      </c>
      <c r="S1788" s="36" t="str">
        <f>VLOOKUP(Tabla91116[[#This Row],[CODIGO DEL PRODUCTO]],Tabla797[],2,FALSE)</f>
        <v>PIEDRA 6-20</v>
      </c>
      <c r="T1788" s="37">
        <v>35.520000000000003</v>
      </c>
    </row>
    <row r="1789" spans="15:20" x14ac:dyDescent="0.25">
      <c r="O1789" s="76">
        <v>2722724</v>
      </c>
      <c r="P1789" s="78" t="s">
        <v>679</v>
      </c>
      <c r="Q1789" s="77">
        <v>46227</v>
      </c>
      <c r="R1789" s="78" t="s">
        <v>286</v>
      </c>
      <c r="S1789" s="36" t="str">
        <f>VLOOKUP(Tabla91116[[#This Row],[CODIGO DEL PRODUCTO]],Tabla797[],2,FALSE)</f>
        <v>CPF 40 AVELLANEDA</v>
      </c>
      <c r="T1789" s="37">
        <v>35.58</v>
      </c>
    </row>
    <row r="1790" spans="15:20" x14ac:dyDescent="0.25">
      <c r="O1790" s="76">
        <v>105003</v>
      </c>
      <c r="P1790" s="78" t="s">
        <v>683</v>
      </c>
      <c r="Q1790" s="77">
        <v>46228</v>
      </c>
      <c r="R1790" s="78" t="s">
        <v>42</v>
      </c>
      <c r="S1790" s="36" t="str">
        <f>VLOOKUP(Tabla91116[[#This Row],[CODIGO DEL PRODUCTO]],Tabla797[],2,FALSE)</f>
        <v>ARENA FINA</v>
      </c>
      <c r="T1790" s="37">
        <v>38.520000000000003</v>
      </c>
    </row>
    <row r="1791" spans="15:20" x14ac:dyDescent="0.25">
      <c r="O1791" s="76">
        <v>110584</v>
      </c>
      <c r="P1791" s="78" t="s">
        <v>684</v>
      </c>
      <c r="Q1791" s="77">
        <v>46228</v>
      </c>
      <c r="R1791" s="78" t="s">
        <v>43</v>
      </c>
      <c r="S1791" s="36" t="str">
        <f>VLOOKUP(Tabla91116[[#This Row],[CODIGO DEL PRODUCTO]],Tabla797[],2,FALSE)</f>
        <v>PIEDRA 6-20</v>
      </c>
      <c r="T1791" s="37">
        <v>35.299999999999997</v>
      </c>
    </row>
    <row r="1792" spans="15:20" x14ac:dyDescent="0.25">
      <c r="O1792" s="76">
        <v>161818</v>
      </c>
      <c r="P1792" s="78" t="s">
        <v>679</v>
      </c>
      <c r="Q1792" s="77">
        <v>46228</v>
      </c>
      <c r="R1792" s="78" t="s">
        <v>43</v>
      </c>
      <c r="S1792" s="36" t="str">
        <f>VLOOKUP(Tabla91116[[#This Row],[CODIGO DEL PRODUCTO]],Tabla797[],2,FALSE)</f>
        <v>PIEDRA 6-20</v>
      </c>
      <c r="T1792" s="37">
        <v>35.04</v>
      </c>
    </row>
    <row r="1793" spans="15:20" x14ac:dyDescent="0.25">
      <c r="O1793" s="76">
        <v>2722868</v>
      </c>
      <c r="P1793" s="78" t="s">
        <v>679</v>
      </c>
      <c r="Q1793" s="77">
        <v>46228</v>
      </c>
      <c r="R1793" s="78" t="s">
        <v>286</v>
      </c>
      <c r="S1793" s="36" t="str">
        <f>VLOOKUP(Tabla91116[[#This Row],[CODIGO DEL PRODUCTO]],Tabla797[],2,FALSE)</f>
        <v>CPF 40 AVELLANEDA</v>
      </c>
      <c r="T1793" s="37">
        <v>35.840000000000003</v>
      </c>
    </row>
    <row r="1794" spans="15:20" x14ac:dyDescent="0.25">
      <c r="O1794" s="76">
        <v>110589</v>
      </c>
      <c r="P1794" s="78" t="s">
        <v>684</v>
      </c>
      <c r="Q1794" s="77">
        <v>46230</v>
      </c>
      <c r="R1794" s="78" t="s">
        <v>43</v>
      </c>
      <c r="S1794" s="36" t="str">
        <f>VLOOKUP(Tabla91116[[#This Row],[CODIGO DEL PRODUCTO]],Tabla797[],2,FALSE)</f>
        <v>PIEDRA 6-20</v>
      </c>
      <c r="T1794" s="37">
        <v>34.119999999999997</v>
      </c>
    </row>
    <row r="1795" spans="15:20" x14ac:dyDescent="0.25">
      <c r="O1795" s="76">
        <v>105009</v>
      </c>
      <c r="P1795" s="78" t="s">
        <v>683</v>
      </c>
      <c r="Q1795" s="77">
        <v>46230</v>
      </c>
      <c r="R1795" s="78" t="s">
        <v>42</v>
      </c>
      <c r="S1795" s="36" t="str">
        <f>VLOOKUP(Tabla91116[[#This Row],[CODIGO DEL PRODUCTO]],Tabla797[],2,FALSE)</f>
        <v>ARENA FINA</v>
      </c>
      <c r="T1795" s="37">
        <v>34.82</v>
      </c>
    </row>
    <row r="1796" spans="15:20" x14ac:dyDescent="0.25">
      <c r="O1796" s="76">
        <v>105011</v>
      </c>
      <c r="P1796" s="78" t="s">
        <v>683</v>
      </c>
      <c r="Q1796" s="77">
        <v>46230</v>
      </c>
      <c r="R1796" s="78" t="s">
        <v>42</v>
      </c>
      <c r="S1796" s="36" t="str">
        <f>VLOOKUP(Tabla91116[[#This Row],[CODIGO DEL PRODUCTO]],Tabla797[],2,FALSE)</f>
        <v>ARENA FINA</v>
      </c>
      <c r="T1796" s="37">
        <v>37.479999999999997</v>
      </c>
    </row>
    <row r="1797" spans="15:20" x14ac:dyDescent="0.25">
      <c r="O1797" s="76">
        <v>105020</v>
      </c>
      <c r="P1797" s="78" t="s">
        <v>683</v>
      </c>
      <c r="Q1797" s="77">
        <v>46230</v>
      </c>
      <c r="R1797" s="78" t="s">
        <v>42</v>
      </c>
      <c r="S1797" s="36" t="str">
        <f>VLOOKUP(Tabla91116[[#This Row],[CODIGO DEL PRODUCTO]],Tabla797[],2,FALSE)</f>
        <v>ARENA FINA</v>
      </c>
      <c r="T1797" s="37">
        <v>36.22</v>
      </c>
    </row>
    <row r="1798" spans="15:20" x14ac:dyDescent="0.25">
      <c r="O1798" s="76">
        <v>105022</v>
      </c>
      <c r="P1798" s="78" t="s">
        <v>683</v>
      </c>
      <c r="Q1798" s="77">
        <v>46230</v>
      </c>
      <c r="R1798" s="78" t="s">
        <v>42</v>
      </c>
      <c r="S1798" s="36" t="str">
        <f>VLOOKUP(Tabla91116[[#This Row],[CODIGO DEL PRODUCTO]],Tabla797[],2,FALSE)</f>
        <v>ARENA FINA</v>
      </c>
      <c r="T1798" s="37">
        <v>37.5</v>
      </c>
    </row>
    <row r="1799" spans="15:20" x14ac:dyDescent="0.25">
      <c r="O1799" s="76">
        <v>110601</v>
      </c>
      <c r="P1799" s="78" t="s">
        <v>684</v>
      </c>
      <c r="Q1799" s="77">
        <v>46230</v>
      </c>
      <c r="R1799" s="78" t="s">
        <v>43</v>
      </c>
      <c r="S1799" s="36" t="str">
        <f>VLOOKUP(Tabla91116[[#This Row],[CODIGO DEL PRODUCTO]],Tabla797[],2,FALSE)</f>
        <v>PIEDRA 6-20</v>
      </c>
      <c r="T1799" s="37">
        <v>34.46</v>
      </c>
    </row>
    <row r="1800" spans="15:20" x14ac:dyDescent="0.25">
      <c r="O1800" s="76">
        <v>110612</v>
      </c>
      <c r="P1800" s="78" t="s">
        <v>684</v>
      </c>
      <c r="Q1800" s="77">
        <v>46230</v>
      </c>
      <c r="R1800" s="78" t="s">
        <v>43</v>
      </c>
      <c r="S1800" s="36" t="str">
        <f>VLOOKUP(Tabla91116[[#This Row],[CODIGO DEL PRODUCTO]],Tabla797[],2,FALSE)</f>
        <v>PIEDRA 6-20</v>
      </c>
      <c r="T1800" s="37">
        <v>34.9</v>
      </c>
    </row>
    <row r="1801" spans="15:20" x14ac:dyDescent="0.25">
      <c r="O1801" s="76">
        <v>2723136</v>
      </c>
      <c r="P1801" s="78" t="s">
        <v>679</v>
      </c>
      <c r="Q1801" s="77">
        <v>46230</v>
      </c>
      <c r="R1801" s="78" t="s">
        <v>286</v>
      </c>
      <c r="S1801" s="36" t="str">
        <f>VLOOKUP(Tabla91116[[#This Row],[CODIGO DEL PRODUCTO]],Tabla797[],2,FALSE)</f>
        <v>CPF 40 AVELLANEDA</v>
      </c>
      <c r="T1801" s="37">
        <v>35.619999999999997</v>
      </c>
    </row>
    <row r="1802" spans="15:20" x14ac:dyDescent="0.25">
      <c r="O1802" s="76">
        <v>105027</v>
      </c>
      <c r="P1802" s="78" t="s">
        <v>683</v>
      </c>
      <c r="Q1802" s="77">
        <v>46231</v>
      </c>
      <c r="R1802" s="78" t="s">
        <v>42</v>
      </c>
      <c r="S1802" s="36" t="str">
        <f>VLOOKUP(Tabla91116[[#This Row],[CODIGO DEL PRODUCTO]],Tabla797[],2,FALSE)</f>
        <v>ARENA FINA</v>
      </c>
      <c r="T1802" s="37">
        <v>36.18</v>
      </c>
    </row>
    <row r="1803" spans="15:20" x14ac:dyDescent="0.25">
      <c r="O1803" s="76">
        <v>105028</v>
      </c>
      <c r="P1803" s="78" t="s">
        <v>683</v>
      </c>
      <c r="Q1803" s="77">
        <v>46231</v>
      </c>
      <c r="R1803" s="78" t="s">
        <v>42</v>
      </c>
      <c r="S1803" s="36" t="str">
        <f>VLOOKUP(Tabla91116[[#This Row],[CODIGO DEL PRODUCTO]],Tabla797[],2,FALSE)</f>
        <v>ARENA FINA</v>
      </c>
      <c r="T1803" s="37">
        <v>37.5</v>
      </c>
    </row>
    <row r="1804" spans="15:20" x14ac:dyDescent="0.25">
      <c r="O1804" s="76">
        <v>105033</v>
      </c>
      <c r="P1804" s="78" t="s">
        <v>683</v>
      </c>
      <c r="Q1804" s="77">
        <v>46231</v>
      </c>
      <c r="R1804" s="78" t="s">
        <v>42</v>
      </c>
      <c r="S1804" s="36" t="str">
        <f>VLOOKUP(Tabla91116[[#This Row],[CODIGO DEL PRODUCTO]],Tabla797[],2,FALSE)</f>
        <v>ARENA FINA</v>
      </c>
      <c r="T1804" s="37">
        <v>36.159999999999997</v>
      </c>
    </row>
    <row r="1805" spans="15:20" x14ac:dyDescent="0.25">
      <c r="O1805" s="76">
        <v>110623</v>
      </c>
      <c r="P1805" s="78" t="s">
        <v>684</v>
      </c>
      <c r="Q1805" s="77">
        <v>46231</v>
      </c>
      <c r="R1805" s="78" t="s">
        <v>43</v>
      </c>
      <c r="S1805" s="36" t="str">
        <f>VLOOKUP(Tabla91116[[#This Row],[CODIGO DEL PRODUCTO]],Tabla797[],2,FALSE)</f>
        <v>PIEDRA 6-20</v>
      </c>
      <c r="T1805" s="37">
        <v>34</v>
      </c>
    </row>
    <row r="1806" spans="15:20" x14ac:dyDescent="0.25">
      <c r="O1806" s="76">
        <v>110635</v>
      </c>
      <c r="P1806" s="78" t="s">
        <v>684</v>
      </c>
      <c r="Q1806" s="77">
        <v>46231</v>
      </c>
      <c r="R1806" s="78" t="s">
        <v>43</v>
      </c>
      <c r="S1806" s="36" t="str">
        <f>VLOOKUP(Tabla91116[[#This Row],[CODIGO DEL PRODUCTO]],Tabla797[],2,FALSE)</f>
        <v>PIEDRA 6-20</v>
      </c>
      <c r="T1806" s="37">
        <v>34.479999999999997</v>
      </c>
    </row>
    <row r="1807" spans="15:20" x14ac:dyDescent="0.25">
      <c r="O1807" s="76">
        <v>161929</v>
      </c>
      <c r="P1807" s="78" t="s">
        <v>679</v>
      </c>
      <c r="Q1807" s="77">
        <v>46231</v>
      </c>
      <c r="R1807" s="78" t="s">
        <v>43</v>
      </c>
      <c r="S1807" s="36" t="str">
        <f>VLOOKUP(Tabla91116[[#This Row],[CODIGO DEL PRODUCTO]],Tabla797[],2,FALSE)</f>
        <v>PIEDRA 6-20</v>
      </c>
      <c r="T1807" s="37">
        <v>35.619999999999997</v>
      </c>
    </row>
    <row r="1808" spans="15:20" x14ac:dyDescent="0.25">
      <c r="O1808" s="76">
        <v>105038</v>
      </c>
      <c r="P1808" s="78" t="s">
        <v>683</v>
      </c>
      <c r="Q1808" s="77">
        <v>46232</v>
      </c>
      <c r="R1808" s="78" t="s">
        <v>42</v>
      </c>
      <c r="S1808" s="36" t="str">
        <f>VLOOKUP(Tabla91116[[#This Row],[CODIGO DEL PRODUCTO]],Tabla797[],2,FALSE)</f>
        <v>ARENA FINA</v>
      </c>
      <c r="T1808" s="37">
        <v>36.4</v>
      </c>
    </row>
    <row r="1809" spans="15:20" x14ac:dyDescent="0.25">
      <c r="O1809" s="76">
        <v>105039</v>
      </c>
      <c r="P1809" s="78" t="s">
        <v>683</v>
      </c>
      <c r="Q1809" s="77">
        <v>46232</v>
      </c>
      <c r="R1809" s="78" t="s">
        <v>42</v>
      </c>
      <c r="S1809" s="36" t="str">
        <f>VLOOKUP(Tabla91116[[#This Row],[CODIGO DEL PRODUCTO]],Tabla797[],2,FALSE)</f>
        <v>ARENA FINA</v>
      </c>
      <c r="T1809" s="37">
        <v>36.96</v>
      </c>
    </row>
    <row r="1810" spans="15:20" x14ac:dyDescent="0.25">
      <c r="O1810" s="76">
        <v>105044</v>
      </c>
      <c r="P1810" s="78" t="s">
        <v>683</v>
      </c>
      <c r="Q1810" s="77">
        <v>46232</v>
      </c>
      <c r="R1810" s="78" t="s">
        <v>42</v>
      </c>
      <c r="S1810" s="36" t="str">
        <f>VLOOKUP(Tabla91116[[#This Row],[CODIGO DEL PRODUCTO]],Tabla797[],2,FALSE)</f>
        <v>ARENA FINA</v>
      </c>
      <c r="T1810" s="37">
        <v>36.26</v>
      </c>
    </row>
    <row r="1811" spans="15:20" x14ac:dyDescent="0.25">
      <c r="O1811" s="76">
        <v>105045</v>
      </c>
      <c r="P1811" s="78" t="s">
        <v>683</v>
      </c>
      <c r="Q1811" s="77">
        <v>46232</v>
      </c>
      <c r="R1811" s="78" t="s">
        <v>42</v>
      </c>
      <c r="S1811" s="36" t="str">
        <f>VLOOKUP(Tabla91116[[#This Row],[CODIGO DEL PRODUCTO]],Tabla797[],2,FALSE)</f>
        <v>ARENA FINA</v>
      </c>
      <c r="T1811" s="37">
        <v>36.380000000000003</v>
      </c>
    </row>
    <row r="1812" spans="15:20" x14ac:dyDescent="0.25">
      <c r="O1812" s="76">
        <v>110659</v>
      </c>
      <c r="P1812" s="78" t="s">
        <v>684</v>
      </c>
      <c r="Q1812" s="77">
        <v>46232</v>
      </c>
      <c r="R1812" s="78" t="s">
        <v>46</v>
      </c>
      <c r="S1812" s="36" t="str">
        <f>VLOOKUP(Tabla91116[[#This Row],[CODIGO DEL PRODUCTO]],Tabla797[],2,FALSE)</f>
        <v>PIEDRA 10-30</v>
      </c>
      <c r="T1812" s="37">
        <v>34.840000000000003</v>
      </c>
    </row>
    <row r="1813" spans="15:20" x14ac:dyDescent="0.25">
      <c r="O1813" s="76">
        <v>110660</v>
      </c>
      <c r="P1813" s="78" t="s">
        <v>684</v>
      </c>
      <c r="Q1813" s="77">
        <v>46232</v>
      </c>
      <c r="R1813" s="78" t="s">
        <v>43</v>
      </c>
      <c r="S1813" s="36" t="str">
        <f>VLOOKUP(Tabla91116[[#This Row],[CODIGO DEL PRODUCTO]],Tabla797[],2,FALSE)</f>
        <v>PIEDRA 6-20</v>
      </c>
      <c r="T1813" s="37">
        <v>35.979999999999997</v>
      </c>
    </row>
    <row r="1814" spans="15:20" x14ac:dyDescent="0.25">
      <c r="O1814" s="76">
        <v>110651</v>
      </c>
      <c r="P1814" s="78" t="s">
        <v>684</v>
      </c>
      <c r="Q1814" s="77">
        <v>46232</v>
      </c>
      <c r="R1814" s="78" t="s">
        <v>43</v>
      </c>
      <c r="S1814" s="36" t="str">
        <f>VLOOKUP(Tabla91116[[#This Row],[CODIGO DEL PRODUCTO]],Tabla797[],2,FALSE)</f>
        <v>PIEDRA 6-20</v>
      </c>
      <c r="T1814" s="37">
        <v>34.979999999999997</v>
      </c>
    </row>
    <row r="1815" spans="15:20" x14ac:dyDescent="0.25">
      <c r="O1815" s="76">
        <v>161978</v>
      </c>
      <c r="P1815" s="78" t="s">
        <v>679</v>
      </c>
      <c r="Q1815" s="77">
        <v>46232</v>
      </c>
      <c r="R1815" s="78" t="s">
        <v>43</v>
      </c>
      <c r="S1815" s="36" t="str">
        <f>VLOOKUP(Tabla91116[[#This Row],[CODIGO DEL PRODUCTO]],Tabla797[],2,FALSE)</f>
        <v>PIEDRA 6-20</v>
      </c>
      <c r="T1815" s="37">
        <v>35.799999999999997</v>
      </c>
    </row>
    <row r="1816" spans="15:20" x14ac:dyDescent="0.25">
      <c r="O1816" s="76">
        <v>2723675</v>
      </c>
      <c r="P1816" s="78" t="s">
        <v>679</v>
      </c>
      <c r="Q1816" s="77">
        <v>46232</v>
      </c>
      <c r="R1816" s="78" t="s">
        <v>286</v>
      </c>
      <c r="S1816" s="36" t="str">
        <f>VLOOKUP(Tabla91116[[#This Row],[CODIGO DEL PRODUCTO]],Tabla797[],2,FALSE)</f>
        <v>CPF 40 AVELLANEDA</v>
      </c>
      <c r="T1816" s="37">
        <v>36.159999999999997</v>
      </c>
    </row>
    <row r="1817" spans="15:20" x14ac:dyDescent="0.25">
      <c r="O1817" s="76">
        <v>105051</v>
      </c>
      <c r="P1817" s="78" t="s">
        <v>683</v>
      </c>
      <c r="Q1817" s="77">
        <v>46233</v>
      </c>
      <c r="R1817" s="78" t="s">
        <v>42</v>
      </c>
      <c r="S1817" s="36" t="str">
        <f>VLOOKUP(Tabla91116[[#This Row],[CODIGO DEL PRODUCTO]],Tabla797[],2,FALSE)</f>
        <v>ARENA FINA</v>
      </c>
      <c r="T1817" s="37">
        <v>38.46</v>
      </c>
    </row>
    <row r="1818" spans="15:20" x14ac:dyDescent="0.25">
      <c r="O1818" s="76">
        <v>105052</v>
      </c>
      <c r="P1818" s="78" t="s">
        <v>683</v>
      </c>
      <c r="Q1818" s="77">
        <v>46233</v>
      </c>
      <c r="R1818" s="78" t="s">
        <v>42</v>
      </c>
      <c r="S1818" s="36" t="str">
        <f>VLOOKUP(Tabla91116[[#This Row],[CODIGO DEL PRODUCTO]],Tabla797[],2,FALSE)</f>
        <v>ARENA FINA</v>
      </c>
      <c r="T1818" s="37">
        <v>36.68</v>
      </c>
    </row>
    <row r="1819" spans="15:20" x14ac:dyDescent="0.25">
      <c r="O1819" s="76">
        <v>105059</v>
      </c>
      <c r="P1819" s="78" t="s">
        <v>683</v>
      </c>
      <c r="Q1819" s="77">
        <v>46233</v>
      </c>
      <c r="R1819" s="78" t="s">
        <v>42</v>
      </c>
      <c r="S1819" s="36" t="str">
        <f>VLOOKUP(Tabla91116[[#This Row],[CODIGO DEL PRODUCTO]],Tabla797[],2,FALSE)</f>
        <v>ARENA FINA</v>
      </c>
      <c r="T1819" s="37">
        <v>37.1</v>
      </c>
    </row>
    <row r="1820" spans="15:20" x14ac:dyDescent="0.25">
      <c r="O1820" s="76">
        <v>112685</v>
      </c>
      <c r="P1820" s="78" t="s">
        <v>683</v>
      </c>
      <c r="Q1820" s="77">
        <v>46233</v>
      </c>
      <c r="R1820" s="78" t="s">
        <v>42</v>
      </c>
      <c r="S1820" s="36" t="str">
        <f>VLOOKUP(Tabla91116[[#This Row],[CODIGO DEL PRODUCTO]],Tabla797[],2,FALSE)</f>
        <v>ARENA FINA</v>
      </c>
      <c r="T1820" s="37">
        <v>35.94</v>
      </c>
    </row>
    <row r="1821" spans="15:20" x14ac:dyDescent="0.25">
      <c r="O1821" s="76">
        <v>110672</v>
      </c>
      <c r="P1821" s="78" t="s">
        <v>684</v>
      </c>
      <c r="Q1821" s="77">
        <v>46233</v>
      </c>
      <c r="R1821" s="78" t="s">
        <v>46</v>
      </c>
      <c r="S1821" s="36" t="str">
        <f>VLOOKUP(Tabla91116[[#This Row],[CODIGO DEL PRODUCTO]],Tabla797[],2,FALSE)</f>
        <v>PIEDRA 10-30</v>
      </c>
      <c r="T1821" s="37">
        <v>34.979999999999997</v>
      </c>
    </row>
    <row r="1822" spans="15:20" x14ac:dyDescent="0.25">
      <c r="O1822" s="76">
        <v>110681</v>
      </c>
      <c r="P1822" s="78" t="s">
        <v>684</v>
      </c>
      <c r="Q1822" s="77">
        <v>46233</v>
      </c>
      <c r="R1822" s="78" t="s">
        <v>43</v>
      </c>
      <c r="S1822" s="36" t="str">
        <f>VLOOKUP(Tabla91116[[#This Row],[CODIGO DEL PRODUCTO]],Tabla797[],2,FALSE)</f>
        <v>PIEDRA 6-20</v>
      </c>
      <c r="T1822" s="37">
        <v>34.5</v>
      </c>
    </row>
    <row r="1823" spans="15:20" x14ac:dyDescent="0.25">
      <c r="O1823" s="76">
        <v>110691</v>
      </c>
      <c r="P1823" s="78" t="s">
        <v>684</v>
      </c>
      <c r="Q1823" s="77">
        <v>46233</v>
      </c>
      <c r="R1823" s="78" t="s">
        <v>43</v>
      </c>
      <c r="S1823" s="36" t="str">
        <f>VLOOKUP(Tabla91116[[#This Row],[CODIGO DEL PRODUCTO]],Tabla797[],2,FALSE)</f>
        <v>PIEDRA 6-20</v>
      </c>
      <c r="T1823" s="37">
        <v>34.299999999999997</v>
      </c>
    </row>
    <row r="1824" spans="15:20" x14ac:dyDescent="0.25">
      <c r="O1824" s="76">
        <v>110695</v>
      </c>
      <c r="P1824" s="78" t="s">
        <v>684</v>
      </c>
      <c r="Q1824" s="77">
        <v>46233</v>
      </c>
      <c r="R1824" s="78" t="s">
        <v>40</v>
      </c>
      <c r="S1824" s="36" t="str">
        <f>VLOOKUP(Tabla91116[[#This Row],[CODIGO DEL PRODUCTO]],Tabla797[],2,FALSE)</f>
        <v>PIEDRA 0-6</v>
      </c>
      <c r="T1824" s="37">
        <v>35.26</v>
      </c>
    </row>
    <row r="1825" spans="15:21" x14ac:dyDescent="0.25">
      <c r="O1825" s="76">
        <v>110700</v>
      </c>
      <c r="P1825" s="78" t="s">
        <v>684</v>
      </c>
      <c r="Q1825" s="77">
        <v>46233</v>
      </c>
      <c r="R1825" s="78" t="s">
        <v>43</v>
      </c>
      <c r="S1825" s="36" t="str">
        <f>VLOOKUP(Tabla91116[[#This Row],[CODIGO DEL PRODUCTO]],Tabla797[],2,FALSE)</f>
        <v>PIEDRA 6-20</v>
      </c>
      <c r="T1825" s="37">
        <v>34.979999999999997</v>
      </c>
    </row>
    <row r="1826" spans="15:21" x14ac:dyDescent="0.25">
      <c r="O1826" s="76">
        <v>162040</v>
      </c>
      <c r="P1826" s="78" t="s">
        <v>679</v>
      </c>
      <c r="Q1826" s="77">
        <v>46233</v>
      </c>
      <c r="R1826" s="78" t="s">
        <v>43</v>
      </c>
      <c r="S1826" s="36" t="str">
        <f>VLOOKUP(Tabla91116[[#This Row],[CODIGO DEL PRODUCTO]],Tabla797[],2,FALSE)</f>
        <v>PIEDRA 6-20</v>
      </c>
      <c r="T1826" s="37">
        <v>35.5</v>
      </c>
    </row>
    <row r="1827" spans="15:21" x14ac:dyDescent="0.25">
      <c r="O1827" s="76">
        <v>2724002</v>
      </c>
      <c r="P1827" s="78" t="s">
        <v>679</v>
      </c>
      <c r="Q1827" s="77">
        <v>46233</v>
      </c>
      <c r="R1827" s="78" t="s">
        <v>286</v>
      </c>
      <c r="S1827" s="36" t="str">
        <f>VLOOKUP(Tabla91116[[#This Row],[CODIGO DEL PRODUCTO]],Tabla797[],2,FALSE)</f>
        <v>CPF 40 AVELLANEDA</v>
      </c>
      <c r="T1827" s="37">
        <v>35.380000000000003</v>
      </c>
    </row>
    <row r="1828" spans="15:21" x14ac:dyDescent="0.25">
      <c r="O1828" s="76">
        <v>49722</v>
      </c>
      <c r="P1828" s="78" t="s">
        <v>449</v>
      </c>
      <c r="Q1828" s="77">
        <v>46234</v>
      </c>
      <c r="R1828" s="78" t="s">
        <v>425</v>
      </c>
      <c r="S1828" s="36" t="str">
        <f>VLOOKUP(Tabla91116[[#This Row],[CODIGO DEL PRODUCTO]],Tabla797[],2,FALSE)</f>
        <v>W351R</v>
      </c>
      <c r="T1828" s="37">
        <v>2</v>
      </c>
    </row>
    <row r="1829" spans="15:21" x14ac:dyDescent="0.25">
      <c r="O1829" s="76">
        <v>105064</v>
      </c>
      <c r="P1829" s="78" t="s">
        <v>683</v>
      </c>
      <c r="Q1829" s="77">
        <v>46234</v>
      </c>
      <c r="R1829" s="78" t="s">
        <v>42</v>
      </c>
      <c r="S1829" s="36" t="str">
        <f>VLOOKUP(Tabla91116[[#This Row],[CODIGO DEL PRODUCTO]],Tabla797[],2,FALSE)</f>
        <v>ARENA FINA</v>
      </c>
      <c r="T1829" s="37">
        <v>36.119999999999997</v>
      </c>
    </row>
    <row r="1830" spans="15:21" x14ac:dyDescent="0.25">
      <c r="O1830" s="76">
        <v>105065</v>
      </c>
      <c r="P1830" s="78" t="s">
        <v>683</v>
      </c>
      <c r="Q1830" s="77">
        <v>46234</v>
      </c>
      <c r="R1830" s="78" t="s">
        <v>42</v>
      </c>
      <c r="S1830" s="36" t="str">
        <f>VLOOKUP(Tabla91116[[#This Row],[CODIGO DEL PRODUCTO]],Tabla797[],2,FALSE)</f>
        <v>ARENA FINA</v>
      </c>
      <c r="T1830" s="37">
        <v>37.42</v>
      </c>
    </row>
    <row r="1831" spans="15:21" x14ac:dyDescent="0.25">
      <c r="O1831" s="76">
        <v>105067</v>
      </c>
      <c r="P1831" s="78" t="s">
        <v>683</v>
      </c>
      <c r="Q1831" s="77">
        <v>46234</v>
      </c>
      <c r="R1831" s="78" t="s">
        <v>42</v>
      </c>
      <c r="S1831" s="36" t="str">
        <f>VLOOKUP(Tabla91116[[#This Row],[CODIGO DEL PRODUCTO]],Tabla797[],2,FALSE)</f>
        <v>ARENA FINA</v>
      </c>
      <c r="T1831" s="37">
        <v>36.200000000000003</v>
      </c>
    </row>
    <row r="1832" spans="15:21" x14ac:dyDescent="0.25">
      <c r="O1832" s="76">
        <v>105068</v>
      </c>
      <c r="P1832" s="78" t="s">
        <v>683</v>
      </c>
      <c r="Q1832" s="77">
        <v>46234</v>
      </c>
      <c r="R1832" s="78" t="s">
        <v>42</v>
      </c>
      <c r="S1832" s="36" t="str">
        <f>VLOOKUP(Tabla91116[[#This Row],[CODIGO DEL PRODUCTO]],Tabla797[],2,FALSE)</f>
        <v>ARENA FINA</v>
      </c>
      <c r="T1832" s="37">
        <v>37.08</v>
      </c>
    </row>
    <row r="1833" spans="15:21" x14ac:dyDescent="0.25">
      <c r="O1833" s="76">
        <v>110713</v>
      </c>
      <c r="P1833" s="78" t="s">
        <v>684</v>
      </c>
      <c r="Q1833" s="77">
        <v>46234</v>
      </c>
      <c r="R1833" s="78" t="s">
        <v>43</v>
      </c>
      <c r="S1833" s="36" t="str">
        <f>VLOOKUP(Tabla91116[[#This Row],[CODIGO DEL PRODUCTO]],Tabla797[],2,FALSE)</f>
        <v>PIEDRA 6-20</v>
      </c>
      <c r="T1833" s="37">
        <v>34.700000000000003</v>
      </c>
    </row>
    <row r="1834" spans="15:21" x14ac:dyDescent="0.25">
      <c r="O1834" s="76">
        <v>110719</v>
      </c>
      <c r="P1834" s="78" t="s">
        <v>684</v>
      </c>
      <c r="Q1834" s="77">
        <v>46234</v>
      </c>
      <c r="R1834" s="78" t="s">
        <v>43</v>
      </c>
      <c r="S1834" s="36" t="str">
        <f>VLOOKUP(Tabla91116[[#This Row],[CODIGO DEL PRODUCTO]],Tabla797[],2,FALSE)</f>
        <v>PIEDRA 6-20</v>
      </c>
      <c r="T1834" s="37">
        <v>35.14</v>
      </c>
    </row>
    <row r="1835" spans="15:21" x14ac:dyDescent="0.25">
      <c r="O1835" s="76">
        <v>162109</v>
      </c>
      <c r="P1835" s="78" t="s">
        <v>679</v>
      </c>
      <c r="Q1835" s="77">
        <v>46234</v>
      </c>
      <c r="R1835" s="78" t="s">
        <v>43</v>
      </c>
      <c r="S1835" s="36" t="str">
        <f>VLOOKUP(Tabla91116[[#This Row],[CODIGO DEL PRODUCTO]],Tabla797[],2,FALSE)</f>
        <v>PIEDRA 6-20</v>
      </c>
      <c r="T1835" s="37">
        <v>35.82</v>
      </c>
    </row>
    <row r="1836" spans="15:21" x14ac:dyDescent="0.25">
      <c r="O1836" s="76">
        <v>162157</v>
      </c>
      <c r="P1836" s="78" t="s">
        <v>679</v>
      </c>
      <c r="Q1836" s="77">
        <v>46234</v>
      </c>
      <c r="R1836" s="78" t="s">
        <v>43</v>
      </c>
      <c r="S1836" s="36" t="str">
        <f>VLOOKUP(Tabla91116[[#This Row],[CODIGO DEL PRODUCTO]],Tabla797[],2,FALSE)</f>
        <v>PIEDRA 6-20</v>
      </c>
      <c r="T1836" s="37">
        <v>35.299999999999997</v>
      </c>
    </row>
    <row r="1837" spans="15:21" x14ac:dyDescent="0.25">
      <c r="O1837" s="76">
        <v>2724317</v>
      </c>
      <c r="P1837" s="78" t="s">
        <v>679</v>
      </c>
      <c r="Q1837" s="77">
        <v>46234</v>
      </c>
      <c r="R1837" s="78" t="s">
        <v>286</v>
      </c>
      <c r="S1837" s="36" t="str">
        <f>VLOOKUP(Tabla91116[[#This Row],[CODIGO DEL PRODUCTO]],Tabla797[],2,FALSE)</f>
        <v>CPF 40 AVELLANEDA</v>
      </c>
      <c r="T1837" s="37">
        <v>35.840000000000003</v>
      </c>
    </row>
    <row r="1838" spans="15:21" x14ac:dyDescent="0.25">
      <c r="O1838" s="76">
        <v>105070</v>
      </c>
      <c r="P1838" s="78" t="s">
        <v>683</v>
      </c>
      <c r="Q1838" s="77">
        <v>46235</v>
      </c>
      <c r="R1838" s="78" t="s">
        <v>42</v>
      </c>
      <c r="S1838" s="36" t="str">
        <f>VLOOKUP(Tabla91116[[#This Row],[CODIGO DEL PRODUCTO]],Tabla797[],2,FALSE)</f>
        <v>ARENA FINA</v>
      </c>
      <c r="T1838" s="37">
        <v>38.159999999999997</v>
      </c>
    </row>
    <row r="1839" spans="15:21" x14ac:dyDescent="0.25">
      <c r="O1839" s="76">
        <v>162190</v>
      </c>
      <c r="P1839" s="78" t="s">
        <v>679</v>
      </c>
      <c r="Q1839" s="77">
        <v>46235</v>
      </c>
      <c r="R1839" s="78" t="s">
        <v>43</v>
      </c>
      <c r="S1839" s="36" t="str">
        <f>VLOOKUP(Tabla91116[[#This Row],[CODIGO DEL PRODUCTO]],Tabla797[],2,FALSE)</f>
        <v>PIEDRA 6-20</v>
      </c>
      <c r="T1839" s="37">
        <v>35.619999999999997</v>
      </c>
    </row>
    <row r="1840" spans="15:21" x14ac:dyDescent="0.25">
      <c r="O1840" s="76">
        <v>162202</v>
      </c>
      <c r="P1840" s="78" t="s">
        <v>679</v>
      </c>
      <c r="Q1840" s="77">
        <v>46235</v>
      </c>
      <c r="R1840" s="78" t="s">
        <v>43</v>
      </c>
      <c r="S1840" s="36" t="str">
        <f>VLOOKUP(Tabla91116[[#This Row],[CODIGO DEL PRODUCTO]],Tabla797[],2,FALSE)</f>
        <v>PIEDRA 6-20</v>
      </c>
      <c r="T1840" s="37">
        <v>35.479999999999997</v>
      </c>
      <c r="U1840" s="7"/>
    </row>
    <row r="1841" spans="15:20" x14ac:dyDescent="0.25">
      <c r="O1841" s="76">
        <v>2724465</v>
      </c>
      <c r="P1841" s="78" t="s">
        <v>679</v>
      </c>
      <c r="Q1841" s="77">
        <v>46235</v>
      </c>
      <c r="R1841" s="78" t="s">
        <v>286</v>
      </c>
      <c r="S1841" s="36" t="str">
        <f>VLOOKUP(Tabla91116[[#This Row],[CODIGO DEL PRODUCTO]],Tabla797[],2,FALSE)</f>
        <v>CPF 40 AVELLANEDA</v>
      </c>
      <c r="T1841" s="37">
        <v>35.119999999999997</v>
      </c>
    </row>
    <row r="1842" spans="15:20" x14ac:dyDescent="0.25">
      <c r="O1842" s="76">
        <v>100930</v>
      </c>
      <c r="P1842" s="78" t="s">
        <v>680</v>
      </c>
      <c r="Q1842" s="77">
        <v>46235</v>
      </c>
      <c r="R1842" s="78" t="s">
        <v>42</v>
      </c>
      <c r="S1842" s="36" t="str">
        <f>VLOOKUP(Tabla91116[[#This Row],[CODIGO DEL PRODUCTO]],Tabla797[],2,FALSE)</f>
        <v>ARENA FINA</v>
      </c>
      <c r="T1842" s="37">
        <v>50.62</v>
      </c>
    </row>
    <row r="1843" spans="15:20" x14ac:dyDescent="0.25">
      <c r="O1843" s="76">
        <v>99680</v>
      </c>
      <c r="P1843" s="78" t="s">
        <v>680</v>
      </c>
      <c r="Q1843" s="77">
        <v>46235</v>
      </c>
      <c r="R1843" s="78" t="s">
        <v>42</v>
      </c>
      <c r="S1843" s="36" t="str">
        <f>VLOOKUP(Tabla91116[[#This Row],[CODIGO DEL PRODUCTO]],Tabla797[],2,FALSE)</f>
        <v>ARENA FINA</v>
      </c>
      <c r="T1843" s="37">
        <v>54.16</v>
      </c>
    </row>
    <row r="1844" spans="15:20" x14ac:dyDescent="0.25">
      <c r="O1844" s="76">
        <v>105075</v>
      </c>
      <c r="P1844" s="78" t="s">
        <v>683</v>
      </c>
      <c r="Q1844" s="77">
        <v>46237</v>
      </c>
      <c r="R1844" s="78" t="s">
        <v>42</v>
      </c>
      <c r="S1844" s="36" t="str">
        <f>VLOOKUP(Tabla91116[[#This Row],[CODIGO DEL PRODUCTO]],Tabla797[],2,FALSE)</f>
        <v>ARENA FINA</v>
      </c>
      <c r="T1844" s="37">
        <v>36.5</v>
      </c>
    </row>
    <row r="1845" spans="15:20" x14ac:dyDescent="0.25">
      <c r="O1845" s="76">
        <v>110741</v>
      </c>
      <c r="P1845" s="78" t="s">
        <v>684</v>
      </c>
      <c r="Q1845" s="77">
        <v>46237</v>
      </c>
      <c r="R1845" s="78" t="s">
        <v>43</v>
      </c>
      <c r="S1845" s="36" t="str">
        <f>VLOOKUP(Tabla91116[[#This Row],[CODIGO DEL PRODUCTO]],Tabla797[],2,FALSE)</f>
        <v>PIEDRA 6-20</v>
      </c>
      <c r="T1845" s="37">
        <v>35.08</v>
      </c>
    </row>
    <row r="1846" spans="15:20" x14ac:dyDescent="0.25">
      <c r="O1846" s="76">
        <v>110749</v>
      </c>
      <c r="P1846" s="78" t="s">
        <v>684</v>
      </c>
      <c r="Q1846" s="77">
        <v>46237</v>
      </c>
      <c r="R1846" s="78" t="s">
        <v>40</v>
      </c>
      <c r="S1846" s="36" t="str">
        <f>VLOOKUP(Tabla91116[[#This Row],[CODIGO DEL PRODUCTO]],Tabla797[],2,FALSE)</f>
        <v>PIEDRA 0-6</v>
      </c>
      <c r="T1846" s="37">
        <v>36.04</v>
      </c>
    </row>
    <row r="1847" spans="15:20" x14ac:dyDescent="0.25">
      <c r="O1847" s="76">
        <v>110758</v>
      </c>
      <c r="P1847" s="78" t="s">
        <v>684</v>
      </c>
      <c r="Q1847" s="77">
        <v>46237</v>
      </c>
      <c r="R1847" s="78" t="s">
        <v>40</v>
      </c>
      <c r="S1847" s="36" t="str">
        <f>VLOOKUP(Tabla91116[[#This Row],[CODIGO DEL PRODUCTO]],Tabla797[],2,FALSE)</f>
        <v>PIEDRA 0-6</v>
      </c>
      <c r="T1847" s="37">
        <v>35.520000000000003</v>
      </c>
    </row>
    <row r="1848" spans="15:20" x14ac:dyDescent="0.25">
      <c r="O1848" s="76">
        <v>162308</v>
      </c>
      <c r="P1848" s="78" t="s">
        <v>836</v>
      </c>
      <c r="Q1848" s="77">
        <v>46237</v>
      </c>
      <c r="R1848" s="78" t="s">
        <v>43</v>
      </c>
      <c r="S1848" s="36" t="str">
        <f>VLOOKUP(Tabla91116[[#This Row],[CODIGO DEL PRODUCTO]],Tabla797[],2,FALSE)</f>
        <v>PIEDRA 6-20</v>
      </c>
      <c r="T1848" s="37">
        <v>35.96</v>
      </c>
    </row>
    <row r="1849" spans="15:20" x14ac:dyDescent="0.25">
      <c r="O1849" s="76">
        <v>2724737</v>
      </c>
      <c r="P1849" s="78" t="s">
        <v>836</v>
      </c>
      <c r="Q1849" s="77">
        <v>46237</v>
      </c>
      <c r="R1849" s="78" t="s">
        <v>286</v>
      </c>
      <c r="S1849" s="36" t="str">
        <f>VLOOKUP(Tabla91116[[#This Row],[CODIGO DEL PRODUCTO]],Tabla797[],2,FALSE)</f>
        <v>CPF 40 AVELLANEDA</v>
      </c>
      <c r="T1849" s="37">
        <v>34.6</v>
      </c>
    </row>
    <row r="1850" spans="15:20" x14ac:dyDescent="0.25">
      <c r="O1850" s="76">
        <v>105087</v>
      </c>
      <c r="P1850" s="78" t="s">
        <v>683</v>
      </c>
      <c r="Q1850" s="77">
        <v>46238</v>
      </c>
      <c r="R1850" s="78" t="s">
        <v>42</v>
      </c>
      <c r="S1850" s="36" t="str">
        <f>VLOOKUP(Tabla91116[[#This Row],[CODIGO DEL PRODUCTO]],Tabla797[],2,FALSE)</f>
        <v>ARENA FINA</v>
      </c>
      <c r="T1850" s="37">
        <v>35.979999999999997</v>
      </c>
    </row>
    <row r="1851" spans="15:20" x14ac:dyDescent="0.25">
      <c r="O1851" s="76">
        <v>105088</v>
      </c>
      <c r="P1851" s="78" t="s">
        <v>683</v>
      </c>
      <c r="Q1851" s="77">
        <v>46238</v>
      </c>
      <c r="R1851" s="78" t="s">
        <v>42</v>
      </c>
      <c r="S1851" s="36" t="str">
        <f>VLOOKUP(Tabla91116[[#This Row],[CODIGO DEL PRODUCTO]],Tabla797[],2,FALSE)</f>
        <v>ARENA FINA</v>
      </c>
      <c r="T1851" s="37">
        <v>37.14</v>
      </c>
    </row>
    <row r="1852" spans="15:20" x14ac:dyDescent="0.25">
      <c r="O1852" s="76">
        <v>105097</v>
      </c>
      <c r="P1852" s="78" t="s">
        <v>683</v>
      </c>
      <c r="Q1852" s="77">
        <v>46238</v>
      </c>
      <c r="R1852" s="78" t="s">
        <v>42</v>
      </c>
      <c r="S1852" s="36" t="str">
        <f>VLOOKUP(Tabla91116[[#This Row],[CODIGO DEL PRODUCTO]],Tabla797[],2,FALSE)</f>
        <v>ARENA FINA</v>
      </c>
      <c r="T1852" s="37">
        <v>35.86</v>
      </c>
    </row>
    <row r="1853" spans="15:20" x14ac:dyDescent="0.25">
      <c r="O1853" s="76">
        <v>110767</v>
      </c>
      <c r="P1853" s="78" t="s">
        <v>684</v>
      </c>
      <c r="Q1853" s="77">
        <v>46238</v>
      </c>
      <c r="R1853" s="78" t="s">
        <v>43</v>
      </c>
      <c r="S1853" s="36" t="str">
        <f>VLOOKUP(Tabla91116[[#This Row],[CODIGO DEL PRODUCTO]],Tabla797[],2,FALSE)</f>
        <v>PIEDRA 6-20</v>
      </c>
      <c r="T1853" s="37">
        <v>35.5</v>
      </c>
    </row>
    <row r="1854" spans="15:20" x14ac:dyDescent="0.25">
      <c r="O1854" s="76">
        <v>110775</v>
      </c>
      <c r="P1854" s="78" t="s">
        <v>684</v>
      </c>
      <c r="Q1854" s="77">
        <v>46238</v>
      </c>
      <c r="R1854" s="78" t="s">
        <v>40</v>
      </c>
      <c r="S1854" s="36" t="str">
        <f>VLOOKUP(Tabla91116[[#This Row],[CODIGO DEL PRODUCTO]],Tabla797[],2,FALSE)</f>
        <v>PIEDRA 0-6</v>
      </c>
      <c r="T1854" s="37">
        <v>36.22</v>
      </c>
    </row>
    <row r="1855" spans="15:20" x14ac:dyDescent="0.25">
      <c r="O1855" s="76">
        <v>110781</v>
      </c>
      <c r="P1855" s="78" t="s">
        <v>684</v>
      </c>
      <c r="Q1855" s="77">
        <v>46238</v>
      </c>
      <c r="R1855" s="78" t="s">
        <v>40</v>
      </c>
      <c r="S1855" s="36" t="str">
        <f>VLOOKUP(Tabla91116[[#This Row],[CODIGO DEL PRODUCTO]],Tabla797[],2,FALSE)</f>
        <v>PIEDRA 0-6</v>
      </c>
      <c r="T1855" s="37">
        <v>34.9</v>
      </c>
    </row>
    <row r="1856" spans="15:20" x14ac:dyDescent="0.25">
      <c r="O1856" s="76">
        <v>162326</v>
      </c>
      <c r="P1856" s="78" t="s">
        <v>679</v>
      </c>
      <c r="Q1856" s="77">
        <v>46238</v>
      </c>
      <c r="R1856" s="78" t="s">
        <v>43</v>
      </c>
      <c r="S1856" s="36" t="str">
        <f>VLOOKUP(Tabla91116[[#This Row],[CODIGO DEL PRODUCTO]],Tabla797[],2,FALSE)</f>
        <v>PIEDRA 6-20</v>
      </c>
      <c r="T1856" s="37">
        <v>35.74</v>
      </c>
    </row>
    <row r="1857" spans="15:20" x14ac:dyDescent="0.25">
      <c r="O1857" s="76">
        <v>105103</v>
      </c>
      <c r="P1857" s="78" t="s">
        <v>683</v>
      </c>
      <c r="Q1857" s="77">
        <v>46239</v>
      </c>
      <c r="R1857" s="78" t="s">
        <v>42</v>
      </c>
      <c r="S1857" s="36" t="str">
        <f>VLOOKUP(Tabla91116[[#This Row],[CODIGO DEL PRODUCTO]],Tabla797[],2,FALSE)</f>
        <v>ARENA FINA</v>
      </c>
      <c r="T1857" s="37">
        <v>36.72</v>
      </c>
    </row>
    <row r="1858" spans="15:20" x14ac:dyDescent="0.25">
      <c r="O1858" s="76">
        <v>105105</v>
      </c>
      <c r="P1858" s="78" t="s">
        <v>683</v>
      </c>
      <c r="Q1858" s="77">
        <v>46239</v>
      </c>
      <c r="R1858" s="78" t="s">
        <v>42</v>
      </c>
      <c r="S1858" s="36" t="str">
        <f>VLOOKUP(Tabla91116[[#This Row],[CODIGO DEL PRODUCTO]],Tabla797[],2,FALSE)</f>
        <v>ARENA FINA</v>
      </c>
      <c r="T1858" s="37">
        <v>37.58</v>
      </c>
    </row>
    <row r="1859" spans="15:20" x14ac:dyDescent="0.25">
      <c r="O1859" s="76">
        <v>105107</v>
      </c>
      <c r="P1859" s="78" t="s">
        <v>683</v>
      </c>
      <c r="Q1859" s="77">
        <v>46239</v>
      </c>
      <c r="R1859" s="78" t="s">
        <v>42</v>
      </c>
      <c r="S1859" s="36" t="str">
        <f>VLOOKUP(Tabla91116[[#This Row],[CODIGO DEL PRODUCTO]],Tabla797[],2,FALSE)</f>
        <v>ARENA FINA</v>
      </c>
      <c r="T1859" s="37">
        <v>37.200000000000003</v>
      </c>
    </row>
    <row r="1860" spans="15:20" x14ac:dyDescent="0.25">
      <c r="O1860" s="76">
        <v>110792</v>
      </c>
      <c r="P1860" s="78" t="s">
        <v>684</v>
      </c>
      <c r="Q1860" s="77">
        <v>46239</v>
      </c>
      <c r="R1860" s="78" t="s">
        <v>43</v>
      </c>
      <c r="S1860" s="36" t="str">
        <f>VLOOKUP(Tabla91116[[#This Row],[CODIGO DEL PRODUCTO]],Tabla797[],2,FALSE)</f>
        <v>PIEDRA 6-20</v>
      </c>
      <c r="T1860" s="37">
        <v>35.46</v>
      </c>
    </row>
    <row r="1861" spans="15:20" x14ac:dyDescent="0.25">
      <c r="O1861" s="76">
        <v>110800</v>
      </c>
      <c r="P1861" s="78" t="s">
        <v>684</v>
      </c>
      <c r="Q1861" s="77">
        <v>46239</v>
      </c>
      <c r="R1861" s="78" t="s">
        <v>40</v>
      </c>
      <c r="S1861" s="36" t="str">
        <f>VLOOKUP(Tabla91116[[#This Row],[CODIGO DEL PRODUCTO]],Tabla797[],2,FALSE)</f>
        <v>PIEDRA 0-6</v>
      </c>
      <c r="T1861" s="37">
        <v>35.979999999999997</v>
      </c>
    </row>
    <row r="1862" spans="15:20" x14ac:dyDescent="0.25">
      <c r="O1862" s="76">
        <v>110801</v>
      </c>
      <c r="P1862" s="78" t="s">
        <v>684</v>
      </c>
      <c r="Q1862" s="77">
        <v>46239</v>
      </c>
      <c r="R1862" s="78" t="s">
        <v>40</v>
      </c>
      <c r="S1862" s="36" t="str">
        <f>VLOOKUP(Tabla91116[[#This Row],[CODIGO DEL PRODUCTO]],Tabla797[],2,FALSE)</f>
        <v>PIEDRA 0-6</v>
      </c>
      <c r="T1862" s="37">
        <v>34.46</v>
      </c>
    </row>
    <row r="1863" spans="15:20" x14ac:dyDescent="0.25">
      <c r="O1863" s="76">
        <v>110802</v>
      </c>
      <c r="P1863" s="78" t="s">
        <v>684</v>
      </c>
      <c r="Q1863" s="77">
        <v>46239</v>
      </c>
      <c r="R1863" s="78" t="s">
        <v>43</v>
      </c>
      <c r="S1863" s="36" t="str">
        <f>VLOOKUP(Tabla91116[[#This Row],[CODIGO DEL PRODUCTO]],Tabla797[],2,FALSE)</f>
        <v>PIEDRA 6-20</v>
      </c>
      <c r="T1863" s="37">
        <v>35.18</v>
      </c>
    </row>
    <row r="1864" spans="15:20" x14ac:dyDescent="0.25">
      <c r="O1864" s="76">
        <v>162389</v>
      </c>
      <c r="P1864" s="78" t="s">
        <v>679</v>
      </c>
      <c r="Q1864" s="77">
        <v>46239</v>
      </c>
      <c r="R1864" s="78" t="s">
        <v>43</v>
      </c>
      <c r="S1864" s="36" t="str">
        <f>VLOOKUP(Tabla91116[[#This Row],[CODIGO DEL PRODUCTO]],Tabla797[],2,FALSE)</f>
        <v>PIEDRA 6-20</v>
      </c>
      <c r="T1864" s="37">
        <v>35.799999999999997</v>
      </c>
    </row>
    <row r="1865" spans="15:20" x14ac:dyDescent="0.25">
      <c r="O1865" s="76">
        <v>105111</v>
      </c>
      <c r="P1865" s="78" t="s">
        <v>683</v>
      </c>
      <c r="Q1865" s="77">
        <v>46240</v>
      </c>
      <c r="R1865" s="78" t="s">
        <v>42</v>
      </c>
      <c r="S1865" s="36" t="str">
        <f>VLOOKUP(Tabla91116[[#This Row],[CODIGO DEL PRODUCTO]],Tabla797[],2,FALSE)</f>
        <v>ARENA FINA</v>
      </c>
      <c r="T1865" s="37">
        <v>37.28</v>
      </c>
    </row>
    <row r="1866" spans="15:20" x14ac:dyDescent="0.25">
      <c r="O1866" s="76">
        <v>105116</v>
      </c>
      <c r="P1866" s="78" t="s">
        <v>683</v>
      </c>
      <c r="Q1866" s="77">
        <v>46240</v>
      </c>
      <c r="R1866" s="78" t="s">
        <v>42</v>
      </c>
      <c r="S1866" s="36" t="str">
        <f>VLOOKUP(Tabla91116[[#This Row],[CODIGO DEL PRODUCTO]],Tabla797[],2,FALSE)</f>
        <v>ARENA FINA</v>
      </c>
      <c r="T1866" s="37">
        <v>36.840000000000003</v>
      </c>
    </row>
    <row r="1867" spans="15:20" x14ac:dyDescent="0.25">
      <c r="O1867" s="76">
        <v>110809</v>
      </c>
      <c r="P1867" s="78" t="s">
        <v>684</v>
      </c>
      <c r="Q1867" s="77">
        <v>46240</v>
      </c>
      <c r="R1867" s="78" t="s">
        <v>43</v>
      </c>
      <c r="S1867" s="36" t="str">
        <f>VLOOKUP(Tabla91116[[#This Row],[CODIGO DEL PRODUCTO]],Tabla797[],2,FALSE)</f>
        <v>PIEDRA 6-20</v>
      </c>
      <c r="T1867" s="37">
        <v>35.619999999999997</v>
      </c>
    </row>
    <row r="1868" spans="15:20" x14ac:dyDescent="0.25">
      <c r="O1868" s="76">
        <v>110814</v>
      </c>
      <c r="P1868" s="78" t="s">
        <v>684</v>
      </c>
      <c r="Q1868" s="77">
        <v>46240</v>
      </c>
      <c r="R1868" s="78" t="s">
        <v>40</v>
      </c>
      <c r="S1868" s="36" t="str">
        <f>VLOOKUP(Tabla91116[[#This Row],[CODIGO DEL PRODUCTO]],Tabla797[],2,FALSE)</f>
        <v>PIEDRA 0-6</v>
      </c>
      <c r="T1868" s="37">
        <v>35.6</v>
      </c>
    </row>
    <row r="1869" spans="15:20" x14ac:dyDescent="0.25">
      <c r="O1869" s="76">
        <v>110816</v>
      </c>
      <c r="P1869" s="78" t="s">
        <v>684</v>
      </c>
      <c r="Q1869" s="77">
        <v>46240</v>
      </c>
      <c r="R1869" s="78" t="s">
        <v>40</v>
      </c>
      <c r="S1869" s="36" t="str">
        <f>VLOOKUP(Tabla91116[[#This Row],[CODIGO DEL PRODUCTO]],Tabla797[],2,FALSE)</f>
        <v>PIEDRA 0-6</v>
      </c>
      <c r="T1869" s="37">
        <v>34.86</v>
      </c>
    </row>
    <row r="1870" spans="15:20" x14ac:dyDescent="0.25">
      <c r="O1870" s="76">
        <v>110820</v>
      </c>
      <c r="P1870" s="78" t="s">
        <v>684</v>
      </c>
      <c r="Q1870" s="77">
        <v>46240</v>
      </c>
      <c r="R1870" s="78" t="s">
        <v>40</v>
      </c>
      <c r="S1870" s="36" t="str">
        <f>VLOOKUP(Tabla91116[[#This Row],[CODIGO DEL PRODUCTO]],Tabla797[],2,FALSE)</f>
        <v>PIEDRA 0-6</v>
      </c>
      <c r="T1870" s="37">
        <v>33.840000000000003</v>
      </c>
    </row>
    <row r="1871" spans="15:20" x14ac:dyDescent="0.25">
      <c r="O1871" s="76">
        <v>162452</v>
      </c>
      <c r="P1871" s="78" t="s">
        <v>679</v>
      </c>
      <c r="Q1871" s="77">
        <v>46240</v>
      </c>
      <c r="R1871" s="78" t="s">
        <v>43</v>
      </c>
      <c r="S1871" s="36" t="str">
        <f>VLOOKUP(Tabla91116[[#This Row],[CODIGO DEL PRODUCTO]],Tabla797[],2,FALSE)</f>
        <v>PIEDRA 6-20</v>
      </c>
      <c r="T1871" s="37">
        <v>35.979999999999997</v>
      </c>
    </row>
    <row r="1872" spans="15:20" x14ac:dyDescent="0.25">
      <c r="O1872" s="76">
        <v>2725407</v>
      </c>
      <c r="P1872" s="78" t="s">
        <v>679</v>
      </c>
      <c r="Q1872" s="77">
        <v>46240</v>
      </c>
      <c r="R1872" s="78" t="s">
        <v>286</v>
      </c>
      <c r="S1872" s="36" t="str">
        <f>VLOOKUP(Tabla91116[[#This Row],[CODIGO DEL PRODUCTO]],Tabla797[],2,FALSE)</f>
        <v>CPF 40 AVELLANEDA</v>
      </c>
      <c r="T1872" s="37">
        <v>35.4</v>
      </c>
    </row>
    <row r="1873" spans="15:20" x14ac:dyDescent="0.25">
      <c r="O1873" s="76"/>
      <c r="P1873" s="78"/>
      <c r="Q1873" s="77"/>
      <c r="R1873" s="78"/>
      <c r="S1873" s="36" t="e">
        <f>VLOOKUP(Tabla91116[[#This Row],[CODIGO DEL PRODUCTO]],Tabla797[],2,FALSE)</f>
        <v>#N/A</v>
      </c>
      <c r="T1873" s="37"/>
    </row>
    <row r="1874" spans="15:20" x14ac:dyDescent="0.25">
      <c r="O1874" s="76"/>
      <c r="P1874" s="78"/>
      <c r="Q1874" s="77"/>
      <c r="R1874" s="78"/>
      <c r="S1874" s="36" t="e">
        <f>VLOOKUP(Tabla91116[[#This Row],[CODIGO DEL PRODUCTO]],Tabla797[],2,FALSE)</f>
        <v>#N/A</v>
      </c>
      <c r="T1874" s="37"/>
    </row>
    <row r="1875" spans="15:20" x14ac:dyDescent="0.25">
      <c r="O1875" s="76"/>
      <c r="P1875" s="78"/>
      <c r="Q1875" s="77"/>
      <c r="R1875" s="78"/>
      <c r="S1875" s="36" t="e">
        <f>VLOOKUP(Tabla91116[[#This Row],[CODIGO DEL PRODUCTO]],Tabla797[],2,FALSE)</f>
        <v>#N/A</v>
      </c>
      <c r="T1875" s="37"/>
    </row>
    <row r="1876" spans="15:20" x14ac:dyDescent="0.25">
      <c r="O1876" s="76"/>
      <c r="P1876" s="78"/>
      <c r="Q1876" s="77"/>
      <c r="R1876" s="78"/>
      <c r="S1876" s="36" t="e">
        <f>VLOOKUP(Tabla91116[[#This Row],[CODIGO DEL PRODUCTO]],Tabla797[],2,FALSE)</f>
        <v>#N/A</v>
      </c>
      <c r="T1876" s="37"/>
    </row>
    <row r="1877" spans="15:20" x14ac:dyDescent="0.25">
      <c r="O1877" s="76"/>
      <c r="P1877" s="78"/>
      <c r="Q1877" s="77"/>
      <c r="R1877" s="78"/>
      <c r="S1877" s="36" t="e">
        <f>VLOOKUP(Tabla91116[[#This Row],[CODIGO DEL PRODUCTO]],Tabla797[],2,FALSE)</f>
        <v>#N/A</v>
      </c>
      <c r="T1877" s="37"/>
    </row>
    <row r="1878" spans="15:20" x14ac:dyDescent="0.25">
      <c r="O1878" s="76"/>
      <c r="P1878" s="78"/>
      <c r="Q1878" s="77"/>
      <c r="R1878" s="78"/>
      <c r="S1878" s="36" t="e">
        <f>VLOOKUP(Tabla91116[[#This Row],[CODIGO DEL PRODUCTO]],Tabla797[],2,FALSE)</f>
        <v>#N/A</v>
      </c>
      <c r="T1878" s="37"/>
    </row>
    <row r="1879" spans="15:20" x14ac:dyDescent="0.25">
      <c r="O1879" s="76"/>
      <c r="P1879" s="78"/>
      <c r="Q1879" s="77"/>
      <c r="R1879" s="78"/>
      <c r="S1879" s="36" t="e">
        <f>VLOOKUP(Tabla91116[[#This Row],[CODIGO DEL PRODUCTO]],Tabla797[],2,FALSE)</f>
        <v>#N/A</v>
      </c>
      <c r="T1879" s="37"/>
    </row>
    <row r="1880" spans="15:20" x14ac:dyDescent="0.25">
      <c r="O1880" s="76"/>
      <c r="P1880" s="78"/>
      <c r="Q1880" s="77"/>
      <c r="R1880" s="78"/>
      <c r="S1880" s="36" t="e">
        <f>VLOOKUP(Tabla91116[[#This Row],[CODIGO DEL PRODUCTO]],Tabla797[],2,FALSE)</f>
        <v>#N/A</v>
      </c>
      <c r="T1880" s="37"/>
    </row>
    <row r="1881" spans="15:20" x14ac:dyDescent="0.25">
      <c r="O1881" s="76"/>
      <c r="P1881" s="78"/>
      <c r="Q1881" s="77"/>
      <c r="R1881" s="78"/>
      <c r="S1881" s="36" t="e">
        <f>VLOOKUP(Tabla91116[[#This Row],[CODIGO DEL PRODUCTO]],Tabla797[],2,FALSE)</f>
        <v>#N/A</v>
      </c>
      <c r="T1881" s="37"/>
    </row>
    <row r="1882" spans="15:20" x14ac:dyDescent="0.25">
      <c r="O1882" s="76"/>
      <c r="P1882" s="78"/>
      <c r="Q1882" s="77"/>
      <c r="R1882" s="78"/>
      <c r="S1882" s="36" t="e">
        <f>VLOOKUP(Tabla91116[[#This Row],[CODIGO DEL PRODUCTO]],Tabla797[],2,FALSE)</f>
        <v>#N/A</v>
      </c>
      <c r="T1882" s="37"/>
    </row>
    <row r="1883" spans="15:20" x14ac:dyDescent="0.25">
      <c r="O1883" s="76"/>
      <c r="P1883" s="78"/>
      <c r="Q1883" s="77"/>
      <c r="R1883" s="78"/>
      <c r="S1883" s="36" t="e">
        <f>VLOOKUP(Tabla91116[[#This Row],[CODIGO DEL PRODUCTO]],Tabla797[],2,FALSE)</f>
        <v>#N/A</v>
      </c>
      <c r="T1883" s="37"/>
    </row>
    <row r="1884" spans="15:20" x14ac:dyDescent="0.25">
      <c r="O1884" s="76"/>
      <c r="P1884" s="78"/>
      <c r="Q1884" s="77"/>
      <c r="R1884" s="78"/>
      <c r="S1884" s="36" t="e">
        <f>VLOOKUP(Tabla91116[[#This Row],[CODIGO DEL PRODUCTO]],Tabla797[],2,FALSE)</f>
        <v>#N/A</v>
      </c>
      <c r="T1884" s="37"/>
    </row>
    <row r="1885" spans="15:20" x14ac:dyDescent="0.25">
      <c r="O1885" s="76"/>
      <c r="P1885" s="78"/>
      <c r="Q1885" s="77"/>
      <c r="R1885" s="78"/>
      <c r="S1885" s="36" t="e">
        <f>VLOOKUP(Tabla91116[[#This Row],[CODIGO DEL PRODUCTO]],Tabla797[],2,FALSE)</f>
        <v>#N/A</v>
      </c>
      <c r="T1885" s="37"/>
    </row>
    <row r="1886" spans="15:20" x14ac:dyDescent="0.25">
      <c r="O1886" s="76"/>
      <c r="P1886" s="78"/>
      <c r="Q1886" s="77"/>
      <c r="R1886" s="78"/>
      <c r="S1886" s="36" t="e">
        <f>VLOOKUP(Tabla91116[[#This Row],[CODIGO DEL PRODUCTO]],Tabla797[],2,FALSE)</f>
        <v>#N/A</v>
      </c>
      <c r="T1886" s="37"/>
    </row>
    <row r="1887" spans="15:20" x14ac:dyDescent="0.25">
      <c r="O1887" s="76"/>
      <c r="P1887" s="78"/>
      <c r="Q1887" s="77"/>
      <c r="R1887" s="78"/>
      <c r="S1887" s="36" t="e">
        <f>VLOOKUP(Tabla91116[[#This Row],[CODIGO DEL PRODUCTO]],Tabla797[],2,FALSE)</f>
        <v>#N/A</v>
      </c>
      <c r="T1887" s="37"/>
    </row>
    <row r="1888" spans="15:20" x14ac:dyDescent="0.25">
      <c r="O1888" s="76"/>
      <c r="P1888" s="78"/>
      <c r="Q1888" s="77"/>
      <c r="R1888" s="78"/>
      <c r="S1888" s="36" t="e">
        <f>VLOOKUP(Tabla91116[[#This Row],[CODIGO DEL PRODUCTO]],Tabla797[],2,FALSE)</f>
        <v>#N/A</v>
      </c>
      <c r="T1888" s="37"/>
    </row>
    <row r="1889" spans="15:20" x14ac:dyDescent="0.25">
      <c r="O1889" s="76"/>
      <c r="P1889" s="78"/>
      <c r="Q1889" s="77"/>
      <c r="R1889" s="78"/>
      <c r="S1889" s="36" t="e">
        <f>VLOOKUP(Tabla91116[[#This Row],[CODIGO DEL PRODUCTO]],Tabla797[],2,FALSE)</f>
        <v>#N/A</v>
      </c>
      <c r="T1889" s="37"/>
    </row>
    <row r="1890" spans="15:20" x14ac:dyDescent="0.25">
      <c r="O1890" s="76"/>
      <c r="P1890" s="78"/>
      <c r="Q1890" s="77"/>
      <c r="R1890" s="78"/>
      <c r="S1890" s="36" t="e">
        <f>VLOOKUP(Tabla91116[[#This Row],[CODIGO DEL PRODUCTO]],Tabla797[],2,FALSE)</f>
        <v>#N/A</v>
      </c>
      <c r="T1890" s="37"/>
    </row>
    <row r="1891" spans="15:20" x14ac:dyDescent="0.25">
      <c r="O1891" s="76"/>
      <c r="P1891" s="78"/>
      <c r="Q1891" s="77"/>
      <c r="R1891" s="78"/>
      <c r="S1891" s="36" t="e">
        <f>VLOOKUP(Tabla91116[[#This Row],[CODIGO DEL PRODUCTO]],Tabla797[],2,FALSE)</f>
        <v>#N/A</v>
      </c>
      <c r="T1891" s="37"/>
    </row>
    <row r="1892" spans="15:20" x14ac:dyDescent="0.25">
      <c r="O1892" s="76"/>
      <c r="P1892" s="78"/>
      <c r="Q1892" s="77"/>
      <c r="R1892" s="78"/>
      <c r="S1892" s="36" t="e">
        <f>VLOOKUP(Tabla91116[[#This Row],[CODIGO DEL PRODUCTO]],Tabla797[],2,FALSE)</f>
        <v>#N/A</v>
      </c>
      <c r="T1892" s="37"/>
    </row>
    <row r="1893" spans="15:20" x14ac:dyDescent="0.25">
      <c r="O1893" s="76"/>
      <c r="P1893" s="78"/>
      <c r="Q1893" s="77"/>
      <c r="R1893" s="78"/>
      <c r="S1893" s="36" t="e">
        <f>VLOOKUP(Tabla91116[[#This Row],[CODIGO DEL PRODUCTO]],Tabla797[],2,FALSE)</f>
        <v>#N/A</v>
      </c>
      <c r="T1893" s="37"/>
    </row>
    <row r="1894" spans="15:20" x14ac:dyDescent="0.25">
      <c r="O1894" s="76"/>
      <c r="P1894" s="78"/>
      <c r="Q1894" s="77"/>
      <c r="R1894" s="78"/>
      <c r="S1894" s="36" t="e">
        <f>VLOOKUP(Tabla91116[[#This Row],[CODIGO DEL PRODUCTO]],Tabla797[],2,FALSE)</f>
        <v>#N/A</v>
      </c>
      <c r="T1894" s="37"/>
    </row>
    <row r="1895" spans="15:20" x14ac:dyDescent="0.25">
      <c r="O1895" s="76"/>
      <c r="P1895" s="78"/>
      <c r="Q1895" s="77"/>
      <c r="R1895" s="78"/>
      <c r="S1895" s="36" t="e">
        <f>VLOOKUP(Tabla91116[[#This Row],[CODIGO DEL PRODUCTO]],Tabla797[],2,FALSE)</f>
        <v>#N/A</v>
      </c>
      <c r="T1895" s="37"/>
    </row>
    <row r="1896" spans="15:20" x14ac:dyDescent="0.25">
      <c r="O1896" s="76"/>
      <c r="P1896" s="78"/>
      <c r="Q1896" s="77"/>
      <c r="R1896" s="78"/>
      <c r="S1896" s="36" t="e">
        <f>VLOOKUP(Tabla91116[[#This Row],[CODIGO DEL PRODUCTO]],Tabla797[],2,FALSE)</f>
        <v>#N/A</v>
      </c>
      <c r="T1896" s="37"/>
    </row>
    <row r="1897" spans="15:20" x14ac:dyDescent="0.25">
      <c r="O1897" s="76"/>
      <c r="P1897" s="78"/>
      <c r="Q1897" s="77"/>
      <c r="R1897" s="78"/>
      <c r="S1897" s="36" t="e">
        <f>VLOOKUP(Tabla91116[[#This Row],[CODIGO DEL PRODUCTO]],Tabla797[],2,FALSE)</f>
        <v>#N/A</v>
      </c>
      <c r="T1897" s="37"/>
    </row>
    <row r="1898" spans="15:20" x14ac:dyDescent="0.25">
      <c r="O1898" s="76"/>
      <c r="P1898" s="78"/>
      <c r="Q1898" s="77"/>
      <c r="R1898" s="78"/>
      <c r="S1898" s="36" t="e">
        <f>VLOOKUP(Tabla91116[[#This Row],[CODIGO DEL PRODUCTO]],Tabla797[],2,FALSE)</f>
        <v>#N/A</v>
      </c>
      <c r="T1898" s="37"/>
    </row>
    <row r="1899" spans="15:20" x14ac:dyDescent="0.25">
      <c r="O1899" s="76"/>
      <c r="P1899" s="78"/>
      <c r="Q1899" s="77"/>
      <c r="R1899" s="78"/>
      <c r="S1899" s="36" t="e">
        <f>VLOOKUP(Tabla91116[[#This Row],[CODIGO DEL PRODUCTO]],Tabla797[],2,FALSE)</f>
        <v>#N/A</v>
      </c>
      <c r="T1899" s="37"/>
    </row>
    <row r="1900" spans="15:20" x14ac:dyDescent="0.25">
      <c r="O1900" s="76"/>
      <c r="P1900" s="78"/>
      <c r="Q1900" s="77"/>
      <c r="R1900" s="78"/>
      <c r="S1900" s="36" t="e">
        <f>VLOOKUP(Tabla91116[[#This Row],[CODIGO DEL PRODUCTO]],Tabla797[],2,FALSE)</f>
        <v>#N/A</v>
      </c>
      <c r="T1900" s="37"/>
    </row>
    <row r="1901" spans="15:20" x14ac:dyDescent="0.25">
      <c r="O1901" s="76"/>
      <c r="P1901" s="78"/>
      <c r="Q1901" s="77"/>
      <c r="R1901" s="78"/>
      <c r="S1901" s="36" t="e">
        <f>VLOOKUP(Tabla91116[[#This Row],[CODIGO DEL PRODUCTO]],Tabla797[],2,FALSE)</f>
        <v>#N/A</v>
      </c>
      <c r="T1901" s="37"/>
    </row>
    <row r="1902" spans="15:20" x14ac:dyDescent="0.25">
      <c r="O1902" s="76"/>
      <c r="P1902" s="78"/>
      <c r="Q1902" s="77"/>
      <c r="R1902" s="78"/>
      <c r="S1902" s="36" t="e">
        <f>VLOOKUP(Tabla91116[[#This Row],[CODIGO DEL PRODUCTO]],Tabla797[],2,FALSE)</f>
        <v>#N/A</v>
      </c>
      <c r="T1902" s="37"/>
    </row>
    <row r="1903" spans="15:20" x14ac:dyDescent="0.25">
      <c r="O1903" s="76"/>
      <c r="P1903" s="78"/>
      <c r="Q1903" s="77"/>
      <c r="R1903" s="78"/>
      <c r="S1903" s="36" t="e">
        <f>VLOOKUP(Tabla91116[[#This Row],[CODIGO DEL PRODUCTO]],Tabla797[],2,FALSE)</f>
        <v>#N/A</v>
      </c>
      <c r="T1903" s="37"/>
    </row>
    <row r="1904" spans="15:20" x14ac:dyDescent="0.25">
      <c r="O1904" s="76"/>
      <c r="P1904" s="78"/>
      <c r="Q1904" s="77"/>
      <c r="R1904" s="78"/>
      <c r="S1904" s="36" t="e">
        <f>VLOOKUP(Tabla91116[[#This Row],[CODIGO DEL PRODUCTO]],Tabla797[],2,FALSE)</f>
        <v>#N/A</v>
      </c>
      <c r="T1904" s="37"/>
    </row>
    <row r="1905" spans="15:20" x14ac:dyDescent="0.25">
      <c r="O1905" s="76"/>
      <c r="P1905" s="78"/>
      <c r="Q1905" s="77"/>
      <c r="R1905" s="78"/>
      <c r="S1905" s="36" t="e">
        <f>VLOOKUP(Tabla91116[[#This Row],[CODIGO DEL PRODUCTO]],Tabla797[],2,FALSE)</f>
        <v>#N/A</v>
      </c>
      <c r="T1905" s="37"/>
    </row>
    <row r="1906" spans="15:20" x14ac:dyDescent="0.25">
      <c r="O1906" s="76"/>
      <c r="P1906" s="78"/>
      <c r="Q1906" s="77"/>
      <c r="R1906" s="78"/>
      <c r="S1906" s="36" t="e">
        <f>VLOOKUP(Tabla91116[[#This Row],[CODIGO DEL PRODUCTO]],Tabla797[],2,FALSE)</f>
        <v>#N/A</v>
      </c>
      <c r="T1906" s="37"/>
    </row>
    <row r="1907" spans="15:20" x14ac:dyDescent="0.25">
      <c r="O1907" s="76"/>
      <c r="P1907" s="78"/>
      <c r="Q1907" s="77"/>
      <c r="R1907" s="78"/>
      <c r="S1907" s="36" t="e">
        <f>VLOOKUP(Tabla91116[[#This Row],[CODIGO DEL PRODUCTO]],Tabla797[],2,FALSE)</f>
        <v>#N/A</v>
      </c>
      <c r="T1907" s="37"/>
    </row>
    <row r="1908" spans="15:20" x14ac:dyDescent="0.25">
      <c r="O1908" s="76"/>
      <c r="P1908" s="78"/>
      <c r="Q1908" s="77"/>
      <c r="R1908" s="78"/>
      <c r="S1908" s="36" t="e">
        <f>VLOOKUP(Tabla91116[[#This Row],[CODIGO DEL PRODUCTO]],Tabla797[],2,FALSE)</f>
        <v>#N/A</v>
      </c>
      <c r="T1908" s="37"/>
    </row>
    <row r="1909" spans="15:20" x14ac:dyDescent="0.25">
      <c r="O1909" s="76"/>
      <c r="P1909" s="78"/>
      <c r="Q1909" s="77"/>
      <c r="R1909" s="78"/>
      <c r="S1909" s="36" t="e">
        <f>VLOOKUP(Tabla91116[[#This Row],[CODIGO DEL PRODUCTO]],Tabla797[],2,FALSE)</f>
        <v>#N/A</v>
      </c>
      <c r="T1909" s="37"/>
    </row>
    <row r="1910" spans="15:20" x14ac:dyDescent="0.25">
      <c r="O1910" s="76"/>
      <c r="P1910" s="78"/>
      <c r="Q1910" s="77"/>
      <c r="R1910" s="78"/>
      <c r="S1910" s="36" t="e">
        <f>VLOOKUP(Tabla91116[[#This Row],[CODIGO DEL PRODUCTO]],Tabla797[],2,FALSE)</f>
        <v>#N/A</v>
      </c>
      <c r="T1910" s="37"/>
    </row>
    <row r="1911" spans="15:20" x14ac:dyDescent="0.25">
      <c r="O1911" s="76"/>
      <c r="P1911" s="78"/>
      <c r="Q1911" s="77"/>
      <c r="R1911" s="78"/>
      <c r="S1911" s="36" t="e">
        <f>VLOOKUP(Tabla91116[[#This Row],[CODIGO DEL PRODUCTO]],Tabla797[],2,FALSE)</f>
        <v>#N/A</v>
      </c>
      <c r="T1911" s="37"/>
    </row>
    <row r="1912" spans="15:20" x14ac:dyDescent="0.25">
      <c r="O1912" s="76"/>
      <c r="P1912" s="78"/>
      <c r="Q1912" s="77"/>
      <c r="R1912" s="78"/>
      <c r="S1912" s="36" t="e">
        <f>VLOOKUP(Tabla91116[[#This Row],[CODIGO DEL PRODUCTO]],Tabla797[],2,FALSE)</f>
        <v>#N/A</v>
      </c>
      <c r="T1912" s="37"/>
    </row>
    <row r="1913" spans="15:20" x14ac:dyDescent="0.25">
      <c r="O1913" s="76"/>
      <c r="P1913" s="78"/>
      <c r="Q1913" s="77"/>
      <c r="R1913" s="78"/>
      <c r="S1913" s="36" t="e">
        <f>VLOOKUP(Tabla91116[[#This Row],[CODIGO DEL PRODUCTO]],Tabla797[],2,FALSE)</f>
        <v>#N/A</v>
      </c>
      <c r="T1913" s="37"/>
    </row>
    <row r="1914" spans="15:20" x14ac:dyDescent="0.25">
      <c r="O1914" s="76"/>
      <c r="P1914" s="78"/>
      <c r="Q1914" s="77"/>
      <c r="R1914" s="78"/>
      <c r="S1914" s="36" t="e">
        <f>VLOOKUP(Tabla91116[[#This Row],[CODIGO DEL PRODUCTO]],Tabla797[],2,FALSE)</f>
        <v>#N/A</v>
      </c>
      <c r="T1914" s="37"/>
    </row>
    <row r="1915" spans="15:20" x14ac:dyDescent="0.25">
      <c r="O1915" s="76"/>
      <c r="P1915" s="78"/>
      <c r="Q1915" s="77"/>
      <c r="R1915" s="78"/>
      <c r="S1915" s="36" t="e">
        <f>VLOOKUP(Tabla91116[[#This Row],[CODIGO DEL PRODUCTO]],Tabla797[],2,FALSE)</f>
        <v>#N/A</v>
      </c>
      <c r="T1915" s="37"/>
    </row>
    <row r="1916" spans="15:20" x14ac:dyDescent="0.25">
      <c r="O1916" s="76"/>
      <c r="P1916" s="78"/>
      <c r="Q1916" s="77"/>
      <c r="R1916" s="78"/>
      <c r="S1916" s="36" t="e">
        <f>VLOOKUP(Tabla91116[[#This Row],[CODIGO DEL PRODUCTO]],Tabla797[],2,FALSE)</f>
        <v>#N/A</v>
      </c>
      <c r="T1916" s="37"/>
    </row>
    <row r="1917" spans="15:20" x14ac:dyDescent="0.25">
      <c r="O1917" s="76"/>
      <c r="P1917" s="78"/>
      <c r="Q1917" s="77"/>
      <c r="R1917" s="78"/>
      <c r="S1917" s="36" t="e">
        <f>VLOOKUP(Tabla91116[[#This Row],[CODIGO DEL PRODUCTO]],Tabla797[],2,FALSE)</f>
        <v>#N/A</v>
      </c>
      <c r="T1917" s="37"/>
    </row>
    <row r="1918" spans="15:20" x14ac:dyDescent="0.25">
      <c r="O1918" s="76"/>
      <c r="P1918" s="78"/>
      <c r="Q1918" s="77"/>
      <c r="R1918" s="78"/>
      <c r="S1918" s="36" t="e">
        <f>VLOOKUP(Tabla91116[[#This Row],[CODIGO DEL PRODUCTO]],Tabla797[],2,FALSE)</f>
        <v>#N/A</v>
      </c>
      <c r="T1918" s="37"/>
    </row>
    <row r="1919" spans="15:20" x14ac:dyDescent="0.25">
      <c r="O1919" s="76"/>
      <c r="P1919" s="78"/>
      <c r="Q1919" s="77"/>
      <c r="R1919" s="78"/>
      <c r="S1919" s="36" t="e">
        <f>VLOOKUP(Tabla91116[[#This Row],[CODIGO DEL PRODUCTO]],Tabla797[],2,FALSE)</f>
        <v>#N/A</v>
      </c>
      <c r="T1919" s="37"/>
    </row>
    <row r="1920" spans="15:20" x14ac:dyDescent="0.25">
      <c r="O1920" s="76"/>
      <c r="P1920" s="78"/>
      <c r="Q1920" s="77"/>
      <c r="R1920" s="78"/>
      <c r="S1920" s="36" t="e">
        <f>VLOOKUP(Tabla91116[[#This Row],[CODIGO DEL PRODUCTO]],Tabla797[],2,FALSE)</f>
        <v>#N/A</v>
      </c>
      <c r="T1920" s="37"/>
    </row>
    <row r="1921" spans="15:20" x14ac:dyDescent="0.25">
      <c r="O1921" s="76"/>
      <c r="P1921" s="78"/>
      <c r="Q1921" s="77"/>
      <c r="R1921" s="78"/>
      <c r="S1921" s="36" t="e">
        <f>VLOOKUP(Tabla91116[[#This Row],[CODIGO DEL PRODUCTO]],Tabla797[],2,FALSE)</f>
        <v>#N/A</v>
      </c>
      <c r="T1921" s="37"/>
    </row>
    <row r="1922" spans="15:20" x14ac:dyDescent="0.25">
      <c r="O1922" s="76"/>
      <c r="P1922" s="78"/>
      <c r="Q1922" s="77"/>
      <c r="R1922" s="78"/>
      <c r="S1922" s="36" t="e">
        <f>VLOOKUP(Tabla91116[[#This Row],[CODIGO DEL PRODUCTO]],Tabla797[],2,FALSE)</f>
        <v>#N/A</v>
      </c>
      <c r="T1922" s="37"/>
    </row>
    <row r="1923" spans="15:20" x14ac:dyDescent="0.25">
      <c r="O1923" s="76"/>
      <c r="P1923" s="78"/>
      <c r="Q1923" s="77"/>
      <c r="R1923" s="78"/>
      <c r="S1923" s="36" t="e">
        <f>VLOOKUP(Tabla91116[[#This Row],[CODIGO DEL PRODUCTO]],Tabla797[],2,FALSE)</f>
        <v>#N/A</v>
      </c>
      <c r="T1923" s="37"/>
    </row>
    <row r="1924" spans="15:20" x14ac:dyDescent="0.25">
      <c r="O1924" s="76"/>
      <c r="P1924" s="78"/>
      <c r="Q1924" s="77"/>
      <c r="R1924" s="78"/>
      <c r="S1924" s="36" t="e">
        <f>VLOOKUP(Tabla91116[[#This Row],[CODIGO DEL PRODUCTO]],Tabla797[],2,FALSE)</f>
        <v>#N/A</v>
      </c>
      <c r="T1924" s="37"/>
    </row>
    <row r="1925" spans="15:20" x14ac:dyDescent="0.25">
      <c r="O1925" s="76"/>
      <c r="P1925" s="78"/>
      <c r="Q1925" s="77"/>
      <c r="R1925" s="78"/>
      <c r="S1925" s="36" t="e">
        <f>VLOOKUP(Tabla91116[[#This Row],[CODIGO DEL PRODUCTO]],Tabla797[],2,FALSE)</f>
        <v>#N/A</v>
      </c>
      <c r="T1925" s="37"/>
    </row>
    <row r="1926" spans="15:20" x14ac:dyDescent="0.25">
      <c r="O1926" s="76"/>
      <c r="P1926" s="78"/>
      <c r="Q1926" s="77"/>
      <c r="R1926" s="78"/>
      <c r="S1926" s="36" t="e">
        <f>VLOOKUP(Tabla91116[[#This Row],[CODIGO DEL PRODUCTO]],Tabla797[],2,FALSE)</f>
        <v>#N/A</v>
      </c>
      <c r="T1926" s="37"/>
    </row>
    <row r="1927" spans="15:20" x14ac:dyDescent="0.25">
      <c r="O1927" s="76"/>
      <c r="P1927" s="78"/>
      <c r="Q1927" s="77"/>
      <c r="R1927" s="78"/>
      <c r="S1927" s="36" t="e">
        <f>VLOOKUP(Tabla91116[[#This Row],[CODIGO DEL PRODUCTO]],Tabla797[],2,FALSE)</f>
        <v>#N/A</v>
      </c>
      <c r="T1927" s="37"/>
    </row>
    <row r="1928" spans="15:20" x14ac:dyDescent="0.25">
      <c r="O1928" s="76"/>
      <c r="P1928" s="78"/>
      <c r="Q1928" s="77"/>
      <c r="R1928" s="78"/>
      <c r="S1928" s="36" t="e">
        <f>VLOOKUP(Tabla91116[[#This Row],[CODIGO DEL PRODUCTO]],Tabla797[],2,FALSE)</f>
        <v>#N/A</v>
      </c>
      <c r="T1928" s="37"/>
    </row>
    <row r="1929" spans="15:20" x14ac:dyDescent="0.25">
      <c r="O1929" s="76"/>
      <c r="P1929" s="78"/>
      <c r="Q1929" s="77"/>
      <c r="R1929" s="78"/>
      <c r="S1929" s="36" t="e">
        <f>VLOOKUP(Tabla91116[[#This Row],[CODIGO DEL PRODUCTO]],Tabla797[],2,FALSE)</f>
        <v>#N/A</v>
      </c>
      <c r="T1929" s="37"/>
    </row>
    <row r="1930" spans="15:20" x14ac:dyDescent="0.25">
      <c r="O1930" s="76"/>
      <c r="P1930" s="78"/>
      <c r="Q1930" s="77"/>
      <c r="R1930" s="78"/>
      <c r="S1930" s="36" t="e">
        <f>VLOOKUP(Tabla91116[[#This Row],[CODIGO DEL PRODUCTO]],Tabla797[],2,FALSE)</f>
        <v>#N/A</v>
      </c>
      <c r="T1930" s="37"/>
    </row>
    <row r="1931" spans="15:20" x14ac:dyDescent="0.25">
      <c r="O1931" s="76"/>
      <c r="P1931" s="78"/>
      <c r="Q1931" s="77"/>
      <c r="R1931" s="78"/>
      <c r="S1931" s="36" t="e">
        <f>VLOOKUP(Tabla91116[[#This Row],[CODIGO DEL PRODUCTO]],Tabla797[],2,FALSE)</f>
        <v>#N/A</v>
      </c>
      <c r="T1931" s="37"/>
    </row>
    <row r="1932" spans="15:20" x14ac:dyDescent="0.25">
      <c r="O1932" s="76"/>
      <c r="P1932" s="78"/>
      <c r="Q1932" s="77"/>
      <c r="R1932" s="78"/>
      <c r="S1932" s="36" t="e">
        <f>VLOOKUP(Tabla91116[[#This Row],[CODIGO DEL PRODUCTO]],Tabla797[],2,FALSE)</f>
        <v>#N/A</v>
      </c>
      <c r="T1932" s="37"/>
    </row>
    <row r="1933" spans="15:20" x14ac:dyDescent="0.25">
      <c r="O1933" s="76"/>
      <c r="P1933" s="78"/>
      <c r="Q1933" s="77"/>
      <c r="R1933" s="78"/>
      <c r="S1933" s="36" t="e">
        <f>VLOOKUP(Tabla91116[[#This Row],[CODIGO DEL PRODUCTO]],Tabla797[],2,FALSE)</f>
        <v>#N/A</v>
      </c>
      <c r="T1933" s="37"/>
    </row>
    <row r="1934" spans="15:20" x14ac:dyDescent="0.25">
      <c r="O1934" s="76"/>
      <c r="P1934" s="78"/>
      <c r="Q1934" s="77"/>
      <c r="R1934" s="78"/>
      <c r="S1934" s="36" t="e">
        <f>VLOOKUP(Tabla91116[[#This Row],[CODIGO DEL PRODUCTO]],Tabla797[],2,FALSE)</f>
        <v>#N/A</v>
      </c>
      <c r="T1934" s="37"/>
    </row>
    <row r="1935" spans="15:20" x14ac:dyDescent="0.25">
      <c r="O1935" s="76"/>
      <c r="P1935" s="78"/>
      <c r="Q1935" s="77"/>
      <c r="R1935" s="78"/>
      <c r="S1935" s="36" t="e">
        <f>VLOOKUP(Tabla91116[[#This Row],[CODIGO DEL PRODUCTO]],Tabla797[],2,FALSE)</f>
        <v>#N/A</v>
      </c>
      <c r="T1935" s="37"/>
    </row>
    <row r="1936" spans="15:20" x14ac:dyDescent="0.25">
      <c r="O1936" s="76"/>
      <c r="P1936" s="78"/>
      <c r="Q1936" s="77"/>
      <c r="R1936" s="78"/>
      <c r="S1936" s="36" t="e">
        <f>VLOOKUP(Tabla91116[[#This Row],[CODIGO DEL PRODUCTO]],Tabla797[],2,FALSE)</f>
        <v>#N/A</v>
      </c>
      <c r="T1936" s="37"/>
    </row>
    <row r="1937" spans="15:20" x14ac:dyDescent="0.25">
      <c r="O1937" s="76"/>
      <c r="P1937" s="78"/>
      <c r="Q1937" s="77"/>
      <c r="R1937" s="78"/>
      <c r="S1937" s="36" t="e">
        <f>VLOOKUP(Tabla91116[[#This Row],[CODIGO DEL PRODUCTO]],Tabla797[],2,FALSE)</f>
        <v>#N/A</v>
      </c>
      <c r="T1937" s="37"/>
    </row>
    <row r="1938" spans="15:20" x14ac:dyDescent="0.25">
      <c r="O1938" s="76"/>
      <c r="P1938" s="78"/>
      <c r="Q1938" s="77"/>
      <c r="R1938" s="78"/>
      <c r="S1938" s="36" t="e">
        <f>VLOOKUP(Tabla91116[[#This Row],[CODIGO DEL PRODUCTO]],Tabla797[],2,FALSE)</f>
        <v>#N/A</v>
      </c>
      <c r="T1938" s="37"/>
    </row>
    <row r="1939" spans="15:20" x14ac:dyDescent="0.25">
      <c r="O1939" s="76"/>
      <c r="P1939" s="78"/>
      <c r="Q1939" s="77"/>
      <c r="R1939" s="78"/>
      <c r="S1939" s="36" t="e">
        <f>VLOOKUP(Tabla91116[[#This Row],[CODIGO DEL PRODUCTO]],Tabla797[],2,FALSE)</f>
        <v>#N/A</v>
      </c>
      <c r="T1939" s="37"/>
    </row>
    <row r="1940" spans="15:20" x14ac:dyDescent="0.25">
      <c r="O1940" s="76"/>
      <c r="P1940" s="78"/>
      <c r="Q1940" s="77"/>
      <c r="R1940" s="78"/>
      <c r="S1940" s="36" t="e">
        <f>VLOOKUP(Tabla91116[[#This Row],[CODIGO DEL PRODUCTO]],Tabla797[],2,FALSE)</f>
        <v>#N/A</v>
      </c>
      <c r="T1940" s="37"/>
    </row>
    <row r="1941" spans="15:20" x14ac:dyDescent="0.25">
      <c r="O1941" s="76"/>
      <c r="P1941" s="78"/>
      <c r="Q1941" s="77"/>
      <c r="R1941" s="78"/>
      <c r="S1941" s="36" t="e">
        <f>VLOOKUP(Tabla91116[[#This Row],[CODIGO DEL PRODUCTO]],Tabla797[],2,FALSE)</f>
        <v>#N/A</v>
      </c>
      <c r="T1941" s="37"/>
    </row>
    <row r="1942" spans="15:20" x14ac:dyDescent="0.25">
      <c r="O1942" s="76"/>
      <c r="P1942" s="78"/>
      <c r="Q1942" s="77"/>
      <c r="R1942" s="78"/>
      <c r="S1942" s="36" t="e">
        <f>VLOOKUP(Tabla91116[[#This Row],[CODIGO DEL PRODUCTO]],Tabla797[],2,FALSE)</f>
        <v>#N/A</v>
      </c>
      <c r="T1942" s="37"/>
    </row>
    <row r="1943" spans="15:20" x14ac:dyDescent="0.25">
      <c r="O1943" s="76"/>
      <c r="P1943" s="78"/>
      <c r="Q1943" s="77"/>
      <c r="R1943" s="78"/>
      <c r="S1943" s="36" t="e">
        <f>VLOOKUP(Tabla91116[[#This Row],[CODIGO DEL PRODUCTO]],Tabla797[],2,FALSE)</f>
        <v>#N/A</v>
      </c>
      <c r="T1943" s="37"/>
    </row>
    <row r="1944" spans="15:20" x14ac:dyDescent="0.25">
      <c r="O1944" s="76"/>
      <c r="P1944" s="78"/>
      <c r="Q1944" s="77"/>
      <c r="R1944" s="78"/>
      <c r="S1944" s="36" t="e">
        <f>VLOOKUP(Tabla91116[[#This Row],[CODIGO DEL PRODUCTO]],Tabla797[],2,FALSE)</f>
        <v>#N/A</v>
      </c>
      <c r="T1944" s="37"/>
    </row>
    <row r="1945" spans="15:20" x14ac:dyDescent="0.25">
      <c r="O1945" s="76"/>
      <c r="P1945" s="78"/>
      <c r="Q1945" s="77"/>
      <c r="R1945" s="78"/>
      <c r="S1945" s="36" t="e">
        <f>VLOOKUP(Tabla91116[[#This Row],[CODIGO DEL PRODUCTO]],Tabla797[],2,FALSE)</f>
        <v>#N/A</v>
      </c>
      <c r="T1945" s="37"/>
    </row>
    <row r="1946" spans="15:20" x14ac:dyDescent="0.25">
      <c r="O1946" s="76"/>
      <c r="P1946" s="78"/>
      <c r="Q1946" s="77"/>
      <c r="R1946" s="78"/>
      <c r="S1946" s="36" t="e">
        <f>VLOOKUP(Tabla91116[[#This Row],[CODIGO DEL PRODUCTO]],Tabla797[],2,FALSE)</f>
        <v>#N/A</v>
      </c>
      <c r="T1946" s="37"/>
    </row>
    <row r="1947" spans="15:20" x14ac:dyDescent="0.25">
      <c r="O1947" s="76"/>
      <c r="P1947" s="78"/>
      <c r="Q1947" s="77"/>
      <c r="R1947" s="78"/>
      <c r="S1947" s="36" t="e">
        <f>VLOOKUP(Tabla91116[[#This Row],[CODIGO DEL PRODUCTO]],Tabla797[],2,FALSE)</f>
        <v>#N/A</v>
      </c>
      <c r="T1947" s="37"/>
    </row>
    <row r="1948" spans="15:20" x14ac:dyDescent="0.25">
      <c r="O1948" s="76"/>
      <c r="P1948" s="78"/>
      <c r="Q1948" s="77"/>
      <c r="R1948" s="78"/>
      <c r="S1948" s="36" t="e">
        <f>VLOOKUP(Tabla91116[[#This Row],[CODIGO DEL PRODUCTO]],Tabla797[],2,FALSE)</f>
        <v>#N/A</v>
      </c>
      <c r="T1948" s="37"/>
    </row>
    <row r="1949" spans="15:20" x14ac:dyDescent="0.25">
      <c r="O1949" s="76"/>
      <c r="P1949" s="78"/>
      <c r="Q1949" s="77"/>
      <c r="R1949" s="78"/>
      <c r="S1949" s="36" t="e">
        <f>VLOOKUP(Tabla91116[[#This Row],[CODIGO DEL PRODUCTO]],Tabla797[],2,FALSE)</f>
        <v>#N/A</v>
      </c>
      <c r="T1949" s="37"/>
    </row>
    <row r="1950" spans="15:20" x14ac:dyDescent="0.25">
      <c r="O1950" s="76"/>
      <c r="P1950" s="78"/>
      <c r="Q1950" s="77"/>
      <c r="R1950" s="78"/>
      <c r="S1950" s="36" t="e">
        <f>VLOOKUP(Tabla91116[[#This Row],[CODIGO DEL PRODUCTO]],Tabla797[],2,FALSE)</f>
        <v>#N/A</v>
      </c>
      <c r="T1950" s="37"/>
    </row>
    <row r="1951" spans="15:20" x14ac:dyDescent="0.25">
      <c r="O1951" s="76"/>
      <c r="P1951" s="78"/>
      <c r="Q1951" s="77"/>
      <c r="R1951" s="78"/>
      <c r="S1951" s="36" t="e">
        <f>VLOOKUP(Tabla91116[[#This Row],[CODIGO DEL PRODUCTO]],Tabla797[],2,FALSE)</f>
        <v>#N/A</v>
      </c>
      <c r="T1951" s="37"/>
    </row>
    <row r="1952" spans="15:20" x14ac:dyDescent="0.25">
      <c r="O1952" s="76"/>
      <c r="P1952" s="78"/>
      <c r="Q1952" s="77"/>
      <c r="R1952" s="78"/>
      <c r="S1952" s="36" t="e">
        <f>VLOOKUP(Tabla91116[[#This Row],[CODIGO DEL PRODUCTO]],Tabla797[],2,FALSE)</f>
        <v>#N/A</v>
      </c>
      <c r="T1952" s="37"/>
    </row>
    <row r="1953" spans="15:20" x14ac:dyDescent="0.25">
      <c r="O1953" s="76"/>
      <c r="P1953" s="78"/>
      <c r="Q1953" s="77"/>
      <c r="R1953" s="78"/>
      <c r="S1953" s="36" t="e">
        <f>VLOOKUP(Tabla91116[[#This Row],[CODIGO DEL PRODUCTO]],Tabla797[],2,FALSE)</f>
        <v>#N/A</v>
      </c>
      <c r="T1953" s="37"/>
    </row>
    <row r="1954" spans="15:20" x14ac:dyDescent="0.25">
      <c r="O1954" s="76"/>
      <c r="P1954" s="78"/>
      <c r="Q1954" s="77"/>
      <c r="R1954" s="78"/>
      <c r="S1954" s="36" t="e">
        <f>VLOOKUP(Tabla91116[[#This Row],[CODIGO DEL PRODUCTO]],Tabla797[],2,FALSE)</f>
        <v>#N/A</v>
      </c>
      <c r="T1954" s="37"/>
    </row>
    <row r="1955" spans="15:20" x14ac:dyDescent="0.25">
      <c r="O1955" s="76"/>
      <c r="P1955" s="78"/>
      <c r="Q1955" s="77"/>
      <c r="R1955" s="78"/>
      <c r="S1955" s="36" t="e">
        <f>VLOOKUP(Tabla91116[[#This Row],[CODIGO DEL PRODUCTO]],Tabla797[],2,FALSE)</f>
        <v>#N/A</v>
      </c>
      <c r="T1955" s="37"/>
    </row>
    <row r="1956" spans="15:20" x14ac:dyDescent="0.25">
      <c r="O1956" s="76"/>
      <c r="P1956" s="78"/>
      <c r="Q1956" s="77"/>
      <c r="R1956" s="78"/>
      <c r="S1956" s="36" t="e">
        <f>VLOOKUP(Tabla91116[[#This Row],[CODIGO DEL PRODUCTO]],Tabla797[],2,FALSE)</f>
        <v>#N/A</v>
      </c>
      <c r="T1956" s="37"/>
    </row>
    <row r="1957" spans="15:20" x14ac:dyDescent="0.25">
      <c r="O1957" s="76"/>
      <c r="P1957" s="78"/>
      <c r="Q1957" s="77"/>
      <c r="R1957" s="78"/>
      <c r="S1957" s="36" t="e">
        <f>VLOOKUP(Tabla91116[[#This Row],[CODIGO DEL PRODUCTO]],Tabla797[],2,FALSE)</f>
        <v>#N/A</v>
      </c>
      <c r="T1957" s="37"/>
    </row>
    <row r="1958" spans="15:20" x14ac:dyDescent="0.25">
      <c r="O1958" s="76"/>
      <c r="P1958" s="78"/>
      <c r="Q1958" s="77"/>
      <c r="R1958" s="78"/>
      <c r="S1958" s="36" t="e">
        <f>VLOOKUP(Tabla91116[[#This Row],[CODIGO DEL PRODUCTO]],Tabla797[],2,FALSE)</f>
        <v>#N/A</v>
      </c>
      <c r="T1958" s="37"/>
    </row>
    <row r="1959" spans="15:20" x14ac:dyDescent="0.25">
      <c r="O1959" s="76"/>
      <c r="P1959" s="78"/>
      <c r="Q1959" s="77"/>
      <c r="R1959" s="78"/>
      <c r="S1959" s="36" t="e">
        <f>VLOOKUP(Tabla91116[[#This Row],[CODIGO DEL PRODUCTO]],Tabla797[],2,FALSE)</f>
        <v>#N/A</v>
      </c>
      <c r="T1959" s="37"/>
    </row>
    <row r="1960" spans="15:20" x14ac:dyDescent="0.25">
      <c r="O1960" s="76"/>
      <c r="P1960" s="78"/>
      <c r="Q1960" s="77"/>
      <c r="R1960" s="78"/>
      <c r="S1960" s="36" t="e">
        <f>VLOOKUP(Tabla91116[[#This Row],[CODIGO DEL PRODUCTO]],Tabla797[],2,FALSE)</f>
        <v>#N/A</v>
      </c>
      <c r="T1960" s="37"/>
    </row>
    <row r="1961" spans="15:20" x14ac:dyDescent="0.25">
      <c r="O1961" s="76"/>
      <c r="P1961" s="78"/>
      <c r="Q1961" s="77"/>
      <c r="R1961" s="78"/>
      <c r="S1961" s="36" t="e">
        <f>VLOOKUP(Tabla91116[[#This Row],[CODIGO DEL PRODUCTO]],Tabla797[],2,FALSE)</f>
        <v>#N/A</v>
      </c>
      <c r="T1961" s="37"/>
    </row>
    <row r="1962" spans="15:20" x14ac:dyDescent="0.25">
      <c r="O1962" s="76"/>
      <c r="P1962" s="78"/>
      <c r="Q1962" s="77"/>
      <c r="R1962" s="78"/>
      <c r="S1962" s="36" t="e">
        <f>VLOOKUP(Tabla91116[[#This Row],[CODIGO DEL PRODUCTO]],Tabla797[],2,FALSE)</f>
        <v>#N/A</v>
      </c>
      <c r="T1962" s="37"/>
    </row>
    <row r="1963" spans="15:20" x14ac:dyDescent="0.25">
      <c r="O1963" s="76"/>
      <c r="P1963" s="78"/>
      <c r="Q1963" s="77"/>
      <c r="R1963" s="78"/>
      <c r="S1963" s="36" t="e">
        <f>VLOOKUP(Tabla91116[[#This Row],[CODIGO DEL PRODUCTO]],Tabla797[],2,FALSE)</f>
        <v>#N/A</v>
      </c>
      <c r="T1963" s="37"/>
    </row>
    <row r="1964" spans="15:20" x14ac:dyDescent="0.25">
      <c r="O1964" s="76"/>
      <c r="P1964" s="78"/>
      <c r="Q1964" s="77"/>
      <c r="R1964" s="78"/>
      <c r="S1964" s="36" t="e">
        <f>VLOOKUP(Tabla91116[[#This Row],[CODIGO DEL PRODUCTO]],Tabla797[],2,FALSE)</f>
        <v>#N/A</v>
      </c>
      <c r="T1964" s="37"/>
    </row>
    <row r="1965" spans="15:20" x14ac:dyDescent="0.25">
      <c r="O1965" s="76"/>
      <c r="P1965" s="78"/>
      <c r="Q1965" s="77"/>
      <c r="R1965" s="78"/>
      <c r="S1965" s="36" t="e">
        <f>VLOOKUP(Tabla91116[[#This Row],[CODIGO DEL PRODUCTO]],Tabla797[],2,FALSE)</f>
        <v>#N/A</v>
      </c>
      <c r="T1965" s="37"/>
    </row>
    <row r="1966" spans="15:20" x14ac:dyDescent="0.25">
      <c r="O1966" s="76"/>
      <c r="P1966" s="78"/>
      <c r="Q1966" s="77"/>
      <c r="R1966" s="78"/>
      <c r="S1966" s="36" t="e">
        <f>VLOOKUP(Tabla91116[[#This Row],[CODIGO DEL PRODUCTO]],Tabla797[],2,FALSE)</f>
        <v>#N/A</v>
      </c>
      <c r="T1966" s="37"/>
    </row>
    <row r="1967" spans="15:20" x14ac:dyDescent="0.25">
      <c r="O1967" s="76"/>
      <c r="P1967" s="78"/>
      <c r="Q1967" s="77"/>
      <c r="R1967" s="78"/>
      <c r="S1967" s="36" t="e">
        <f>VLOOKUP(Tabla91116[[#This Row],[CODIGO DEL PRODUCTO]],Tabla797[],2,FALSE)</f>
        <v>#N/A</v>
      </c>
      <c r="T1967" s="37"/>
    </row>
    <row r="1968" spans="15:20" x14ac:dyDescent="0.25">
      <c r="O1968" s="76"/>
      <c r="P1968" s="78"/>
      <c r="Q1968" s="77"/>
      <c r="R1968" s="78"/>
      <c r="S1968" s="36" t="e">
        <f>VLOOKUP(Tabla91116[[#This Row],[CODIGO DEL PRODUCTO]],Tabla797[],2,FALSE)</f>
        <v>#N/A</v>
      </c>
      <c r="T1968" s="37"/>
    </row>
    <row r="1969" spans="15:20" x14ac:dyDescent="0.25">
      <c r="O1969" s="76"/>
      <c r="P1969" s="78"/>
      <c r="Q1969" s="77"/>
      <c r="R1969" s="78"/>
      <c r="S1969" s="36" t="e">
        <f>VLOOKUP(Tabla91116[[#This Row],[CODIGO DEL PRODUCTO]],Tabla797[],2,FALSE)</f>
        <v>#N/A</v>
      </c>
      <c r="T1969" s="37"/>
    </row>
    <row r="1970" spans="15:20" x14ac:dyDescent="0.25">
      <c r="O1970" s="76"/>
      <c r="P1970" s="78"/>
      <c r="Q1970" s="77"/>
      <c r="R1970" s="78"/>
      <c r="S1970" s="36" t="e">
        <f>VLOOKUP(Tabla91116[[#This Row],[CODIGO DEL PRODUCTO]],Tabla797[],2,FALSE)</f>
        <v>#N/A</v>
      </c>
      <c r="T1970" s="37"/>
    </row>
    <row r="1971" spans="15:20" x14ac:dyDescent="0.25">
      <c r="O1971" s="76"/>
      <c r="P1971" s="78"/>
      <c r="Q1971" s="77"/>
      <c r="R1971" s="78"/>
      <c r="S1971" s="36" t="e">
        <f>VLOOKUP(Tabla91116[[#This Row],[CODIGO DEL PRODUCTO]],Tabla797[],2,FALSE)</f>
        <v>#N/A</v>
      </c>
      <c r="T1971" s="37"/>
    </row>
    <row r="1972" spans="15:20" x14ac:dyDescent="0.25">
      <c r="O1972" s="76"/>
      <c r="P1972" s="78"/>
      <c r="Q1972" s="77"/>
      <c r="R1972" s="78"/>
      <c r="S1972" s="36" t="e">
        <f>VLOOKUP(Tabla91116[[#This Row],[CODIGO DEL PRODUCTO]],Tabla797[],2,FALSE)</f>
        <v>#N/A</v>
      </c>
      <c r="T1972" s="37"/>
    </row>
    <row r="1973" spans="15:20" x14ac:dyDescent="0.25">
      <c r="O1973" s="76"/>
      <c r="P1973" s="78"/>
      <c r="Q1973" s="77"/>
      <c r="R1973" s="78"/>
      <c r="S1973" s="36" t="e">
        <f>VLOOKUP(Tabla91116[[#This Row],[CODIGO DEL PRODUCTO]],Tabla797[],2,FALSE)</f>
        <v>#N/A</v>
      </c>
      <c r="T1973" s="37"/>
    </row>
    <row r="1974" spans="15:20" x14ac:dyDescent="0.25">
      <c r="O1974" s="76"/>
      <c r="P1974" s="78"/>
      <c r="Q1974" s="77"/>
      <c r="R1974" s="78"/>
      <c r="S1974" s="36" t="e">
        <f>VLOOKUP(Tabla91116[[#This Row],[CODIGO DEL PRODUCTO]],Tabla797[],2,FALSE)</f>
        <v>#N/A</v>
      </c>
      <c r="T1974" s="37"/>
    </row>
    <row r="1975" spans="15:20" x14ac:dyDescent="0.25">
      <c r="O1975" s="76"/>
      <c r="P1975" s="78"/>
      <c r="Q1975" s="77"/>
      <c r="R1975" s="78"/>
      <c r="S1975" s="36" t="e">
        <f>VLOOKUP(Tabla91116[[#This Row],[CODIGO DEL PRODUCTO]],Tabla797[],2,FALSE)</f>
        <v>#N/A</v>
      </c>
      <c r="T1975" s="37"/>
    </row>
    <row r="1976" spans="15:20" x14ac:dyDescent="0.25">
      <c r="O1976" s="76"/>
      <c r="P1976" s="78"/>
      <c r="Q1976" s="77"/>
      <c r="R1976" s="78"/>
      <c r="S1976" s="36" t="e">
        <f>VLOOKUP(Tabla91116[[#This Row],[CODIGO DEL PRODUCTO]],Tabla797[],2,FALSE)</f>
        <v>#N/A</v>
      </c>
      <c r="T1976" s="37"/>
    </row>
    <row r="1977" spans="15:20" x14ac:dyDescent="0.25">
      <c r="O1977" s="76"/>
      <c r="P1977" s="78"/>
      <c r="Q1977" s="77"/>
      <c r="R1977" s="78"/>
      <c r="S1977" s="36" t="e">
        <f>VLOOKUP(Tabla91116[[#This Row],[CODIGO DEL PRODUCTO]],Tabla797[],2,FALSE)</f>
        <v>#N/A</v>
      </c>
      <c r="T1977" s="37"/>
    </row>
    <row r="1978" spans="15:20" x14ac:dyDescent="0.25">
      <c r="O1978" s="76"/>
      <c r="P1978" s="78"/>
      <c r="Q1978" s="77"/>
      <c r="R1978" s="78"/>
      <c r="S1978" s="36" t="e">
        <f>VLOOKUP(Tabla91116[[#This Row],[CODIGO DEL PRODUCTO]],Tabla797[],2,FALSE)</f>
        <v>#N/A</v>
      </c>
      <c r="T1978" s="37"/>
    </row>
    <row r="1979" spans="15:20" x14ac:dyDescent="0.25">
      <c r="O1979" s="76"/>
      <c r="P1979" s="78"/>
      <c r="Q1979" s="77"/>
      <c r="R1979" s="78"/>
      <c r="S1979" s="36" t="e">
        <f>VLOOKUP(Tabla91116[[#This Row],[CODIGO DEL PRODUCTO]],Tabla797[],2,FALSE)</f>
        <v>#N/A</v>
      </c>
      <c r="T1979" s="37"/>
    </row>
    <row r="1980" spans="15:20" x14ac:dyDescent="0.25">
      <c r="O1980" s="76"/>
      <c r="P1980" s="78"/>
      <c r="Q1980" s="77"/>
      <c r="R1980" s="78"/>
      <c r="S1980" s="36" t="e">
        <f>VLOOKUP(Tabla91116[[#This Row],[CODIGO DEL PRODUCTO]],Tabla797[],2,FALSE)</f>
        <v>#N/A</v>
      </c>
      <c r="T1980" s="37"/>
    </row>
    <row r="1981" spans="15:20" x14ac:dyDescent="0.25">
      <c r="O1981" s="76"/>
      <c r="P1981" s="78"/>
      <c r="Q1981" s="77"/>
      <c r="R1981" s="78"/>
      <c r="S1981" s="36" t="e">
        <f>VLOOKUP(Tabla91116[[#This Row],[CODIGO DEL PRODUCTO]],Tabla797[],2,FALSE)</f>
        <v>#N/A</v>
      </c>
      <c r="T1981" s="37"/>
    </row>
    <row r="1982" spans="15:20" x14ac:dyDescent="0.25">
      <c r="O1982" s="76"/>
      <c r="P1982" s="78"/>
      <c r="Q1982" s="77"/>
      <c r="R1982" s="78"/>
      <c r="S1982" s="36" t="e">
        <f>VLOOKUP(Tabla91116[[#This Row],[CODIGO DEL PRODUCTO]],Tabla797[],2,FALSE)</f>
        <v>#N/A</v>
      </c>
      <c r="T1982" s="37"/>
    </row>
    <row r="1983" spans="15:20" x14ac:dyDescent="0.25">
      <c r="O1983" s="76"/>
      <c r="P1983" s="78"/>
      <c r="Q1983" s="77"/>
      <c r="R1983" s="78"/>
      <c r="S1983" s="36" t="e">
        <f>VLOOKUP(Tabla91116[[#This Row],[CODIGO DEL PRODUCTO]],Tabla797[],2,FALSE)</f>
        <v>#N/A</v>
      </c>
      <c r="T1983" s="37"/>
    </row>
    <row r="1984" spans="15:20" x14ac:dyDescent="0.25">
      <c r="O1984" s="76"/>
      <c r="P1984" s="78"/>
      <c r="Q1984" s="77"/>
      <c r="R1984" s="78"/>
      <c r="S1984" s="36" t="e">
        <f>VLOOKUP(Tabla91116[[#This Row],[CODIGO DEL PRODUCTO]],Tabla797[],2,FALSE)</f>
        <v>#N/A</v>
      </c>
      <c r="T1984" s="37"/>
    </row>
    <row r="1985" spans="15:20" x14ac:dyDescent="0.25">
      <c r="O1985" s="76"/>
      <c r="P1985" s="78"/>
      <c r="Q1985" s="77"/>
      <c r="R1985" s="78"/>
      <c r="S1985" s="36" t="e">
        <f>VLOOKUP(Tabla91116[[#This Row],[CODIGO DEL PRODUCTO]],Tabla797[],2,FALSE)</f>
        <v>#N/A</v>
      </c>
      <c r="T1985" s="37"/>
    </row>
    <row r="1986" spans="15:20" x14ac:dyDescent="0.25">
      <c r="O1986" s="76"/>
      <c r="P1986" s="78"/>
      <c r="Q1986" s="77"/>
      <c r="R1986" s="78"/>
      <c r="S1986" s="36" t="e">
        <f>VLOOKUP(Tabla91116[[#This Row],[CODIGO DEL PRODUCTO]],Tabla797[],2,FALSE)</f>
        <v>#N/A</v>
      </c>
      <c r="T1986" s="37"/>
    </row>
    <row r="1987" spans="15:20" x14ac:dyDescent="0.25">
      <c r="O1987" s="76"/>
      <c r="P1987" s="78"/>
      <c r="Q1987" s="77"/>
      <c r="R1987" s="78"/>
      <c r="S1987" s="36" t="e">
        <f>VLOOKUP(Tabla91116[[#This Row],[CODIGO DEL PRODUCTO]],Tabla797[],2,FALSE)</f>
        <v>#N/A</v>
      </c>
      <c r="T1987" s="37"/>
    </row>
    <row r="1988" spans="15:20" x14ac:dyDescent="0.25">
      <c r="O1988" s="76"/>
      <c r="P1988" s="78"/>
      <c r="Q1988" s="77"/>
      <c r="R1988" s="78"/>
      <c r="S1988" s="36" t="e">
        <f>VLOOKUP(Tabla91116[[#This Row],[CODIGO DEL PRODUCTO]],Tabla797[],2,FALSE)</f>
        <v>#N/A</v>
      </c>
      <c r="T1988" s="37"/>
    </row>
    <row r="1989" spans="15:20" x14ac:dyDescent="0.25">
      <c r="O1989" s="76"/>
      <c r="P1989" s="78"/>
      <c r="Q1989" s="77"/>
      <c r="R1989" s="78"/>
      <c r="S1989" s="36" t="e">
        <f>VLOOKUP(Tabla91116[[#This Row],[CODIGO DEL PRODUCTO]],Tabla797[],2,FALSE)</f>
        <v>#N/A</v>
      </c>
      <c r="T1989" s="37"/>
    </row>
    <row r="1990" spans="15:20" x14ac:dyDescent="0.25">
      <c r="O1990" s="76"/>
      <c r="P1990" s="78"/>
      <c r="Q1990" s="77"/>
      <c r="R1990" s="78"/>
      <c r="S1990" s="36" t="e">
        <f>VLOOKUP(Tabla91116[[#This Row],[CODIGO DEL PRODUCTO]],Tabla797[],2,FALSE)</f>
        <v>#N/A</v>
      </c>
      <c r="T1990" s="37"/>
    </row>
    <row r="1991" spans="15:20" x14ac:dyDescent="0.25">
      <c r="O1991" s="76"/>
      <c r="P1991" s="78"/>
      <c r="Q1991" s="77"/>
      <c r="R1991" s="78"/>
      <c r="S1991" s="36" t="e">
        <f>VLOOKUP(Tabla91116[[#This Row],[CODIGO DEL PRODUCTO]],Tabla797[],2,FALSE)</f>
        <v>#N/A</v>
      </c>
      <c r="T1991" s="37"/>
    </row>
    <row r="1992" spans="15:20" x14ac:dyDescent="0.25">
      <c r="O1992" s="76"/>
      <c r="P1992" s="78"/>
      <c r="Q1992" s="77"/>
      <c r="R1992" s="78"/>
      <c r="S1992" s="36" t="e">
        <f>VLOOKUP(Tabla91116[[#This Row],[CODIGO DEL PRODUCTO]],Tabla797[],2,FALSE)</f>
        <v>#N/A</v>
      </c>
      <c r="T1992" s="37"/>
    </row>
    <row r="1993" spans="15:20" x14ac:dyDescent="0.25">
      <c r="O1993" s="76"/>
      <c r="P1993" s="78"/>
      <c r="Q1993" s="77"/>
      <c r="R1993" s="78"/>
      <c r="S1993" s="36" t="e">
        <f>VLOOKUP(Tabla91116[[#This Row],[CODIGO DEL PRODUCTO]],Tabla797[],2,FALSE)</f>
        <v>#N/A</v>
      </c>
      <c r="T1993" s="37"/>
    </row>
    <row r="1994" spans="15:20" x14ac:dyDescent="0.25">
      <c r="O1994" s="76"/>
      <c r="P1994" s="78"/>
      <c r="Q1994" s="77"/>
      <c r="R1994" s="78"/>
      <c r="S1994" s="36" t="e">
        <f>VLOOKUP(Tabla91116[[#This Row],[CODIGO DEL PRODUCTO]],Tabla797[],2,FALSE)</f>
        <v>#N/A</v>
      </c>
      <c r="T1994" s="37"/>
    </row>
    <row r="1995" spans="15:20" x14ac:dyDescent="0.25">
      <c r="O1995" s="76"/>
      <c r="P1995" s="78"/>
      <c r="Q1995" s="77"/>
      <c r="R1995" s="78"/>
      <c r="S1995" s="36" t="e">
        <f>VLOOKUP(Tabla91116[[#This Row],[CODIGO DEL PRODUCTO]],Tabla797[],2,FALSE)</f>
        <v>#N/A</v>
      </c>
      <c r="T1995" s="37"/>
    </row>
    <row r="1996" spans="15:20" x14ac:dyDescent="0.25">
      <c r="O1996" s="76"/>
      <c r="P1996" s="78"/>
      <c r="Q1996" s="77"/>
      <c r="R1996" s="78"/>
      <c r="S1996" s="36" t="e">
        <f>VLOOKUP(Tabla91116[[#This Row],[CODIGO DEL PRODUCTO]],Tabla797[],2,FALSE)</f>
        <v>#N/A</v>
      </c>
      <c r="T1996" s="37"/>
    </row>
    <row r="1997" spans="15:20" x14ac:dyDescent="0.25">
      <c r="O1997" s="76"/>
      <c r="P1997" s="78"/>
      <c r="Q1997" s="77"/>
      <c r="R1997" s="78"/>
      <c r="S1997" s="36" t="e">
        <f>VLOOKUP(Tabla91116[[#This Row],[CODIGO DEL PRODUCTO]],Tabla797[],2,FALSE)</f>
        <v>#N/A</v>
      </c>
      <c r="T1997" s="37"/>
    </row>
    <row r="1998" spans="15:20" x14ac:dyDescent="0.25">
      <c r="O1998" s="76"/>
      <c r="P1998" s="78"/>
      <c r="Q1998" s="77"/>
      <c r="R1998" s="78"/>
      <c r="S1998" s="36" t="e">
        <f>VLOOKUP(Tabla91116[[#This Row],[CODIGO DEL PRODUCTO]],Tabla797[],2,FALSE)</f>
        <v>#N/A</v>
      </c>
      <c r="T1998" s="37"/>
    </row>
    <row r="1999" spans="15:20" x14ac:dyDescent="0.25">
      <c r="O1999" s="76"/>
      <c r="P1999" s="78"/>
      <c r="Q1999" s="77"/>
      <c r="R1999" s="78"/>
      <c r="S1999" s="36" t="e">
        <f>VLOOKUP(Tabla91116[[#This Row],[CODIGO DEL PRODUCTO]],Tabla797[],2,FALSE)</f>
        <v>#N/A</v>
      </c>
      <c r="T1999" s="37"/>
    </row>
    <row r="2000" spans="15:20" x14ac:dyDescent="0.25">
      <c r="O2000" s="76"/>
      <c r="P2000" s="78"/>
      <c r="Q2000" s="77"/>
      <c r="R2000" s="78"/>
      <c r="S2000" s="36" t="e">
        <f>VLOOKUP(Tabla91116[[#This Row],[CODIGO DEL PRODUCTO]],Tabla797[],2,FALSE)</f>
        <v>#N/A</v>
      </c>
      <c r="T2000" s="37"/>
    </row>
    <row r="2001" spans="15:20" x14ac:dyDescent="0.25">
      <c r="O2001" s="76"/>
      <c r="P2001" s="78"/>
      <c r="Q2001" s="77"/>
      <c r="R2001" s="78"/>
      <c r="S2001" s="36" t="e">
        <f>VLOOKUP(Tabla91116[[#This Row],[CODIGO DEL PRODUCTO]],Tabla797[],2,FALSE)</f>
        <v>#N/A</v>
      </c>
      <c r="T2001" s="37"/>
    </row>
    <row r="2002" spans="15:20" x14ac:dyDescent="0.25">
      <c r="O2002" s="76"/>
      <c r="P2002" s="78"/>
      <c r="Q2002" s="77"/>
      <c r="R2002" s="78"/>
      <c r="S2002" s="36" t="e">
        <f>VLOOKUP(Tabla91116[[#This Row],[CODIGO DEL PRODUCTO]],Tabla797[],2,FALSE)</f>
        <v>#N/A</v>
      </c>
      <c r="T2002" s="37"/>
    </row>
    <row r="2003" spans="15:20" x14ac:dyDescent="0.25">
      <c r="O2003" s="76"/>
      <c r="P2003" s="78"/>
      <c r="Q2003" s="77"/>
      <c r="R2003" s="78"/>
      <c r="S2003" s="36" t="e">
        <f>VLOOKUP(Tabla91116[[#This Row],[CODIGO DEL PRODUCTO]],Tabla797[],2,FALSE)</f>
        <v>#N/A</v>
      </c>
      <c r="T2003" s="37"/>
    </row>
    <row r="2004" spans="15:20" x14ac:dyDescent="0.25">
      <c r="O2004" s="76"/>
      <c r="P2004" s="78"/>
      <c r="Q2004" s="77"/>
      <c r="R2004" s="78"/>
      <c r="S2004" s="36" t="e">
        <f>VLOOKUP(Tabla91116[[#This Row],[CODIGO DEL PRODUCTO]],Tabla797[],2,FALSE)</f>
        <v>#N/A</v>
      </c>
      <c r="T2004" s="37"/>
    </row>
    <row r="2005" spans="15:20" x14ac:dyDescent="0.25">
      <c r="O2005" s="76"/>
      <c r="P2005" s="78"/>
      <c r="Q2005" s="77"/>
      <c r="R2005" s="78"/>
      <c r="S2005" s="36" t="e">
        <f>VLOOKUP(Tabla91116[[#This Row],[CODIGO DEL PRODUCTO]],Tabla797[],2,FALSE)</f>
        <v>#N/A</v>
      </c>
      <c r="T2005" s="37"/>
    </row>
    <row r="2006" spans="15:20" x14ac:dyDescent="0.25">
      <c r="O2006" s="76"/>
      <c r="P2006" s="78"/>
      <c r="Q2006" s="77"/>
      <c r="R2006" s="78"/>
      <c r="S2006" s="36" t="e">
        <f>VLOOKUP(Tabla91116[[#This Row],[CODIGO DEL PRODUCTO]],Tabla797[],2,FALSE)</f>
        <v>#N/A</v>
      </c>
      <c r="T2006" s="37"/>
    </row>
    <row r="2007" spans="15:20" x14ac:dyDescent="0.25">
      <c r="O2007" s="76"/>
      <c r="P2007" s="78"/>
      <c r="Q2007" s="77"/>
      <c r="R2007" s="78"/>
      <c r="S2007" s="36" t="e">
        <f>VLOOKUP(Tabla91116[[#This Row],[CODIGO DEL PRODUCTO]],Tabla797[],2,FALSE)</f>
        <v>#N/A</v>
      </c>
      <c r="T2007" s="37"/>
    </row>
    <row r="2008" spans="15:20" x14ac:dyDescent="0.25">
      <c r="O2008" s="76"/>
      <c r="P2008" s="78"/>
      <c r="Q2008" s="77"/>
      <c r="R2008" s="78"/>
      <c r="S2008" s="36" t="e">
        <f>VLOOKUP(Tabla91116[[#This Row],[CODIGO DEL PRODUCTO]],Tabla797[],2,FALSE)</f>
        <v>#N/A</v>
      </c>
      <c r="T2008" s="37"/>
    </row>
    <row r="2009" spans="15:20" x14ac:dyDescent="0.25">
      <c r="O2009" s="76"/>
      <c r="P2009" s="78"/>
      <c r="Q2009" s="77"/>
      <c r="R2009" s="78"/>
      <c r="S2009" s="36" t="e">
        <f>VLOOKUP(Tabla91116[[#This Row],[CODIGO DEL PRODUCTO]],Tabla797[],2,FALSE)</f>
        <v>#N/A</v>
      </c>
      <c r="T2009" s="37"/>
    </row>
    <row r="2010" spans="15:20" x14ac:dyDescent="0.25">
      <c r="O2010" s="76"/>
      <c r="P2010" s="78"/>
      <c r="Q2010" s="77"/>
      <c r="R2010" s="78"/>
      <c r="S2010" s="36" t="e">
        <f>VLOOKUP(Tabla91116[[#This Row],[CODIGO DEL PRODUCTO]],Tabla797[],2,FALSE)</f>
        <v>#N/A</v>
      </c>
      <c r="T2010" s="37"/>
    </row>
    <row r="2011" spans="15:20" x14ac:dyDescent="0.25">
      <c r="O2011" s="76"/>
      <c r="P2011" s="78"/>
      <c r="Q2011" s="77"/>
      <c r="R2011" s="78"/>
      <c r="S2011" s="36" t="e">
        <f>VLOOKUP(Tabla91116[[#This Row],[CODIGO DEL PRODUCTO]],Tabla797[],2,FALSE)</f>
        <v>#N/A</v>
      </c>
      <c r="T2011" s="37"/>
    </row>
    <row r="2012" spans="15:20" x14ac:dyDescent="0.25">
      <c r="O2012" s="76"/>
      <c r="P2012" s="78"/>
      <c r="Q2012" s="77"/>
      <c r="R2012" s="78"/>
      <c r="S2012" s="36" t="e">
        <f>VLOOKUP(Tabla91116[[#This Row],[CODIGO DEL PRODUCTO]],Tabla797[],2,FALSE)</f>
        <v>#N/A</v>
      </c>
      <c r="T2012" s="37"/>
    </row>
    <row r="2013" spans="15:20" x14ac:dyDescent="0.25">
      <c r="O2013" s="76"/>
      <c r="P2013" s="78"/>
      <c r="Q2013" s="77"/>
      <c r="R2013" s="78"/>
      <c r="S2013" s="36" t="e">
        <f>VLOOKUP(Tabla91116[[#This Row],[CODIGO DEL PRODUCTO]],Tabla797[],2,FALSE)</f>
        <v>#N/A</v>
      </c>
      <c r="T2013" s="37"/>
    </row>
    <row r="2014" spans="15:20" x14ac:dyDescent="0.25">
      <c r="O2014" s="76"/>
      <c r="P2014" s="78"/>
      <c r="Q2014" s="77"/>
      <c r="R2014" s="78"/>
      <c r="S2014" s="36" t="e">
        <f>VLOOKUP(Tabla91116[[#This Row],[CODIGO DEL PRODUCTO]],Tabla797[],2,FALSE)</f>
        <v>#N/A</v>
      </c>
      <c r="T2014" s="37"/>
    </row>
    <row r="2015" spans="15:20" x14ac:dyDescent="0.25">
      <c r="O2015" s="76"/>
      <c r="P2015" s="78"/>
      <c r="Q2015" s="77"/>
      <c r="R2015" s="78"/>
      <c r="S2015" s="36" t="e">
        <f>VLOOKUP(Tabla91116[[#This Row],[CODIGO DEL PRODUCTO]],Tabla797[],2,FALSE)</f>
        <v>#N/A</v>
      </c>
      <c r="T2015" s="37"/>
    </row>
    <row r="2016" spans="15:20" x14ac:dyDescent="0.25">
      <c r="O2016" s="76"/>
      <c r="P2016" s="78"/>
      <c r="Q2016" s="77"/>
      <c r="R2016" s="78"/>
      <c r="S2016" s="36" t="e">
        <f>VLOOKUP(Tabla91116[[#This Row],[CODIGO DEL PRODUCTO]],Tabla797[],2,FALSE)</f>
        <v>#N/A</v>
      </c>
      <c r="T2016" s="37"/>
    </row>
    <row r="2017" spans="15:20" x14ac:dyDescent="0.25">
      <c r="O2017" s="76"/>
      <c r="P2017" s="78"/>
      <c r="Q2017" s="77"/>
      <c r="R2017" s="78"/>
      <c r="S2017" s="36" t="e">
        <f>VLOOKUP(Tabla91116[[#This Row],[CODIGO DEL PRODUCTO]],Tabla797[],2,FALSE)</f>
        <v>#N/A</v>
      </c>
      <c r="T2017" s="37"/>
    </row>
    <row r="2018" spans="15:20" x14ac:dyDescent="0.25">
      <c r="O2018" s="76"/>
      <c r="P2018" s="78"/>
      <c r="Q2018" s="77"/>
      <c r="R2018" s="78"/>
      <c r="S2018" s="36" t="e">
        <f>VLOOKUP(Tabla91116[[#This Row],[CODIGO DEL PRODUCTO]],Tabla797[],2,FALSE)</f>
        <v>#N/A</v>
      </c>
      <c r="T2018" s="37"/>
    </row>
    <row r="2019" spans="15:20" x14ac:dyDescent="0.25">
      <c r="O2019" s="76"/>
      <c r="P2019" s="78"/>
      <c r="Q2019" s="77"/>
      <c r="R2019" s="78"/>
      <c r="S2019" s="36" t="e">
        <f>VLOOKUP(Tabla91116[[#This Row],[CODIGO DEL PRODUCTO]],Tabla797[],2,FALSE)</f>
        <v>#N/A</v>
      </c>
      <c r="T2019" s="37"/>
    </row>
    <row r="2020" spans="15:20" x14ac:dyDescent="0.25">
      <c r="O2020" s="76"/>
      <c r="P2020" s="78"/>
      <c r="Q2020" s="77"/>
      <c r="R2020" s="78"/>
      <c r="S2020" s="36" t="e">
        <f>VLOOKUP(Tabla91116[[#This Row],[CODIGO DEL PRODUCTO]],Tabla797[],2,FALSE)</f>
        <v>#N/A</v>
      </c>
      <c r="T2020" s="37"/>
    </row>
    <row r="2021" spans="15:20" x14ac:dyDescent="0.25">
      <c r="O2021" s="76"/>
      <c r="P2021" s="78"/>
      <c r="Q2021" s="77"/>
      <c r="R2021" s="78"/>
      <c r="S2021" s="36" t="e">
        <f>VLOOKUP(Tabla91116[[#This Row],[CODIGO DEL PRODUCTO]],Tabla797[],2,FALSE)</f>
        <v>#N/A</v>
      </c>
      <c r="T2021" s="37"/>
    </row>
    <row r="2022" spans="15:20" x14ac:dyDescent="0.25">
      <c r="O2022" s="76"/>
      <c r="P2022" s="78"/>
      <c r="Q2022" s="77"/>
      <c r="R2022" s="78"/>
      <c r="S2022" s="36" t="e">
        <f>VLOOKUP(Tabla91116[[#This Row],[CODIGO DEL PRODUCTO]],Tabla797[],2,FALSE)</f>
        <v>#N/A</v>
      </c>
      <c r="T2022" s="37"/>
    </row>
    <row r="2023" spans="15:20" x14ac:dyDescent="0.25">
      <c r="O2023" s="76"/>
      <c r="P2023" s="78"/>
      <c r="Q2023" s="77"/>
      <c r="R2023" s="78"/>
      <c r="S2023" s="36" t="e">
        <f>VLOOKUP(Tabla91116[[#This Row],[CODIGO DEL PRODUCTO]],Tabla797[],2,FALSE)</f>
        <v>#N/A</v>
      </c>
      <c r="T2023" s="37"/>
    </row>
    <row r="2024" spans="15:20" x14ac:dyDescent="0.25">
      <c r="O2024" s="76"/>
      <c r="P2024" s="78"/>
      <c r="Q2024" s="77"/>
      <c r="R2024" s="78"/>
      <c r="S2024" s="36" t="e">
        <f>VLOOKUP(Tabla91116[[#This Row],[CODIGO DEL PRODUCTO]],Tabla797[],2,FALSE)</f>
        <v>#N/A</v>
      </c>
      <c r="T2024" s="37"/>
    </row>
    <row r="2025" spans="15:20" x14ac:dyDescent="0.25">
      <c r="O2025" s="76"/>
      <c r="P2025" s="78"/>
      <c r="Q2025" s="77"/>
      <c r="R2025" s="78"/>
      <c r="S2025" s="36" t="e">
        <f>VLOOKUP(Tabla91116[[#This Row],[CODIGO DEL PRODUCTO]],Tabla797[],2,FALSE)</f>
        <v>#N/A</v>
      </c>
      <c r="T2025" s="37"/>
    </row>
    <row r="2026" spans="15:20" x14ac:dyDescent="0.25">
      <c r="O2026" s="76"/>
      <c r="P2026" s="78"/>
      <c r="Q2026" s="77"/>
      <c r="R2026" s="78"/>
      <c r="S2026" s="36" t="e">
        <f>VLOOKUP(Tabla91116[[#This Row],[CODIGO DEL PRODUCTO]],Tabla797[],2,FALSE)</f>
        <v>#N/A</v>
      </c>
      <c r="T2026" s="37"/>
    </row>
    <row r="2027" spans="15:20" x14ac:dyDescent="0.25">
      <c r="O2027" s="76"/>
      <c r="P2027" s="78"/>
      <c r="Q2027" s="77"/>
      <c r="R2027" s="78"/>
      <c r="S2027" s="36" t="e">
        <f>VLOOKUP(Tabla91116[[#This Row],[CODIGO DEL PRODUCTO]],Tabla797[],2,FALSE)</f>
        <v>#N/A</v>
      </c>
      <c r="T2027" s="37"/>
    </row>
    <row r="2028" spans="15:20" x14ac:dyDescent="0.25">
      <c r="O2028" s="76"/>
      <c r="P2028" s="78"/>
      <c r="Q2028" s="77"/>
      <c r="R2028" s="78"/>
      <c r="S2028" s="36" t="e">
        <f>VLOOKUP(Tabla91116[[#This Row],[CODIGO DEL PRODUCTO]],Tabla797[],2,FALSE)</f>
        <v>#N/A</v>
      </c>
      <c r="T2028" s="37"/>
    </row>
    <row r="2029" spans="15:20" x14ac:dyDescent="0.25">
      <c r="O2029" s="76"/>
      <c r="P2029" s="78"/>
      <c r="Q2029" s="77"/>
      <c r="R2029" s="78"/>
      <c r="S2029" s="36" t="e">
        <f>VLOOKUP(Tabla91116[[#This Row],[CODIGO DEL PRODUCTO]],Tabla797[],2,FALSE)</f>
        <v>#N/A</v>
      </c>
      <c r="T2029" s="37"/>
    </row>
    <row r="2030" spans="15:20" x14ac:dyDescent="0.25">
      <c r="O2030" s="76"/>
      <c r="P2030" s="78"/>
      <c r="Q2030" s="77"/>
      <c r="R2030" s="78"/>
      <c r="S2030" s="36" t="e">
        <f>VLOOKUP(Tabla91116[[#This Row],[CODIGO DEL PRODUCTO]],Tabla797[],2,FALSE)</f>
        <v>#N/A</v>
      </c>
      <c r="T2030" s="37"/>
    </row>
    <row r="2031" spans="15:20" x14ac:dyDescent="0.25">
      <c r="O2031" s="76"/>
      <c r="P2031" s="78"/>
      <c r="Q2031" s="77"/>
      <c r="R2031" s="78"/>
      <c r="S2031" s="36" t="e">
        <f>VLOOKUP(Tabla91116[[#This Row],[CODIGO DEL PRODUCTO]],Tabla797[],2,FALSE)</f>
        <v>#N/A</v>
      </c>
      <c r="T2031" s="37"/>
    </row>
    <row r="2032" spans="15:20" x14ac:dyDescent="0.25">
      <c r="O2032" s="76"/>
      <c r="P2032" s="78"/>
      <c r="Q2032" s="77"/>
      <c r="R2032" s="78"/>
      <c r="S2032" s="36" t="e">
        <f>VLOOKUP(Tabla91116[[#This Row],[CODIGO DEL PRODUCTO]],Tabla797[],2,FALSE)</f>
        <v>#N/A</v>
      </c>
      <c r="T2032" s="37"/>
    </row>
    <row r="2033" spans="15:20" x14ac:dyDescent="0.25">
      <c r="O2033" s="76"/>
      <c r="P2033" s="78"/>
      <c r="Q2033" s="77"/>
      <c r="R2033" s="78"/>
      <c r="S2033" s="36" t="e">
        <f>VLOOKUP(Tabla91116[[#This Row],[CODIGO DEL PRODUCTO]],Tabla797[],2,FALSE)</f>
        <v>#N/A</v>
      </c>
      <c r="T2033" s="37"/>
    </row>
    <row r="2034" spans="15:20" x14ac:dyDescent="0.25">
      <c r="O2034" s="76"/>
      <c r="P2034" s="78"/>
      <c r="Q2034" s="77"/>
      <c r="R2034" s="78"/>
      <c r="S2034" s="36" t="e">
        <f>VLOOKUP(Tabla91116[[#This Row],[CODIGO DEL PRODUCTO]],Tabla797[],2,FALSE)</f>
        <v>#N/A</v>
      </c>
      <c r="T2034" s="37"/>
    </row>
    <row r="2035" spans="15:20" x14ac:dyDescent="0.25">
      <c r="O2035" s="76"/>
      <c r="P2035" s="78"/>
      <c r="Q2035" s="77"/>
      <c r="R2035" s="78"/>
      <c r="S2035" s="36" t="e">
        <f>VLOOKUP(Tabla91116[[#This Row],[CODIGO DEL PRODUCTO]],Tabla797[],2,FALSE)</f>
        <v>#N/A</v>
      </c>
      <c r="T2035" s="37"/>
    </row>
    <row r="2036" spans="15:20" x14ac:dyDescent="0.25">
      <c r="O2036" s="76"/>
      <c r="P2036" s="78"/>
      <c r="Q2036" s="77"/>
      <c r="R2036" s="78"/>
      <c r="S2036" s="36" t="e">
        <f>VLOOKUP(Tabla91116[[#This Row],[CODIGO DEL PRODUCTO]],Tabla797[],2,FALSE)</f>
        <v>#N/A</v>
      </c>
      <c r="T2036" s="37"/>
    </row>
    <row r="2037" spans="15:20" x14ac:dyDescent="0.25">
      <c r="O2037" s="76"/>
      <c r="P2037" s="78"/>
      <c r="Q2037" s="77"/>
      <c r="R2037" s="78"/>
      <c r="S2037" s="36" t="e">
        <f>VLOOKUP(Tabla91116[[#This Row],[CODIGO DEL PRODUCTO]],Tabla797[],2,FALSE)</f>
        <v>#N/A</v>
      </c>
      <c r="T2037" s="37"/>
    </row>
    <row r="2038" spans="15:20" x14ac:dyDescent="0.25">
      <c r="O2038" s="76"/>
      <c r="P2038" s="78"/>
      <c r="Q2038" s="77"/>
      <c r="R2038" s="78"/>
      <c r="S2038" s="36" t="e">
        <f>VLOOKUP(Tabla91116[[#This Row],[CODIGO DEL PRODUCTO]],Tabla797[],2,FALSE)</f>
        <v>#N/A</v>
      </c>
      <c r="T2038" s="37"/>
    </row>
    <row r="2039" spans="15:20" x14ac:dyDescent="0.25">
      <c r="O2039" s="76"/>
      <c r="P2039" s="78"/>
      <c r="Q2039" s="77"/>
      <c r="R2039" s="78"/>
      <c r="S2039" s="36" t="e">
        <f>VLOOKUP(Tabla91116[[#This Row],[CODIGO DEL PRODUCTO]],Tabla797[],2,FALSE)</f>
        <v>#N/A</v>
      </c>
      <c r="T2039" s="37"/>
    </row>
    <row r="2040" spans="15:20" x14ac:dyDescent="0.25">
      <c r="O2040" s="76"/>
      <c r="P2040" s="78"/>
      <c r="Q2040" s="77"/>
      <c r="R2040" s="78"/>
      <c r="S2040" s="36" t="e">
        <f>VLOOKUP(Tabla91116[[#This Row],[CODIGO DEL PRODUCTO]],Tabla797[],2,FALSE)</f>
        <v>#N/A</v>
      </c>
      <c r="T2040" s="37"/>
    </row>
    <row r="2041" spans="15:20" x14ac:dyDescent="0.25">
      <c r="O2041" s="76"/>
      <c r="P2041" s="78"/>
      <c r="Q2041" s="77"/>
      <c r="R2041" s="78"/>
      <c r="S2041" s="36" t="e">
        <f>VLOOKUP(Tabla91116[[#This Row],[CODIGO DEL PRODUCTO]],Tabla797[],2,FALSE)</f>
        <v>#N/A</v>
      </c>
      <c r="T2041" s="37"/>
    </row>
    <row r="2042" spans="15:20" x14ac:dyDescent="0.25">
      <c r="O2042" s="76"/>
      <c r="P2042" s="78"/>
      <c r="Q2042" s="77"/>
      <c r="R2042" s="78"/>
      <c r="S2042" s="36" t="e">
        <f>VLOOKUP(Tabla91116[[#This Row],[CODIGO DEL PRODUCTO]],Tabla797[],2,FALSE)</f>
        <v>#N/A</v>
      </c>
      <c r="T2042" s="37"/>
    </row>
    <row r="2043" spans="15:20" x14ac:dyDescent="0.25">
      <c r="O2043" s="76"/>
      <c r="P2043" s="78"/>
      <c r="Q2043" s="77"/>
      <c r="R2043" s="78"/>
      <c r="S2043" s="36" t="e">
        <f>VLOOKUP(Tabla91116[[#This Row],[CODIGO DEL PRODUCTO]],Tabla797[],2,FALSE)</f>
        <v>#N/A</v>
      </c>
      <c r="T2043" s="37"/>
    </row>
    <row r="2044" spans="15:20" x14ac:dyDescent="0.25">
      <c r="O2044" s="76"/>
      <c r="P2044" s="78"/>
      <c r="Q2044" s="77"/>
      <c r="R2044" s="78"/>
      <c r="S2044" s="36" t="e">
        <f>VLOOKUP(Tabla91116[[#This Row],[CODIGO DEL PRODUCTO]],Tabla797[],2,FALSE)</f>
        <v>#N/A</v>
      </c>
      <c r="T2044" s="37"/>
    </row>
    <row r="2045" spans="15:20" x14ac:dyDescent="0.25">
      <c r="O2045" s="76"/>
      <c r="P2045" s="78"/>
      <c r="Q2045" s="77"/>
      <c r="R2045" s="78"/>
      <c r="S2045" s="36" t="e">
        <f>VLOOKUP(Tabla91116[[#This Row],[CODIGO DEL PRODUCTO]],Tabla797[],2,FALSE)</f>
        <v>#N/A</v>
      </c>
      <c r="T2045" s="37"/>
    </row>
    <row r="2046" spans="15:20" x14ac:dyDescent="0.25">
      <c r="O2046" s="76"/>
      <c r="P2046" s="78"/>
      <c r="Q2046" s="77"/>
      <c r="R2046" s="78"/>
      <c r="S2046" s="36" t="e">
        <f>VLOOKUP(Tabla91116[[#This Row],[CODIGO DEL PRODUCTO]],Tabla797[],2,FALSE)</f>
        <v>#N/A</v>
      </c>
      <c r="T2046" s="37"/>
    </row>
    <row r="2047" spans="15:20" x14ac:dyDescent="0.25">
      <c r="O2047" s="76"/>
      <c r="P2047" s="78"/>
      <c r="Q2047" s="77"/>
      <c r="R2047" s="78"/>
      <c r="S2047" s="36" t="e">
        <f>VLOOKUP(Tabla91116[[#This Row],[CODIGO DEL PRODUCTO]],Tabla797[],2,FALSE)</f>
        <v>#N/A</v>
      </c>
      <c r="T2047" s="37"/>
    </row>
    <row r="2048" spans="15:20" x14ac:dyDescent="0.25">
      <c r="O2048" s="76"/>
      <c r="P2048" s="78"/>
      <c r="Q2048" s="77"/>
      <c r="R2048" s="78"/>
      <c r="S2048" s="36" t="e">
        <f>VLOOKUP(Tabla91116[[#This Row],[CODIGO DEL PRODUCTO]],Tabla797[],2,FALSE)</f>
        <v>#N/A</v>
      </c>
      <c r="T2048" s="37"/>
    </row>
    <row r="2049" spans="15:20" x14ac:dyDescent="0.25">
      <c r="O2049" s="76"/>
      <c r="P2049" s="78"/>
      <c r="Q2049" s="77"/>
      <c r="R2049" s="78"/>
      <c r="S2049" s="36" t="e">
        <f>VLOOKUP(Tabla91116[[#This Row],[CODIGO DEL PRODUCTO]],Tabla797[],2,FALSE)</f>
        <v>#N/A</v>
      </c>
      <c r="T2049" s="37"/>
    </row>
    <row r="2050" spans="15:20" x14ac:dyDescent="0.25">
      <c r="O2050" s="76"/>
      <c r="P2050" s="78"/>
      <c r="Q2050" s="77"/>
      <c r="R2050" s="78"/>
      <c r="S2050" s="36" t="e">
        <f>VLOOKUP(Tabla91116[[#This Row],[CODIGO DEL PRODUCTO]],Tabla797[],2,FALSE)</f>
        <v>#N/A</v>
      </c>
      <c r="T2050" s="37"/>
    </row>
    <row r="2051" spans="15:20" x14ac:dyDescent="0.25">
      <c r="O2051" s="76"/>
      <c r="P2051" s="78"/>
      <c r="Q2051" s="77"/>
      <c r="R2051" s="78"/>
      <c r="S2051" s="36" t="e">
        <f>VLOOKUP(Tabla91116[[#This Row],[CODIGO DEL PRODUCTO]],Tabla797[],2,FALSE)</f>
        <v>#N/A</v>
      </c>
      <c r="T2051" s="37"/>
    </row>
    <row r="2052" spans="15:20" x14ac:dyDescent="0.25">
      <c r="O2052" s="76"/>
      <c r="P2052" s="78"/>
      <c r="Q2052" s="77"/>
      <c r="R2052" s="78"/>
      <c r="S2052" s="36" t="e">
        <f>VLOOKUP(Tabla91116[[#This Row],[CODIGO DEL PRODUCTO]],Tabla797[],2,FALSE)</f>
        <v>#N/A</v>
      </c>
      <c r="T2052" s="37"/>
    </row>
    <row r="2053" spans="15:20" x14ac:dyDescent="0.25">
      <c r="O2053" s="76"/>
      <c r="P2053" s="78"/>
      <c r="Q2053" s="77"/>
      <c r="R2053" s="78"/>
      <c r="S2053" s="36" t="e">
        <f>VLOOKUP(Tabla91116[[#This Row],[CODIGO DEL PRODUCTO]],Tabla797[],2,FALSE)</f>
        <v>#N/A</v>
      </c>
      <c r="T2053" s="37"/>
    </row>
    <row r="2054" spans="15:20" x14ac:dyDescent="0.25">
      <c r="O2054" s="76"/>
      <c r="P2054" s="78"/>
      <c r="Q2054" s="77"/>
      <c r="R2054" s="78"/>
      <c r="S2054" s="36" t="e">
        <f>VLOOKUP(Tabla91116[[#This Row],[CODIGO DEL PRODUCTO]],Tabla797[],2,FALSE)</f>
        <v>#N/A</v>
      </c>
      <c r="T2054" s="37"/>
    </row>
    <row r="2055" spans="15:20" x14ac:dyDescent="0.25">
      <c r="O2055" s="76"/>
      <c r="P2055" s="78"/>
      <c r="Q2055" s="77"/>
      <c r="R2055" s="78"/>
      <c r="S2055" s="36" t="e">
        <f>VLOOKUP(Tabla91116[[#This Row],[CODIGO DEL PRODUCTO]],Tabla797[],2,FALSE)</f>
        <v>#N/A</v>
      </c>
      <c r="T2055" s="37"/>
    </row>
    <row r="2056" spans="15:20" x14ac:dyDescent="0.25">
      <c r="O2056" s="76"/>
      <c r="P2056" s="78"/>
      <c r="Q2056" s="77"/>
      <c r="R2056" s="78"/>
      <c r="S2056" s="36" t="e">
        <f>VLOOKUP(Tabla91116[[#This Row],[CODIGO DEL PRODUCTO]],Tabla797[],2,FALSE)</f>
        <v>#N/A</v>
      </c>
      <c r="T2056" s="37"/>
    </row>
    <row r="2057" spans="15:20" x14ac:dyDescent="0.25">
      <c r="O2057" s="76"/>
      <c r="P2057" s="78"/>
      <c r="Q2057" s="77"/>
      <c r="R2057" s="78"/>
      <c r="S2057" s="36" t="e">
        <f>VLOOKUP(Tabla91116[[#This Row],[CODIGO DEL PRODUCTO]],Tabla797[],2,FALSE)</f>
        <v>#N/A</v>
      </c>
      <c r="T2057" s="37"/>
    </row>
    <row r="2058" spans="15:20" x14ac:dyDescent="0.25">
      <c r="O2058" s="76"/>
      <c r="P2058" s="78"/>
      <c r="Q2058" s="77"/>
      <c r="R2058" s="78"/>
      <c r="S2058" s="36" t="e">
        <f>VLOOKUP(Tabla91116[[#This Row],[CODIGO DEL PRODUCTO]],Tabla797[],2,FALSE)</f>
        <v>#N/A</v>
      </c>
      <c r="T2058" s="37"/>
    </row>
    <row r="2059" spans="15:20" x14ac:dyDescent="0.25">
      <c r="O2059" s="76"/>
      <c r="P2059" s="78"/>
      <c r="Q2059" s="77"/>
      <c r="R2059" s="78"/>
      <c r="S2059" s="36" t="e">
        <f>VLOOKUP(Tabla91116[[#This Row],[CODIGO DEL PRODUCTO]],Tabla797[],2,FALSE)</f>
        <v>#N/A</v>
      </c>
      <c r="T2059" s="37"/>
    </row>
    <row r="2060" spans="15:20" x14ac:dyDescent="0.25">
      <c r="O2060" s="76"/>
      <c r="P2060" s="78"/>
      <c r="Q2060" s="77"/>
      <c r="R2060" s="78"/>
      <c r="S2060" s="36" t="e">
        <f>VLOOKUP(Tabla91116[[#This Row],[CODIGO DEL PRODUCTO]],Tabla797[],2,FALSE)</f>
        <v>#N/A</v>
      </c>
      <c r="T2060" s="37"/>
    </row>
    <row r="2061" spans="15:20" x14ac:dyDescent="0.25">
      <c r="O2061" s="76"/>
      <c r="P2061" s="78"/>
      <c r="Q2061" s="77"/>
      <c r="R2061" s="78"/>
      <c r="S2061" s="36" t="e">
        <f>VLOOKUP(Tabla91116[[#This Row],[CODIGO DEL PRODUCTO]],Tabla797[],2,FALSE)</f>
        <v>#N/A</v>
      </c>
      <c r="T2061" s="37"/>
    </row>
    <row r="2062" spans="15:20" x14ac:dyDescent="0.25">
      <c r="O2062" s="76"/>
      <c r="P2062" s="78"/>
      <c r="Q2062" s="77"/>
      <c r="R2062" s="78"/>
      <c r="S2062" s="36" t="e">
        <f>VLOOKUP(Tabla91116[[#This Row],[CODIGO DEL PRODUCTO]],Tabla797[],2,FALSE)</f>
        <v>#N/A</v>
      </c>
      <c r="T2062" s="37"/>
    </row>
    <row r="2063" spans="15:20" x14ac:dyDescent="0.25">
      <c r="O2063" s="76"/>
      <c r="P2063" s="78"/>
      <c r="Q2063" s="77"/>
      <c r="R2063" s="78"/>
      <c r="S2063" s="36" t="e">
        <f>VLOOKUP(Tabla91116[[#This Row],[CODIGO DEL PRODUCTO]],Tabla797[],2,FALSE)</f>
        <v>#N/A</v>
      </c>
      <c r="T2063" s="37"/>
    </row>
    <row r="2064" spans="15:20" x14ac:dyDescent="0.25">
      <c r="O2064" s="76"/>
      <c r="P2064" s="78"/>
      <c r="Q2064" s="77"/>
      <c r="R2064" s="78"/>
      <c r="S2064" s="36" t="e">
        <f>VLOOKUP(Tabla91116[[#This Row],[CODIGO DEL PRODUCTO]],Tabla797[],2,FALSE)</f>
        <v>#N/A</v>
      </c>
      <c r="T2064" s="37"/>
    </row>
    <row r="2065" spans="15:20" x14ac:dyDescent="0.25">
      <c r="O2065" s="76"/>
      <c r="P2065" s="78"/>
      <c r="Q2065" s="77"/>
      <c r="R2065" s="78"/>
      <c r="S2065" s="36" t="e">
        <f>VLOOKUP(Tabla91116[[#This Row],[CODIGO DEL PRODUCTO]],Tabla797[],2,FALSE)</f>
        <v>#N/A</v>
      </c>
      <c r="T2065" s="37"/>
    </row>
    <row r="2066" spans="15:20" x14ac:dyDescent="0.25">
      <c r="O2066" s="76"/>
      <c r="P2066" s="78"/>
      <c r="Q2066" s="77"/>
      <c r="R2066" s="78"/>
      <c r="S2066" s="36" t="e">
        <f>VLOOKUP(Tabla91116[[#This Row],[CODIGO DEL PRODUCTO]],Tabla797[],2,FALSE)</f>
        <v>#N/A</v>
      </c>
      <c r="T2066" s="37"/>
    </row>
    <row r="2067" spans="15:20" x14ac:dyDescent="0.25">
      <c r="O2067" s="76"/>
      <c r="P2067" s="78"/>
      <c r="Q2067" s="77"/>
      <c r="R2067" s="78"/>
      <c r="S2067" s="36" t="e">
        <f>VLOOKUP(Tabla91116[[#This Row],[CODIGO DEL PRODUCTO]],Tabla797[],2,FALSE)</f>
        <v>#N/A</v>
      </c>
      <c r="T2067" s="37"/>
    </row>
    <row r="2068" spans="15:20" x14ac:dyDescent="0.25">
      <c r="O2068" s="76"/>
      <c r="P2068" s="78"/>
      <c r="Q2068" s="77"/>
      <c r="R2068" s="78"/>
      <c r="S2068" s="36" t="e">
        <f>VLOOKUP(Tabla91116[[#This Row],[CODIGO DEL PRODUCTO]],Tabla797[],2,FALSE)</f>
        <v>#N/A</v>
      </c>
      <c r="T2068" s="37"/>
    </row>
    <row r="2069" spans="15:20" x14ac:dyDescent="0.25">
      <c r="O2069" s="76"/>
      <c r="P2069" s="78"/>
      <c r="Q2069" s="77"/>
      <c r="R2069" s="78"/>
      <c r="S2069" s="36" t="e">
        <f>VLOOKUP(Tabla91116[[#This Row],[CODIGO DEL PRODUCTO]],Tabla797[],2,FALSE)</f>
        <v>#N/A</v>
      </c>
      <c r="T2069" s="37"/>
    </row>
    <row r="2070" spans="15:20" x14ac:dyDescent="0.25">
      <c r="O2070" s="76"/>
      <c r="P2070" s="78"/>
      <c r="Q2070" s="77"/>
      <c r="R2070" s="78"/>
      <c r="S2070" s="36" t="e">
        <f>VLOOKUP(Tabla91116[[#This Row],[CODIGO DEL PRODUCTO]],Tabla797[],2,FALSE)</f>
        <v>#N/A</v>
      </c>
      <c r="T2070" s="37"/>
    </row>
    <row r="2071" spans="15:20" x14ac:dyDescent="0.25">
      <c r="O2071" s="76"/>
      <c r="P2071" s="78"/>
      <c r="Q2071" s="77"/>
      <c r="R2071" s="78"/>
      <c r="S2071" s="36" t="e">
        <f>VLOOKUP(Tabla91116[[#This Row],[CODIGO DEL PRODUCTO]],Tabla797[],2,FALSE)</f>
        <v>#N/A</v>
      </c>
      <c r="T2071" s="37"/>
    </row>
    <row r="2072" spans="15:20" x14ac:dyDescent="0.25">
      <c r="O2072" s="76"/>
      <c r="P2072" s="78"/>
      <c r="Q2072" s="77"/>
      <c r="R2072" s="78"/>
      <c r="S2072" s="36" t="e">
        <f>VLOOKUP(Tabla91116[[#This Row],[CODIGO DEL PRODUCTO]],Tabla797[],2,FALSE)</f>
        <v>#N/A</v>
      </c>
      <c r="T2072" s="37"/>
    </row>
    <row r="2073" spans="15:20" x14ac:dyDescent="0.25">
      <c r="O2073" s="76"/>
      <c r="P2073" s="78"/>
      <c r="Q2073" s="77"/>
      <c r="R2073" s="78"/>
      <c r="S2073" s="36" t="e">
        <f>VLOOKUP(Tabla91116[[#This Row],[CODIGO DEL PRODUCTO]],Tabla797[],2,FALSE)</f>
        <v>#N/A</v>
      </c>
      <c r="T2073" s="37"/>
    </row>
    <row r="2074" spans="15:20" x14ac:dyDescent="0.25">
      <c r="O2074" s="76"/>
      <c r="P2074" s="78"/>
      <c r="Q2074" s="77"/>
      <c r="R2074" s="78"/>
      <c r="S2074" s="36" t="e">
        <f>VLOOKUP(Tabla91116[[#This Row],[CODIGO DEL PRODUCTO]],Tabla797[],2,FALSE)</f>
        <v>#N/A</v>
      </c>
      <c r="T2074" s="37"/>
    </row>
    <row r="2075" spans="15:20" x14ac:dyDescent="0.25">
      <c r="O2075" s="76"/>
      <c r="P2075" s="78"/>
      <c r="Q2075" s="77"/>
      <c r="R2075" s="78"/>
      <c r="S2075" s="36" t="e">
        <f>VLOOKUP(Tabla91116[[#This Row],[CODIGO DEL PRODUCTO]],Tabla797[],2,FALSE)</f>
        <v>#N/A</v>
      </c>
      <c r="T2075" s="37"/>
    </row>
    <row r="2076" spans="15:20" x14ac:dyDescent="0.25">
      <c r="O2076" s="76"/>
      <c r="P2076" s="78"/>
      <c r="Q2076" s="77"/>
      <c r="R2076" s="78"/>
      <c r="S2076" s="36" t="e">
        <f>VLOOKUP(Tabla91116[[#This Row],[CODIGO DEL PRODUCTO]],Tabla797[],2,FALSE)</f>
        <v>#N/A</v>
      </c>
      <c r="T2076" s="37"/>
    </row>
    <row r="2077" spans="15:20" x14ac:dyDescent="0.25">
      <c r="O2077" s="76"/>
      <c r="P2077" s="78"/>
      <c r="Q2077" s="77"/>
      <c r="R2077" s="78"/>
      <c r="S2077" s="36" t="e">
        <f>VLOOKUP(Tabla91116[[#This Row],[CODIGO DEL PRODUCTO]],Tabla797[],2,FALSE)</f>
        <v>#N/A</v>
      </c>
      <c r="T2077" s="37"/>
    </row>
    <row r="2078" spans="15:20" x14ac:dyDescent="0.25">
      <c r="O2078" s="76"/>
      <c r="P2078" s="78"/>
      <c r="Q2078" s="77"/>
      <c r="R2078" s="78"/>
      <c r="S2078" s="36" t="e">
        <f>VLOOKUP(Tabla91116[[#This Row],[CODIGO DEL PRODUCTO]],Tabla797[],2,FALSE)</f>
        <v>#N/A</v>
      </c>
      <c r="T2078" s="37"/>
    </row>
    <row r="2079" spans="15:20" x14ac:dyDescent="0.25">
      <c r="O2079" s="76"/>
      <c r="P2079" s="78"/>
      <c r="Q2079" s="77"/>
      <c r="R2079" s="78"/>
      <c r="S2079" s="36" t="e">
        <f>VLOOKUP(Tabla91116[[#This Row],[CODIGO DEL PRODUCTO]],Tabla797[],2,FALSE)</f>
        <v>#N/A</v>
      </c>
      <c r="T2079" s="37"/>
    </row>
    <row r="2080" spans="15:20" x14ac:dyDescent="0.25">
      <c r="O2080" s="76"/>
      <c r="P2080" s="78"/>
      <c r="Q2080" s="77"/>
      <c r="R2080" s="78"/>
      <c r="S2080" s="36" t="e">
        <f>VLOOKUP(Tabla91116[[#This Row],[CODIGO DEL PRODUCTO]],Tabla797[],2,FALSE)</f>
        <v>#N/A</v>
      </c>
      <c r="T2080" s="37"/>
    </row>
    <row r="2081" spans="15:20" x14ac:dyDescent="0.25">
      <c r="O2081" s="76"/>
      <c r="P2081" s="78"/>
      <c r="Q2081" s="77"/>
      <c r="R2081" s="78"/>
      <c r="S2081" s="36" t="e">
        <f>VLOOKUP(Tabla91116[[#This Row],[CODIGO DEL PRODUCTO]],Tabla797[],2,FALSE)</f>
        <v>#N/A</v>
      </c>
      <c r="T2081" s="37"/>
    </row>
    <row r="2082" spans="15:20" x14ac:dyDescent="0.25">
      <c r="O2082" s="76"/>
      <c r="P2082" s="78"/>
      <c r="Q2082" s="77"/>
      <c r="R2082" s="78"/>
      <c r="S2082" s="36" t="e">
        <f>VLOOKUP(Tabla91116[[#This Row],[CODIGO DEL PRODUCTO]],Tabla797[],2,FALSE)</f>
        <v>#N/A</v>
      </c>
      <c r="T2082" s="37"/>
    </row>
    <row r="2083" spans="15:20" x14ac:dyDescent="0.25">
      <c r="O2083" s="76"/>
      <c r="P2083" s="78"/>
      <c r="Q2083" s="77"/>
      <c r="R2083" s="78"/>
      <c r="S2083" s="36" t="e">
        <f>VLOOKUP(Tabla91116[[#This Row],[CODIGO DEL PRODUCTO]],Tabla797[],2,FALSE)</f>
        <v>#N/A</v>
      </c>
      <c r="T2083" s="37"/>
    </row>
    <row r="2084" spans="15:20" x14ac:dyDescent="0.25">
      <c r="O2084" s="76"/>
      <c r="P2084" s="78"/>
      <c r="Q2084" s="77"/>
      <c r="R2084" s="78"/>
      <c r="S2084" s="36" t="e">
        <f>VLOOKUP(Tabla91116[[#This Row],[CODIGO DEL PRODUCTO]],Tabla797[],2,FALSE)</f>
        <v>#N/A</v>
      </c>
      <c r="T2084" s="37"/>
    </row>
    <row r="2085" spans="15:20" x14ac:dyDescent="0.25">
      <c r="O2085" s="76"/>
      <c r="P2085" s="78"/>
      <c r="Q2085" s="77"/>
      <c r="R2085" s="78"/>
      <c r="S2085" s="36" t="e">
        <f>VLOOKUP(Tabla91116[[#This Row],[CODIGO DEL PRODUCTO]],Tabla797[],2,FALSE)</f>
        <v>#N/A</v>
      </c>
      <c r="T2085" s="37"/>
    </row>
    <row r="2086" spans="15:20" x14ac:dyDescent="0.25">
      <c r="O2086" s="76"/>
      <c r="P2086" s="78"/>
      <c r="Q2086" s="77"/>
      <c r="R2086" s="78"/>
      <c r="S2086" s="36" t="e">
        <f>VLOOKUP(Tabla91116[[#This Row],[CODIGO DEL PRODUCTO]],Tabla797[],2,FALSE)</f>
        <v>#N/A</v>
      </c>
      <c r="T2086" s="37"/>
    </row>
    <row r="2087" spans="15:20" x14ac:dyDescent="0.25">
      <c r="O2087" s="76"/>
      <c r="P2087" s="78"/>
      <c r="Q2087" s="77"/>
      <c r="R2087" s="78"/>
      <c r="S2087" s="36" t="e">
        <f>VLOOKUP(Tabla91116[[#This Row],[CODIGO DEL PRODUCTO]],Tabla797[],2,FALSE)</f>
        <v>#N/A</v>
      </c>
      <c r="T2087" s="37"/>
    </row>
    <row r="2088" spans="15:20" x14ac:dyDescent="0.25">
      <c r="O2088" s="76"/>
      <c r="P2088" s="78"/>
      <c r="Q2088" s="77"/>
      <c r="R2088" s="78"/>
      <c r="S2088" s="36" t="e">
        <f>VLOOKUP(Tabla91116[[#This Row],[CODIGO DEL PRODUCTO]],Tabla797[],2,FALSE)</f>
        <v>#N/A</v>
      </c>
      <c r="T2088" s="37"/>
    </row>
    <row r="2089" spans="15:20" x14ac:dyDescent="0.25">
      <c r="O2089" s="76"/>
      <c r="P2089" s="78"/>
      <c r="Q2089" s="77"/>
      <c r="R2089" s="78"/>
      <c r="S2089" s="36" t="e">
        <f>VLOOKUP(Tabla91116[[#This Row],[CODIGO DEL PRODUCTO]],Tabla797[],2,FALSE)</f>
        <v>#N/A</v>
      </c>
      <c r="T2089" s="37"/>
    </row>
    <row r="2090" spans="15:20" x14ac:dyDescent="0.25">
      <c r="O2090" s="76"/>
      <c r="P2090" s="78"/>
      <c r="Q2090" s="77"/>
      <c r="R2090" s="78"/>
      <c r="S2090" s="36" t="e">
        <f>VLOOKUP(Tabla91116[[#This Row],[CODIGO DEL PRODUCTO]],Tabla797[],2,FALSE)</f>
        <v>#N/A</v>
      </c>
      <c r="T2090" s="37"/>
    </row>
    <row r="2091" spans="15:20" x14ac:dyDescent="0.25">
      <c r="O2091" s="76"/>
      <c r="P2091" s="78"/>
      <c r="Q2091" s="77"/>
      <c r="R2091" s="78"/>
      <c r="S2091" s="36" t="e">
        <f>VLOOKUP(Tabla91116[[#This Row],[CODIGO DEL PRODUCTO]],Tabla797[],2,FALSE)</f>
        <v>#N/A</v>
      </c>
      <c r="T2091" s="37"/>
    </row>
    <row r="2092" spans="15:20" x14ac:dyDescent="0.25">
      <c r="O2092" s="76"/>
      <c r="P2092" s="78"/>
      <c r="Q2092" s="77"/>
      <c r="R2092" s="78"/>
      <c r="S2092" s="36" t="e">
        <f>VLOOKUP(Tabla91116[[#This Row],[CODIGO DEL PRODUCTO]],Tabla797[],2,FALSE)</f>
        <v>#N/A</v>
      </c>
      <c r="T2092" s="37"/>
    </row>
    <row r="2093" spans="15:20" x14ac:dyDescent="0.25">
      <c r="O2093" s="76"/>
      <c r="P2093" s="78"/>
      <c r="Q2093" s="77"/>
      <c r="R2093" s="78"/>
      <c r="S2093" s="36" t="e">
        <f>VLOOKUP(Tabla91116[[#This Row],[CODIGO DEL PRODUCTO]],Tabla797[],2,FALSE)</f>
        <v>#N/A</v>
      </c>
      <c r="T2093" s="37"/>
    </row>
    <row r="2094" spans="15:20" x14ac:dyDescent="0.25">
      <c r="O2094" s="76"/>
      <c r="P2094" s="78"/>
      <c r="Q2094" s="77"/>
      <c r="R2094" s="78"/>
      <c r="S2094" s="36" t="e">
        <f>VLOOKUP(Tabla91116[[#This Row],[CODIGO DEL PRODUCTO]],Tabla797[],2,FALSE)</f>
        <v>#N/A</v>
      </c>
      <c r="T2094" s="37"/>
    </row>
    <row r="2095" spans="15:20" x14ac:dyDescent="0.25">
      <c r="O2095" s="76"/>
      <c r="P2095" s="78"/>
      <c r="Q2095" s="77"/>
      <c r="R2095" s="78"/>
      <c r="S2095" s="36" t="e">
        <f>VLOOKUP(Tabla91116[[#This Row],[CODIGO DEL PRODUCTO]],Tabla797[],2,FALSE)</f>
        <v>#N/A</v>
      </c>
      <c r="T2095" s="37"/>
    </row>
    <row r="2096" spans="15:20" x14ac:dyDescent="0.25">
      <c r="O2096" s="76"/>
      <c r="P2096" s="78"/>
      <c r="Q2096" s="77"/>
      <c r="R2096" s="78"/>
      <c r="S2096" s="36" t="e">
        <f>VLOOKUP(Tabla91116[[#This Row],[CODIGO DEL PRODUCTO]],Tabla797[],2,FALSE)</f>
        <v>#N/A</v>
      </c>
      <c r="T2096" s="37"/>
    </row>
    <row r="2097" spans="15:20" x14ac:dyDescent="0.25">
      <c r="O2097" s="76"/>
      <c r="P2097" s="78"/>
      <c r="Q2097" s="77"/>
      <c r="R2097" s="78"/>
      <c r="S2097" s="36" t="e">
        <f>VLOOKUP(Tabla91116[[#This Row],[CODIGO DEL PRODUCTO]],Tabla797[],2,FALSE)</f>
        <v>#N/A</v>
      </c>
      <c r="T2097" s="37"/>
    </row>
    <row r="2098" spans="15:20" x14ac:dyDescent="0.25">
      <c r="O2098" s="76"/>
      <c r="P2098" s="78"/>
      <c r="Q2098" s="77"/>
      <c r="R2098" s="78"/>
      <c r="S2098" s="36" t="e">
        <f>VLOOKUP(Tabla91116[[#This Row],[CODIGO DEL PRODUCTO]],Tabla797[],2,FALSE)</f>
        <v>#N/A</v>
      </c>
      <c r="T2098" s="37"/>
    </row>
    <row r="2099" spans="15:20" x14ac:dyDescent="0.25">
      <c r="O2099" s="76"/>
      <c r="P2099" s="78"/>
      <c r="Q2099" s="77"/>
      <c r="R2099" s="78"/>
      <c r="S2099" s="36" t="e">
        <f>VLOOKUP(Tabla91116[[#This Row],[CODIGO DEL PRODUCTO]],Tabla797[],2,FALSE)</f>
        <v>#N/A</v>
      </c>
      <c r="T2099" s="37"/>
    </row>
    <row r="2100" spans="15:20" x14ac:dyDescent="0.25">
      <c r="O2100" s="76"/>
      <c r="P2100" s="78"/>
      <c r="Q2100" s="77"/>
      <c r="R2100" s="78"/>
      <c r="S2100" s="36" t="e">
        <f>VLOOKUP(Tabla91116[[#This Row],[CODIGO DEL PRODUCTO]],Tabla797[],2,FALSE)</f>
        <v>#N/A</v>
      </c>
      <c r="T2100" s="37"/>
    </row>
    <row r="2101" spans="15:20" x14ac:dyDescent="0.25">
      <c r="O2101" s="76"/>
      <c r="P2101" s="78"/>
      <c r="Q2101" s="77"/>
      <c r="R2101" s="78"/>
      <c r="S2101" s="36" t="e">
        <f>VLOOKUP(Tabla91116[[#This Row],[CODIGO DEL PRODUCTO]],Tabla797[],2,FALSE)</f>
        <v>#N/A</v>
      </c>
      <c r="T2101" s="37"/>
    </row>
    <row r="2102" spans="15:20" x14ac:dyDescent="0.25">
      <c r="O2102" s="76"/>
      <c r="P2102" s="78"/>
      <c r="Q2102" s="77"/>
      <c r="R2102" s="78"/>
      <c r="S2102" s="36" t="e">
        <f>VLOOKUP(Tabla91116[[#This Row],[CODIGO DEL PRODUCTO]],Tabla797[],2,FALSE)</f>
        <v>#N/A</v>
      </c>
      <c r="T2102" s="37"/>
    </row>
    <row r="2103" spans="15:20" x14ac:dyDescent="0.25">
      <c r="O2103" s="76"/>
      <c r="P2103" s="78"/>
      <c r="Q2103" s="77"/>
      <c r="R2103" s="78"/>
      <c r="S2103" s="36" t="e">
        <f>VLOOKUP(Tabla91116[[#This Row],[CODIGO DEL PRODUCTO]],Tabla797[],2,FALSE)</f>
        <v>#N/A</v>
      </c>
      <c r="T2103" s="37"/>
    </row>
    <row r="2104" spans="15:20" x14ac:dyDescent="0.25">
      <c r="O2104" s="76"/>
      <c r="P2104" s="78"/>
      <c r="Q2104" s="77"/>
      <c r="R2104" s="78"/>
      <c r="S2104" s="36" t="e">
        <f>VLOOKUP(Tabla91116[[#This Row],[CODIGO DEL PRODUCTO]],Tabla797[],2,FALSE)</f>
        <v>#N/A</v>
      </c>
      <c r="T2104" s="37"/>
    </row>
    <row r="2105" spans="15:20" x14ac:dyDescent="0.25">
      <c r="O2105" s="76"/>
      <c r="P2105" s="78"/>
      <c r="Q2105" s="77"/>
      <c r="R2105" s="78"/>
      <c r="S2105" s="36" t="e">
        <f>VLOOKUP(Tabla91116[[#This Row],[CODIGO DEL PRODUCTO]],Tabla797[],2,FALSE)</f>
        <v>#N/A</v>
      </c>
      <c r="T2105" s="37"/>
    </row>
    <row r="2106" spans="15:20" x14ac:dyDescent="0.25">
      <c r="O2106" s="76"/>
      <c r="P2106" s="78"/>
      <c r="Q2106" s="77"/>
      <c r="R2106" s="78"/>
      <c r="S2106" s="36" t="e">
        <f>VLOOKUP(Tabla91116[[#This Row],[CODIGO DEL PRODUCTO]],Tabla797[],2,FALSE)</f>
        <v>#N/A</v>
      </c>
      <c r="T2106" s="37"/>
    </row>
    <row r="2107" spans="15:20" x14ac:dyDescent="0.25">
      <c r="O2107" s="76"/>
      <c r="P2107" s="78"/>
      <c r="Q2107" s="77"/>
      <c r="R2107" s="78"/>
      <c r="S2107" s="36" t="e">
        <f>VLOOKUP(Tabla91116[[#This Row],[CODIGO DEL PRODUCTO]],Tabla797[],2,FALSE)</f>
        <v>#N/A</v>
      </c>
      <c r="T2107" s="37"/>
    </row>
    <row r="2108" spans="15:20" x14ac:dyDescent="0.25">
      <c r="O2108" s="76"/>
      <c r="P2108" s="78"/>
      <c r="Q2108" s="77"/>
      <c r="R2108" s="78"/>
      <c r="S2108" s="36" t="e">
        <f>VLOOKUP(Tabla91116[[#This Row],[CODIGO DEL PRODUCTO]],Tabla797[],2,FALSE)</f>
        <v>#N/A</v>
      </c>
      <c r="T2108" s="37"/>
    </row>
    <row r="2109" spans="15:20" x14ac:dyDescent="0.25">
      <c r="O2109" s="76"/>
      <c r="P2109" s="78"/>
      <c r="Q2109" s="77"/>
      <c r="R2109" s="78"/>
      <c r="S2109" s="36" t="e">
        <f>VLOOKUP(Tabla91116[[#This Row],[CODIGO DEL PRODUCTO]],Tabla797[],2,FALSE)</f>
        <v>#N/A</v>
      </c>
      <c r="T2109" s="37"/>
    </row>
    <row r="2110" spans="15:20" x14ac:dyDescent="0.25">
      <c r="O2110" s="76"/>
      <c r="P2110" s="78"/>
      <c r="Q2110" s="77"/>
      <c r="R2110" s="78"/>
      <c r="S2110" s="36" t="e">
        <f>VLOOKUP(Tabla91116[[#This Row],[CODIGO DEL PRODUCTO]],Tabla797[],2,FALSE)</f>
        <v>#N/A</v>
      </c>
      <c r="T2110" s="37"/>
    </row>
    <row r="2111" spans="15:20" x14ac:dyDescent="0.25">
      <c r="O2111" s="76"/>
      <c r="P2111" s="78"/>
      <c r="Q2111" s="77"/>
      <c r="R2111" s="78"/>
      <c r="S2111" s="36" t="e">
        <f>VLOOKUP(Tabla91116[[#This Row],[CODIGO DEL PRODUCTO]],Tabla797[],2,FALSE)</f>
        <v>#N/A</v>
      </c>
      <c r="T2111" s="37"/>
    </row>
    <row r="2112" spans="15:20" x14ac:dyDescent="0.25">
      <c r="O2112" s="76"/>
      <c r="P2112" s="78"/>
      <c r="Q2112" s="77"/>
      <c r="R2112" s="78"/>
      <c r="S2112" s="36" t="e">
        <f>VLOOKUP(Tabla91116[[#This Row],[CODIGO DEL PRODUCTO]],Tabla797[],2,FALSE)</f>
        <v>#N/A</v>
      </c>
      <c r="T2112" s="37"/>
    </row>
    <row r="2113" spans="15:20" x14ac:dyDescent="0.25">
      <c r="O2113" s="76"/>
      <c r="P2113" s="78"/>
      <c r="Q2113" s="77"/>
      <c r="R2113" s="78"/>
      <c r="S2113" s="36" t="e">
        <f>VLOOKUP(Tabla91116[[#This Row],[CODIGO DEL PRODUCTO]],Tabla797[],2,FALSE)</f>
        <v>#N/A</v>
      </c>
      <c r="T2113" s="37"/>
    </row>
    <row r="2114" spans="15:20" x14ac:dyDescent="0.25">
      <c r="O2114" s="76"/>
      <c r="P2114" s="78"/>
      <c r="Q2114" s="77"/>
      <c r="R2114" s="78"/>
      <c r="S2114" s="36" t="e">
        <f>VLOOKUP(Tabla91116[[#This Row],[CODIGO DEL PRODUCTO]],Tabla797[],2,FALSE)</f>
        <v>#N/A</v>
      </c>
      <c r="T2114" s="37"/>
    </row>
    <row r="2115" spans="15:20" x14ac:dyDescent="0.25">
      <c r="O2115" s="76"/>
      <c r="P2115" s="78"/>
      <c r="Q2115" s="77"/>
      <c r="R2115" s="78"/>
      <c r="S2115" s="36" t="e">
        <f>VLOOKUP(Tabla91116[[#This Row],[CODIGO DEL PRODUCTO]],Tabla797[],2,FALSE)</f>
        <v>#N/A</v>
      </c>
      <c r="T2115" s="37"/>
    </row>
    <row r="2116" spans="15:20" x14ac:dyDescent="0.25">
      <c r="O2116" s="76"/>
      <c r="P2116" s="78"/>
      <c r="Q2116" s="77"/>
      <c r="R2116" s="78"/>
      <c r="S2116" s="36" t="e">
        <f>VLOOKUP(Tabla91116[[#This Row],[CODIGO DEL PRODUCTO]],Tabla797[],2,FALSE)</f>
        <v>#N/A</v>
      </c>
      <c r="T2116" s="37"/>
    </row>
    <row r="2117" spans="15:20" x14ac:dyDescent="0.25">
      <c r="O2117" s="76"/>
      <c r="P2117" s="78"/>
      <c r="Q2117" s="77"/>
      <c r="R2117" s="78"/>
      <c r="S2117" s="36" t="e">
        <f>VLOOKUP(Tabla91116[[#This Row],[CODIGO DEL PRODUCTO]],Tabla797[],2,FALSE)</f>
        <v>#N/A</v>
      </c>
      <c r="T2117" s="37"/>
    </row>
    <row r="2118" spans="15:20" x14ac:dyDescent="0.25">
      <c r="O2118" s="76"/>
      <c r="P2118" s="78"/>
      <c r="Q2118" s="77"/>
      <c r="R2118" s="78"/>
      <c r="S2118" s="36" t="e">
        <f>VLOOKUP(Tabla91116[[#This Row],[CODIGO DEL PRODUCTO]],Tabla797[],2,FALSE)</f>
        <v>#N/A</v>
      </c>
      <c r="T2118" s="37"/>
    </row>
    <row r="2119" spans="15:20" x14ac:dyDescent="0.25">
      <c r="O2119" s="76"/>
      <c r="P2119" s="78"/>
      <c r="Q2119" s="77"/>
      <c r="R2119" s="78"/>
      <c r="S2119" s="36" t="e">
        <f>VLOOKUP(Tabla91116[[#This Row],[CODIGO DEL PRODUCTO]],Tabla797[],2,FALSE)</f>
        <v>#N/A</v>
      </c>
      <c r="T2119" s="37"/>
    </row>
    <row r="2120" spans="15:20" x14ac:dyDescent="0.25">
      <c r="O2120" s="76"/>
      <c r="P2120" s="78"/>
      <c r="Q2120" s="77"/>
      <c r="R2120" s="78"/>
      <c r="S2120" s="36" t="e">
        <f>VLOOKUP(Tabla91116[[#This Row],[CODIGO DEL PRODUCTO]],Tabla797[],2,FALSE)</f>
        <v>#N/A</v>
      </c>
      <c r="T2120" s="37"/>
    </row>
    <row r="2121" spans="15:20" x14ac:dyDescent="0.25">
      <c r="O2121" s="76"/>
      <c r="P2121" s="78"/>
      <c r="Q2121" s="77"/>
      <c r="R2121" s="78"/>
      <c r="S2121" s="36" t="e">
        <f>VLOOKUP(Tabla91116[[#This Row],[CODIGO DEL PRODUCTO]],Tabla797[],2,FALSE)</f>
        <v>#N/A</v>
      </c>
      <c r="T2121" s="37"/>
    </row>
    <row r="2122" spans="15:20" x14ac:dyDescent="0.25">
      <c r="O2122" s="76"/>
      <c r="P2122" s="78"/>
      <c r="Q2122" s="77"/>
      <c r="R2122" s="78"/>
      <c r="S2122" s="36" t="e">
        <f>VLOOKUP(Tabla91116[[#This Row],[CODIGO DEL PRODUCTO]],Tabla797[],2,FALSE)</f>
        <v>#N/A</v>
      </c>
      <c r="T2122" s="37"/>
    </row>
    <row r="2123" spans="15:20" x14ac:dyDescent="0.25">
      <c r="O2123" s="76"/>
      <c r="P2123" s="78"/>
      <c r="Q2123" s="77"/>
      <c r="R2123" s="78"/>
      <c r="S2123" s="36" t="e">
        <f>VLOOKUP(Tabla91116[[#This Row],[CODIGO DEL PRODUCTO]],Tabla797[],2,FALSE)</f>
        <v>#N/A</v>
      </c>
      <c r="T2123" s="37"/>
    </row>
    <row r="2124" spans="15:20" x14ac:dyDescent="0.25">
      <c r="O2124" s="76"/>
      <c r="P2124" s="78"/>
      <c r="Q2124" s="77"/>
      <c r="R2124" s="78"/>
      <c r="S2124" s="36" t="e">
        <f>VLOOKUP(Tabla91116[[#This Row],[CODIGO DEL PRODUCTO]],Tabla797[],2,FALSE)</f>
        <v>#N/A</v>
      </c>
      <c r="T2124" s="37"/>
    </row>
    <row r="2125" spans="15:20" x14ac:dyDescent="0.25">
      <c r="O2125" s="76"/>
      <c r="P2125" s="78"/>
      <c r="Q2125" s="77"/>
      <c r="R2125" s="78"/>
      <c r="S2125" s="36" t="e">
        <f>VLOOKUP(Tabla91116[[#This Row],[CODIGO DEL PRODUCTO]],Tabla797[],2,FALSE)</f>
        <v>#N/A</v>
      </c>
      <c r="T2125" s="37"/>
    </row>
    <row r="2126" spans="15:20" x14ac:dyDescent="0.25">
      <c r="O2126" s="76"/>
      <c r="P2126" s="78"/>
      <c r="Q2126" s="77"/>
      <c r="R2126" s="78"/>
      <c r="S2126" s="36" t="e">
        <f>VLOOKUP(Tabla91116[[#This Row],[CODIGO DEL PRODUCTO]],Tabla797[],2,FALSE)</f>
        <v>#N/A</v>
      </c>
      <c r="T2126" s="37"/>
    </row>
    <row r="2127" spans="15:20" x14ac:dyDescent="0.25">
      <c r="O2127" s="76"/>
      <c r="P2127" s="78"/>
      <c r="Q2127" s="77"/>
      <c r="R2127" s="78"/>
      <c r="S2127" s="36" t="e">
        <f>VLOOKUP(Tabla91116[[#This Row],[CODIGO DEL PRODUCTO]],Tabla797[],2,FALSE)</f>
        <v>#N/A</v>
      </c>
      <c r="T2127" s="37"/>
    </row>
    <row r="2128" spans="15:20" x14ac:dyDescent="0.25">
      <c r="O2128" s="76"/>
      <c r="P2128" s="78"/>
      <c r="Q2128" s="77"/>
      <c r="R2128" s="78"/>
      <c r="S2128" s="36" t="e">
        <f>VLOOKUP(Tabla91116[[#This Row],[CODIGO DEL PRODUCTO]],Tabla797[],2,FALSE)</f>
        <v>#N/A</v>
      </c>
      <c r="T2128" s="37"/>
    </row>
    <row r="2129" spans="15:20" x14ac:dyDescent="0.25">
      <c r="O2129" s="76"/>
      <c r="P2129" s="78"/>
      <c r="Q2129" s="77"/>
      <c r="R2129" s="78"/>
      <c r="S2129" s="36" t="e">
        <f>VLOOKUP(Tabla91116[[#This Row],[CODIGO DEL PRODUCTO]],Tabla797[],2,FALSE)</f>
        <v>#N/A</v>
      </c>
      <c r="T2129" s="37"/>
    </row>
    <row r="2130" spans="15:20" x14ac:dyDescent="0.25">
      <c r="O2130" s="76"/>
      <c r="P2130" s="78"/>
      <c r="Q2130" s="77"/>
      <c r="R2130" s="78"/>
      <c r="S2130" s="36" t="e">
        <f>VLOOKUP(Tabla91116[[#This Row],[CODIGO DEL PRODUCTO]],Tabla797[],2,FALSE)</f>
        <v>#N/A</v>
      </c>
      <c r="T2130" s="37"/>
    </row>
    <row r="2131" spans="15:20" x14ac:dyDescent="0.25">
      <c r="O2131" s="76"/>
      <c r="P2131" s="78"/>
      <c r="Q2131" s="77"/>
      <c r="R2131" s="78"/>
      <c r="S2131" s="36" t="e">
        <f>VLOOKUP(Tabla91116[[#This Row],[CODIGO DEL PRODUCTO]],Tabla797[],2,FALSE)</f>
        <v>#N/A</v>
      </c>
      <c r="T2131" s="37"/>
    </row>
    <row r="2132" spans="15:20" x14ac:dyDescent="0.25">
      <c r="O2132" s="76"/>
      <c r="P2132" s="78"/>
      <c r="Q2132" s="77"/>
      <c r="R2132" s="78"/>
      <c r="S2132" s="36" t="e">
        <f>VLOOKUP(Tabla91116[[#This Row],[CODIGO DEL PRODUCTO]],Tabla797[],2,FALSE)</f>
        <v>#N/A</v>
      </c>
      <c r="T2132" s="37"/>
    </row>
    <row r="2133" spans="15:20" x14ac:dyDescent="0.25">
      <c r="O2133" s="76"/>
      <c r="P2133" s="78"/>
      <c r="Q2133" s="77"/>
      <c r="R2133" s="78"/>
      <c r="S2133" s="36" t="e">
        <f>VLOOKUP(Tabla91116[[#This Row],[CODIGO DEL PRODUCTO]],Tabla797[],2,FALSE)</f>
        <v>#N/A</v>
      </c>
      <c r="T2133" s="37"/>
    </row>
    <row r="2134" spans="15:20" x14ac:dyDescent="0.25">
      <c r="O2134" s="76"/>
      <c r="P2134" s="78"/>
      <c r="Q2134" s="77"/>
      <c r="R2134" s="78"/>
      <c r="S2134" s="36" t="e">
        <f>VLOOKUP(Tabla91116[[#This Row],[CODIGO DEL PRODUCTO]],Tabla797[],2,FALSE)</f>
        <v>#N/A</v>
      </c>
      <c r="T2134" s="37"/>
    </row>
    <row r="2135" spans="15:20" x14ac:dyDescent="0.25">
      <c r="O2135" s="76"/>
      <c r="P2135" s="78"/>
      <c r="Q2135" s="77"/>
      <c r="R2135" s="78"/>
      <c r="S2135" s="36" t="e">
        <f>VLOOKUP(Tabla91116[[#This Row],[CODIGO DEL PRODUCTO]],Tabla797[],2,FALSE)</f>
        <v>#N/A</v>
      </c>
      <c r="T2135" s="37"/>
    </row>
    <row r="2136" spans="15:20" x14ac:dyDescent="0.25">
      <c r="O2136" s="76"/>
      <c r="P2136" s="78"/>
      <c r="Q2136" s="77"/>
      <c r="R2136" s="78"/>
      <c r="S2136" s="36" t="e">
        <f>VLOOKUP(Tabla91116[[#This Row],[CODIGO DEL PRODUCTO]],Tabla797[],2,FALSE)</f>
        <v>#N/A</v>
      </c>
      <c r="T2136" s="37"/>
    </row>
    <row r="2137" spans="15:20" x14ac:dyDescent="0.25">
      <c r="O2137" s="76"/>
      <c r="P2137" s="78"/>
      <c r="Q2137" s="77"/>
      <c r="R2137" s="78"/>
      <c r="S2137" s="36" t="e">
        <f>VLOOKUP(Tabla91116[[#This Row],[CODIGO DEL PRODUCTO]],Tabla797[],2,FALSE)</f>
        <v>#N/A</v>
      </c>
      <c r="T2137" s="37"/>
    </row>
    <row r="2138" spans="15:20" x14ac:dyDescent="0.25">
      <c r="O2138" s="76"/>
      <c r="P2138" s="78"/>
      <c r="Q2138" s="77"/>
      <c r="R2138" s="78"/>
      <c r="S2138" s="36" t="e">
        <f>VLOOKUP(Tabla91116[[#This Row],[CODIGO DEL PRODUCTO]],Tabla797[],2,FALSE)</f>
        <v>#N/A</v>
      </c>
      <c r="T2138" s="37"/>
    </row>
    <row r="2139" spans="15:20" x14ac:dyDescent="0.25">
      <c r="O2139" s="76"/>
      <c r="P2139" s="78"/>
      <c r="Q2139" s="77"/>
      <c r="R2139" s="78"/>
      <c r="S2139" s="36" t="e">
        <f>VLOOKUP(Tabla91116[[#This Row],[CODIGO DEL PRODUCTO]],Tabla797[],2,FALSE)</f>
        <v>#N/A</v>
      </c>
      <c r="T2139" s="37"/>
    </row>
    <row r="2140" spans="15:20" x14ac:dyDescent="0.25">
      <c r="O2140" s="76"/>
      <c r="P2140" s="78"/>
      <c r="Q2140" s="77"/>
      <c r="R2140" s="78"/>
      <c r="S2140" s="36" t="e">
        <f>VLOOKUP(Tabla91116[[#This Row],[CODIGO DEL PRODUCTO]],Tabla797[],2,FALSE)</f>
        <v>#N/A</v>
      </c>
      <c r="T2140" s="37"/>
    </row>
    <row r="2141" spans="15:20" x14ac:dyDescent="0.25">
      <c r="O2141" s="76"/>
      <c r="P2141" s="78"/>
      <c r="Q2141" s="77"/>
      <c r="R2141" s="78"/>
      <c r="S2141" s="36" t="e">
        <f>VLOOKUP(Tabla91116[[#This Row],[CODIGO DEL PRODUCTO]],Tabla797[],2,FALSE)</f>
        <v>#N/A</v>
      </c>
      <c r="T2141" s="37"/>
    </row>
    <row r="2142" spans="15:20" x14ac:dyDescent="0.25">
      <c r="O2142" s="76"/>
      <c r="P2142" s="78"/>
      <c r="Q2142" s="77"/>
      <c r="R2142" s="78"/>
      <c r="S2142" s="36" t="e">
        <f>VLOOKUP(Tabla91116[[#This Row],[CODIGO DEL PRODUCTO]],Tabla797[],2,FALSE)</f>
        <v>#N/A</v>
      </c>
      <c r="T2142" s="37"/>
    </row>
    <row r="2143" spans="15:20" x14ac:dyDescent="0.25">
      <c r="O2143" s="76"/>
      <c r="P2143" s="78"/>
      <c r="Q2143" s="77"/>
      <c r="R2143" s="78"/>
      <c r="S2143" s="36" t="e">
        <f>VLOOKUP(Tabla91116[[#This Row],[CODIGO DEL PRODUCTO]],Tabla797[],2,FALSE)</f>
        <v>#N/A</v>
      </c>
      <c r="T2143" s="37"/>
    </row>
    <row r="2144" spans="15:20" x14ac:dyDescent="0.25">
      <c r="O2144" s="76"/>
      <c r="P2144" s="78"/>
      <c r="Q2144" s="77"/>
      <c r="R2144" s="78"/>
      <c r="S2144" s="36" t="e">
        <f>VLOOKUP(Tabla91116[[#This Row],[CODIGO DEL PRODUCTO]],Tabla797[],2,FALSE)</f>
        <v>#N/A</v>
      </c>
      <c r="T2144" s="37"/>
    </row>
    <row r="2145" spans="15:20" x14ac:dyDescent="0.25">
      <c r="O2145" s="76"/>
      <c r="P2145" s="78"/>
      <c r="Q2145" s="77"/>
      <c r="R2145" s="78"/>
      <c r="S2145" s="36" t="e">
        <f>VLOOKUP(Tabla91116[[#This Row],[CODIGO DEL PRODUCTO]],Tabla797[],2,FALSE)</f>
        <v>#N/A</v>
      </c>
      <c r="T2145" s="37"/>
    </row>
    <row r="2146" spans="15:20" x14ac:dyDescent="0.25">
      <c r="O2146" s="76"/>
      <c r="P2146" s="78"/>
      <c r="Q2146" s="77"/>
      <c r="R2146" s="78"/>
      <c r="S2146" s="36" t="e">
        <f>VLOOKUP(Tabla91116[[#This Row],[CODIGO DEL PRODUCTO]],Tabla797[],2,FALSE)</f>
        <v>#N/A</v>
      </c>
      <c r="T2146" s="37"/>
    </row>
    <row r="2147" spans="15:20" x14ac:dyDescent="0.25">
      <c r="O2147" s="76"/>
      <c r="P2147" s="78"/>
      <c r="Q2147" s="77"/>
      <c r="R2147" s="78"/>
      <c r="S2147" s="36" t="e">
        <f>VLOOKUP(Tabla91116[[#This Row],[CODIGO DEL PRODUCTO]],Tabla797[],2,FALSE)</f>
        <v>#N/A</v>
      </c>
      <c r="T2147" s="37"/>
    </row>
    <row r="2148" spans="15:20" x14ac:dyDescent="0.25">
      <c r="O2148" s="76"/>
      <c r="P2148" s="78"/>
      <c r="Q2148" s="77"/>
      <c r="R2148" s="78"/>
      <c r="S2148" s="36" t="e">
        <f>VLOOKUP(Tabla91116[[#This Row],[CODIGO DEL PRODUCTO]],Tabla797[],2,FALSE)</f>
        <v>#N/A</v>
      </c>
      <c r="T2148" s="37"/>
    </row>
    <row r="2149" spans="15:20" x14ac:dyDescent="0.25">
      <c r="O2149" s="76"/>
      <c r="P2149" s="78"/>
      <c r="Q2149" s="77"/>
      <c r="R2149" s="78"/>
      <c r="S2149" s="36" t="e">
        <f>VLOOKUP(Tabla91116[[#This Row],[CODIGO DEL PRODUCTO]],Tabla797[],2,FALSE)</f>
        <v>#N/A</v>
      </c>
      <c r="T2149" s="37"/>
    </row>
    <row r="2150" spans="15:20" x14ac:dyDescent="0.25">
      <c r="O2150" s="76"/>
      <c r="P2150" s="78"/>
      <c r="Q2150" s="77"/>
      <c r="R2150" s="78"/>
      <c r="S2150" s="36" t="e">
        <f>VLOOKUP(Tabla91116[[#This Row],[CODIGO DEL PRODUCTO]],Tabla797[],2,FALSE)</f>
        <v>#N/A</v>
      </c>
      <c r="T2150" s="37"/>
    </row>
    <row r="2151" spans="15:20" x14ac:dyDescent="0.25">
      <c r="O2151" s="76"/>
      <c r="P2151" s="78"/>
      <c r="Q2151" s="77"/>
      <c r="R2151" s="78"/>
      <c r="S2151" s="36" t="e">
        <f>VLOOKUP(Tabla91116[[#This Row],[CODIGO DEL PRODUCTO]],Tabla797[],2,FALSE)</f>
        <v>#N/A</v>
      </c>
      <c r="T2151" s="37"/>
    </row>
    <row r="2152" spans="15:20" x14ac:dyDescent="0.25">
      <c r="O2152" s="76"/>
      <c r="P2152" s="78"/>
      <c r="Q2152" s="77"/>
      <c r="R2152" s="78"/>
      <c r="S2152" s="36" t="e">
        <f>VLOOKUP(Tabla91116[[#This Row],[CODIGO DEL PRODUCTO]],Tabla797[],2,FALSE)</f>
        <v>#N/A</v>
      </c>
      <c r="T2152" s="37"/>
    </row>
    <row r="2153" spans="15:20" x14ac:dyDescent="0.25">
      <c r="O2153" s="76"/>
      <c r="P2153" s="78"/>
      <c r="Q2153" s="77"/>
      <c r="R2153" s="78"/>
      <c r="S2153" s="36" t="e">
        <f>VLOOKUP(Tabla91116[[#This Row],[CODIGO DEL PRODUCTO]],Tabla797[],2,FALSE)</f>
        <v>#N/A</v>
      </c>
      <c r="T2153" s="37"/>
    </row>
    <row r="2154" spans="15:20" x14ac:dyDescent="0.25">
      <c r="O2154" s="76"/>
      <c r="P2154" s="78"/>
      <c r="Q2154" s="77"/>
      <c r="R2154" s="78"/>
      <c r="S2154" s="36" t="e">
        <f>VLOOKUP(Tabla91116[[#This Row],[CODIGO DEL PRODUCTO]],Tabla797[],2,FALSE)</f>
        <v>#N/A</v>
      </c>
      <c r="T2154" s="37"/>
    </row>
    <row r="2155" spans="15:20" x14ac:dyDescent="0.25">
      <c r="O2155" s="76"/>
      <c r="P2155" s="78"/>
      <c r="Q2155" s="77"/>
      <c r="R2155" s="78"/>
      <c r="S2155" s="36" t="e">
        <f>VLOOKUP(Tabla91116[[#This Row],[CODIGO DEL PRODUCTO]],Tabla797[],2,FALSE)</f>
        <v>#N/A</v>
      </c>
      <c r="T2155" s="37"/>
    </row>
    <row r="2156" spans="15:20" x14ac:dyDescent="0.25">
      <c r="O2156" s="76"/>
      <c r="P2156" s="78"/>
      <c r="Q2156" s="77"/>
      <c r="R2156" s="78"/>
      <c r="S2156" s="36" t="e">
        <f>VLOOKUP(Tabla91116[[#This Row],[CODIGO DEL PRODUCTO]],Tabla797[],2,FALSE)</f>
        <v>#N/A</v>
      </c>
      <c r="T2156" s="37"/>
    </row>
    <row r="2157" spans="15:20" x14ac:dyDescent="0.25">
      <c r="O2157" s="76"/>
      <c r="P2157" s="78"/>
      <c r="Q2157" s="77"/>
      <c r="R2157" s="78"/>
      <c r="S2157" s="36" t="e">
        <f>VLOOKUP(Tabla91116[[#This Row],[CODIGO DEL PRODUCTO]],Tabla797[],2,FALSE)</f>
        <v>#N/A</v>
      </c>
      <c r="T2157" s="37"/>
    </row>
    <row r="2158" spans="15:20" x14ac:dyDescent="0.25">
      <c r="O2158" s="76"/>
      <c r="P2158" s="78"/>
      <c r="Q2158" s="77"/>
      <c r="R2158" s="78"/>
      <c r="S2158" s="36" t="e">
        <f>VLOOKUP(Tabla91116[[#This Row],[CODIGO DEL PRODUCTO]],Tabla797[],2,FALSE)</f>
        <v>#N/A</v>
      </c>
      <c r="T2158" s="37"/>
    </row>
    <row r="2159" spans="15:20" x14ac:dyDescent="0.25">
      <c r="O2159" s="76"/>
      <c r="P2159" s="78"/>
      <c r="Q2159" s="77"/>
      <c r="R2159" s="78"/>
      <c r="S2159" s="36" t="e">
        <f>VLOOKUP(Tabla91116[[#This Row],[CODIGO DEL PRODUCTO]],Tabla797[],2,FALSE)</f>
        <v>#N/A</v>
      </c>
      <c r="T2159" s="37"/>
    </row>
    <row r="2160" spans="15:20" x14ac:dyDescent="0.25">
      <c r="O2160" s="76"/>
      <c r="P2160" s="78"/>
      <c r="Q2160" s="77"/>
      <c r="R2160" s="78"/>
      <c r="S2160" s="36" t="e">
        <f>VLOOKUP(Tabla91116[[#This Row],[CODIGO DEL PRODUCTO]],Tabla797[],2,FALSE)</f>
        <v>#N/A</v>
      </c>
      <c r="T2160" s="37"/>
    </row>
    <row r="2161" spans="15:20" x14ac:dyDescent="0.25">
      <c r="O2161" s="76"/>
      <c r="P2161" s="78"/>
      <c r="Q2161" s="77"/>
      <c r="R2161" s="78"/>
      <c r="S2161" s="36" t="e">
        <f>VLOOKUP(Tabla91116[[#This Row],[CODIGO DEL PRODUCTO]],Tabla797[],2,FALSE)</f>
        <v>#N/A</v>
      </c>
      <c r="T2161" s="37"/>
    </row>
    <row r="2162" spans="15:20" x14ac:dyDescent="0.25">
      <c r="O2162" s="76"/>
      <c r="P2162" s="78"/>
      <c r="Q2162" s="77"/>
      <c r="R2162" s="78"/>
      <c r="S2162" s="36" t="e">
        <f>VLOOKUP(Tabla91116[[#This Row],[CODIGO DEL PRODUCTO]],Tabla797[],2,FALSE)</f>
        <v>#N/A</v>
      </c>
      <c r="T2162" s="37"/>
    </row>
    <row r="2163" spans="15:20" x14ac:dyDescent="0.25">
      <c r="O2163" s="76"/>
      <c r="P2163" s="78"/>
      <c r="Q2163" s="77"/>
      <c r="R2163" s="78"/>
      <c r="S2163" s="36" t="e">
        <f>VLOOKUP(Tabla91116[[#This Row],[CODIGO DEL PRODUCTO]],Tabla797[],2,FALSE)</f>
        <v>#N/A</v>
      </c>
      <c r="T2163" s="37"/>
    </row>
    <row r="2164" spans="15:20" x14ac:dyDescent="0.25">
      <c r="O2164" s="76"/>
      <c r="P2164" s="78"/>
      <c r="Q2164" s="77"/>
      <c r="R2164" s="78"/>
      <c r="S2164" s="36" t="e">
        <f>VLOOKUP(Tabla91116[[#This Row],[CODIGO DEL PRODUCTO]],Tabla797[],2,FALSE)</f>
        <v>#N/A</v>
      </c>
      <c r="T2164" s="37"/>
    </row>
    <row r="2165" spans="15:20" x14ac:dyDescent="0.25">
      <c r="O2165" s="76"/>
      <c r="P2165" s="78"/>
      <c r="Q2165" s="77"/>
      <c r="R2165" s="78"/>
      <c r="S2165" s="36" t="e">
        <f>VLOOKUP(Tabla91116[[#This Row],[CODIGO DEL PRODUCTO]],Tabla797[],2,FALSE)</f>
        <v>#N/A</v>
      </c>
      <c r="T2165" s="37"/>
    </row>
    <row r="2166" spans="15:20" x14ac:dyDescent="0.25">
      <c r="O2166" s="76"/>
      <c r="P2166" s="78"/>
      <c r="Q2166" s="77"/>
      <c r="R2166" s="78"/>
      <c r="S2166" s="36" t="e">
        <f>VLOOKUP(Tabla91116[[#This Row],[CODIGO DEL PRODUCTO]],Tabla797[],2,FALSE)</f>
        <v>#N/A</v>
      </c>
      <c r="T2166" s="37"/>
    </row>
    <row r="2167" spans="15:20" x14ac:dyDescent="0.25">
      <c r="O2167" s="76"/>
      <c r="P2167" s="78"/>
      <c r="Q2167" s="77"/>
      <c r="R2167" s="78"/>
      <c r="S2167" s="36" t="e">
        <f>VLOOKUP(Tabla91116[[#This Row],[CODIGO DEL PRODUCTO]],Tabla797[],2,FALSE)</f>
        <v>#N/A</v>
      </c>
      <c r="T2167" s="37"/>
    </row>
    <row r="2168" spans="15:20" x14ac:dyDescent="0.25">
      <c r="O2168" s="76"/>
      <c r="P2168" s="78"/>
      <c r="Q2168" s="77"/>
      <c r="R2168" s="78"/>
      <c r="S2168" s="36" t="e">
        <f>VLOOKUP(Tabla91116[[#This Row],[CODIGO DEL PRODUCTO]],Tabla797[],2,FALSE)</f>
        <v>#N/A</v>
      </c>
      <c r="T2168" s="37"/>
    </row>
    <row r="2169" spans="15:20" x14ac:dyDescent="0.25">
      <c r="O2169" s="76"/>
      <c r="P2169" s="78"/>
      <c r="Q2169" s="77"/>
      <c r="R2169" s="78"/>
      <c r="S2169" s="36" t="e">
        <f>VLOOKUP(Tabla91116[[#This Row],[CODIGO DEL PRODUCTO]],Tabla797[],2,FALSE)</f>
        <v>#N/A</v>
      </c>
      <c r="T2169" s="37"/>
    </row>
    <row r="2170" spans="15:20" x14ac:dyDescent="0.25">
      <c r="O2170" s="76"/>
      <c r="P2170" s="78"/>
      <c r="Q2170" s="77"/>
      <c r="R2170" s="78"/>
      <c r="S2170" s="36" t="e">
        <f>VLOOKUP(Tabla91116[[#This Row],[CODIGO DEL PRODUCTO]],Tabla797[],2,FALSE)</f>
        <v>#N/A</v>
      </c>
      <c r="T2170" s="37"/>
    </row>
    <row r="2171" spans="15:20" x14ac:dyDescent="0.25">
      <c r="O2171" s="76"/>
      <c r="P2171" s="78"/>
      <c r="Q2171" s="77"/>
      <c r="R2171" s="78"/>
      <c r="S2171" s="36" t="e">
        <f>VLOOKUP(Tabla91116[[#This Row],[CODIGO DEL PRODUCTO]],Tabla797[],2,FALSE)</f>
        <v>#N/A</v>
      </c>
      <c r="T2171" s="37"/>
    </row>
    <row r="2172" spans="15:20" x14ac:dyDescent="0.25">
      <c r="O2172" s="76"/>
      <c r="P2172" s="78"/>
      <c r="Q2172" s="77"/>
      <c r="R2172" s="78"/>
      <c r="S2172" s="36" t="e">
        <f>VLOOKUP(Tabla91116[[#This Row],[CODIGO DEL PRODUCTO]],Tabla797[],2,FALSE)</f>
        <v>#N/A</v>
      </c>
      <c r="T2172" s="37"/>
    </row>
    <row r="2173" spans="15:20" x14ac:dyDescent="0.25">
      <c r="O2173" s="76"/>
      <c r="P2173" s="78"/>
      <c r="Q2173" s="77"/>
      <c r="R2173" s="78"/>
      <c r="S2173" s="36" t="e">
        <f>VLOOKUP(Tabla91116[[#This Row],[CODIGO DEL PRODUCTO]],Tabla797[],2,FALSE)</f>
        <v>#N/A</v>
      </c>
      <c r="T2173" s="37"/>
    </row>
    <row r="2174" spans="15:20" x14ac:dyDescent="0.25">
      <c r="O2174" s="76"/>
      <c r="P2174" s="78"/>
      <c r="Q2174" s="77"/>
      <c r="R2174" s="78"/>
      <c r="S2174" s="36" t="e">
        <f>VLOOKUP(Tabla91116[[#This Row],[CODIGO DEL PRODUCTO]],Tabla797[],2,FALSE)</f>
        <v>#N/A</v>
      </c>
      <c r="T2174" s="37"/>
    </row>
    <row r="2175" spans="15:20" x14ac:dyDescent="0.25">
      <c r="O2175" s="76"/>
      <c r="P2175" s="78"/>
      <c r="Q2175" s="77"/>
      <c r="R2175" s="78"/>
      <c r="S2175" s="36" t="e">
        <f>VLOOKUP(Tabla91116[[#This Row],[CODIGO DEL PRODUCTO]],Tabla797[],2,FALSE)</f>
        <v>#N/A</v>
      </c>
      <c r="T2175" s="37"/>
    </row>
    <row r="2176" spans="15:20" x14ac:dyDescent="0.25">
      <c r="O2176" s="76"/>
      <c r="P2176" s="78"/>
      <c r="Q2176" s="77"/>
      <c r="R2176" s="78"/>
      <c r="S2176" s="36" t="e">
        <f>VLOOKUP(Tabla91116[[#This Row],[CODIGO DEL PRODUCTO]],Tabla797[],2,FALSE)</f>
        <v>#N/A</v>
      </c>
      <c r="T2176" s="37"/>
    </row>
    <row r="2177" spans="15:20" x14ac:dyDescent="0.25">
      <c r="O2177" s="76"/>
      <c r="P2177" s="78"/>
      <c r="Q2177" s="77"/>
      <c r="R2177" s="78"/>
      <c r="S2177" s="36" t="e">
        <f>VLOOKUP(Tabla91116[[#This Row],[CODIGO DEL PRODUCTO]],Tabla797[],2,FALSE)</f>
        <v>#N/A</v>
      </c>
      <c r="T2177" s="37"/>
    </row>
    <row r="2178" spans="15:20" x14ac:dyDescent="0.25">
      <c r="O2178" s="76"/>
      <c r="P2178" s="78"/>
      <c r="Q2178" s="77"/>
      <c r="R2178" s="78"/>
      <c r="S2178" s="36" t="e">
        <f>VLOOKUP(Tabla91116[[#This Row],[CODIGO DEL PRODUCTO]],Tabla797[],2,FALSE)</f>
        <v>#N/A</v>
      </c>
      <c r="T2178" s="37"/>
    </row>
    <row r="2179" spans="15:20" x14ac:dyDescent="0.25">
      <c r="O2179" s="76"/>
      <c r="P2179" s="78"/>
      <c r="Q2179" s="77"/>
      <c r="R2179" s="78"/>
      <c r="S2179" s="36" t="e">
        <f>VLOOKUP(Tabla91116[[#This Row],[CODIGO DEL PRODUCTO]],Tabla797[],2,FALSE)</f>
        <v>#N/A</v>
      </c>
      <c r="T2179" s="37"/>
    </row>
    <row r="2180" spans="15:20" x14ac:dyDescent="0.25">
      <c r="O2180" s="76"/>
      <c r="P2180" s="78"/>
      <c r="Q2180" s="77"/>
      <c r="R2180" s="78"/>
      <c r="S2180" s="36" t="e">
        <f>VLOOKUP(Tabla91116[[#This Row],[CODIGO DEL PRODUCTO]],Tabla797[],2,FALSE)</f>
        <v>#N/A</v>
      </c>
      <c r="T2180" s="37"/>
    </row>
    <row r="2181" spans="15:20" x14ac:dyDescent="0.25">
      <c r="O2181" s="76"/>
      <c r="P2181" s="78"/>
      <c r="Q2181" s="77"/>
      <c r="R2181" s="78"/>
      <c r="S2181" s="36" t="e">
        <f>VLOOKUP(Tabla91116[[#This Row],[CODIGO DEL PRODUCTO]],Tabla797[],2,FALSE)</f>
        <v>#N/A</v>
      </c>
      <c r="T2181" s="37"/>
    </row>
    <row r="2182" spans="15:20" x14ac:dyDescent="0.25">
      <c r="O2182" s="76"/>
      <c r="P2182" s="78"/>
      <c r="Q2182" s="77"/>
      <c r="R2182" s="78"/>
      <c r="S2182" s="36" t="e">
        <f>VLOOKUP(Tabla91116[[#This Row],[CODIGO DEL PRODUCTO]],Tabla797[],2,FALSE)</f>
        <v>#N/A</v>
      </c>
      <c r="T2182" s="37"/>
    </row>
    <row r="2183" spans="15:20" x14ac:dyDescent="0.25">
      <c r="O2183" s="76"/>
      <c r="P2183" s="78"/>
      <c r="Q2183" s="77"/>
      <c r="R2183" s="78"/>
      <c r="S2183" s="36" t="e">
        <f>VLOOKUP(Tabla91116[[#This Row],[CODIGO DEL PRODUCTO]],Tabla797[],2,FALSE)</f>
        <v>#N/A</v>
      </c>
      <c r="T2183" s="37"/>
    </row>
    <row r="2184" spans="15:20" x14ac:dyDescent="0.25">
      <c r="O2184" s="76"/>
      <c r="P2184" s="78"/>
      <c r="Q2184" s="77"/>
      <c r="R2184" s="78"/>
      <c r="S2184" s="36" t="e">
        <f>VLOOKUP(Tabla91116[[#This Row],[CODIGO DEL PRODUCTO]],Tabla797[],2,FALSE)</f>
        <v>#N/A</v>
      </c>
      <c r="T2184" s="37"/>
    </row>
    <row r="2185" spans="15:20" x14ac:dyDescent="0.25">
      <c r="O2185" s="76"/>
      <c r="P2185" s="78"/>
      <c r="Q2185" s="77"/>
      <c r="R2185" s="78"/>
      <c r="S2185" s="36" t="e">
        <f>VLOOKUP(Tabla91116[[#This Row],[CODIGO DEL PRODUCTO]],Tabla797[],2,FALSE)</f>
        <v>#N/A</v>
      </c>
      <c r="T2185" s="37"/>
    </row>
    <row r="2186" spans="15:20" x14ac:dyDescent="0.25">
      <c r="O2186" s="76"/>
      <c r="P2186" s="78"/>
      <c r="Q2186" s="77"/>
      <c r="R2186" s="78"/>
      <c r="S2186" s="36" t="e">
        <f>VLOOKUP(Tabla91116[[#This Row],[CODIGO DEL PRODUCTO]],Tabla797[],2,FALSE)</f>
        <v>#N/A</v>
      </c>
      <c r="T2186" s="37"/>
    </row>
    <row r="2187" spans="15:20" x14ac:dyDescent="0.25">
      <c r="O2187" s="76"/>
      <c r="P2187" s="78"/>
      <c r="Q2187" s="77"/>
      <c r="R2187" s="78"/>
      <c r="S2187" s="36" t="e">
        <f>VLOOKUP(Tabla91116[[#This Row],[CODIGO DEL PRODUCTO]],Tabla797[],2,FALSE)</f>
        <v>#N/A</v>
      </c>
      <c r="T2187" s="37"/>
    </row>
    <row r="2188" spans="15:20" x14ac:dyDescent="0.25">
      <c r="O2188" s="76"/>
      <c r="P2188" s="78"/>
      <c r="Q2188" s="77"/>
      <c r="R2188" s="78"/>
      <c r="S2188" s="36" t="e">
        <f>VLOOKUP(Tabla91116[[#This Row],[CODIGO DEL PRODUCTO]],Tabla797[],2,FALSE)</f>
        <v>#N/A</v>
      </c>
      <c r="T2188" s="37"/>
    </row>
    <row r="2189" spans="15:20" x14ac:dyDescent="0.25">
      <c r="O2189" s="76"/>
      <c r="P2189" s="78"/>
      <c r="Q2189" s="77"/>
      <c r="R2189" s="78"/>
      <c r="S2189" s="36" t="e">
        <f>VLOOKUP(Tabla91116[[#This Row],[CODIGO DEL PRODUCTO]],Tabla797[],2,FALSE)</f>
        <v>#N/A</v>
      </c>
      <c r="T2189" s="37"/>
    </row>
    <row r="2190" spans="15:20" x14ac:dyDescent="0.25">
      <c r="O2190" s="76"/>
      <c r="P2190" s="78"/>
      <c r="Q2190" s="77"/>
      <c r="R2190" s="78"/>
      <c r="S2190" s="36" t="e">
        <f>VLOOKUP(Tabla91116[[#This Row],[CODIGO DEL PRODUCTO]],Tabla797[],2,FALSE)</f>
        <v>#N/A</v>
      </c>
      <c r="T2190" s="37"/>
    </row>
    <row r="2191" spans="15:20" x14ac:dyDescent="0.25">
      <c r="O2191" s="76"/>
      <c r="P2191" s="78"/>
      <c r="Q2191" s="77"/>
      <c r="R2191" s="78"/>
      <c r="S2191" s="36" t="e">
        <f>VLOOKUP(Tabla91116[[#This Row],[CODIGO DEL PRODUCTO]],Tabla797[],2,FALSE)</f>
        <v>#N/A</v>
      </c>
      <c r="T2191" s="37"/>
    </row>
    <row r="2192" spans="15:20" x14ac:dyDescent="0.25">
      <c r="O2192" s="76"/>
      <c r="P2192" s="78"/>
      <c r="Q2192" s="77"/>
      <c r="R2192" s="78"/>
      <c r="S2192" s="36" t="e">
        <f>VLOOKUP(Tabla91116[[#This Row],[CODIGO DEL PRODUCTO]],Tabla797[],2,FALSE)</f>
        <v>#N/A</v>
      </c>
      <c r="T2192" s="37"/>
    </row>
    <row r="2193" spans="15:20" x14ac:dyDescent="0.25">
      <c r="O2193" s="76"/>
      <c r="P2193" s="78"/>
      <c r="Q2193" s="77"/>
      <c r="R2193" s="78"/>
      <c r="S2193" s="36" t="e">
        <f>VLOOKUP(Tabla91116[[#This Row],[CODIGO DEL PRODUCTO]],Tabla797[],2,FALSE)</f>
        <v>#N/A</v>
      </c>
      <c r="T2193" s="37"/>
    </row>
    <row r="2194" spans="15:20" x14ac:dyDescent="0.25">
      <c r="O2194" s="76"/>
      <c r="P2194" s="78"/>
      <c r="Q2194" s="77"/>
      <c r="R2194" s="78"/>
      <c r="S2194" s="36" t="e">
        <f>VLOOKUP(Tabla91116[[#This Row],[CODIGO DEL PRODUCTO]],Tabla797[],2,FALSE)</f>
        <v>#N/A</v>
      </c>
      <c r="T2194" s="37"/>
    </row>
    <row r="2195" spans="15:20" x14ac:dyDescent="0.25">
      <c r="O2195" s="76"/>
      <c r="P2195" s="78"/>
      <c r="Q2195" s="77"/>
      <c r="R2195" s="78"/>
      <c r="S2195" s="36" t="e">
        <f>VLOOKUP(Tabla91116[[#This Row],[CODIGO DEL PRODUCTO]],Tabla797[],2,FALSE)</f>
        <v>#N/A</v>
      </c>
      <c r="T2195" s="37"/>
    </row>
    <row r="2196" spans="15:20" x14ac:dyDescent="0.25">
      <c r="O2196" s="76"/>
      <c r="P2196" s="78"/>
      <c r="Q2196" s="77"/>
      <c r="R2196" s="78"/>
      <c r="S2196" s="36" t="e">
        <f>VLOOKUP(Tabla91116[[#This Row],[CODIGO DEL PRODUCTO]],Tabla797[],2,FALSE)</f>
        <v>#N/A</v>
      </c>
      <c r="T2196" s="37"/>
    </row>
    <row r="2197" spans="15:20" x14ac:dyDescent="0.25">
      <c r="O2197" s="76"/>
      <c r="P2197" s="78"/>
      <c r="Q2197" s="77"/>
      <c r="R2197" s="78"/>
      <c r="S2197" s="36" t="e">
        <f>VLOOKUP(Tabla91116[[#This Row],[CODIGO DEL PRODUCTO]],Tabla797[],2,FALSE)</f>
        <v>#N/A</v>
      </c>
      <c r="T2197" s="37"/>
    </row>
    <row r="2198" spans="15:20" x14ac:dyDescent="0.25">
      <c r="O2198" s="76"/>
      <c r="P2198" s="78"/>
      <c r="Q2198" s="77"/>
      <c r="R2198" s="78"/>
      <c r="S2198" s="36" t="e">
        <f>VLOOKUP(Tabla91116[[#This Row],[CODIGO DEL PRODUCTO]],Tabla797[],2,FALSE)</f>
        <v>#N/A</v>
      </c>
      <c r="T2198" s="37"/>
    </row>
    <row r="2199" spans="15:20" x14ac:dyDescent="0.25">
      <c r="O2199" s="76"/>
      <c r="P2199" s="78"/>
      <c r="Q2199" s="77"/>
      <c r="R2199" s="78"/>
      <c r="S2199" s="36" t="e">
        <f>VLOOKUP(Tabla91116[[#This Row],[CODIGO DEL PRODUCTO]],Tabla797[],2,FALSE)</f>
        <v>#N/A</v>
      </c>
      <c r="T2199" s="37"/>
    </row>
    <row r="2200" spans="15:20" x14ac:dyDescent="0.25">
      <c r="O2200" s="76"/>
      <c r="P2200" s="78"/>
      <c r="Q2200" s="77"/>
      <c r="R2200" s="78"/>
      <c r="S2200" s="36" t="e">
        <f>VLOOKUP(Tabla91116[[#This Row],[CODIGO DEL PRODUCTO]],Tabla797[],2,FALSE)</f>
        <v>#N/A</v>
      </c>
      <c r="T2200" s="37"/>
    </row>
    <row r="2201" spans="15:20" x14ac:dyDescent="0.25">
      <c r="O2201" s="76"/>
      <c r="P2201" s="78"/>
      <c r="Q2201" s="77"/>
      <c r="R2201" s="78"/>
      <c r="S2201" s="36" t="e">
        <f>VLOOKUP(Tabla91116[[#This Row],[CODIGO DEL PRODUCTO]],Tabla797[],2,FALSE)</f>
        <v>#N/A</v>
      </c>
      <c r="T2201" s="37"/>
    </row>
    <row r="2202" spans="15:20" x14ac:dyDescent="0.25">
      <c r="O2202" s="76"/>
      <c r="P2202" s="78"/>
      <c r="Q2202" s="77"/>
      <c r="R2202" s="78"/>
      <c r="S2202" s="36" t="e">
        <f>VLOOKUP(Tabla91116[[#This Row],[CODIGO DEL PRODUCTO]],Tabla797[],2,FALSE)</f>
        <v>#N/A</v>
      </c>
      <c r="T2202" s="37"/>
    </row>
    <row r="2203" spans="15:20" x14ac:dyDescent="0.25">
      <c r="O2203" s="76"/>
      <c r="P2203" s="78"/>
      <c r="Q2203" s="77"/>
      <c r="R2203" s="78"/>
      <c r="S2203" s="36" t="e">
        <f>VLOOKUP(Tabla91116[[#This Row],[CODIGO DEL PRODUCTO]],Tabla797[],2,FALSE)</f>
        <v>#N/A</v>
      </c>
      <c r="T2203" s="37"/>
    </row>
    <row r="2204" spans="15:20" x14ac:dyDescent="0.25">
      <c r="O2204" s="76"/>
      <c r="P2204" s="78"/>
      <c r="Q2204" s="77"/>
      <c r="R2204" s="78"/>
      <c r="S2204" s="36" t="e">
        <f>VLOOKUP(Tabla91116[[#This Row],[CODIGO DEL PRODUCTO]],Tabla797[],2,FALSE)</f>
        <v>#N/A</v>
      </c>
      <c r="T2204" s="37"/>
    </row>
    <row r="2205" spans="15:20" x14ac:dyDescent="0.25">
      <c r="O2205" s="76"/>
      <c r="P2205" s="78"/>
      <c r="Q2205" s="77"/>
      <c r="R2205" s="78"/>
      <c r="S2205" s="36" t="e">
        <f>VLOOKUP(Tabla91116[[#This Row],[CODIGO DEL PRODUCTO]],Tabla797[],2,FALSE)</f>
        <v>#N/A</v>
      </c>
      <c r="T2205" s="37"/>
    </row>
    <row r="2206" spans="15:20" x14ac:dyDescent="0.25">
      <c r="O2206" s="76"/>
      <c r="P2206" s="78"/>
      <c r="Q2206" s="77"/>
      <c r="R2206" s="78"/>
      <c r="S2206" s="36" t="e">
        <f>VLOOKUP(Tabla91116[[#This Row],[CODIGO DEL PRODUCTO]],Tabla797[],2,FALSE)</f>
        <v>#N/A</v>
      </c>
      <c r="T2206" s="37"/>
    </row>
    <row r="2207" spans="15:20" x14ac:dyDescent="0.25">
      <c r="O2207" s="76"/>
      <c r="P2207" s="78"/>
      <c r="Q2207" s="77"/>
      <c r="R2207" s="78"/>
      <c r="S2207" s="36" t="e">
        <f>VLOOKUP(Tabla91116[[#This Row],[CODIGO DEL PRODUCTO]],Tabla797[],2,FALSE)</f>
        <v>#N/A</v>
      </c>
      <c r="T2207" s="37"/>
    </row>
    <row r="2208" spans="15:20" x14ac:dyDescent="0.25">
      <c r="O2208" s="76"/>
      <c r="P2208" s="78"/>
      <c r="Q2208" s="77"/>
      <c r="R2208" s="78"/>
      <c r="S2208" s="36" t="e">
        <f>VLOOKUP(Tabla91116[[#This Row],[CODIGO DEL PRODUCTO]],Tabla797[],2,FALSE)</f>
        <v>#N/A</v>
      </c>
      <c r="T2208" s="37"/>
    </row>
    <row r="2209" spans="15:20" x14ac:dyDescent="0.25">
      <c r="O2209" s="76"/>
      <c r="P2209" s="78"/>
      <c r="Q2209" s="77"/>
      <c r="R2209" s="78"/>
      <c r="S2209" s="36" t="e">
        <f>VLOOKUP(Tabla91116[[#This Row],[CODIGO DEL PRODUCTO]],Tabla797[],2,FALSE)</f>
        <v>#N/A</v>
      </c>
      <c r="T2209" s="37"/>
    </row>
    <row r="2210" spans="15:20" x14ac:dyDescent="0.25">
      <c r="O2210" s="76"/>
      <c r="P2210" s="78"/>
      <c r="Q2210" s="77"/>
      <c r="R2210" s="78"/>
      <c r="S2210" s="36" t="e">
        <f>VLOOKUP(Tabla91116[[#This Row],[CODIGO DEL PRODUCTO]],Tabla797[],2,FALSE)</f>
        <v>#N/A</v>
      </c>
      <c r="T2210" s="37"/>
    </row>
    <row r="2211" spans="15:20" x14ac:dyDescent="0.25">
      <c r="O2211" s="76"/>
      <c r="P2211" s="78"/>
      <c r="Q2211" s="77"/>
      <c r="R2211" s="78"/>
      <c r="S2211" s="36" t="e">
        <f>VLOOKUP(Tabla91116[[#This Row],[CODIGO DEL PRODUCTO]],Tabla797[],2,FALSE)</f>
        <v>#N/A</v>
      </c>
      <c r="T2211" s="37"/>
    </row>
    <row r="2212" spans="15:20" x14ac:dyDescent="0.25">
      <c r="O2212" s="76"/>
      <c r="P2212" s="78"/>
      <c r="Q2212" s="77"/>
      <c r="R2212" s="78"/>
      <c r="S2212" s="36" t="e">
        <f>VLOOKUP(Tabla91116[[#This Row],[CODIGO DEL PRODUCTO]],Tabla797[],2,FALSE)</f>
        <v>#N/A</v>
      </c>
      <c r="T2212" s="37"/>
    </row>
    <row r="2213" spans="15:20" x14ac:dyDescent="0.25">
      <c r="O2213" s="76"/>
      <c r="P2213" s="78"/>
      <c r="Q2213" s="77"/>
      <c r="R2213" s="78"/>
      <c r="S2213" s="36" t="e">
        <f>VLOOKUP(Tabla91116[[#This Row],[CODIGO DEL PRODUCTO]],Tabla797[],2,FALSE)</f>
        <v>#N/A</v>
      </c>
      <c r="T2213" s="37"/>
    </row>
    <row r="2214" spans="15:20" x14ac:dyDescent="0.25">
      <c r="O2214" s="76"/>
      <c r="P2214" s="78"/>
      <c r="Q2214" s="77"/>
      <c r="R2214" s="78"/>
      <c r="S2214" s="36" t="e">
        <f>VLOOKUP(Tabla91116[[#This Row],[CODIGO DEL PRODUCTO]],Tabla797[],2,FALSE)</f>
        <v>#N/A</v>
      </c>
      <c r="T2214" s="37"/>
    </row>
    <row r="2215" spans="15:20" x14ac:dyDescent="0.25">
      <c r="O2215" s="76"/>
      <c r="P2215" s="78"/>
      <c r="Q2215" s="77"/>
      <c r="R2215" s="78"/>
      <c r="S2215" s="36" t="e">
        <f>VLOOKUP(Tabla91116[[#This Row],[CODIGO DEL PRODUCTO]],Tabla797[],2,FALSE)</f>
        <v>#N/A</v>
      </c>
      <c r="T2215" s="37"/>
    </row>
    <row r="2216" spans="15:20" x14ac:dyDescent="0.25">
      <c r="O2216" s="76"/>
      <c r="P2216" s="78"/>
      <c r="Q2216" s="77"/>
      <c r="R2216" s="78"/>
      <c r="S2216" s="36" t="e">
        <f>VLOOKUP(Tabla91116[[#This Row],[CODIGO DEL PRODUCTO]],Tabla797[],2,FALSE)</f>
        <v>#N/A</v>
      </c>
      <c r="T2216" s="37"/>
    </row>
    <row r="2217" spans="15:20" x14ac:dyDescent="0.25">
      <c r="O2217" s="76"/>
      <c r="P2217" s="78"/>
      <c r="Q2217" s="77"/>
      <c r="R2217" s="78"/>
      <c r="S2217" s="36" t="e">
        <f>VLOOKUP(Tabla91116[[#This Row],[CODIGO DEL PRODUCTO]],Tabla797[],2,FALSE)</f>
        <v>#N/A</v>
      </c>
      <c r="T2217" s="37"/>
    </row>
    <row r="2218" spans="15:20" x14ac:dyDescent="0.25">
      <c r="O2218" s="76"/>
      <c r="P2218" s="78"/>
      <c r="Q2218" s="77"/>
      <c r="R2218" s="78"/>
      <c r="S2218" s="36" t="e">
        <f>VLOOKUP(Tabla91116[[#This Row],[CODIGO DEL PRODUCTO]],Tabla797[],2,FALSE)</f>
        <v>#N/A</v>
      </c>
      <c r="T2218" s="37"/>
    </row>
    <row r="2219" spans="15:20" x14ac:dyDescent="0.25">
      <c r="O2219" s="76"/>
      <c r="P2219" s="78"/>
      <c r="Q2219" s="77"/>
      <c r="R2219" s="78"/>
      <c r="S2219" s="36" t="e">
        <f>VLOOKUP(Tabla91116[[#This Row],[CODIGO DEL PRODUCTO]],Tabla797[],2,FALSE)</f>
        <v>#N/A</v>
      </c>
      <c r="T2219" s="37"/>
    </row>
    <row r="2220" spans="15:20" x14ac:dyDescent="0.25">
      <c r="O2220" s="76"/>
      <c r="P2220" s="78"/>
      <c r="Q2220" s="77"/>
      <c r="R2220" s="78"/>
      <c r="S2220" s="36" t="e">
        <f>VLOOKUP(Tabla91116[[#This Row],[CODIGO DEL PRODUCTO]],Tabla797[],2,FALSE)</f>
        <v>#N/A</v>
      </c>
      <c r="T2220" s="37"/>
    </row>
    <row r="2221" spans="15:20" x14ac:dyDescent="0.25">
      <c r="O2221" s="76"/>
      <c r="P2221" s="78"/>
      <c r="Q2221" s="77"/>
      <c r="R2221" s="78"/>
      <c r="S2221" s="36" t="e">
        <f>VLOOKUP(Tabla91116[[#This Row],[CODIGO DEL PRODUCTO]],Tabla797[],2,FALSE)</f>
        <v>#N/A</v>
      </c>
      <c r="T2221" s="37"/>
    </row>
    <row r="2222" spans="15:20" x14ac:dyDescent="0.25">
      <c r="O2222" s="76"/>
      <c r="P2222" s="78"/>
      <c r="Q2222" s="77"/>
      <c r="R2222" s="78"/>
      <c r="S2222" s="36" t="e">
        <f>VLOOKUP(Tabla91116[[#This Row],[CODIGO DEL PRODUCTO]],Tabla797[],2,FALSE)</f>
        <v>#N/A</v>
      </c>
      <c r="T2222" s="37"/>
    </row>
    <row r="2223" spans="15:20" x14ac:dyDescent="0.25">
      <c r="O2223" s="76"/>
      <c r="P2223" s="78"/>
      <c r="Q2223" s="77"/>
      <c r="R2223" s="78"/>
      <c r="S2223" s="36" t="e">
        <f>VLOOKUP(Tabla91116[[#This Row],[CODIGO DEL PRODUCTO]],Tabla797[],2,FALSE)</f>
        <v>#N/A</v>
      </c>
      <c r="T2223" s="37"/>
    </row>
    <row r="2224" spans="15:20" x14ac:dyDescent="0.25">
      <c r="O2224" s="76"/>
      <c r="P2224" s="78"/>
      <c r="Q2224" s="77"/>
      <c r="R2224" s="78"/>
      <c r="S2224" s="36" t="e">
        <f>VLOOKUP(Tabla91116[[#This Row],[CODIGO DEL PRODUCTO]],Tabla797[],2,FALSE)</f>
        <v>#N/A</v>
      </c>
      <c r="T2224" s="37"/>
    </row>
    <row r="2225" spans="15:20" x14ac:dyDescent="0.25">
      <c r="O2225" s="76"/>
      <c r="P2225" s="78"/>
      <c r="Q2225" s="77"/>
      <c r="R2225" s="78"/>
      <c r="S2225" s="36" t="e">
        <f>VLOOKUP(Tabla91116[[#This Row],[CODIGO DEL PRODUCTO]],Tabla797[],2,FALSE)</f>
        <v>#N/A</v>
      </c>
      <c r="T2225" s="37"/>
    </row>
    <row r="2226" spans="15:20" x14ac:dyDescent="0.25">
      <c r="O2226" s="76"/>
      <c r="P2226" s="78"/>
      <c r="Q2226" s="77"/>
      <c r="R2226" s="78"/>
      <c r="S2226" s="36" t="e">
        <f>VLOOKUP(Tabla91116[[#This Row],[CODIGO DEL PRODUCTO]],Tabla797[],2,FALSE)</f>
        <v>#N/A</v>
      </c>
      <c r="T2226" s="37"/>
    </row>
    <row r="2227" spans="15:20" x14ac:dyDescent="0.25">
      <c r="O2227" s="76"/>
      <c r="P2227" s="78"/>
      <c r="Q2227" s="77"/>
      <c r="R2227" s="78"/>
      <c r="S2227" s="36" t="e">
        <f>VLOOKUP(Tabla91116[[#This Row],[CODIGO DEL PRODUCTO]],Tabla797[],2,FALSE)</f>
        <v>#N/A</v>
      </c>
      <c r="T2227" s="37"/>
    </row>
    <row r="2228" spans="15:20" x14ac:dyDescent="0.25">
      <c r="O2228" s="76"/>
      <c r="P2228" s="78"/>
      <c r="Q2228" s="77"/>
      <c r="R2228" s="78"/>
      <c r="S2228" s="36" t="e">
        <f>VLOOKUP(Tabla91116[[#This Row],[CODIGO DEL PRODUCTO]],Tabla797[],2,FALSE)</f>
        <v>#N/A</v>
      </c>
      <c r="T2228" s="37"/>
    </row>
    <row r="2229" spans="15:20" x14ac:dyDescent="0.25">
      <c r="O2229" s="76"/>
      <c r="P2229" s="78"/>
      <c r="Q2229" s="77"/>
      <c r="R2229" s="78"/>
      <c r="S2229" s="36" t="e">
        <f>VLOOKUP(Tabla91116[[#This Row],[CODIGO DEL PRODUCTO]],Tabla797[],2,FALSE)</f>
        <v>#N/A</v>
      </c>
      <c r="T2229" s="37"/>
    </row>
    <row r="2230" spans="15:20" x14ac:dyDescent="0.25">
      <c r="O2230" s="76"/>
      <c r="P2230" s="78"/>
      <c r="Q2230" s="77"/>
      <c r="R2230" s="78"/>
      <c r="S2230" s="36" t="e">
        <f>VLOOKUP(Tabla91116[[#This Row],[CODIGO DEL PRODUCTO]],Tabla797[],2,FALSE)</f>
        <v>#N/A</v>
      </c>
      <c r="T2230" s="37"/>
    </row>
    <row r="2231" spans="15:20" x14ac:dyDescent="0.25">
      <c r="O2231" s="76"/>
      <c r="P2231" s="78"/>
      <c r="Q2231" s="77"/>
      <c r="R2231" s="78"/>
      <c r="S2231" s="36" t="e">
        <f>VLOOKUP(Tabla91116[[#This Row],[CODIGO DEL PRODUCTO]],Tabla797[],2,FALSE)</f>
        <v>#N/A</v>
      </c>
      <c r="T2231" s="37"/>
    </row>
    <row r="2232" spans="15:20" x14ac:dyDescent="0.25">
      <c r="O2232" s="76"/>
      <c r="P2232" s="78"/>
      <c r="Q2232" s="77"/>
      <c r="R2232" s="78"/>
      <c r="S2232" s="36" t="e">
        <f>VLOOKUP(Tabla91116[[#This Row],[CODIGO DEL PRODUCTO]],Tabla797[],2,FALSE)</f>
        <v>#N/A</v>
      </c>
      <c r="T2232" s="37"/>
    </row>
    <row r="2233" spans="15:20" x14ac:dyDescent="0.25">
      <c r="O2233" s="76"/>
      <c r="P2233" s="78"/>
      <c r="Q2233" s="77"/>
      <c r="R2233" s="78"/>
      <c r="S2233" s="36" t="e">
        <f>VLOOKUP(Tabla91116[[#This Row],[CODIGO DEL PRODUCTO]],Tabla797[],2,FALSE)</f>
        <v>#N/A</v>
      </c>
      <c r="T2233" s="37"/>
    </row>
    <row r="2234" spans="15:20" x14ac:dyDescent="0.25">
      <c r="O2234" s="76"/>
      <c r="P2234" s="78"/>
      <c r="Q2234" s="77"/>
      <c r="R2234" s="78"/>
      <c r="S2234" s="36" t="e">
        <f>VLOOKUP(Tabla91116[[#This Row],[CODIGO DEL PRODUCTO]],Tabla797[],2,FALSE)</f>
        <v>#N/A</v>
      </c>
      <c r="T2234" s="37"/>
    </row>
    <row r="2235" spans="15:20" x14ac:dyDescent="0.25">
      <c r="O2235" s="76"/>
      <c r="P2235" s="78"/>
      <c r="Q2235" s="77"/>
      <c r="R2235" s="78"/>
      <c r="S2235" s="36" t="e">
        <f>VLOOKUP(Tabla91116[[#This Row],[CODIGO DEL PRODUCTO]],Tabla797[],2,FALSE)</f>
        <v>#N/A</v>
      </c>
      <c r="T2235" s="37"/>
    </row>
    <row r="2236" spans="15:20" x14ac:dyDescent="0.25">
      <c r="O2236" s="76"/>
      <c r="P2236" s="78"/>
      <c r="Q2236" s="77"/>
      <c r="R2236" s="78"/>
      <c r="S2236" s="36" t="e">
        <f>VLOOKUP(Tabla91116[[#This Row],[CODIGO DEL PRODUCTO]],Tabla797[],2,FALSE)</f>
        <v>#N/A</v>
      </c>
      <c r="T2236" s="37"/>
    </row>
    <row r="2237" spans="15:20" x14ac:dyDescent="0.25">
      <c r="O2237" s="76"/>
      <c r="P2237" s="78"/>
      <c r="Q2237" s="77"/>
      <c r="R2237" s="78"/>
      <c r="S2237" s="36" t="e">
        <f>VLOOKUP(Tabla91116[[#This Row],[CODIGO DEL PRODUCTO]],Tabla797[],2,FALSE)</f>
        <v>#N/A</v>
      </c>
      <c r="T2237" s="37"/>
    </row>
    <row r="2238" spans="15:20" x14ac:dyDescent="0.25">
      <c r="O2238" s="76"/>
      <c r="P2238" s="78"/>
      <c r="Q2238" s="77"/>
      <c r="R2238" s="78"/>
      <c r="S2238" s="36" t="e">
        <f>VLOOKUP(Tabla91116[[#This Row],[CODIGO DEL PRODUCTO]],Tabla797[],2,FALSE)</f>
        <v>#N/A</v>
      </c>
      <c r="T2238" s="37"/>
    </row>
    <row r="2239" spans="15:20" x14ac:dyDescent="0.25">
      <c r="O2239" s="76"/>
      <c r="P2239" s="78"/>
      <c r="Q2239" s="77"/>
      <c r="R2239" s="78"/>
      <c r="S2239" s="36" t="e">
        <f>VLOOKUP(Tabla91116[[#This Row],[CODIGO DEL PRODUCTO]],Tabla797[],2,FALSE)</f>
        <v>#N/A</v>
      </c>
      <c r="T2239" s="37"/>
    </row>
    <row r="2240" spans="15:20" x14ac:dyDescent="0.25">
      <c r="O2240" s="76"/>
      <c r="P2240" s="78"/>
      <c r="Q2240" s="77"/>
      <c r="R2240" s="78"/>
      <c r="S2240" s="36" t="e">
        <f>VLOOKUP(Tabla91116[[#This Row],[CODIGO DEL PRODUCTO]],Tabla797[],2,FALSE)</f>
        <v>#N/A</v>
      </c>
      <c r="T2240" s="37"/>
    </row>
    <row r="2241" spans="15:20" x14ac:dyDescent="0.25">
      <c r="O2241" s="76"/>
      <c r="P2241" s="78"/>
      <c r="Q2241" s="77"/>
      <c r="R2241" s="78"/>
      <c r="S2241" s="36" t="e">
        <f>VLOOKUP(Tabla91116[[#This Row],[CODIGO DEL PRODUCTO]],Tabla797[],2,FALSE)</f>
        <v>#N/A</v>
      </c>
      <c r="T2241" s="37"/>
    </row>
    <row r="2242" spans="15:20" x14ac:dyDescent="0.25">
      <c r="O2242" s="76"/>
      <c r="P2242" s="78"/>
      <c r="Q2242" s="77"/>
      <c r="R2242" s="78"/>
      <c r="S2242" s="36" t="e">
        <f>VLOOKUP(Tabla91116[[#This Row],[CODIGO DEL PRODUCTO]],Tabla797[],2,FALSE)</f>
        <v>#N/A</v>
      </c>
      <c r="T2242" s="37"/>
    </row>
    <row r="2243" spans="15:20" x14ac:dyDescent="0.25">
      <c r="O2243" s="76"/>
      <c r="P2243" s="78"/>
      <c r="Q2243" s="77"/>
      <c r="R2243" s="78"/>
      <c r="S2243" s="36" t="e">
        <f>VLOOKUP(Tabla91116[[#This Row],[CODIGO DEL PRODUCTO]],Tabla797[],2,FALSE)</f>
        <v>#N/A</v>
      </c>
      <c r="T2243" s="37"/>
    </row>
    <row r="2244" spans="15:20" x14ac:dyDescent="0.25">
      <c r="O2244" s="76"/>
      <c r="P2244" s="78"/>
      <c r="Q2244" s="77"/>
      <c r="R2244" s="78"/>
      <c r="S2244" s="36" t="e">
        <f>VLOOKUP(Tabla91116[[#This Row],[CODIGO DEL PRODUCTO]],Tabla797[],2,FALSE)</f>
        <v>#N/A</v>
      </c>
      <c r="T2244" s="37"/>
    </row>
    <row r="2245" spans="15:20" x14ac:dyDescent="0.25">
      <c r="O2245" s="76"/>
      <c r="P2245" s="78"/>
      <c r="Q2245" s="77"/>
      <c r="R2245" s="78"/>
      <c r="S2245" s="36" t="e">
        <f>VLOOKUP(Tabla91116[[#This Row],[CODIGO DEL PRODUCTO]],Tabla797[],2,FALSE)</f>
        <v>#N/A</v>
      </c>
      <c r="T2245" s="37"/>
    </row>
    <row r="2246" spans="15:20" x14ac:dyDescent="0.25">
      <c r="O2246" s="76"/>
      <c r="P2246" s="78"/>
      <c r="Q2246" s="77"/>
      <c r="R2246" s="78"/>
      <c r="S2246" s="36" t="e">
        <f>VLOOKUP(Tabla91116[[#This Row],[CODIGO DEL PRODUCTO]],Tabla797[],2,FALSE)</f>
        <v>#N/A</v>
      </c>
      <c r="T2246" s="37"/>
    </row>
    <row r="2247" spans="15:20" x14ac:dyDescent="0.25">
      <c r="O2247" s="76"/>
      <c r="P2247" s="78"/>
      <c r="Q2247" s="77"/>
      <c r="R2247" s="78"/>
      <c r="S2247" s="36" t="e">
        <f>VLOOKUP(Tabla91116[[#This Row],[CODIGO DEL PRODUCTO]],Tabla797[],2,FALSE)</f>
        <v>#N/A</v>
      </c>
      <c r="T2247" s="37"/>
    </row>
    <row r="2248" spans="15:20" x14ac:dyDescent="0.25">
      <c r="O2248" s="76"/>
      <c r="P2248" s="78"/>
      <c r="Q2248" s="77"/>
      <c r="R2248" s="78"/>
      <c r="S2248" s="36" t="e">
        <f>VLOOKUP(Tabla91116[[#This Row],[CODIGO DEL PRODUCTO]],Tabla797[],2,FALSE)</f>
        <v>#N/A</v>
      </c>
      <c r="T2248" s="37"/>
    </row>
    <row r="2249" spans="15:20" x14ac:dyDescent="0.25">
      <c r="O2249" s="76"/>
      <c r="P2249" s="78"/>
      <c r="Q2249" s="77"/>
      <c r="R2249" s="78"/>
      <c r="S2249" s="36" t="e">
        <f>VLOOKUP(Tabla91116[[#This Row],[CODIGO DEL PRODUCTO]],Tabla797[],2,FALSE)</f>
        <v>#N/A</v>
      </c>
      <c r="T2249" s="37"/>
    </row>
    <row r="2250" spans="15:20" x14ac:dyDescent="0.25">
      <c r="O2250" s="76"/>
      <c r="P2250" s="78"/>
      <c r="Q2250" s="77"/>
      <c r="R2250" s="78"/>
      <c r="S2250" s="36" t="e">
        <f>VLOOKUP(Tabla91116[[#This Row],[CODIGO DEL PRODUCTO]],Tabla797[],2,FALSE)</f>
        <v>#N/A</v>
      </c>
      <c r="T2250" s="37"/>
    </row>
    <row r="2251" spans="15:20" x14ac:dyDescent="0.25">
      <c r="O2251" s="76"/>
      <c r="P2251" s="78"/>
      <c r="Q2251" s="77"/>
      <c r="R2251" s="78"/>
      <c r="S2251" s="36" t="e">
        <f>VLOOKUP(Tabla91116[[#This Row],[CODIGO DEL PRODUCTO]],Tabla797[],2,FALSE)</f>
        <v>#N/A</v>
      </c>
      <c r="T2251" s="37"/>
    </row>
    <row r="2252" spans="15:20" x14ac:dyDescent="0.25">
      <c r="O2252" s="76"/>
      <c r="P2252" s="78"/>
      <c r="Q2252" s="77"/>
      <c r="R2252" s="78"/>
      <c r="S2252" s="36" t="e">
        <f>VLOOKUP(Tabla91116[[#This Row],[CODIGO DEL PRODUCTO]],Tabla797[],2,FALSE)</f>
        <v>#N/A</v>
      </c>
      <c r="T2252" s="37"/>
    </row>
    <row r="2253" spans="15:20" x14ac:dyDescent="0.25">
      <c r="O2253" s="76"/>
      <c r="P2253" s="78"/>
      <c r="Q2253" s="77"/>
      <c r="R2253" s="78"/>
      <c r="S2253" s="36" t="e">
        <f>VLOOKUP(Tabla91116[[#This Row],[CODIGO DEL PRODUCTO]],Tabla797[],2,FALSE)</f>
        <v>#N/A</v>
      </c>
      <c r="T2253" s="37"/>
    </row>
    <row r="2254" spans="15:20" x14ac:dyDescent="0.25">
      <c r="O2254" s="76"/>
      <c r="P2254" s="78"/>
      <c r="Q2254" s="77"/>
      <c r="R2254" s="78"/>
      <c r="S2254" s="36" t="e">
        <f>VLOOKUP(Tabla91116[[#This Row],[CODIGO DEL PRODUCTO]],Tabla797[],2,FALSE)</f>
        <v>#N/A</v>
      </c>
      <c r="T2254" s="37"/>
    </row>
    <row r="2255" spans="15:20" x14ac:dyDescent="0.25">
      <c r="O2255" s="76"/>
      <c r="P2255" s="78"/>
      <c r="Q2255" s="77"/>
      <c r="R2255" s="78"/>
      <c r="S2255" s="36" t="e">
        <f>VLOOKUP(Tabla91116[[#This Row],[CODIGO DEL PRODUCTO]],Tabla797[],2,FALSE)</f>
        <v>#N/A</v>
      </c>
      <c r="T2255" s="37"/>
    </row>
    <row r="2256" spans="15:20" x14ac:dyDescent="0.25">
      <c r="O2256" s="76"/>
      <c r="P2256" s="78"/>
      <c r="Q2256" s="77"/>
      <c r="R2256" s="78"/>
      <c r="S2256" s="36" t="e">
        <f>VLOOKUP(Tabla91116[[#This Row],[CODIGO DEL PRODUCTO]],Tabla797[],2,FALSE)</f>
        <v>#N/A</v>
      </c>
      <c r="T2256" s="37"/>
    </row>
    <row r="2257" spans="15:20" x14ac:dyDescent="0.25">
      <c r="O2257" s="76"/>
      <c r="P2257" s="78"/>
      <c r="Q2257" s="77"/>
      <c r="R2257" s="78"/>
      <c r="S2257" s="36" t="e">
        <f>VLOOKUP(Tabla91116[[#This Row],[CODIGO DEL PRODUCTO]],Tabla797[],2,FALSE)</f>
        <v>#N/A</v>
      </c>
      <c r="T2257" s="37"/>
    </row>
    <row r="2258" spans="15:20" x14ac:dyDescent="0.25">
      <c r="O2258" s="76"/>
      <c r="P2258" s="78"/>
      <c r="Q2258" s="77"/>
      <c r="R2258" s="78"/>
      <c r="S2258" s="36" t="e">
        <f>VLOOKUP(Tabla91116[[#This Row],[CODIGO DEL PRODUCTO]],Tabla797[],2,FALSE)</f>
        <v>#N/A</v>
      </c>
      <c r="T2258" s="37"/>
    </row>
    <row r="2259" spans="15:20" x14ac:dyDescent="0.25">
      <c r="O2259" s="76"/>
      <c r="P2259" s="78"/>
      <c r="Q2259" s="77"/>
      <c r="R2259" s="78"/>
      <c r="S2259" s="36" t="e">
        <f>VLOOKUP(Tabla91116[[#This Row],[CODIGO DEL PRODUCTO]],Tabla797[],2,FALSE)</f>
        <v>#N/A</v>
      </c>
      <c r="T2259" s="37"/>
    </row>
    <row r="2260" spans="15:20" x14ac:dyDescent="0.25">
      <c r="O2260" s="76"/>
      <c r="P2260" s="78"/>
      <c r="Q2260" s="77"/>
      <c r="R2260" s="78"/>
      <c r="S2260" s="36" t="e">
        <f>VLOOKUP(Tabla91116[[#This Row],[CODIGO DEL PRODUCTO]],Tabla797[],2,FALSE)</f>
        <v>#N/A</v>
      </c>
      <c r="T2260" s="37"/>
    </row>
    <row r="2261" spans="15:20" x14ac:dyDescent="0.25">
      <c r="O2261" s="76"/>
      <c r="P2261" s="78"/>
      <c r="Q2261" s="77"/>
      <c r="R2261" s="78"/>
      <c r="S2261" s="36" t="e">
        <f>VLOOKUP(Tabla91116[[#This Row],[CODIGO DEL PRODUCTO]],Tabla797[],2,FALSE)</f>
        <v>#N/A</v>
      </c>
      <c r="T2261" s="37"/>
    </row>
    <row r="2262" spans="15:20" x14ac:dyDescent="0.25">
      <c r="O2262" s="76"/>
      <c r="P2262" s="78"/>
      <c r="Q2262" s="77"/>
      <c r="R2262" s="78"/>
      <c r="S2262" s="36" t="e">
        <f>VLOOKUP(Tabla91116[[#This Row],[CODIGO DEL PRODUCTO]],Tabla797[],2,FALSE)</f>
        <v>#N/A</v>
      </c>
      <c r="T2262" s="37"/>
    </row>
    <row r="2263" spans="15:20" x14ac:dyDescent="0.25">
      <c r="O2263" s="76"/>
      <c r="P2263" s="78"/>
      <c r="Q2263" s="77"/>
      <c r="R2263" s="78"/>
      <c r="S2263" s="36" t="e">
        <f>VLOOKUP(Tabla91116[[#This Row],[CODIGO DEL PRODUCTO]],Tabla797[],2,FALSE)</f>
        <v>#N/A</v>
      </c>
      <c r="T2263" s="37"/>
    </row>
    <row r="2264" spans="15:20" x14ac:dyDescent="0.25">
      <c r="O2264" s="76"/>
      <c r="P2264" s="78"/>
      <c r="Q2264" s="77"/>
      <c r="R2264" s="78"/>
      <c r="S2264" s="36" t="e">
        <f>VLOOKUP(Tabla91116[[#This Row],[CODIGO DEL PRODUCTO]],Tabla797[],2,FALSE)</f>
        <v>#N/A</v>
      </c>
      <c r="T2264" s="37"/>
    </row>
    <row r="2265" spans="15:20" x14ac:dyDescent="0.25">
      <c r="O2265" s="76"/>
      <c r="P2265" s="78"/>
      <c r="Q2265" s="77"/>
      <c r="R2265" s="78"/>
      <c r="S2265" s="36" t="e">
        <f>VLOOKUP(Tabla91116[[#This Row],[CODIGO DEL PRODUCTO]],Tabla797[],2,FALSE)</f>
        <v>#N/A</v>
      </c>
      <c r="T2265" s="37"/>
    </row>
    <row r="2266" spans="15:20" x14ac:dyDescent="0.25">
      <c r="O2266" s="76"/>
      <c r="P2266" s="78"/>
      <c r="Q2266" s="77"/>
      <c r="R2266" s="78"/>
      <c r="S2266" s="36" t="e">
        <f>VLOOKUP(Tabla91116[[#This Row],[CODIGO DEL PRODUCTO]],Tabla797[],2,FALSE)</f>
        <v>#N/A</v>
      </c>
      <c r="T2266" s="37"/>
    </row>
    <row r="2267" spans="15:20" x14ac:dyDescent="0.25">
      <c r="O2267" s="76"/>
      <c r="P2267" s="78"/>
      <c r="Q2267" s="77"/>
      <c r="R2267" s="78"/>
      <c r="S2267" s="36" t="e">
        <f>VLOOKUP(Tabla91116[[#This Row],[CODIGO DEL PRODUCTO]],Tabla797[],2,FALSE)</f>
        <v>#N/A</v>
      </c>
      <c r="T2267" s="37"/>
    </row>
    <row r="2268" spans="15:20" x14ac:dyDescent="0.25">
      <c r="O2268" s="76"/>
      <c r="P2268" s="78"/>
      <c r="Q2268" s="77"/>
      <c r="R2268" s="78"/>
      <c r="S2268" s="36" t="e">
        <f>VLOOKUP(Tabla91116[[#This Row],[CODIGO DEL PRODUCTO]],Tabla797[],2,FALSE)</f>
        <v>#N/A</v>
      </c>
      <c r="T2268" s="37"/>
    </row>
    <row r="2269" spans="15:20" x14ac:dyDescent="0.25">
      <c r="O2269" s="76"/>
      <c r="P2269" s="78"/>
      <c r="Q2269" s="77"/>
      <c r="R2269" s="78"/>
      <c r="S2269" s="36" t="e">
        <f>VLOOKUP(Tabla91116[[#This Row],[CODIGO DEL PRODUCTO]],Tabla797[],2,FALSE)</f>
        <v>#N/A</v>
      </c>
      <c r="T2269" s="37"/>
    </row>
    <row r="2270" spans="15:20" x14ac:dyDescent="0.25">
      <c r="O2270" s="76"/>
      <c r="P2270" s="78"/>
      <c r="Q2270" s="77"/>
      <c r="R2270" s="78"/>
      <c r="S2270" s="36" t="e">
        <f>VLOOKUP(Tabla91116[[#This Row],[CODIGO DEL PRODUCTO]],Tabla797[],2,FALSE)</f>
        <v>#N/A</v>
      </c>
      <c r="T2270" s="37"/>
    </row>
    <row r="2271" spans="15:20" x14ac:dyDescent="0.25">
      <c r="O2271" s="76"/>
      <c r="P2271" s="78"/>
      <c r="Q2271" s="77"/>
      <c r="R2271" s="78"/>
      <c r="S2271" s="36" t="e">
        <f>VLOOKUP(Tabla91116[[#This Row],[CODIGO DEL PRODUCTO]],Tabla797[],2,FALSE)</f>
        <v>#N/A</v>
      </c>
      <c r="T2271" s="37"/>
    </row>
    <row r="2272" spans="15:20" x14ac:dyDescent="0.25">
      <c r="O2272" s="76"/>
      <c r="P2272" s="78"/>
      <c r="Q2272" s="77"/>
      <c r="R2272" s="78"/>
      <c r="S2272" s="36" t="e">
        <f>VLOOKUP(Tabla91116[[#This Row],[CODIGO DEL PRODUCTO]],Tabla797[],2,FALSE)</f>
        <v>#N/A</v>
      </c>
      <c r="T2272" s="37"/>
    </row>
    <row r="2273" spans="15:20" x14ac:dyDescent="0.25">
      <c r="O2273" s="76"/>
      <c r="P2273" s="78"/>
      <c r="Q2273" s="77"/>
      <c r="R2273" s="78"/>
      <c r="S2273" s="36" t="e">
        <f>VLOOKUP(Tabla91116[[#This Row],[CODIGO DEL PRODUCTO]],Tabla797[],2,FALSE)</f>
        <v>#N/A</v>
      </c>
      <c r="T2273" s="37"/>
    </row>
    <row r="2274" spans="15:20" x14ac:dyDescent="0.25">
      <c r="O2274" s="76"/>
      <c r="P2274" s="78"/>
      <c r="Q2274" s="77"/>
      <c r="R2274" s="78"/>
      <c r="S2274" s="36" t="e">
        <f>VLOOKUP(Tabla91116[[#This Row],[CODIGO DEL PRODUCTO]],Tabla797[],2,FALSE)</f>
        <v>#N/A</v>
      </c>
      <c r="T2274" s="37"/>
    </row>
    <row r="2275" spans="15:20" x14ac:dyDescent="0.25">
      <c r="O2275" s="76"/>
      <c r="P2275" s="78"/>
      <c r="Q2275" s="77"/>
      <c r="R2275" s="78"/>
      <c r="S2275" s="36" t="e">
        <f>VLOOKUP(Tabla91116[[#This Row],[CODIGO DEL PRODUCTO]],Tabla797[],2,FALSE)</f>
        <v>#N/A</v>
      </c>
      <c r="T2275" s="37"/>
    </row>
    <row r="2276" spans="15:20" x14ac:dyDescent="0.25">
      <c r="O2276" s="76"/>
      <c r="P2276" s="78"/>
      <c r="Q2276" s="77"/>
      <c r="R2276" s="78"/>
      <c r="S2276" s="36" t="e">
        <f>VLOOKUP(Tabla91116[[#This Row],[CODIGO DEL PRODUCTO]],Tabla797[],2,FALSE)</f>
        <v>#N/A</v>
      </c>
      <c r="T2276" s="37"/>
    </row>
    <row r="2277" spans="15:20" x14ac:dyDescent="0.25">
      <c r="O2277" s="76"/>
      <c r="P2277" s="78"/>
      <c r="Q2277" s="77"/>
      <c r="R2277" s="78"/>
      <c r="S2277" s="36" t="e">
        <f>VLOOKUP(Tabla91116[[#This Row],[CODIGO DEL PRODUCTO]],Tabla797[],2,FALSE)</f>
        <v>#N/A</v>
      </c>
      <c r="T2277" s="37"/>
    </row>
    <row r="2278" spans="15:20" x14ac:dyDescent="0.25">
      <c r="O2278" s="76"/>
      <c r="P2278" s="78"/>
      <c r="Q2278" s="77"/>
      <c r="R2278" s="78"/>
      <c r="S2278" s="36" t="e">
        <f>VLOOKUP(Tabla91116[[#This Row],[CODIGO DEL PRODUCTO]],Tabla797[],2,FALSE)</f>
        <v>#N/A</v>
      </c>
      <c r="T2278" s="37"/>
    </row>
    <row r="2279" spans="15:20" x14ac:dyDescent="0.25">
      <c r="O2279" s="76"/>
      <c r="P2279" s="78"/>
      <c r="Q2279" s="77"/>
      <c r="R2279" s="78"/>
      <c r="S2279" s="36" t="e">
        <f>VLOOKUP(Tabla91116[[#This Row],[CODIGO DEL PRODUCTO]],Tabla797[],2,FALSE)</f>
        <v>#N/A</v>
      </c>
      <c r="T2279" s="37"/>
    </row>
    <row r="2280" spans="15:20" x14ac:dyDescent="0.25">
      <c r="O2280" s="76"/>
      <c r="P2280" s="78"/>
      <c r="Q2280" s="77"/>
      <c r="R2280" s="78"/>
      <c r="S2280" s="36" t="e">
        <f>VLOOKUP(Tabla91116[[#This Row],[CODIGO DEL PRODUCTO]],Tabla797[],2,FALSE)</f>
        <v>#N/A</v>
      </c>
      <c r="T2280" s="37"/>
    </row>
    <row r="2281" spans="15:20" x14ac:dyDescent="0.25">
      <c r="O2281" s="76"/>
      <c r="P2281" s="78"/>
      <c r="Q2281" s="77"/>
      <c r="R2281" s="78"/>
      <c r="S2281" s="36" t="e">
        <f>VLOOKUP(Tabla91116[[#This Row],[CODIGO DEL PRODUCTO]],Tabla797[],2,FALSE)</f>
        <v>#N/A</v>
      </c>
      <c r="T2281" s="37"/>
    </row>
    <row r="2282" spans="15:20" x14ac:dyDescent="0.25">
      <c r="O2282" s="76"/>
      <c r="P2282" s="78"/>
      <c r="Q2282" s="77"/>
      <c r="R2282" s="78"/>
      <c r="S2282" s="36" t="e">
        <f>VLOOKUP(Tabla91116[[#This Row],[CODIGO DEL PRODUCTO]],Tabla797[],2,FALSE)</f>
        <v>#N/A</v>
      </c>
      <c r="T2282" s="37"/>
    </row>
    <row r="2283" spans="15:20" x14ac:dyDescent="0.25">
      <c r="O2283" s="76"/>
      <c r="P2283" s="78"/>
      <c r="Q2283" s="77"/>
      <c r="R2283" s="78"/>
      <c r="S2283" s="36" t="e">
        <f>VLOOKUP(Tabla91116[[#This Row],[CODIGO DEL PRODUCTO]],Tabla797[],2,FALSE)</f>
        <v>#N/A</v>
      </c>
      <c r="T2283" s="37"/>
    </row>
    <row r="2284" spans="15:20" x14ac:dyDescent="0.25">
      <c r="O2284" s="76"/>
      <c r="P2284" s="78"/>
      <c r="Q2284" s="77"/>
      <c r="R2284" s="78"/>
      <c r="S2284" s="36" t="e">
        <f>VLOOKUP(Tabla91116[[#This Row],[CODIGO DEL PRODUCTO]],Tabla797[],2,FALSE)</f>
        <v>#N/A</v>
      </c>
      <c r="T2284" s="37"/>
    </row>
    <row r="2285" spans="15:20" x14ac:dyDescent="0.25">
      <c r="O2285" s="76"/>
      <c r="P2285" s="78"/>
      <c r="Q2285" s="77"/>
      <c r="R2285" s="78"/>
      <c r="S2285" s="36" t="e">
        <f>VLOOKUP(Tabla91116[[#This Row],[CODIGO DEL PRODUCTO]],Tabla797[],2,FALSE)</f>
        <v>#N/A</v>
      </c>
      <c r="T2285" s="37"/>
    </row>
    <row r="2286" spans="15:20" x14ac:dyDescent="0.25">
      <c r="O2286" s="76"/>
      <c r="P2286" s="78"/>
      <c r="Q2286" s="77"/>
      <c r="R2286" s="78"/>
      <c r="S2286" s="36" t="e">
        <f>VLOOKUP(Tabla91116[[#This Row],[CODIGO DEL PRODUCTO]],Tabla797[],2,FALSE)</f>
        <v>#N/A</v>
      </c>
      <c r="T2286" s="37"/>
    </row>
    <row r="2287" spans="15:20" x14ac:dyDescent="0.25">
      <c r="O2287" s="76"/>
      <c r="P2287" s="78"/>
      <c r="Q2287" s="77"/>
      <c r="R2287" s="78"/>
      <c r="S2287" s="36" t="e">
        <f>VLOOKUP(Tabla91116[[#This Row],[CODIGO DEL PRODUCTO]],Tabla797[],2,FALSE)</f>
        <v>#N/A</v>
      </c>
      <c r="T2287" s="37"/>
    </row>
    <row r="2288" spans="15:20" x14ac:dyDescent="0.25">
      <c r="O2288" s="76"/>
      <c r="P2288" s="78"/>
      <c r="Q2288" s="77"/>
      <c r="R2288" s="78"/>
      <c r="S2288" s="36" t="e">
        <f>VLOOKUP(Tabla91116[[#This Row],[CODIGO DEL PRODUCTO]],Tabla797[],2,FALSE)</f>
        <v>#N/A</v>
      </c>
      <c r="T2288" s="37"/>
    </row>
    <row r="2289" spans="15:20" x14ac:dyDescent="0.25">
      <c r="O2289" s="76"/>
      <c r="P2289" s="78"/>
      <c r="Q2289" s="77"/>
      <c r="R2289" s="78"/>
      <c r="S2289" s="36" t="e">
        <f>VLOOKUP(Tabla91116[[#This Row],[CODIGO DEL PRODUCTO]],Tabla797[],2,FALSE)</f>
        <v>#N/A</v>
      </c>
      <c r="T2289" s="37"/>
    </row>
    <row r="2290" spans="15:20" x14ac:dyDescent="0.25">
      <c r="O2290" s="76"/>
      <c r="P2290" s="78"/>
      <c r="Q2290" s="77"/>
      <c r="R2290" s="78"/>
      <c r="S2290" s="36" t="e">
        <f>VLOOKUP(Tabla91116[[#This Row],[CODIGO DEL PRODUCTO]],Tabla797[],2,FALSE)</f>
        <v>#N/A</v>
      </c>
      <c r="T2290" s="37"/>
    </row>
    <row r="2291" spans="15:20" x14ac:dyDescent="0.25">
      <c r="O2291" s="76"/>
      <c r="P2291" s="78"/>
      <c r="Q2291" s="77"/>
      <c r="R2291" s="78"/>
      <c r="S2291" s="36" t="e">
        <f>VLOOKUP(Tabla91116[[#This Row],[CODIGO DEL PRODUCTO]],Tabla797[],2,FALSE)</f>
        <v>#N/A</v>
      </c>
      <c r="T2291" s="37"/>
    </row>
    <row r="2292" spans="15:20" x14ac:dyDescent="0.25">
      <c r="O2292" s="76"/>
      <c r="P2292" s="78"/>
      <c r="Q2292" s="77"/>
      <c r="R2292" s="78"/>
      <c r="S2292" s="36" t="e">
        <f>VLOOKUP(Tabla91116[[#This Row],[CODIGO DEL PRODUCTO]],Tabla797[],2,FALSE)</f>
        <v>#N/A</v>
      </c>
      <c r="T2292" s="37"/>
    </row>
    <row r="2293" spans="15:20" x14ac:dyDescent="0.25">
      <c r="O2293" s="76"/>
      <c r="P2293" s="78"/>
      <c r="Q2293" s="77"/>
      <c r="R2293" s="78"/>
      <c r="S2293" s="36" t="e">
        <f>VLOOKUP(Tabla91116[[#This Row],[CODIGO DEL PRODUCTO]],Tabla797[],2,FALSE)</f>
        <v>#N/A</v>
      </c>
      <c r="T2293" s="37"/>
    </row>
    <row r="2294" spans="15:20" x14ac:dyDescent="0.25">
      <c r="O2294" s="76"/>
      <c r="P2294" s="78"/>
      <c r="Q2294" s="77"/>
      <c r="R2294" s="78"/>
      <c r="S2294" s="36" t="e">
        <f>VLOOKUP(Tabla91116[[#This Row],[CODIGO DEL PRODUCTO]],Tabla797[],2,FALSE)</f>
        <v>#N/A</v>
      </c>
      <c r="T2294" s="37"/>
    </row>
    <row r="2295" spans="15:20" x14ac:dyDescent="0.25">
      <c r="O2295" s="76"/>
      <c r="P2295" s="78"/>
      <c r="Q2295" s="77"/>
      <c r="R2295" s="78"/>
      <c r="S2295" s="36" t="e">
        <f>VLOOKUP(Tabla91116[[#This Row],[CODIGO DEL PRODUCTO]],Tabla797[],2,FALSE)</f>
        <v>#N/A</v>
      </c>
      <c r="T2295" s="37"/>
    </row>
    <row r="2296" spans="15:20" x14ac:dyDescent="0.25">
      <c r="O2296" s="76"/>
      <c r="P2296" s="78"/>
      <c r="Q2296" s="77"/>
      <c r="R2296" s="78"/>
      <c r="S2296" s="36" t="e">
        <f>VLOOKUP(Tabla91116[[#This Row],[CODIGO DEL PRODUCTO]],Tabla797[],2,FALSE)</f>
        <v>#N/A</v>
      </c>
      <c r="T2296" s="37"/>
    </row>
    <row r="2297" spans="15:20" x14ac:dyDescent="0.25">
      <c r="O2297" s="76"/>
      <c r="P2297" s="78"/>
      <c r="Q2297" s="77"/>
      <c r="R2297" s="78"/>
      <c r="S2297" s="36" t="e">
        <f>VLOOKUP(Tabla91116[[#This Row],[CODIGO DEL PRODUCTO]],Tabla797[],2,FALSE)</f>
        <v>#N/A</v>
      </c>
      <c r="T2297" s="37"/>
    </row>
    <row r="2298" spans="15:20" x14ac:dyDescent="0.25">
      <c r="O2298" s="76"/>
      <c r="P2298" s="78"/>
      <c r="Q2298" s="77"/>
      <c r="R2298" s="78"/>
      <c r="S2298" s="36" t="e">
        <f>VLOOKUP(Tabla91116[[#This Row],[CODIGO DEL PRODUCTO]],Tabla797[],2,FALSE)</f>
        <v>#N/A</v>
      </c>
      <c r="T2298" s="37"/>
    </row>
    <row r="2299" spans="15:20" x14ac:dyDescent="0.25">
      <c r="O2299" s="76"/>
      <c r="P2299" s="78"/>
      <c r="Q2299" s="77"/>
      <c r="R2299" s="78"/>
      <c r="S2299" s="36" t="e">
        <f>VLOOKUP(Tabla91116[[#This Row],[CODIGO DEL PRODUCTO]],Tabla797[],2,FALSE)</f>
        <v>#N/A</v>
      </c>
      <c r="T2299" s="37"/>
    </row>
    <row r="2300" spans="15:20" x14ac:dyDescent="0.25">
      <c r="O2300" s="76"/>
      <c r="P2300" s="78"/>
      <c r="Q2300" s="77"/>
      <c r="R2300" s="78"/>
      <c r="S2300" s="36" t="e">
        <f>VLOOKUP(Tabla91116[[#This Row],[CODIGO DEL PRODUCTO]],Tabla797[],2,FALSE)</f>
        <v>#N/A</v>
      </c>
      <c r="T2300" s="37"/>
    </row>
    <row r="2301" spans="15:20" x14ac:dyDescent="0.25">
      <c r="O2301" s="76"/>
      <c r="P2301" s="78"/>
      <c r="Q2301" s="77"/>
      <c r="R2301" s="78"/>
      <c r="S2301" s="36" t="e">
        <f>VLOOKUP(Tabla91116[[#This Row],[CODIGO DEL PRODUCTO]],Tabla797[],2,FALSE)</f>
        <v>#N/A</v>
      </c>
      <c r="T2301" s="37"/>
    </row>
    <row r="2302" spans="15:20" x14ac:dyDescent="0.25">
      <c r="O2302" s="76"/>
      <c r="P2302" s="78"/>
      <c r="Q2302" s="77"/>
      <c r="R2302" s="78"/>
      <c r="S2302" s="36" t="e">
        <f>VLOOKUP(Tabla91116[[#This Row],[CODIGO DEL PRODUCTO]],Tabla797[],2,FALSE)</f>
        <v>#N/A</v>
      </c>
      <c r="T2302" s="37"/>
    </row>
    <row r="2303" spans="15:20" x14ac:dyDescent="0.25">
      <c r="O2303" s="76"/>
      <c r="P2303" s="78"/>
      <c r="Q2303" s="77"/>
      <c r="R2303" s="78"/>
      <c r="S2303" s="36" t="e">
        <f>VLOOKUP(Tabla91116[[#This Row],[CODIGO DEL PRODUCTO]],Tabla797[],2,FALSE)</f>
        <v>#N/A</v>
      </c>
      <c r="T2303" s="37"/>
    </row>
    <row r="2304" spans="15:20" x14ac:dyDescent="0.25">
      <c r="O2304" s="76"/>
      <c r="P2304" s="78"/>
      <c r="Q2304" s="77"/>
      <c r="R2304" s="78"/>
      <c r="S2304" s="36" t="e">
        <f>VLOOKUP(Tabla91116[[#This Row],[CODIGO DEL PRODUCTO]],Tabla797[],2,FALSE)</f>
        <v>#N/A</v>
      </c>
      <c r="T2304" s="37"/>
    </row>
    <row r="2305" spans="15:20" x14ac:dyDescent="0.25">
      <c r="O2305" s="76"/>
      <c r="P2305" s="78"/>
      <c r="Q2305" s="77"/>
      <c r="R2305" s="78"/>
      <c r="S2305" s="36" t="e">
        <f>VLOOKUP(Tabla91116[[#This Row],[CODIGO DEL PRODUCTO]],Tabla797[],2,FALSE)</f>
        <v>#N/A</v>
      </c>
      <c r="T2305" s="37"/>
    </row>
    <row r="2306" spans="15:20" x14ac:dyDescent="0.25">
      <c r="O2306" s="76"/>
      <c r="P2306" s="78"/>
      <c r="Q2306" s="77"/>
      <c r="R2306" s="78"/>
      <c r="S2306" s="36" t="e">
        <f>VLOOKUP(Tabla91116[[#This Row],[CODIGO DEL PRODUCTO]],Tabla797[],2,FALSE)</f>
        <v>#N/A</v>
      </c>
      <c r="T2306" s="37"/>
    </row>
    <row r="2307" spans="15:20" x14ac:dyDescent="0.25">
      <c r="O2307" s="76"/>
      <c r="P2307" s="78"/>
      <c r="Q2307" s="77"/>
      <c r="R2307" s="78"/>
      <c r="S2307" s="36" t="e">
        <f>VLOOKUP(Tabla91116[[#This Row],[CODIGO DEL PRODUCTO]],Tabla797[],2,FALSE)</f>
        <v>#N/A</v>
      </c>
      <c r="T2307" s="37"/>
    </row>
    <row r="2308" spans="15:20" x14ac:dyDescent="0.25">
      <c r="O2308" s="76"/>
      <c r="P2308" s="78"/>
      <c r="Q2308" s="77"/>
      <c r="R2308" s="78"/>
      <c r="S2308" s="36" t="e">
        <f>VLOOKUP(Tabla91116[[#This Row],[CODIGO DEL PRODUCTO]],Tabla797[],2,FALSE)</f>
        <v>#N/A</v>
      </c>
      <c r="T2308" s="37"/>
    </row>
    <row r="2309" spans="15:20" x14ac:dyDescent="0.25">
      <c r="O2309" s="76"/>
      <c r="P2309" s="78"/>
      <c r="Q2309" s="77"/>
      <c r="R2309" s="78"/>
      <c r="S2309" s="36" t="e">
        <f>VLOOKUP(Tabla91116[[#This Row],[CODIGO DEL PRODUCTO]],Tabla797[],2,FALSE)</f>
        <v>#N/A</v>
      </c>
      <c r="T2309" s="37"/>
    </row>
    <row r="2310" spans="15:20" x14ac:dyDescent="0.25">
      <c r="O2310" s="76"/>
      <c r="P2310" s="78"/>
      <c r="Q2310" s="77"/>
      <c r="R2310" s="78"/>
      <c r="S2310" s="36" t="e">
        <f>VLOOKUP(Tabla91116[[#This Row],[CODIGO DEL PRODUCTO]],Tabla797[],2,FALSE)</f>
        <v>#N/A</v>
      </c>
      <c r="T2310" s="37"/>
    </row>
    <row r="2311" spans="15:20" x14ac:dyDescent="0.25">
      <c r="O2311" s="76"/>
      <c r="P2311" s="78"/>
      <c r="Q2311" s="77"/>
      <c r="R2311" s="78"/>
      <c r="S2311" s="36" t="e">
        <f>VLOOKUP(Tabla91116[[#This Row],[CODIGO DEL PRODUCTO]],Tabla797[],2,FALSE)</f>
        <v>#N/A</v>
      </c>
      <c r="T2311" s="37"/>
    </row>
    <row r="2312" spans="15:20" x14ac:dyDescent="0.25">
      <c r="O2312" s="76"/>
      <c r="P2312" s="78"/>
      <c r="Q2312" s="77"/>
      <c r="R2312" s="78"/>
      <c r="S2312" s="36" t="e">
        <f>VLOOKUP(Tabla91116[[#This Row],[CODIGO DEL PRODUCTO]],Tabla797[],2,FALSE)</f>
        <v>#N/A</v>
      </c>
      <c r="T2312" s="37"/>
    </row>
    <row r="2313" spans="15:20" x14ac:dyDescent="0.25">
      <c r="O2313" s="76"/>
      <c r="P2313" s="78"/>
      <c r="Q2313" s="77"/>
      <c r="R2313" s="78"/>
      <c r="S2313" s="36" t="e">
        <f>VLOOKUP(Tabla91116[[#This Row],[CODIGO DEL PRODUCTO]],Tabla797[],2,FALSE)</f>
        <v>#N/A</v>
      </c>
      <c r="T2313" s="37"/>
    </row>
    <row r="2314" spans="15:20" x14ac:dyDescent="0.25">
      <c r="O2314" s="76"/>
      <c r="P2314" s="78"/>
      <c r="Q2314" s="77"/>
      <c r="R2314" s="78"/>
      <c r="S2314" s="36" t="e">
        <f>VLOOKUP(Tabla91116[[#This Row],[CODIGO DEL PRODUCTO]],Tabla797[],2,FALSE)</f>
        <v>#N/A</v>
      </c>
      <c r="T2314" s="37"/>
    </row>
    <row r="2315" spans="15:20" x14ac:dyDescent="0.25">
      <c r="O2315" s="76"/>
      <c r="P2315" s="78"/>
      <c r="Q2315" s="77"/>
      <c r="R2315" s="78"/>
      <c r="S2315" s="36" t="e">
        <f>VLOOKUP(Tabla91116[[#This Row],[CODIGO DEL PRODUCTO]],Tabla797[],2,FALSE)</f>
        <v>#N/A</v>
      </c>
      <c r="T2315" s="37"/>
    </row>
    <row r="2316" spans="15:20" x14ac:dyDescent="0.25">
      <c r="O2316" s="76"/>
      <c r="P2316" s="78"/>
      <c r="Q2316" s="77"/>
      <c r="R2316" s="78"/>
      <c r="S2316" s="36" t="e">
        <f>VLOOKUP(Tabla91116[[#This Row],[CODIGO DEL PRODUCTO]],Tabla797[],2,FALSE)</f>
        <v>#N/A</v>
      </c>
      <c r="T2316" s="37"/>
    </row>
    <row r="2317" spans="15:20" x14ac:dyDescent="0.25">
      <c r="O2317" s="76"/>
      <c r="P2317" s="78"/>
      <c r="Q2317" s="77"/>
      <c r="R2317" s="78"/>
      <c r="S2317" s="36" t="e">
        <f>VLOOKUP(Tabla91116[[#This Row],[CODIGO DEL PRODUCTO]],Tabla797[],2,FALSE)</f>
        <v>#N/A</v>
      </c>
      <c r="T2317" s="37"/>
    </row>
    <row r="2318" spans="15:20" x14ac:dyDescent="0.25">
      <c r="O2318" s="76"/>
      <c r="P2318" s="78"/>
      <c r="Q2318" s="77"/>
      <c r="R2318" s="78"/>
      <c r="S2318" s="36" t="e">
        <f>VLOOKUP(Tabla91116[[#This Row],[CODIGO DEL PRODUCTO]],Tabla797[],2,FALSE)</f>
        <v>#N/A</v>
      </c>
      <c r="T2318" s="37"/>
    </row>
    <row r="2319" spans="15:20" x14ac:dyDescent="0.25">
      <c r="O2319" s="76"/>
      <c r="P2319" s="78"/>
      <c r="Q2319" s="77"/>
      <c r="R2319" s="78"/>
      <c r="S2319" s="36" t="e">
        <f>VLOOKUP(Tabla91116[[#This Row],[CODIGO DEL PRODUCTO]],Tabla797[],2,FALSE)</f>
        <v>#N/A</v>
      </c>
      <c r="T2319" s="37"/>
    </row>
    <row r="2320" spans="15:20" x14ac:dyDescent="0.25">
      <c r="O2320" s="76"/>
      <c r="P2320" s="78"/>
      <c r="Q2320" s="77"/>
      <c r="R2320" s="78"/>
      <c r="S2320" s="36" t="e">
        <f>VLOOKUP(Tabla91116[[#This Row],[CODIGO DEL PRODUCTO]],Tabla797[],2,FALSE)</f>
        <v>#N/A</v>
      </c>
      <c r="T2320" s="37"/>
    </row>
    <row r="2321" spans="15:20" x14ac:dyDescent="0.25">
      <c r="O2321" s="76"/>
      <c r="P2321" s="78"/>
      <c r="Q2321" s="77"/>
      <c r="R2321" s="78"/>
      <c r="S2321" s="36" t="e">
        <f>VLOOKUP(Tabla91116[[#This Row],[CODIGO DEL PRODUCTO]],Tabla797[],2,FALSE)</f>
        <v>#N/A</v>
      </c>
      <c r="T2321" s="37"/>
    </row>
    <row r="2322" spans="15:20" x14ac:dyDescent="0.25">
      <c r="O2322" s="76"/>
      <c r="P2322" s="78"/>
      <c r="Q2322" s="77"/>
      <c r="R2322" s="78"/>
      <c r="S2322" s="36" t="e">
        <f>VLOOKUP(Tabla91116[[#This Row],[CODIGO DEL PRODUCTO]],Tabla797[],2,FALSE)</f>
        <v>#N/A</v>
      </c>
      <c r="T2322" s="37"/>
    </row>
    <row r="2323" spans="15:20" x14ac:dyDescent="0.25">
      <c r="O2323" s="76"/>
      <c r="P2323" s="78"/>
      <c r="Q2323" s="77"/>
      <c r="R2323" s="78"/>
      <c r="S2323" s="36" t="e">
        <f>VLOOKUP(Tabla91116[[#This Row],[CODIGO DEL PRODUCTO]],Tabla797[],2,FALSE)</f>
        <v>#N/A</v>
      </c>
      <c r="T2323" s="37"/>
    </row>
    <row r="2324" spans="15:20" x14ac:dyDescent="0.25">
      <c r="O2324" s="76"/>
      <c r="P2324" s="78"/>
      <c r="Q2324" s="77"/>
      <c r="R2324" s="78"/>
      <c r="S2324" s="36" t="e">
        <f>VLOOKUP(Tabla91116[[#This Row],[CODIGO DEL PRODUCTO]],Tabla797[],2,FALSE)</f>
        <v>#N/A</v>
      </c>
      <c r="T2324" s="37"/>
    </row>
    <row r="2325" spans="15:20" x14ac:dyDescent="0.25">
      <c r="O2325" s="76"/>
      <c r="P2325" s="78"/>
      <c r="Q2325" s="77"/>
      <c r="R2325" s="78"/>
      <c r="S2325" s="36" t="e">
        <f>VLOOKUP(Tabla91116[[#This Row],[CODIGO DEL PRODUCTO]],Tabla797[],2,FALSE)</f>
        <v>#N/A</v>
      </c>
      <c r="T2325" s="37"/>
    </row>
    <row r="2326" spans="15:20" x14ac:dyDescent="0.25">
      <c r="O2326" s="76"/>
      <c r="P2326" s="78"/>
      <c r="Q2326" s="77"/>
      <c r="R2326" s="78"/>
      <c r="S2326" s="36" t="e">
        <f>VLOOKUP(Tabla91116[[#This Row],[CODIGO DEL PRODUCTO]],Tabla797[],2,FALSE)</f>
        <v>#N/A</v>
      </c>
      <c r="T2326" s="37"/>
    </row>
    <row r="2327" spans="15:20" x14ac:dyDescent="0.25">
      <c r="O2327" s="76"/>
      <c r="P2327" s="78"/>
      <c r="Q2327" s="77"/>
      <c r="R2327" s="78"/>
      <c r="S2327" s="36" t="e">
        <f>VLOOKUP(Tabla91116[[#This Row],[CODIGO DEL PRODUCTO]],Tabla797[],2,FALSE)</f>
        <v>#N/A</v>
      </c>
      <c r="T2327" s="37"/>
    </row>
    <row r="2328" spans="15:20" x14ac:dyDescent="0.25">
      <c r="O2328" s="76"/>
      <c r="P2328" s="78"/>
      <c r="Q2328" s="77"/>
      <c r="R2328" s="78"/>
      <c r="S2328" s="36" t="e">
        <f>VLOOKUP(Tabla91116[[#This Row],[CODIGO DEL PRODUCTO]],Tabla797[],2,FALSE)</f>
        <v>#N/A</v>
      </c>
      <c r="T2328" s="37"/>
    </row>
    <row r="2329" spans="15:20" x14ac:dyDescent="0.25">
      <c r="O2329" s="76"/>
      <c r="P2329" s="78"/>
      <c r="Q2329" s="77"/>
      <c r="R2329" s="78"/>
      <c r="S2329" s="36" t="e">
        <f>VLOOKUP(Tabla91116[[#This Row],[CODIGO DEL PRODUCTO]],Tabla797[],2,FALSE)</f>
        <v>#N/A</v>
      </c>
      <c r="T2329" s="37"/>
    </row>
    <row r="2330" spans="15:20" x14ac:dyDescent="0.25">
      <c r="O2330" s="76"/>
      <c r="P2330" s="78"/>
      <c r="Q2330" s="77"/>
      <c r="R2330" s="78"/>
      <c r="S2330" s="36" t="e">
        <f>VLOOKUP(Tabla91116[[#This Row],[CODIGO DEL PRODUCTO]],Tabla797[],2,FALSE)</f>
        <v>#N/A</v>
      </c>
      <c r="T2330" s="37"/>
    </row>
    <row r="2331" spans="15:20" x14ac:dyDescent="0.25">
      <c r="O2331" s="76"/>
      <c r="P2331" s="78"/>
      <c r="Q2331" s="77"/>
      <c r="R2331" s="78"/>
      <c r="S2331" s="36" t="e">
        <f>VLOOKUP(Tabla91116[[#This Row],[CODIGO DEL PRODUCTO]],Tabla797[],2,FALSE)</f>
        <v>#N/A</v>
      </c>
      <c r="T2331" s="37"/>
    </row>
    <row r="2332" spans="15:20" x14ac:dyDescent="0.25">
      <c r="O2332" s="76"/>
      <c r="P2332" s="78"/>
      <c r="Q2332" s="77"/>
      <c r="R2332" s="78"/>
      <c r="S2332" s="36" t="e">
        <f>VLOOKUP(Tabla91116[[#This Row],[CODIGO DEL PRODUCTO]],Tabla797[],2,FALSE)</f>
        <v>#N/A</v>
      </c>
      <c r="T2332" s="37"/>
    </row>
    <row r="2333" spans="15:20" x14ac:dyDescent="0.25">
      <c r="O2333" s="76"/>
      <c r="P2333" s="78"/>
      <c r="Q2333" s="77"/>
      <c r="R2333" s="78"/>
      <c r="S2333" s="36" t="e">
        <f>VLOOKUP(Tabla91116[[#This Row],[CODIGO DEL PRODUCTO]],Tabla797[],2,FALSE)</f>
        <v>#N/A</v>
      </c>
      <c r="T2333" s="37"/>
    </row>
    <row r="2334" spans="15:20" x14ac:dyDescent="0.25">
      <c r="O2334" s="76"/>
      <c r="P2334" s="78"/>
      <c r="Q2334" s="77"/>
      <c r="R2334" s="78"/>
      <c r="S2334" s="36" t="e">
        <f>VLOOKUP(Tabla91116[[#This Row],[CODIGO DEL PRODUCTO]],Tabla797[],2,FALSE)</f>
        <v>#N/A</v>
      </c>
      <c r="T2334" s="37"/>
    </row>
    <row r="2335" spans="15:20" x14ac:dyDescent="0.25">
      <c r="O2335" s="76"/>
      <c r="P2335" s="78"/>
      <c r="Q2335" s="77"/>
      <c r="R2335" s="78"/>
      <c r="S2335" s="36" t="e">
        <f>VLOOKUP(Tabla91116[[#This Row],[CODIGO DEL PRODUCTO]],Tabla797[],2,FALSE)</f>
        <v>#N/A</v>
      </c>
      <c r="T2335" s="37"/>
    </row>
    <row r="2336" spans="15:20" x14ac:dyDescent="0.25">
      <c r="O2336" s="76"/>
      <c r="P2336" s="78"/>
      <c r="Q2336" s="77"/>
      <c r="R2336" s="78"/>
      <c r="S2336" s="36" t="e">
        <f>VLOOKUP(Tabla91116[[#This Row],[CODIGO DEL PRODUCTO]],Tabla797[],2,FALSE)</f>
        <v>#N/A</v>
      </c>
      <c r="T2336" s="37"/>
    </row>
    <row r="2337" spans="15:20" x14ac:dyDescent="0.25">
      <c r="O2337" s="76"/>
      <c r="P2337" s="78"/>
      <c r="Q2337" s="77"/>
      <c r="R2337" s="78"/>
      <c r="S2337" s="36" t="e">
        <f>VLOOKUP(Tabla91116[[#This Row],[CODIGO DEL PRODUCTO]],Tabla797[],2,FALSE)</f>
        <v>#N/A</v>
      </c>
      <c r="T2337" s="37"/>
    </row>
    <row r="2338" spans="15:20" x14ac:dyDescent="0.25">
      <c r="O2338" s="76"/>
      <c r="P2338" s="78"/>
      <c r="Q2338" s="77"/>
      <c r="R2338" s="78"/>
      <c r="S2338" s="36" t="e">
        <f>VLOOKUP(Tabla91116[[#This Row],[CODIGO DEL PRODUCTO]],Tabla797[],2,FALSE)</f>
        <v>#N/A</v>
      </c>
      <c r="T2338" s="37"/>
    </row>
    <row r="2339" spans="15:20" x14ac:dyDescent="0.25">
      <c r="O2339" s="76"/>
      <c r="P2339" s="78"/>
      <c r="Q2339" s="77"/>
      <c r="R2339" s="78"/>
      <c r="S2339" s="36" t="e">
        <f>VLOOKUP(Tabla91116[[#This Row],[CODIGO DEL PRODUCTO]],Tabla797[],2,FALSE)</f>
        <v>#N/A</v>
      </c>
      <c r="T2339" s="37"/>
    </row>
    <row r="2340" spans="15:20" x14ac:dyDescent="0.25">
      <c r="O2340" s="76"/>
      <c r="P2340" s="78"/>
      <c r="Q2340" s="77"/>
      <c r="R2340" s="78"/>
      <c r="S2340" s="36" t="e">
        <f>VLOOKUP(Tabla91116[[#This Row],[CODIGO DEL PRODUCTO]],Tabla797[],2,FALSE)</f>
        <v>#N/A</v>
      </c>
      <c r="T2340" s="37"/>
    </row>
    <row r="2341" spans="15:20" x14ac:dyDescent="0.25">
      <c r="O2341" s="76"/>
      <c r="P2341" s="78"/>
      <c r="Q2341" s="77"/>
      <c r="R2341" s="78"/>
      <c r="S2341" s="36" t="e">
        <f>VLOOKUP(Tabla91116[[#This Row],[CODIGO DEL PRODUCTO]],Tabla797[],2,FALSE)</f>
        <v>#N/A</v>
      </c>
      <c r="T2341" s="37"/>
    </row>
    <row r="2342" spans="15:20" x14ac:dyDescent="0.25">
      <c r="O2342" s="76"/>
      <c r="P2342" s="78"/>
      <c r="Q2342" s="77"/>
      <c r="R2342" s="78"/>
      <c r="S2342" s="36" t="e">
        <f>VLOOKUP(Tabla91116[[#This Row],[CODIGO DEL PRODUCTO]],Tabla797[],2,FALSE)</f>
        <v>#N/A</v>
      </c>
      <c r="T2342" s="37"/>
    </row>
    <row r="2343" spans="15:20" x14ac:dyDescent="0.25">
      <c r="O2343" s="76"/>
      <c r="P2343" s="78"/>
      <c r="Q2343" s="77"/>
      <c r="R2343" s="78"/>
      <c r="S2343" s="36" t="e">
        <f>VLOOKUP(Tabla91116[[#This Row],[CODIGO DEL PRODUCTO]],Tabla797[],2,FALSE)</f>
        <v>#N/A</v>
      </c>
      <c r="T2343" s="37"/>
    </row>
    <row r="2344" spans="15:20" x14ac:dyDescent="0.25">
      <c r="O2344" s="76"/>
      <c r="P2344" s="78"/>
      <c r="Q2344" s="77"/>
      <c r="R2344" s="78"/>
      <c r="S2344" s="36" t="e">
        <f>VLOOKUP(Tabla91116[[#This Row],[CODIGO DEL PRODUCTO]],Tabla797[],2,FALSE)</f>
        <v>#N/A</v>
      </c>
      <c r="T2344" s="37"/>
    </row>
    <row r="2345" spans="15:20" x14ac:dyDescent="0.25">
      <c r="O2345" s="76"/>
      <c r="P2345" s="78"/>
      <c r="Q2345" s="77"/>
      <c r="R2345" s="78"/>
      <c r="S2345" s="36" t="e">
        <f>VLOOKUP(Tabla91116[[#This Row],[CODIGO DEL PRODUCTO]],Tabla797[],2,FALSE)</f>
        <v>#N/A</v>
      </c>
      <c r="T2345" s="37"/>
    </row>
    <row r="2346" spans="15:20" x14ac:dyDescent="0.25">
      <c r="O2346" s="76"/>
      <c r="P2346" s="78"/>
      <c r="Q2346" s="77"/>
      <c r="R2346" s="78"/>
      <c r="S2346" s="36" t="e">
        <f>VLOOKUP(Tabla91116[[#This Row],[CODIGO DEL PRODUCTO]],Tabla797[],2,FALSE)</f>
        <v>#N/A</v>
      </c>
      <c r="T2346" s="37"/>
    </row>
    <row r="2347" spans="15:20" x14ac:dyDescent="0.25">
      <c r="O2347" s="76"/>
      <c r="P2347" s="78"/>
      <c r="Q2347" s="77"/>
      <c r="R2347" s="78"/>
      <c r="S2347" s="36" t="e">
        <f>VLOOKUP(Tabla91116[[#This Row],[CODIGO DEL PRODUCTO]],Tabla797[],2,FALSE)</f>
        <v>#N/A</v>
      </c>
      <c r="T2347" s="37"/>
    </row>
    <row r="2348" spans="15:20" x14ac:dyDescent="0.25">
      <c r="O2348" s="76"/>
      <c r="P2348" s="78"/>
      <c r="Q2348" s="77"/>
      <c r="R2348" s="78"/>
      <c r="S2348" s="36" t="e">
        <f>VLOOKUP(Tabla91116[[#This Row],[CODIGO DEL PRODUCTO]],Tabla797[],2,FALSE)</f>
        <v>#N/A</v>
      </c>
      <c r="T2348" s="37"/>
    </row>
    <row r="2349" spans="15:20" x14ac:dyDescent="0.25">
      <c r="O2349" s="76"/>
      <c r="P2349" s="78"/>
      <c r="Q2349" s="77"/>
      <c r="R2349" s="78"/>
      <c r="S2349" s="36" t="e">
        <f>VLOOKUP(Tabla91116[[#This Row],[CODIGO DEL PRODUCTO]],Tabla797[],2,FALSE)</f>
        <v>#N/A</v>
      </c>
      <c r="T2349" s="37"/>
    </row>
    <row r="2350" spans="15:20" x14ac:dyDescent="0.25">
      <c r="O2350" s="76"/>
      <c r="P2350" s="78"/>
      <c r="Q2350" s="77"/>
      <c r="R2350" s="78"/>
      <c r="S2350" s="36" t="e">
        <f>VLOOKUP(Tabla91116[[#This Row],[CODIGO DEL PRODUCTO]],Tabla797[],2,FALSE)</f>
        <v>#N/A</v>
      </c>
      <c r="T2350" s="37"/>
    </row>
    <row r="2351" spans="15:20" x14ac:dyDescent="0.25">
      <c r="O2351" s="76"/>
      <c r="P2351" s="78"/>
      <c r="Q2351" s="77"/>
      <c r="R2351" s="78"/>
      <c r="S2351" s="36" t="e">
        <f>VLOOKUP(Tabla91116[[#This Row],[CODIGO DEL PRODUCTO]],Tabla797[],2,FALSE)</f>
        <v>#N/A</v>
      </c>
      <c r="T2351" s="37"/>
    </row>
    <row r="2352" spans="15:20" x14ac:dyDescent="0.25">
      <c r="O2352" s="76"/>
      <c r="P2352" s="78"/>
      <c r="Q2352" s="77"/>
      <c r="R2352" s="78"/>
      <c r="S2352" s="36" t="e">
        <f>VLOOKUP(Tabla91116[[#This Row],[CODIGO DEL PRODUCTO]],Tabla797[],2,FALSE)</f>
        <v>#N/A</v>
      </c>
      <c r="T2352" s="37"/>
    </row>
    <row r="2353" spans="15:20" x14ac:dyDescent="0.25">
      <c r="O2353" s="76"/>
      <c r="P2353" s="78"/>
      <c r="Q2353" s="77"/>
      <c r="R2353" s="78"/>
      <c r="S2353" s="36" t="e">
        <f>VLOOKUP(Tabla91116[[#This Row],[CODIGO DEL PRODUCTO]],Tabla797[],2,FALSE)</f>
        <v>#N/A</v>
      </c>
      <c r="T2353" s="37"/>
    </row>
    <row r="2354" spans="15:20" x14ac:dyDescent="0.25">
      <c r="O2354" s="76"/>
      <c r="P2354" s="78"/>
      <c r="Q2354" s="77"/>
      <c r="R2354" s="78"/>
      <c r="S2354" s="36" t="e">
        <f>VLOOKUP(Tabla91116[[#This Row],[CODIGO DEL PRODUCTO]],Tabla797[],2,FALSE)</f>
        <v>#N/A</v>
      </c>
      <c r="T2354" s="37"/>
    </row>
    <row r="2355" spans="15:20" x14ac:dyDescent="0.25">
      <c r="O2355" s="76"/>
      <c r="P2355" s="78"/>
      <c r="Q2355" s="77"/>
      <c r="R2355" s="78"/>
      <c r="S2355" s="36" t="e">
        <f>VLOOKUP(Tabla91116[[#This Row],[CODIGO DEL PRODUCTO]],Tabla797[],2,FALSE)</f>
        <v>#N/A</v>
      </c>
      <c r="T2355" s="37"/>
    </row>
    <row r="2356" spans="15:20" x14ac:dyDescent="0.25">
      <c r="O2356" s="76"/>
      <c r="P2356" s="78"/>
      <c r="Q2356" s="77"/>
      <c r="R2356" s="78"/>
      <c r="S2356" s="36" t="e">
        <f>VLOOKUP(Tabla91116[[#This Row],[CODIGO DEL PRODUCTO]],Tabla797[],2,FALSE)</f>
        <v>#N/A</v>
      </c>
      <c r="T2356" s="37"/>
    </row>
    <row r="2357" spans="15:20" x14ac:dyDescent="0.25">
      <c r="O2357" s="76"/>
      <c r="P2357" s="78"/>
      <c r="Q2357" s="77"/>
      <c r="R2357" s="78"/>
      <c r="S2357" s="36" t="e">
        <f>VLOOKUP(Tabla91116[[#This Row],[CODIGO DEL PRODUCTO]],Tabla797[],2,FALSE)</f>
        <v>#N/A</v>
      </c>
      <c r="T2357" s="37"/>
    </row>
    <row r="2358" spans="15:20" x14ac:dyDescent="0.25">
      <c r="O2358" s="76"/>
      <c r="P2358" s="78"/>
      <c r="Q2358" s="77"/>
      <c r="R2358" s="78"/>
      <c r="S2358" s="36" t="e">
        <f>VLOOKUP(Tabla91116[[#This Row],[CODIGO DEL PRODUCTO]],Tabla797[],2,FALSE)</f>
        <v>#N/A</v>
      </c>
      <c r="T2358" s="37"/>
    </row>
    <row r="2359" spans="15:20" x14ac:dyDescent="0.25">
      <c r="O2359" s="76"/>
      <c r="P2359" s="78"/>
      <c r="Q2359" s="77"/>
      <c r="R2359" s="78"/>
      <c r="S2359" s="36" t="e">
        <f>VLOOKUP(Tabla91116[[#This Row],[CODIGO DEL PRODUCTO]],Tabla797[],2,FALSE)</f>
        <v>#N/A</v>
      </c>
      <c r="T2359" s="37"/>
    </row>
    <row r="2360" spans="15:20" x14ac:dyDescent="0.25">
      <c r="O2360" s="76"/>
      <c r="P2360" s="78"/>
      <c r="Q2360" s="77"/>
      <c r="R2360" s="78"/>
      <c r="S2360" s="36" t="e">
        <f>VLOOKUP(Tabla91116[[#This Row],[CODIGO DEL PRODUCTO]],Tabla797[],2,FALSE)</f>
        <v>#N/A</v>
      </c>
      <c r="T2360" s="37"/>
    </row>
    <row r="2361" spans="15:20" x14ac:dyDescent="0.25">
      <c r="O2361" s="76"/>
      <c r="P2361" s="78"/>
      <c r="Q2361" s="77"/>
      <c r="R2361" s="78"/>
      <c r="S2361" s="36" t="e">
        <f>VLOOKUP(Tabla91116[[#This Row],[CODIGO DEL PRODUCTO]],Tabla797[],2,FALSE)</f>
        <v>#N/A</v>
      </c>
      <c r="T2361" s="37"/>
    </row>
    <row r="2362" spans="15:20" x14ac:dyDescent="0.25">
      <c r="O2362" s="76"/>
      <c r="P2362" s="78"/>
      <c r="Q2362" s="77"/>
      <c r="R2362" s="78"/>
      <c r="S2362" s="36" t="e">
        <f>VLOOKUP(Tabla91116[[#This Row],[CODIGO DEL PRODUCTO]],Tabla797[],2,FALSE)</f>
        <v>#N/A</v>
      </c>
      <c r="T2362" s="37"/>
    </row>
    <row r="2363" spans="15:20" x14ac:dyDescent="0.25">
      <c r="O2363" s="76"/>
      <c r="P2363" s="78"/>
      <c r="Q2363" s="77"/>
      <c r="R2363" s="78"/>
      <c r="S2363" s="36" t="e">
        <f>VLOOKUP(Tabla91116[[#This Row],[CODIGO DEL PRODUCTO]],Tabla797[],2,FALSE)</f>
        <v>#N/A</v>
      </c>
      <c r="T2363" s="37"/>
    </row>
    <row r="2364" spans="15:20" x14ac:dyDescent="0.25">
      <c r="O2364" s="76"/>
      <c r="P2364" s="78"/>
      <c r="Q2364" s="77"/>
      <c r="R2364" s="78"/>
      <c r="S2364" s="36" t="e">
        <f>VLOOKUP(Tabla91116[[#This Row],[CODIGO DEL PRODUCTO]],Tabla797[],2,FALSE)</f>
        <v>#N/A</v>
      </c>
      <c r="T2364" s="37"/>
    </row>
    <row r="2365" spans="15:20" x14ac:dyDescent="0.25">
      <c r="O2365" s="76"/>
      <c r="P2365" s="78"/>
      <c r="Q2365" s="77"/>
      <c r="R2365" s="78"/>
      <c r="S2365" s="36" t="e">
        <f>VLOOKUP(Tabla91116[[#This Row],[CODIGO DEL PRODUCTO]],Tabla797[],2,FALSE)</f>
        <v>#N/A</v>
      </c>
      <c r="T2365" s="37"/>
    </row>
    <row r="2366" spans="15:20" x14ac:dyDescent="0.25">
      <c r="O2366" s="76"/>
      <c r="P2366" s="78"/>
      <c r="Q2366" s="77"/>
      <c r="R2366" s="78"/>
      <c r="S2366" s="36" t="e">
        <f>VLOOKUP(Tabla91116[[#This Row],[CODIGO DEL PRODUCTO]],Tabla797[],2,FALSE)</f>
        <v>#N/A</v>
      </c>
      <c r="T2366" s="37"/>
    </row>
    <row r="2367" spans="15:20" x14ac:dyDescent="0.25">
      <c r="O2367" s="76"/>
      <c r="P2367" s="78"/>
      <c r="Q2367" s="77"/>
      <c r="R2367" s="78"/>
      <c r="S2367" s="36" t="e">
        <f>VLOOKUP(Tabla91116[[#This Row],[CODIGO DEL PRODUCTO]],Tabla797[],2,FALSE)</f>
        <v>#N/A</v>
      </c>
      <c r="T2367" s="37"/>
    </row>
    <row r="2368" spans="15:20" x14ac:dyDescent="0.25">
      <c r="O2368" s="76"/>
      <c r="P2368" s="78"/>
      <c r="Q2368" s="77"/>
      <c r="R2368" s="78"/>
      <c r="S2368" s="36" t="e">
        <f>VLOOKUP(Tabla91116[[#This Row],[CODIGO DEL PRODUCTO]],Tabla797[],2,FALSE)</f>
        <v>#N/A</v>
      </c>
      <c r="T2368" s="37"/>
    </row>
    <row r="2369" spans="15:20" x14ac:dyDescent="0.25">
      <c r="O2369" s="76"/>
      <c r="P2369" s="78"/>
      <c r="Q2369" s="77"/>
      <c r="R2369" s="78"/>
      <c r="S2369" s="36" t="e">
        <f>VLOOKUP(Tabla91116[[#This Row],[CODIGO DEL PRODUCTO]],Tabla797[],2,FALSE)</f>
        <v>#N/A</v>
      </c>
      <c r="T2369" s="37"/>
    </row>
    <row r="2370" spans="15:20" x14ac:dyDescent="0.25">
      <c r="O2370" s="76"/>
      <c r="P2370" s="78"/>
      <c r="Q2370" s="77"/>
      <c r="R2370" s="78"/>
      <c r="S2370" s="36" t="e">
        <f>VLOOKUP(Tabla91116[[#This Row],[CODIGO DEL PRODUCTO]],Tabla797[],2,FALSE)</f>
        <v>#N/A</v>
      </c>
      <c r="T2370" s="37"/>
    </row>
    <row r="2371" spans="15:20" x14ac:dyDescent="0.25">
      <c r="O2371" s="76"/>
      <c r="P2371" s="78"/>
      <c r="Q2371" s="77"/>
      <c r="R2371" s="78"/>
      <c r="S2371" s="36" t="e">
        <f>VLOOKUP(Tabla91116[[#This Row],[CODIGO DEL PRODUCTO]],Tabla797[],2,FALSE)</f>
        <v>#N/A</v>
      </c>
      <c r="T2371" s="37"/>
    </row>
    <row r="2372" spans="15:20" x14ac:dyDescent="0.25">
      <c r="O2372" s="76"/>
      <c r="P2372" s="78"/>
      <c r="Q2372" s="77"/>
      <c r="R2372" s="78"/>
      <c r="S2372" s="36" t="e">
        <f>VLOOKUP(Tabla91116[[#This Row],[CODIGO DEL PRODUCTO]],Tabla797[],2,FALSE)</f>
        <v>#N/A</v>
      </c>
      <c r="T2372" s="37"/>
    </row>
    <row r="2373" spans="15:20" x14ac:dyDescent="0.25">
      <c r="O2373" s="76"/>
      <c r="P2373" s="78"/>
      <c r="Q2373" s="77"/>
      <c r="R2373" s="78"/>
      <c r="S2373" s="36" t="e">
        <f>VLOOKUP(Tabla91116[[#This Row],[CODIGO DEL PRODUCTO]],Tabla797[],2,FALSE)</f>
        <v>#N/A</v>
      </c>
      <c r="T2373" s="37"/>
    </row>
    <row r="2374" spans="15:20" x14ac:dyDescent="0.25">
      <c r="O2374" s="76"/>
      <c r="P2374" s="78"/>
      <c r="Q2374" s="77"/>
      <c r="R2374" s="78"/>
      <c r="S2374" s="36" t="e">
        <f>VLOOKUP(Tabla91116[[#This Row],[CODIGO DEL PRODUCTO]],Tabla797[],2,FALSE)</f>
        <v>#N/A</v>
      </c>
      <c r="T2374" s="37"/>
    </row>
    <row r="2375" spans="15:20" x14ac:dyDescent="0.25">
      <c r="O2375" s="76"/>
      <c r="P2375" s="78"/>
      <c r="Q2375" s="77"/>
      <c r="R2375" s="78"/>
      <c r="S2375" s="36" t="e">
        <f>VLOOKUP(Tabla91116[[#This Row],[CODIGO DEL PRODUCTO]],Tabla797[],2,FALSE)</f>
        <v>#N/A</v>
      </c>
      <c r="T2375" s="37"/>
    </row>
    <row r="2376" spans="15:20" x14ac:dyDescent="0.25">
      <c r="O2376" s="76"/>
      <c r="P2376" s="78"/>
      <c r="Q2376" s="77"/>
      <c r="R2376" s="78"/>
      <c r="S2376" s="36" t="e">
        <f>VLOOKUP(Tabla91116[[#This Row],[CODIGO DEL PRODUCTO]],Tabla797[],2,FALSE)</f>
        <v>#N/A</v>
      </c>
      <c r="T2376" s="37"/>
    </row>
    <row r="2377" spans="15:20" x14ac:dyDescent="0.25">
      <c r="O2377" s="76"/>
      <c r="P2377" s="78"/>
      <c r="Q2377" s="77"/>
      <c r="R2377" s="78"/>
      <c r="S2377" s="36" t="e">
        <f>VLOOKUP(Tabla91116[[#This Row],[CODIGO DEL PRODUCTO]],Tabla797[],2,FALSE)</f>
        <v>#N/A</v>
      </c>
      <c r="T2377" s="37"/>
    </row>
    <row r="2378" spans="15:20" x14ac:dyDescent="0.25">
      <c r="O2378" s="76"/>
      <c r="P2378" s="78"/>
      <c r="Q2378" s="77"/>
      <c r="R2378" s="78"/>
      <c r="S2378" s="36" t="e">
        <f>VLOOKUP(Tabla91116[[#This Row],[CODIGO DEL PRODUCTO]],Tabla797[],2,FALSE)</f>
        <v>#N/A</v>
      </c>
      <c r="T2378" s="37"/>
    </row>
    <row r="2379" spans="15:20" x14ac:dyDescent="0.25">
      <c r="O2379" s="76"/>
      <c r="P2379" s="78"/>
      <c r="Q2379" s="77"/>
      <c r="R2379" s="78"/>
      <c r="S2379" s="36" t="e">
        <f>VLOOKUP(Tabla91116[[#This Row],[CODIGO DEL PRODUCTO]],Tabla797[],2,FALSE)</f>
        <v>#N/A</v>
      </c>
      <c r="T2379" s="37"/>
    </row>
    <row r="2380" spans="15:20" x14ac:dyDescent="0.25">
      <c r="O2380" s="76"/>
      <c r="P2380" s="78"/>
      <c r="Q2380" s="77"/>
      <c r="R2380" s="78"/>
      <c r="S2380" s="36" t="e">
        <f>VLOOKUP(Tabla91116[[#This Row],[CODIGO DEL PRODUCTO]],Tabla797[],2,FALSE)</f>
        <v>#N/A</v>
      </c>
      <c r="T2380" s="37"/>
    </row>
    <row r="2381" spans="15:20" x14ac:dyDescent="0.25">
      <c r="O2381" s="76"/>
      <c r="P2381" s="78"/>
      <c r="Q2381" s="77"/>
      <c r="R2381" s="78"/>
      <c r="S2381" s="36" t="e">
        <f>VLOOKUP(Tabla91116[[#This Row],[CODIGO DEL PRODUCTO]],Tabla797[],2,FALSE)</f>
        <v>#N/A</v>
      </c>
      <c r="T2381" s="37"/>
    </row>
    <row r="2382" spans="15:20" x14ac:dyDescent="0.25">
      <c r="O2382" s="76"/>
      <c r="P2382" s="78"/>
      <c r="Q2382" s="77"/>
      <c r="R2382" s="78"/>
      <c r="S2382" s="36" t="e">
        <f>VLOOKUP(Tabla91116[[#This Row],[CODIGO DEL PRODUCTO]],Tabla797[],2,FALSE)</f>
        <v>#N/A</v>
      </c>
      <c r="T2382" s="37"/>
    </row>
    <row r="2383" spans="15:20" x14ac:dyDescent="0.25">
      <c r="O2383" s="76"/>
      <c r="P2383" s="78"/>
      <c r="Q2383" s="77"/>
      <c r="R2383" s="78"/>
      <c r="S2383" s="36" t="e">
        <f>VLOOKUP(Tabla91116[[#This Row],[CODIGO DEL PRODUCTO]],Tabla797[],2,FALSE)</f>
        <v>#N/A</v>
      </c>
      <c r="T2383" s="37"/>
    </row>
    <row r="2384" spans="15:20" x14ac:dyDescent="0.25">
      <c r="O2384" s="76"/>
      <c r="P2384" s="78"/>
      <c r="Q2384" s="77"/>
      <c r="R2384" s="78"/>
      <c r="S2384" s="36" t="e">
        <f>VLOOKUP(Tabla91116[[#This Row],[CODIGO DEL PRODUCTO]],Tabla797[],2,FALSE)</f>
        <v>#N/A</v>
      </c>
      <c r="T2384" s="37"/>
    </row>
    <row r="2385" spans="15:20" x14ac:dyDescent="0.25">
      <c r="O2385" s="76"/>
      <c r="P2385" s="78"/>
      <c r="Q2385" s="77"/>
      <c r="R2385" s="78"/>
      <c r="S2385" s="36" t="e">
        <f>VLOOKUP(Tabla91116[[#This Row],[CODIGO DEL PRODUCTO]],Tabla797[],2,FALSE)</f>
        <v>#N/A</v>
      </c>
      <c r="T2385" s="37"/>
    </row>
    <row r="2386" spans="15:20" x14ac:dyDescent="0.25">
      <c r="O2386" s="76"/>
      <c r="P2386" s="78"/>
      <c r="Q2386" s="77"/>
      <c r="R2386" s="78"/>
      <c r="S2386" s="36" t="e">
        <f>VLOOKUP(Tabla91116[[#This Row],[CODIGO DEL PRODUCTO]],Tabla797[],2,FALSE)</f>
        <v>#N/A</v>
      </c>
      <c r="T2386" s="37"/>
    </row>
    <row r="2387" spans="15:20" x14ac:dyDescent="0.25">
      <c r="O2387" s="76"/>
      <c r="P2387" s="78"/>
      <c r="Q2387" s="77"/>
      <c r="R2387" s="78"/>
      <c r="S2387" s="36" t="e">
        <f>VLOOKUP(Tabla91116[[#This Row],[CODIGO DEL PRODUCTO]],Tabla797[],2,FALSE)</f>
        <v>#N/A</v>
      </c>
      <c r="T2387" s="37"/>
    </row>
    <row r="2388" spans="15:20" x14ac:dyDescent="0.25">
      <c r="O2388" s="76"/>
      <c r="P2388" s="78"/>
      <c r="Q2388" s="77"/>
      <c r="R2388" s="78"/>
      <c r="S2388" s="36" t="e">
        <f>VLOOKUP(Tabla91116[[#This Row],[CODIGO DEL PRODUCTO]],Tabla797[],2,FALSE)</f>
        <v>#N/A</v>
      </c>
      <c r="T2388" s="37"/>
    </row>
    <row r="2389" spans="15:20" x14ac:dyDescent="0.25">
      <c r="O2389" s="76"/>
      <c r="P2389" s="78"/>
      <c r="Q2389" s="77"/>
      <c r="R2389" s="78"/>
      <c r="S2389" s="36" t="e">
        <f>VLOOKUP(Tabla91116[[#This Row],[CODIGO DEL PRODUCTO]],Tabla797[],2,FALSE)</f>
        <v>#N/A</v>
      </c>
      <c r="T2389" s="37"/>
    </row>
    <row r="2390" spans="15:20" x14ac:dyDescent="0.25">
      <c r="O2390" s="76"/>
      <c r="P2390" s="78"/>
      <c r="Q2390" s="77"/>
      <c r="R2390" s="78"/>
      <c r="S2390" s="36" t="e">
        <f>VLOOKUP(Tabla91116[[#This Row],[CODIGO DEL PRODUCTO]],Tabla797[],2,FALSE)</f>
        <v>#N/A</v>
      </c>
      <c r="T2390" s="37"/>
    </row>
    <row r="2391" spans="15:20" x14ac:dyDescent="0.25">
      <c r="O2391" s="76"/>
      <c r="P2391" s="78"/>
      <c r="Q2391" s="77"/>
      <c r="R2391" s="78"/>
      <c r="S2391" s="36" t="e">
        <f>VLOOKUP(Tabla91116[[#This Row],[CODIGO DEL PRODUCTO]],Tabla797[],2,FALSE)</f>
        <v>#N/A</v>
      </c>
      <c r="T2391" s="37"/>
    </row>
    <row r="2392" spans="15:20" x14ac:dyDescent="0.25">
      <c r="O2392" s="76"/>
      <c r="P2392" s="78"/>
      <c r="Q2392" s="77"/>
      <c r="R2392" s="78"/>
      <c r="S2392" s="36" t="e">
        <f>VLOOKUP(Tabla91116[[#This Row],[CODIGO DEL PRODUCTO]],Tabla797[],2,FALSE)</f>
        <v>#N/A</v>
      </c>
      <c r="T2392" s="37"/>
    </row>
    <row r="2393" spans="15:20" x14ac:dyDescent="0.25">
      <c r="O2393" s="76"/>
      <c r="P2393" s="78"/>
      <c r="Q2393" s="77"/>
      <c r="R2393" s="78"/>
      <c r="S2393" s="36" t="e">
        <f>VLOOKUP(Tabla91116[[#This Row],[CODIGO DEL PRODUCTO]],Tabla797[],2,FALSE)</f>
        <v>#N/A</v>
      </c>
      <c r="T2393" s="37"/>
    </row>
    <row r="2394" spans="15:20" x14ac:dyDescent="0.25">
      <c r="O2394" s="76"/>
      <c r="P2394" s="78"/>
      <c r="Q2394" s="77"/>
      <c r="R2394" s="78"/>
      <c r="S2394" s="36" t="e">
        <f>VLOOKUP(Tabla91116[[#This Row],[CODIGO DEL PRODUCTO]],Tabla797[],2,FALSE)</f>
        <v>#N/A</v>
      </c>
      <c r="T2394" s="37"/>
    </row>
    <row r="2395" spans="15:20" x14ac:dyDescent="0.25">
      <c r="O2395" s="76"/>
      <c r="P2395" s="78"/>
      <c r="Q2395" s="77"/>
      <c r="R2395" s="78"/>
      <c r="S2395" s="36" t="e">
        <f>VLOOKUP(Tabla91116[[#This Row],[CODIGO DEL PRODUCTO]],Tabla797[],2,FALSE)</f>
        <v>#N/A</v>
      </c>
      <c r="T2395" s="37"/>
    </row>
    <row r="2396" spans="15:20" x14ac:dyDescent="0.25">
      <c r="O2396" s="76"/>
      <c r="P2396" s="78"/>
      <c r="Q2396" s="77"/>
      <c r="R2396" s="78"/>
      <c r="S2396" s="36" t="e">
        <f>VLOOKUP(Tabla91116[[#This Row],[CODIGO DEL PRODUCTO]],Tabla797[],2,FALSE)</f>
        <v>#N/A</v>
      </c>
      <c r="T2396" s="37"/>
    </row>
    <row r="2397" spans="15:20" x14ac:dyDescent="0.25">
      <c r="O2397" s="76"/>
      <c r="P2397" s="78"/>
      <c r="Q2397" s="77"/>
      <c r="R2397" s="78"/>
      <c r="S2397" s="36" t="e">
        <f>VLOOKUP(Tabla91116[[#This Row],[CODIGO DEL PRODUCTO]],Tabla797[],2,FALSE)</f>
        <v>#N/A</v>
      </c>
      <c r="T2397" s="37"/>
    </row>
    <row r="2398" spans="15:20" x14ac:dyDescent="0.25">
      <c r="O2398" s="76"/>
      <c r="P2398" s="78"/>
      <c r="Q2398" s="77"/>
      <c r="R2398" s="78"/>
      <c r="S2398" s="36" t="e">
        <f>VLOOKUP(Tabla91116[[#This Row],[CODIGO DEL PRODUCTO]],Tabla797[],2,FALSE)</f>
        <v>#N/A</v>
      </c>
      <c r="T2398" s="37"/>
    </row>
    <row r="2399" spans="15:20" x14ac:dyDescent="0.25">
      <c r="O2399" s="76"/>
      <c r="P2399" s="78"/>
      <c r="Q2399" s="77"/>
      <c r="R2399" s="78"/>
      <c r="S2399" s="36" t="e">
        <f>VLOOKUP(Tabla91116[[#This Row],[CODIGO DEL PRODUCTO]],Tabla797[],2,FALSE)</f>
        <v>#N/A</v>
      </c>
      <c r="T2399" s="37"/>
    </row>
    <row r="2400" spans="15:20" x14ac:dyDescent="0.25">
      <c r="O2400" s="76"/>
      <c r="P2400" s="78"/>
      <c r="Q2400" s="77"/>
      <c r="R2400" s="78"/>
      <c r="S2400" s="36" t="e">
        <f>VLOOKUP(Tabla91116[[#This Row],[CODIGO DEL PRODUCTO]],Tabla797[],2,FALSE)</f>
        <v>#N/A</v>
      </c>
      <c r="T2400" s="37"/>
    </row>
    <row r="2401" spans="15:20" x14ac:dyDescent="0.25">
      <c r="O2401" s="76"/>
      <c r="P2401" s="78"/>
      <c r="Q2401" s="77"/>
      <c r="R2401" s="78"/>
      <c r="S2401" s="36" t="e">
        <f>VLOOKUP(Tabla91116[[#This Row],[CODIGO DEL PRODUCTO]],Tabla797[],2,FALSE)</f>
        <v>#N/A</v>
      </c>
      <c r="T2401" s="37"/>
    </row>
    <row r="2402" spans="15:20" x14ac:dyDescent="0.25">
      <c r="O2402" s="76"/>
      <c r="P2402" s="78"/>
      <c r="Q2402" s="77"/>
      <c r="R2402" s="78"/>
      <c r="S2402" s="36" t="e">
        <f>VLOOKUP(Tabla91116[[#This Row],[CODIGO DEL PRODUCTO]],Tabla797[],2,FALSE)</f>
        <v>#N/A</v>
      </c>
      <c r="T2402" s="37"/>
    </row>
    <row r="2403" spans="15:20" x14ac:dyDescent="0.25">
      <c r="O2403" s="76"/>
      <c r="P2403" s="78"/>
      <c r="Q2403" s="77"/>
      <c r="R2403" s="78"/>
      <c r="S2403" s="36" t="e">
        <f>VLOOKUP(Tabla91116[[#This Row],[CODIGO DEL PRODUCTO]],Tabla797[],2,FALSE)</f>
        <v>#N/A</v>
      </c>
      <c r="T2403" s="37"/>
    </row>
    <row r="2404" spans="15:20" x14ac:dyDescent="0.25">
      <c r="O2404" s="76"/>
      <c r="P2404" s="78"/>
      <c r="Q2404" s="77"/>
      <c r="R2404" s="78"/>
      <c r="S2404" s="36" t="e">
        <f>VLOOKUP(Tabla91116[[#This Row],[CODIGO DEL PRODUCTO]],Tabla797[],2,FALSE)</f>
        <v>#N/A</v>
      </c>
      <c r="T2404" s="37"/>
    </row>
    <row r="2405" spans="15:20" x14ac:dyDescent="0.25">
      <c r="O2405" s="76"/>
      <c r="P2405" s="78"/>
      <c r="Q2405" s="77"/>
      <c r="R2405" s="78"/>
      <c r="S2405" s="36" t="e">
        <f>VLOOKUP(Tabla91116[[#This Row],[CODIGO DEL PRODUCTO]],Tabla797[],2,FALSE)</f>
        <v>#N/A</v>
      </c>
      <c r="T2405" s="37"/>
    </row>
    <row r="2406" spans="15:20" x14ac:dyDescent="0.25">
      <c r="O2406" s="76"/>
      <c r="P2406" s="78"/>
      <c r="Q2406" s="77"/>
      <c r="R2406" s="78"/>
      <c r="S2406" s="36" t="e">
        <f>VLOOKUP(Tabla91116[[#This Row],[CODIGO DEL PRODUCTO]],Tabla797[],2,FALSE)</f>
        <v>#N/A</v>
      </c>
      <c r="T2406" s="37"/>
    </row>
    <row r="2407" spans="15:20" x14ac:dyDescent="0.25">
      <c r="O2407" s="76"/>
      <c r="P2407" s="78"/>
      <c r="Q2407" s="77"/>
      <c r="R2407" s="78"/>
      <c r="S2407" s="36" t="e">
        <f>VLOOKUP(Tabla91116[[#This Row],[CODIGO DEL PRODUCTO]],Tabla797[],2,FALSE)</f>
        <v>#N/A</v>
      </c>
      <c r="T2407" s="37"/>
    </row>
    <row r="2408" spans="15:20" x14ac:dyDescent="0.25">
      <c r="O2408" s="76"/>
      <c r="P2408" s="78"/>
      <c r="Q2408" s="77"/>
      <c r="R2408" s="78"/>
      <c r="S2408" s="36" t="e">
        <f>VLOOKUP(Tabla91116[[#This Row],[CODIGO DEL PRODUCTO]],Tabla797[],2,FALSE)</f>
        <v>#N/A</v>
      </c>
      <c r="T2408" s="37"/>
    </row>
    <row r="2409" spans="15:20" x14ac:dyDescent="0.25">
      <c r="O2409" s="76"/>
      <c r="P2409" s="78"/>
      <c r="Q2409" s="77"/>
      <c r="R2409" s="78"/>
      <c r="S2409" s="36" t="e">
        <f>VLOOKUP(Tabla91116[[#This Row],[CODIGO DEL PRODUCTO]],Tabla797[],2,FALSE)</f>
        <v>#N/A</v>
      </c>
      <c r="T2409" s="37"/>
    </row>
    <row r="2410" spans="15:20" x14ac:dyDescent="0.25">
      <c r="O2410" s="76"/>
      <c r="P2410" s="78"/>
      <c r="Q2410" s="77"/>
      <c r="R2410" s="78"/>
      <c r="S2410" s="36" t="e">
        <f>VLOOKUP(Tabla91116[[#This Row],[CODIGO DEL PRODUCTO]],Tabla797[],2,FALSE)</f>
        <v>#N/A</v>
      </c>
      <c r="T2410" s="37"/>
    </row>
    <row r="2411" spans="15:20" x14ac:dyDescent="0.25">
      <c r="O2411" s="76"/>
      <c r="P2411" s="78"/>
      <c r="Q2411" s="77"/>
      <c r="R2411" s="78"/>
      <c r="S2411" s="36" t="e">
        <f>VLOOKUP(Tabla91116[[#This Row],[CODIGO DEL PRODUCTO]],Tabla797[],2,FALSE)</f>
        <v>#N/A</v>
      </c>
      <c r="T2411" s="37"/>
    </row>
    <row r="2412" spans="15:20" x14ac:dyDescent="0.25">
      <c r="O2412" s="76"/>
      <c r="P2412" s="78"/>
      <c r="Q2412" s="77"/>
      <c r="R2412" s="78"/>
      <c r="S2412" s="36" t="e">
        <f>VLOOKUP(Tabla91116[[#This Row],[CODIGO DEL PRODUCTO]],Tabla797[],2,FALSE)</f>
        <v>#N/A</v>
      </c>
      <c r="T2412" s="37"/>
    </row>
    <row r="2413" spans="15:20" x14ac:dyDescent="0.25">
      <c r="O2413" s="76"/>
      <c r="P2413" s="78"/>
      <c r="Q2413" s="77"/>
      <c r="R2413" s="78"/>
      <c r="S2413" s="36" t="e">
        <f>VLOOKUP(Tabla91116[[#This Row],[CODIGO DEL PRODUCTO]],Tabla797[],2,FALSE)</f>
        <v>#N/A</v>
      </c>
      <c r="T2413" s="37"/>
    </row>
    <row r="2414" spans="15:20" x14ac:dyDescent="0.25">
      <c r="O2414" s="76"/>
      <c r="P2414" s="78"/>
      <c r="Q2414" s="77"/>
      <c r="R2414" s="78"/>
      <c r="S2414" s="36" t="e">
        <f>VLOOKUP(Tabla91116[[#This Row],[CODIGO DEL PRODUCTO]],Tabla797[],2,FALSE)</f>
        <v>#N/A</v>
      </c>
      <c r="T2414" s="37"/>
    </row>
    <row r="2415" spans="15:20" x14ac:dyDescent="0.25">
      <c r="O2415" s="76"/>
      <c r="P2415" s="78"/>
      <c r="Q2415" s="77"/>
      <c r="R2415" s="78"/>
      <c r="S2415" s="36" t="e">
        <f>VLOOKUP(Tabla91116[[#This Row],[CODIGO DEL PRODUCTO]],Tabla797[],2,FALSE)</f>
        <v>#N/A</v>
      </c>
      <c r="T2415" s="37"/>
    </row>
    <row r="2416" spans="15:20" x14ac:dyDescent="0.25">
      <c r="O2416" s="76"/>
      <c r="P2416" s="78"/>
      <c r="Q2416" s="77"/>
      <c r="R2416" s="78"/>
      <c r="S2416" s="36" t="e">
        <f>VLOOKUP(Tabla91116[[#This Row],[CODIGO DEL PRODUCTO]],Tabla797[],2,FALSE)</f>
        <v>#N/A</v>
      </c>
      <c r="T2416" s="37"/>
    </row>
    <row r="2417" spans="15:20" x14ac:dyDescent="0.25">
      <c r="O2417" s="76"/>
      <c r="P2417" s="78"/>
      <c r="Q2417" s="77"/>
      <c r="R2417" s="78"/>
      <c r="S2417" s="36" t="e">
        <f>VLOOKUP(Tabla91116[[#This Row],[CODIGO DEL PRODUCTO]],Tabla797[],2,FALSE)</f>
        <v>#N/A</v>
      </c>
      <c r="T2417" s="37"/>
    </row>
    <row r="2418" spans="15:20" x14ac:dyDescent="0.25">
      <c r="O2418" s="76"/>
      <c r="P2418" s="78"/>
      <c r="Q2418" s="77"/>
      <c r="R2418" s="78"/>
      <c r="S2418" s="36" t="e">
        <f>VLOOKUP(Tabla91116[[#This Row],[CODIGO DEL PRODUCTO]],Tabla797[],2,FALSE)</f>
        <v>#N/A</v>
      </c>
      <c r="T2418" s="37"/>
    </row>
    <row r="2419" spans="15:20" x14ac:dyDescent="0.25">
      <c r="O2419" s="76"/>
      <c r="P2419" s="78"/>
      <c r="Q2419" s="77"/>
      <c r="R2419" s="78"/>
      <c r="S2419" s="36" t="e">
        <f>VLOOKUP(Tabla91116[[#This Row],[CODIGO DEL PRODUCTO]],Tabla797[],2,FALSE)</f>
        <v>#N/A</v>
      </c>
      <c r="T2419" s="37"/>
    </row>
    <row r="2420" spans="15:20" x14ac:dyDescent="0.25">
      <c r="O2420" s="76"/>
      <c r="P2420" s="78"/>
      <c r="Q2420" s="77"/>
      <c r="R2420" s="78"/>
      <c r="S2420" s="36" t="e">
        <f>VLOOKUP(Tabla91116[[#This Row],[CODIGO DEL PRODUCTO]],Tabla797[],2,FALSE)</f>
        <v>#N/A</v>
      </c>
      <c r="T2420" s="37"/>
    </row>
    <row r="2421" spans="15:20" x14ac:dyDescent="0.25">
      <c r="O2421" s="76"/>
      <c r="P2421" s="78"/>
      <c r="Q2421" s="77"/>
      <c r="R2421" s="78"/>
      <c r="S2421" s="36" t="e">
        <f>VLOOKUP(Tabla91116[[#This Row],[CODIGO DEL PRODUCTO]],Tabla797[],2,FALSE)</f>
        <v>#N/A</v>
      </c>
      <c r="T2421" s="37"/>
    </row>
    <row r="2422" spans="15:20" x14ac:dyDescent="0.25">
      <c r="O2422" s="76"/>
      <c r="P2422" s="78"/>
      <c r="Q2422" s="77"/>
      <c r="R2422" s="78"/>
      <c r="S2422" s="36" t="e">
        <f>VLOOKUP(Tabla91116[[#This Row],[CODIGO DEL PRODUCTO]],Tabla797[],2,FALSE)</f>
        <v>#N/A</v>
      </c>
      <c r="T2422" s="37"/>
    </row>
    <row r="2423" spans="15:20" x14ac:dyDescent="0.25">
      <c r="O2423" s="76"/>
      <c r="P2423" s="78"/>
      <c r="Q2423" s="77"/>
      <c r="R2423" s="78"/>
      <c r="S2423" s="36" t="e">
        <f>VLOOKUP(Tabla91116[[#This Row],[CODIGO DEL PRODUCTO]],Tabla797[],2,FALSE)</f>
        <v>#N/A</v>
      </c>
      <c r="T2423" s="37"/>
    </row>
    <row r="2424" spans="15:20" x14ac:dyDescent="0.25">
      <c r="O2424" s="76"/>
      <c r="P2424" s="78"/>
      <c r="Q2424" s="77"/>
      <c r="R2424" s="78"/>
      <c r="S2424" s="36" t="e">
        <f>VLOOKUP(Tabla91116[[#This Row],[CODIGO DEL PRODUCTO]],Tabla797[],2,FALSE)</f>
        <v>#N/A</v>
      </c>
      <c r="T2424" s="37"/>
    </row>
    <row r="2425" spans="15:20" x14ac:dyDescent="0.25">
      <c r="O2425" s="76"/>
      <c r="P2425" s="78"/>
      <c r="Q2425" s="77"/>
      <c r="R2425" s="78"/>
      <c r="S2425" s="36" t="e">
        <f>VLOOKUP(Tabla91116[[#This Row],[CODIGO DEL PRODUCTO]],Tabla797[],2,FALSE)</f>
        <v>#N/A</v>
      </c>
      <c r="T2425" s="37"/>
    </row>
    <row r="2426" spans="15:20" x14ac:dyDescent="0.25">
      <c r="O2426" s="76"/>
      <c r="P2426" s="78"/>
      <c r="Q2426" s="77"/>
      <c r="R2426" s="78"/>
      <c r="S2426" s="36" t="e">
        <f>VLOOKUP(Tabla91116[[#This Row],[CODIGO DEL PRODUCTO]],Tabla797[],2,FALSE)</f>
        <v>#N/A</v>
      </c>
      <c r="T2426" s="37"/>
    </row>
    <row r="2427" spans="15:20" x14ac:dyDescent="0.25">
      <c r="O2427" s="76"/>
      <c r="P2427" s="78"/>
      <c r="Q2427" s="77"/>
      <c r="R2427" s="78"/>
      <c r="S2427" s="36" t="e">
        <f>VLOOKUP(Tabla91116[[#This Row],[CODIGO DEL PRODUCTO]],Tabla797[],2,FALSE)</f>
        <v>#N/A</v>
      </c>
      <c r="T2427" s="37"/>
    </row>
    <row r="2428" spans="15:20" x14ac:dyDescent="0.25">
      <c r="O2428" s="76"/>
      <c r="P2428" s="78"/>
      <c r="Q2428" s="77"/>
      <c r="R2428" s="78"/>
      <c r="S2428" s="36" t="e">
        <f>VLOOKUP(Tabla91116[[#This Row],[CODIGO DEL PRODUCTO]],Tabla797[],2,FALSE)</f>
        <v>#N/A</v>
      </c>
      <c r="T2428" s="37"/>
    </row>
    <row r="2429" spans="15:20" x14ac:dyDescent="0.25">
      <c r="O2429" s="76"/>
      <c r="P2429" s="78"/>
      <c r="Q2429" s="77"/>
      <c r="R2429" s="78"/>
      <c r="S2429" s="36" t="e">
        <f>VLOOKUP(Tabla91116[[#This Row],[CODIGO DEL PRODUCTO]],Tabla797[],2,FALSE)</f>
        <v>#N/A</v>
      </c>
      <c r="T2429" s="37"/>
    </row>
    <row r="2430" spans="15:20" x14ac:dyDescent="0.25">
      <c r="O2430" s="76"/>
      <c r="P2430" s="78"/>
      <c r="Q2430" s="77"/>
      <c r="R2430" s="78"/>
      <c r="S2430" s="36" t="e">
        <f>VLOOKUP(Tabla91116[[#This Row],[CODIGO DEL PRODUCTO]],Tabla797[],2,FALSE)</f>
        <v>#N/A</v>
      </c>
      <c r="T2430" s="37"/>
    </row>
    <row r="2431" spans="15:20" x14ac:dyDescent="0.25">
      <c r="O2431" s="76"/>
      <c r="P2431" s="78"/>
      <c r="Q2431" s="77"/>
      <c r="R2431" s="78"/>
      <c r="S2431" s="36" t="e">
        <f>VLOOKUP(Tabla91116[[#This Row],[CODIGO DEL PRODUCTO]],Tabla797[],2,FALSE)</f>
        <v>#N/A</v>
      </c>
      <c r="T2431" s="37"/>
    </row>
    <row r="2432" spans="15:20" x14ac:dyDescent="0.25">
      <c r="O2432" s="76"/>
      <c r="P2432" s="78"/>
      <c r="Q2432" s="77"/>
      <c r="R2432" s="78"/>
      <c r="S2432" s="36" t="e">
        <f>VLOOKUP(Tabla91116[[#This Row],[CODIGO DEL PRODUCTO]],Tabla797[],2,FALSE)</f>
        <v>#N/A</v>
      </c>
      <c r="T2432" s="37"/>
    </row>
    <row r="2433" spans="15:20" x14ac:dyDescent="0.25">
      <c r="O2433" s="76"/>
      <c r="P2433" s="78"/>
      <c r="Q2433" s="77"/>
      <c r="R2433" s="78"/>
      <c r="S2433" s="36" t="e">
        <f>VLOOKUP(Tabla91116[[#This Row],[CODIGO DEL PRODUCTO]],Tabla797[],2,FALSE)</f>
        <v>#N/A</v>
      </c>
      <c r="T2433" s="37"/>
    </row>
    <row r="2434" spans="15:20" x14ac:dyDescent="0.25">
      <c r="O2434" s="76"/>
      <c r="P2434" s="78"/>
      <c r="Q2434" s="77"/>
      <c r="R2434" s="78"/>
      <c r="S2434" s="36" t="e">
        <f>VLOOKUP(Tabla91116[[#This Row],[CODIGO DEL PRODUCTO]],Tabla797[],2,FALSE)</f>
        <v>#N/A</v>
      </c>
      <c r="T2434" s="37"/>
    </row>
    <row r="2435" spans="15:20" x14ac:dyDescent="0.25">
      <c r="O2435" s="76"/>
      <c r="P2435" s="78"/>
      <c r="Q2435" s="77"/>
      <c r="R2435" s="78"/>
      <c r="S2435" s="36" t="e">
        <f>VLOOKUP(Tabla91116[[#This Row],[CODIGO DEL PRODUCTO]],Tabla797[],2,FALSE)</f>
        <v>#N/A</v>
      </c>
      <c r="T2435" s="37"/>
    </row>
    <row r="2436" spans="15:20" x14ac:dyDescent="0.25">
      <c r="O2436" s="76"/>
      <c r="P2436" s="78"/>
      <c r="Q2436" s="77"/>
      <c r="R2436" s="78"/>
      <c r="S2436" s="36" t="e">
        <f>VLOOKUP(Tabla91116[[#This Row],[CODIGO DEL PRODUCTO]],Tabla797[],2,FALSE)</f>
        <v>#N/A</v>
      </c>
      <c r="T2436" s="37"/>
    </row>
    <row r="2437" spans="15:20" x14ac:dyDescent="0.25">
      <c r="O2437" s="76"/>
      <c r="P2437" s="78"/>
      <c r="Q2437" s="77"/>
      <c r="R2437" s="78"/>
      <c r="S2437" s="36" t="e">
        <f>VLOOKUP(Tabla91116[[#This Row],[CODIGO DEL PRODUCTO]],Tabla797[],2,FALSE)</f>
        <v>#N/A</v>
      </c>
      <c r="T2437" s="37"/>
    </row>
    <row r="2438" spans="15:20" x14ac:dyDescent="0.25">
      <c r="O2438" s="76"/>
      <c r="P2438" s="78"/>
      <c r="Q2438" s="77"/>
      <c r="R2438" s="78"/>
      <c r="S2438" s="36" t="e">
        <f>VLOOKUP(Tabla91116[[#This Row],[CODIGO DEL PRODUCTO]],Tabla797[],2,FALSE)</f>
        <v>#N/A</v>
      </c>
      <c r="T2438" s="37"/>
    </row>
    <row r="2439" spans="15:20" x14ac:dyDescent="0.25">
      <c r="O2439" s="76"/>
      <c r="P2439" s="78"/>
      <c r="Q2439" s="77"/>
      <c r="R2439" s="78"/>
      <c r="S2439" s="36" t="e">
        <f>VLOOKUP(Tabla91116[[#This Row],[CODIGO DEL PRODUCTO]],Tabla797[],2,FALSE)</f>
        <v>#N/A</v>
      </c>
      <c r="T2439" s="37"/>
    </row>
    <row r="2440" spans="15:20" x14ac:dyDescent="0.25">
      <c r="O2440" s="76"/>
      <c r="P2440" s="78"/>
      <c r="Q2440" s="77"/>
      <c r="R2440" s="78"/>
      <c r="S2440" s="36" t="e">
        <f>VLOOKUP(Tabla91116[[#This Row],[CODIGO DEL PRODUCTO]],Tabla797[],2,FALSE)</f>
        <v>#N/A</v>
      </c>
      <c r="T2440" s="37"/>
    </row>
    <row r="2441" spans="15:20" x14ac:dyDescent="0.25">
      <c r="O2441" s="76"/>
      <c r="P2441" s="78"/>
      <c r="Q2441" s="77"/>
      <c r="R2441" s="78"/>
      <c r="S2441" s="36" t="e">
        <f>VLOOKUP(Tabla91116[[#This Row],[CODIGO DEL PRODUCTO]],Tabla797[],2,FALSE)</f>
        <v>#N/A</v>
      </c>
      <c r="T2441" s="37"/>
    </row>
    <row r="2442" spans="15:20" x14ac:dyDescent="0.25">
      <c r="O2442" s="76"/>
      <c r="P2442" s="78"/>
      <c r="Q2442" s="77"/>
      <c r="R2442" s="78"/>
      <c r="S2442" s="36" t="e">
        <f>VLOOKUP(Tabla91116[[#This Row],[CODIGO DEL PRODUCTO]],Tabla797[],2,FALSE)</f>
        <v>#N/A</v>
      </c>
      <c r="T2442" s="37"/>
    </row>
    <row r="2443" spans="15:20" x14ac:dyDescent="0.25">
      <c r="O2443" s="76"/>
      <c r="P2443" s="78"/>
      <c r="Q2443" s="77"/>
      <c r="R2443" s="78"/>
      <c r="S2443" s="36" t="e">
        <f>VLOOKUP(Tabla91116[[#This Row],[CODIGO DEL PRODUCTO]],Tabla797[],2,FALSE)</f>
        <v>#N/A</v>
      </c>
      <c r="T2443" s="37"/>
    </row>
    <row r="2444" spans="15:20" x14ac:dyDescent="0.25">
      <c r="O2444" s="76"/>
      <c r="P2444" s="78"/>
      <c r="Q2444" s="77"/>
      <c r="R2444" s="78"/>
      <c r="S2444" s="36" t="e">
        <f>VLOOKUP(Tabla91116[[#This Row],[CODIGO DEL PRODUCTO]],Tabla797[],2,FALSE)</f>
        <v>#N/A</v>
      </c>
      <c r="T2444" s="37"/>
    </row>
    <row r="2445" spans="15:20" x14ac:dyDescent="0.25">
      <c r="O2445" s="76"/>
      <c r="P2445" s="78"/>
      <c r="Q2445" s="77"/>
      <c r="R2445" s="78"/>
      <c r="S2445" s="36" t="e">
        <f>VLOOKUP(Tabla91116[[#This Row],[CODIGO DEL PRODUCTO]],Tabla797[],2,FALSE)</f>
        <v>#N/A</v>
      </c>
      <c r="T2445" s="37"/>
    </row>
    <row r="2446" spans="15:20" x14ac:dyDescent="0.25">
      <c r="O2446" s="76"/>
      <c r="P2446" s="78"/>
      <c r="Q2446" s="77"/>
      <c r="R2446" s="78"/>
      <c r="S2446" s="36" t="e">
        <f>VLOOKUP(Tabla91116[[#This Row],[CODIGO DEL PRODUCTO]],Tabla797[],2,FALSE)</f>
        <v>#N/A</v>
      </c>
      <c r="T2446" s="37"/>
    </row>
    <row r="2447" spans="15:20" x14ac:dyDescent="0.25">
      <c r="O2447" s="76"/>
      <c r="P2447" s="78"/>
      <c r="Q2447" s="77"/>
      <c r="R2447" s="78"/>
      <c r="S2447" s="36" t="e">
        <f>VLOOKUP(Tabla91116[[#This Row],[CODIGO DEL PRODUCTO]],Tabla797[],2,FALSE)</f>
        <v>#N/A</v>
      </c>
      <c r="T2447" s="37"/>
    </row>
    <row r="2448" spans="15:20" x14ac:dyDescent="0.25">
      <c r="O2448" s="76"/>
      <c r="P2448" s="78"/>
      <c r="Q2448" s="77"/>
      <c r="R2448" s="78"/>
      <c r="S2448" s="36" t="e">
        <f>VLOOKUP(Tabla91116[[#This Row],[CODIGO DEL PRODUCTO]],Tabla797[],2,FALSE)</f>
        <v>#N/A</v>
      </c>
      <c r="T2448" s="37"/>
    </row>
    <row r="2449" spans="15:20" x14ac:dyDescent="0.25">
      <c r="O2449" s="76"/>
      <c r="P2449" s="78"/>
      <c r="Q2449" s="77"/>
      <c r="R2449" s="78"/>
      <c r="S2449" s="36" t="e">
        <f>VLOOKUP(Tabla91116[[#This Row],[CODIGO DEL PRODUCTO]],Tabla797[],2,FALSE)</f>
        <v>#N/A</v>
      </c>
      <c r="T2449" s="37"/>
    </row>
    <row r="2450" spans="15:20" x14ac:dyDescent="0.25">
      <c r="O2450" s="76"/>
      <c r="P2450" s="78"/>
      <c r="Q2450" s="77"/>
      <c r="R2450" s="78"/>
      <c r="S2450" s="36" t="e">
        <f>VLOOKUP(Tabla91116[[#This Row],[CODIGO DEL PRODUCTO]],Tabla797[],2,FALSE)</f>
        <v>#N/A</v>
      </c>
      <c r="T2450" s="37"/>
    </row>
    <row r="2451" spans="15:20" x14ac:dyDescent="0.25">
      <c r="O2451" s="76"/>
      <c r="P2451" s="78"/>
      <c r="Q2451" s="77"/>
      <c r="R2451" s="78"/>
      <c r="S2451" s="36" t="e">
        <f>VLOOKUP(Tabla91116[[#This Row],[CODIGO DEL PRODUCTO]],Tabla797[],2,FALSE)</f>
        <v>#N/A</v>
      </c>
      <c r="T2451" s="37"/>
    </row>
    <row r="2452" spans="15:20" x14ac:dyDescent="0.25">
      <c r="O2452" s="76"/>
      <c r="P2452" s="78"/>
      <c r="Q2452" s="77"/>
      <c r="R2452" s="78"/>
      <c r="S2452" s="36" t="e">
        <f>VLOOKUP(Tabla91116[[#This Row],[CODIGO DEL PRODUCTO]],Tabla797[],2,FALSE)</f>
        <v>#N/A</v>
      </c>
      <c r="T2452" s="37"/>
    </row>
    <row r="2453" spans="15:20" x14ac:dyDescent="0.25">
      <c r="O2453" s="76"/>
      <c r="P2453" s="78"/>
      <c r="Q2453" s="77"/>
      <c r="R2453" s="78"/>
      <c r="S2453" s="36" t="e">
        <f>VLOOKUP(Tabla91116[[#This Row],[CODIGO DEL PRODUCTO]],Tabla797[],2,FALSE)</f>
        <v>#N/A</v>
      </c>
      <c r="T2453" s="37"/>
    </row>
    <row r="2454" spans="15:20" x14ac:dyDescent="0.25">
      <c r="O2454" s="76"/>
      <c r="P2454" s="78"/>
      <c r="Q2454" s="77"/>
      <c r="R2454" s="78"/>
      <c r="S2454" s="36" t="e">
        <f>VLOOKUP(Tabla91116[[#This Row],[CODIGO DEL PRODUCTO]],Tabla797[],2,FALSE)</f>
        <v>#N/A</v>
      </c>
      <c r="T2454" s="37"/>
    </row>
    <row r="2455" spans="15:20" x14ac:dyDescent="0.25">
      <c r="O2455" s="76"/>
      <c r="P2455" s="78"/>
      <c r="Q2455" s="77"/>
      <c r="R2455" s="78"/>
      <c r="S2455" s="36" t="e">
        <f>VLOOKUP(Tabla91116[[#This Row],[CODIGO DEL PRODUCTO]],Tabla797[],2,FALSE)</f>
        <v>#N/A</v>
      </c>
      <c r="T2455" s="37"/>
    </row>
    <row r="2456" spans="15:20" x14ac:dyDescent="0.25">
      <c r="O2456" s="76"/>
      <c r="P2456" s="78"/>
      <c r="Q2456" s="77"/>
      <c r="R2456" s="78"/>
      <c r="S2456" s="36" t="e">
        <f>VLOOKUP(Tabla91116[[#This Row],[CODIGO DEL PRODUCTO]],Tabla797[],2,FALSE)</f>
        <v>#N/A</v>
      </c>
      <c r="T2456" s="37"/>
    </row>
    <row r="2457" spans="15:20" x14ac:dyDescent="0.25">
      <c r="O2457" s="76"/>
      <c r="P2457" s="78"/>
      <c r="Q2457" s="77"/>
      <c r="R2457" s="78"/>
      <c r="S2457" s="36" t="e">
        <f>VLOOKUP(Tabla91116[[#This Row],[CODIGO DEL PRODUCTO]],Tabla797[],2,FALSE)</f>
        <v>#N/A</v>
      </c>
      <c r="T2457" s="37"/>
    </row>
    <row r="2458" spans="15:20" x14ac:dyDescent="0.25">
      <c r="O2458" s="76"/>
      <c r="P2458" s="78"/>
      <c r="Q2458" s="77"/>
      <c r="R2458" s="78"/>
      <c r="S2458" s="36" t="e">
        <f>VLOOKUP(Tabla91116[[#This Row],[CODIGO DEL PRODUCTO]],Tabla797[],2,FALSE)</f>
        <v>#N/A</v>
      </c>
      <c r="T2458" s="37"/>
    </row>
    <row r="2459" spans="15:20" x14ac:dyDescent="0.25">
      <c r="O2459" s="76"/>
      <c r="P2459" s="78"/>
      <c r="Q2459" s="77"/>
      <c r="R2459" s="78"/>
      <c r="S2459" s="36" t="e">
        <f>VLOOKUP(Tabla91116[[#This Row],[CODIGO DEL PRODUCTO]],Tabla797[],2,FALSE)</f>
        <v>#N/A</v>
      </c>
      <c r="T2459" s="37"/>
    </row>
    <row r="2460" spans="15:20" x14ac:dyDescent="0.25">
      <c r="O2460" s="76"/>
      <c r="P2460" s="78"/>
      <c r="Q2460" s="77"/>
      <c r="R2460" s="78"/>
      <c r="S2460" s="36" t="e">
        <f>VLOOKUP(Tabla91116[[#This Row],[CODIGO DEL PRODUCTO]],Tabla797[],2,FALSE)</f>
        <v>#N/A</v>
      </c>
      <c r="T2460" s="37"/>
    </row>
    <row r="2461" spans="15:20" x14ac:dyDescent="0.25">
      <c r="O2461" s="76"/>
      <c r="P2461" s="78"/>
      <c r="Q2461" s="77"/>
      <c r="R2461" s="78"/>
      <c r="S2461" s="36" t="e">
        <f>VLOOKUP(Tabla91116[[#This Row],[CODIGO DEL PRODUCTO]],Tabla797[],2,FALSE)</f>
        <v>#N/A</v>
      </c>
      <c r="T2461" s="37"/>
    </row>
    <row r="2462" spans="15:20" x14ac:dyDescent="0.25">
      <c r="O2462" s="76"/>
      <c r="P2462" s="78"/>
      <c r="Q2462" s="77"/>
      <c r="R2462" s="78"/>
      <c r="S2462" s="36" t="e">
        <f>VLOOKUP(Tabla91116[[#This Row],[CODIGO DEL PRODUCTO]],Tabla797[],2,FALSE)</f>
        <v>#N/A</v>
      </c>
      <c r="T2462" s="37"/>
    </row>
    <row r="2463" spans="15:20" x14ac:dyDescent="0.25">
      <c r="O2463" s="76"/>
      <c r="P2463" s="78"/>
      <c r="Q2463" s="77"/>
      <c r="R2463" s="78"/>
      <c r="S2463" s="36" t="e">
        <f>VLOOKUP(Tabla91116[[#This Row],[CODIGO DEL PRODUCTO]],Tabla797[],2,FALSE)</f>
        <v>#N/A</v>
      </c>
      <c r="T2463" s="37"/>
    </row>
    <row r="2464" spans="15:20" x14ac:dyDescent="0.25">
      <c r="O2464" s="76"/>
      <c r="P2464" s="78"/>
      <c r="Q2464" s="77"/>
      <c r="R2464" s="78"/>
      <c r="S2464" s="36" t="e">
        <f>VLOOKUP(Tabla91116[[#This Row],[CODIGO DEL PRODUCTO]],Tabla797[],2,FALSE)</f>
        <v>#N/A</v>
      </c>
      <c r="T2464" s="37"/>
    </row>
    <row r="2465" spans="15:20" x14ac:dyDescent="0.25">
      <c r="O2465" s="76"/>
      <c r="P2465" s="78"/>
      <c r="Q2465" s="77"/>
      <c r="R2465" s="78"/>
      <c r="S2465" s="36" t="e">
        <f>VLOOKUP(Tabla91116[[#This Row],[CODIGO DEL PRODUCTO]],Tabla797[],2,FALSE)</f>
        <v>#N/A</v>
      </c>
      <c r="T2465" s="37"/>
    </row>
    <row r="2466" spans="15:20" x14ac:dyDescent="0.25">
      <c r="O2466" s="76"/>
      <c r="P2466" s="78"/>
      <c r="Q2466" s="77"/>
      <c r="R2466" s="78"/>
      <c r="S2466" s="36" t="e">
        <f>VLOOKUP(Tabla91116[[#This Row],[CODIGO DEL PRODUCTO]],Tabla797[],2,FALSE)</f>
        <v>#N/A</v>
      </c>
      <c r="T2466" s="37"/>
    </row>
    <row r="2467" spans="15:20" x14ac:dyDescent="0.25">
      <c r="O2467" s="76"/>
      <c r="P2467" s="78"/>
      <c r="Q2467" s="77"/>
      <c r="R2467" s="78"/>
      <c r="S2467" s="36" t="e">
        <f>VLOOKUP(Tabla91116[[#This Row],[CODIGO DEL PRODUCTO]],Tabla797[],2,FALSE)</f>
        <v>#N/A</v>
      </c>
      <c r="T2467" s="37"/>
    </row>
    <row r="2468" spans="15:20" x14ac:dyDescent="0.25">
      <c r="O2468" s="76"/>
      <c r="P2468" s="78"/>
      <c r="Q2468" s="77"/>
      <c r="R2468" s="78"/>
      <c r="S2468" s="36" t="e">
        <f>VLOOKUP(Tabla91116[[#This Row],[CODIGO DEL PRODUCTO]],Tabla797[],2,FALSE)</f>
        <v>#N/A</v>
      </c>
      <c r="T2468" s="37"/>
    </row>
    <row r="2469" spans="15:20" x14ac:dyDescent="0.25">
      <c r="O2469" s="76"/>
      <c r="P2469" s="78"/>
      <c r="Q2469" s="77"/>
      <c r="R2469" s="78"/>
      <c r="S2469" s="36" t="e">
        <f>VLOOKUP(Tabla91116[[#This Row],[CODIGO DEL PRODUCTO]],Tabla797[],2,FALSE)</f>
        <v>#N/A</v>
      </c>
      <c r="T2469" s="37"/>
    </row>
    <row r="2470" spans="15:20" x14ac:dyDescent="0.25">
      <c r="O2470" s="76"/>
      <c r="P2470" s="78"/>
      <c r="Q2470" s="77"/>
      <c r="R2470" s="78"/>
      <c r="S2470" s="36" t="e">
        <f>VLOOKUP(Tabla91116[[#This Row],[CODIGO DEL PRODUCTO]],Tabla797[],2,FALSE)</f>
        <v>#N/A</v>
      </c>
      <c r="T2470" s="37"/>
    </row>
    <row r="2471" spans="15:20" x14ac:dyDescent="0.25">
      <c r="O2471" s="76"/>
      <c r="P2471" s="78"/>
      <c r="Q2471" s="77"/>
      <c r="R2471" s="78"/>
      <c r="S2471" s="36" t="e">
        <f>VLOOKUP(Tabla91116[[#This Row],[CODIGO DEL PRODUCTO]],Tabla797[],2,FALSE)</f>
        <v>#N/A</v>
      </c>
      <c r="T2471" s="37"/>
    </row>
    <row r="2472" spans="15:20" x14ac:dyDescent="0.25">
      <c r="O2472" s="76"/>
      <c r="P2472" s="78"/>
      <c r="Q2472" s="77"/>
      <c r="R2472" s="78"/>
      <c r="S2472" s="36" t="e">
        <f>VLOOKUP(Tabla91116[[#This Row],[CODIGO DEL PRODUCTO]],Tabla797[],2,FALSE)</f>
        <v>#N/A</v>
      </c>
      <c r="T2472" s="37"/>
    </row>
    <row r="2473" spans="15:20" x14ac:dyDescent="0.25">
      <c r="O2473" s="76"/>
      <c r="P2473" s="78"/>
      <c r="Q2473" s="77"/>
      <c r="R2473" s="78"/>
      <c r="S2473" s="36" t="e">
        <f>VLOOKUP(Tabla91116[[#This Row],[CODIGO DEL PRODUCTO]],Tabla797[],2,FALSE)</f>
        <v>#N/A</v>
      </c>
      <c r="T2473" s="37"/>
    </row>
    <row r="2474" spans="15:20" x14ac:dyDescent="0.25">
      <c r="O2474" s="76"/>
      <c r="P2474" s="78"/>
      <c r="Q2474" s="77"/>
      <c r="R2474" s="78"/>
      <c r="S2474" s="36" t="e">
        <f>VLOOKUP(Tabla91116[[#This Row],[CODIGO DEL PRODUCTO]],Tabla797[],2,FALSE)</f>
        <v>#N/A</v>
      </c>
      <c r="T2474" s="37"/>
    </row>
    <row r="2475" spans="15:20" x14ac:dyDescent="0.25">
      <c r="O2475" s="76"/>
      <c r="P2475" s="78"/>
      <c r="Q2475" s="77"/>
      <c r="R2475" s="78"/>
      <c r="S2475" s="36" t="e">
        <f>VLOOKUP(Tabla91116[[#This Row],[CODIGO DEL PRODUCTO]],Tabla797[],2,FALSE)</f>
        <v>#N/A</v>
      </c>
      <c r="T2475" s="37"/>
    </row>
    <row r="2476" spans="15:20" x14ac:dyDescent="0.25">
      <c r="O2476" s="76"/>
      <c r="P2476" s="78"/>
      <c r="Q2476" s="77"/>
      <c r="R2476" s="78"/>
      <c r="S2476" s="36" t="e">
        <f>VLOOKUP(Tabla91116[[#This Row],[CODIGO DEL PRODUCTO]],Tabla797[],2,FALSE)</f>
        <v>#N/A</v>
      </c>
      <c r="T2476" s="37"/>
    </row>
    <row r="2477" spans="15:20" x14ac:dyDescent="0.25">
      <c r="O2477" s="76"/>
      <c r="P2477" s="78"/>
      <c r="Q2477" s="77"/>
      <c r="R2477" s="78"/>
      <c r="S2477" s="36" t="e">
        <f>VLOOKUP(Tabla91116[[#This Row],[CODIGO DEL PRODUCTO]],Tabla797[],2,FALSE)</f>
        <v>#N/A</v>
      </c>
      <c r="T2477" s="37"/>
    </row>
    <row r="2478" spans="15:20" x14ac:dyDescent="0.25">
      <c r="O2478" s="76"/>
      <c r="P2478" s="78"/>
      <c r="Q2478" s="77"/>
      <c r="R2478" s="78"/>
      <c r="S2478" s="36" t="e">
        <f>VLOOKUP(Tabla91116[[#This Row],[CODIGO DEL PRODUCTO]],Tabla797[],2,FALSE)</f>
        <v>#N/A</v>
      </c>
      <c r="T2478" s="37"/>
    </row>
    <row r="2479" spans="15:20" x14ac:dyDescent="0.25">
      <c r="O2479" s="76"/>
      <c r="P2479" s="78"/>
      <c r="Q2479" s="77"/>
      <c r="R2479" s="78"/>
      <c r="S2479" s="36" t="e">
        <f>VLOOKUP(Tabla91116[[#This Row],[CODIGO DEL PRODUCTO]],Tabla797[],2,FALSE)</f>
        <v>#N/A</v>
      </c>
      <c r="T2479" s="37"/>
    </row>
    <row r="2480" spans="15:20" x14ac:dyDescent="0.25">
      <c r="O2480" s="76"/>
      <c r="P2480" s="78"/>
      <c r="Q2480" s="77"/>
      <c r="R2480" s="78"/>
      <c r="S2480" s="36" t="e">
        <f>VLOOKUP(Tabla91116[[#This Row],[CODIGO DEL PRODUCTO]],Tabla797[],2,FALSE)</f>
        <v>#N/A</v>
      </c>
      <c r="T2480" s="37"/>
    </row>
    <row r="2481" spans="15:20" x14ac:dyDescent="0.25">
      <c r="O2481" s="76"/>
      <c r="P2481" s="78"/>
      <c r="Q2481" s="77"/>
      <c r="R2481" s="78"/>
      <c r="S2481" s="36" t="e">
        <f>VLOOKUP(Tabla91116[[#This Row],[CODIGO DEL PRODUCTO]],Tabla797[],2,FALSE)</f>
        <v>#N/A</v>
      </c>
      <c r="T2481" s="37"/>
    </row>
    <row r="2482" spans="15:20" x14ac:dyDescent="0.25">
      <c r="O2482" s="76"/>
      <c r="P2482" s="78"/>
      <c r="Q2482" s="77"/>
      <c r="R2482" s="78"/>
      <c r="S2482" s="36" t="e">
        <f>VLOOKUP(Tabla91116[[#This Row],[CODIGO DEL PRODUCTO]],Tabla797[],2,FALSE)</f>
        <v>#N/A</v>
      </c>
      <c r="T2482" s="37"/>
    </row>
    <row r="2483" spans="15:20" x14ac:dyDescent="0.25">
      <c r="O2483" s="76"/>
      <c r="P2483" s="78"/>
      <c r="Q2483" s="77"/>
      <c r="R2483" s="78"/>
      <c r="S2483" s="36" t="e">
        <f>VLOOKUP(Tabla91116[[#This Row],[CODIGO DEL PRODUCTO]],Tabla797[],2,FALSE)</f>
        <v>#N/A</v>
      </c>
      <c r="T2483" s="37"/>
    </row>
    <row r="2484" spans="15:20" x14ac:dyDescent="0.25">
      <c r="O2484" s="76"/>
      <c r="P2484" s="78"/>
      <c r="Q2484" s="77"/>
      <c r="R2484" s="78"/>
      <c r="S2484" s="36" t="e">
        <f>VLOOKUP(Tabla91116[[#This Row],[CODIGO DEL PRODUCTO]],Tabla797[],2,FALSE)</f>
        <v>#N/A</v>
      </c>
      <c r="T2484" s="37"/>
    </row>
    <row r="2485" spans="15:20" x14ac:dyDescent="0.25">
      <c r="O2485" s="76"/>
      <c r="P2485" s="78"/>
      <c r="Q2485" s="77"/>
      <c r="R2485" s="78"/>
      <c r="S2485" s="36" t="e">
        <f>VLOOKUP(Tabla91116[[#This Row],[CODIGO DEL PRODUCTO]],Tabla797[],2,FALSE)</f>
        <v>#N/A</v>
      </c>
      <c r="T2485" s="37"/>
    </row>
    <row r="2486" spans="15:20" x14ac:dyDescent="0.25">
      <c r="O2486" s="76"/>
      <c r="P2486" s="78"/>
      <c r="Q2486" s="77"/>
      <c r="R2486" s="78"/>
      <c r="S2486" s="36" t="e">
        <f>VLOOKUP(Tabla91116[[#This Row],[CODIGO DEL PRODUCTO]],Tabla797[],2,FALSE)</f>
        <v>#N/A</v>
      </c>
      <c r="T2486" s="37"/>
    </row>
    <row r="2487" spans="15:20" x14ac:dyDescent="0.25">
      <c r="O2487" s="76"/>
      <c r="P2487" s="78"/>
      <c r="Q2487" s="77"/>
      <c r="R2487" s="78"/>
      <c r="S2487" s="36" t="e">
        <f>VLOOKUP(Tabla91116[[#This Row],[CODIGO DEL PRODUCTO]],Tabla797[],2,FALSE)</f>
        <v>#N/A</v>
      </c>
      <c r="T2487" s="37"/>
    </row>
    <row r="2488" spans="15:20" x14ac:dyDescent="0.25">
      <c r="O2488" s="76"/>
      <c r="P2488" s="78"/>
      <c r="Q2488" s="77"/>
      <c r="R2488" s="78"/>
      <c r="S2488" s="36" t="e">
        <f>VLOOKUP(Tabla91116[[#This Row],[CODIGO DEL PRODUCTO]],Tabla797[],2,FALSE)</f>
        <v>#N/A</v>
      </c>
      <c r="T2488" s="37"/>
    </row>
    <row r="2489" spans="15:20" x14ac:dyDescent="0.25">
      <c r="O2489" s="76"/>
      <c r="P2489" s="78"/>
      <c r="Q2489" s="77"/>
      <c r="R2489" s="78"/>
      <c r="S2489" s="36" t="e">
        <f>VLOOKUP(Tabla91116[[#This Row],[CODIGO DEL PRODUCTO]],Tabla797[],2,FALSE)</f>
        <v>#N/A</v>
      </c>
      <c r="T2489" s="37"/>
    </row>
    <row r="2490" spans="15:20" x14ac:dyDescent="0.25">
      <c r="O2490" s="76"/>
      <c r="P2490" s="78"/>
      <c r="Q2490" s="77"/>
      <c r="R2490" s="78"/>
      <c r="S2490" s="36" t="e">
        <f>VLOOKUP(Tabla91116[[#This Row],[CODIGO DEL PRODUCTO]],Tabla797[],2,FALSE)</f>
        <v>#N/A</v>
      </c>
      <c r="T2490" s="37"/>
    </row>
    <row r="2491" spans="15:20" x14ac:dyDescent="0.25">
      <c r="O2491" s="76"/>
      <c r="P2491" s="78"/>
      <c r="Q2491" s="77"/>
      <c r="R2491" s="78"/>
      <c r="S2491" s="36" t="e">
        <f>VLOOKUP(Tabla91116[[#This Row],[CODIGO DEL PRODUCTO]],Tabla797[],2,FALSE)</f>
        <v>#N/A</v>
      </c>
      <c r="T2491" s="37"/>
    </row>
    <row r="2492" spans="15:20" x14ac:dyDescent="0.25">
      <c r="O2492" s="76"/>
      <c r="P2492" s="78"/>
      <c r="Q2492" s="77"/>
      <c r="R2492" s="78"/>
      <c r="S2492" s="36" t="e">
        <f>VLOOKUP(Tabla91116[[#This Row],[CODIGO DEL PRODUCTO]],Tabla797[],2,FALSE)</f>
        <v>#N/A</v>
      </c>
      <c r="T2492" s="37"/>
    </row>
    <row r="2493" spans="15:20" x14ac:dyDescent="0.25">
      <c r="O2493" s="76"/>
      <c r="P2493" s="78"/>
      <c r="Q2493" s="77"/>
      <c r="R2493" s="78"/>
      <c r="S2493" s="36" t="e">
        <f>VLOOKUP(Tabla91116[[#This Row],[CODIGO DEL PRODUCTO]],Tabla797[],2,FALSE)</f>
        <v>#N/A</v>
      </c>
      <c r="T2493" s="37"/>
    </row>
    <row r="2494" spans="15:20" x14ac:dyDescent="0.25">
      <c r="O2494" s="76"/>
      <c r="P2494" s="78"/>
      <c r="Q2494" s="77"/>
      <c r="R2494" s="78"/>
      <c r="S2494" s="36" t="e">
        <f>VLOOKUP(Tabla91116[[#This Row],[CODIGO DEL PRODUCTO]],Tabla797[],2,FALSE)</f>
        <v>#N/A</v>
      </c>
      <c r="T2494" s="37"/>
    </row>
    <row r="2495" spans="15:20" x14ac:dyDescent="0.25">
      <c r="O2495" s="76"/>
      <c r="P2495" s="78"/>
      <c r="Q2495" s="77"/>
      <c r="R2495" s="78"/>
      <c r="S2495" s="36" t="e">
        <f>VLOOKUP(Tabla91116[[#This Row],[CODIGO DEL PRODUCTO]],Tabla797[],2,FALSE)</f>
        <v>#N/A</v>
      </c>
      <c r="T2495" s="37"/>
    </row>
    <row r="2496" spans="15:20" x14ac:dyDescent="0.25">
      <c r="O2496" s="76"/>
      <c r="P2496" s="78"/>
      <c r="Q2496" s="77"/>
      <c r="R2496" s="78"/>
      <c r="S2496" s="36" t="e">
        <f>VLOOKUP(Tabla91116[[#This Row],[CODIGO DEL PRODUCTO]],Tabla797[],2,FALSE)</f>
        <v>#N/A</v>
      </c>
      <c r="T2496" s="37"/>
    </row>
    <row r="2497" spans="15:20" x14ac:dyDescent="0.25">
      <c r="O2497" s="76"/>
      <c r="P2497" s="78"/>
      <c r="Q2497" s="77"/>
      <c r="R2497" s="78"/>
      <c r="S2497" s="36" t="e">
        <f>VLOOKUP(Tabla91116[[#This Row],[CODIGO DEL PRODUCTO]],Tabla797[],2,FALSE)</f>
        <v>#N/A</v>
      </c>
      <c r="T2497" s="37"/>
    </row>
    <row r="2498" spans="15:20" x14ac:dyDescent="0.25">
      <c r="O2498" s="76"/>
      <c r="P2498" s="78"/>
      <c r="Q2498" s="77"/>
      <c r="R2498" s="78"/>
      <c r="S2498" s="36" t="e">
        <f>VLOOKUP(Tabla91116[[#This Row],[CODIGO DEL PRODUCTO]],Tabla797[],2,FALSE)</f>
        <v>#N/A</v>
      </c>
      <c r="T2498" s="37"/>
    </row>
    <row r="2499" spans="15:20" x14ac:dyDescent="0.25">
      <c r="O2499" s="76"/>
      <c r="P2499" s="78"/>
      <c r="Q2499" s="77"/>
      <c r="R2499" s="78"/>
      <c r="S2499" s="36" t="e">
        <f>VLOOKUP(Tabla91116[[#This Row],[CODIGO DEL PRODUCTO]],Tabla797[],2,FALSE)</f>
        <v>#N/A</v>
      </c>
      <c r="T2499" s="37"/>
    </row>
    <row r="2500" spans="15:20" x14ac:dyDescent="0.25">
      <c r="O2500" s="76"/>
      <c r="P2500" s="78"/>
      <c r="Q2500" s="77"/>
      <c r="R2500" s="78"/>
      <c r="S2500" s="36" t="e">
        <f>VLOOKUP(Tabla91116[[#This Row],[CODIGO DEL PRODUCTO]],Tabla797[],2,FALSE)</f>
        <v>#N/A</v>
      </c>
      <c r="T2500" s="37"/>
    </row>
    <row r="2501" spans="15:20" x14ac:dyDescent="0.25">
      <c r="O2501" s="76"/>
      <c r="P2501" s="78"/>
      <c r="Q2501" s="77"/>
      <c r="R2501" s="78"/>
      <c r="S2501" s="36" t="e">
        <f>VLOOKUP(Tabla91116[[#This Row],[CODIGO DEL PRODUCTO]],Tabla797[],2,FALSE)</f>
        <v>#N/A</v>
      </c>
      <c r="T2501" s="37"/>
    </row>
    <row r="2502" spans="15:20" x14ac:dyDescent="0.25">
      <c r="O2502" s="76"/>
      <c r="P2502" s="78"/>
      <c r="Q2502" s="77"/>
      <c r="R2502" s="78"/>
      <c r="S2502" s="36" t="e">
        <f>VLOOKUP(Tabla91116[[#This Row],[CODIGO DEL PRODUCTO]],Tabla797[],2,FALSE)</f>
        <v>#N/A</v>
      </c>
      <c r="T2502" s="37"/>
    </row>
    <row r="2503" spans="15:20" x14ac:dyDescent="0.25">
      <c r="O2503" s="76"/>
      <c r="P2503" s="78"/>
      <c r="Q2503" s="77"/>
      <c r="R2503" s="78"/>
      <c r="S2503" s="36" t="e">
        <f>VLOOKUP(Tabla91116[[#This Row],[CODIGO DEL PRODUCTO]],Tabla797[],2,FALSE)</f>
        <v>#N/A</v>
      </c>
      <c r="T2503" s="37"/>
    </row>
    <row r="2504" spans="15:20" x14ac:dyDescent="0.25">
      <c r="O2504" s="76"/>
      <c r="P2504" s="78"/>
      <c r="Q2504" s="77"/>
      <c r="R2504" s="78"/>
      <c r="S2504" s="36" t="e">
        <f>VLOOKUP(Tabla91116[[#This Row],[CODIGO DEL PRODUCTO]],Tabla797[],2,FALSE)</f>
        <v>#N/A</v>
      </c>
      <c r="T2504" s="37"/>
    </row>
    <row r="2505" spans="15:20" x14ac:dyDescent="0.25">
      <c r="O2505" s="76"/>
      <c r="P2505" s="78"/>
      <c r="Q2505" s="77"/>
      <c r="R2505" s="78"/>
      <c r="S2505" s="36" t="e">
        <f>VLOOKUP(Tabla91116[[#This Row],[CODIGO DEL PRODUCTO]],Tabla797[],2,FALSE)</f>
        <v>#N/A</v>
      </c>
      <c r="T2505" s="37"/>
    </row>
    <row r="2506" spans="15:20" x14ac:dyDescent="0.25">
      <c r="O2506" s="76"/>
      <c r="P2506" s="78"/>
      <c r="Q2506" s="77"/>
      <c r="R2506" s="78"/>
      <c r="S2506" s="36" t="e">
        <f>VLOOKUP(Tabla91116[[#This Row],[CODIGO DEL PRODUCTO]],Tabla797[],2,FALSE)</f>
        <v>#N/A</v>
      </c>
      <c r="T2506" s="37"/>
    </row>
    <row r="2507" spans="15:20" x14ac:dyDescent="0.25">
      <c r="O2507" s="76"/>
      <c r="P2507" s="78"/>
      <c r="Q2507" s="77"/>
      <c r="R2507" s="78"/>
      <c r="S2507" s="36" t="e">
        <f>VLOOKUP(Tabla91116[[#This Row],[CODIGO DEL PRODUCTO]],Tabla797[],2,FALSE)</f>
        <v>#N/A</v>
      </c>
      <c r="T2507" s="37"/>
    </row>
    <row r="2508" spans="15:20" x14ac:dyDescent="0.25">
      <c r="O2508" s="76"/>
      <c r="P2508" s="78"/>
      <c r="Q2508" s="77"/>
      <c r="R2508" s="78"/>
      <c r="S2508" s="36" t="e">
        <f>VLOOKUP(Tabla91116[[#This Row],[CODIGO DEL PRODUCTO]],Tabla797[],2,FALSE)</f>
        <v>#N/A</v>
      </c>
      <c r="T2508" s="37"/>
    </row>
    <row r="2509" spans="15:20" x14ac:dyDescent="0.25">
      <c r="O2509" s="76"/>
      <c r="P2509" s="78"/>
      <c r="Q2509" s="77"/>
      <c r="R2509" s="78"/>
      <c r="S2509" s="36" t="e">
        <f>VLOOKUP(Tabla91116[[#This Row],[CODIGO DEL PRODUCTO]],Tabla797[],2,FALSE)</f>
        <v>#N/A</v>
      </c>
      <c r="T2509" s="37"/>
    </row>
    <row r="2510" spans="15:20" x14ac:dyDescent="0.25">
      <c r="O2510" s="76"/>
      <c r="P2510" s="78"/>
      <c r="Q2510" s="77"/>
      <c r="R2510" s="78"/>
      <c r="S2510" s="36" t="e">
        <f>VLOOKUP(Tabla91116[[#This Row],[CODIGO DEL PRODUCTO]],Tabla797[],2,FALSE)</f>
        <v>#N/A</v>
      </c>
      <c r="T2510" s="37"/>
    </row>
    <row r="2511" spans="15:20" x14ac:dyDescent="0.25">
      <c r="O2511" s="76"/>
      <c r="P2511" s="78"/>
      <c r="Q2511" s="77"/>
      <c r="R2511" s="78"/>
      <c r="S2511" s="36" t="e">
        <f>VLOOKUP(Tabla91116[[#This Row],[CODIGO DEL PRODUCTO]],Tabla797[],2,FALSE)</f>
        <v>#N/A</v>
      </c>
      <c r="T2511" s="37"/>
    </row>
    <row r="2512" spans="15:20" x14ac:dyDescent="0.25">
      <c r="O2512" s="76"/>
      <c r="P2512" s="78"/>
      <c r="Q2512" s="77"/>
      <c r="R2512" s="78"/>
      <c r="S2512" s="36" t="e">
        <f>VLOOKUP(Tabla91116[[#This Row],[CODIGO DEL PRODUCTO]],Tabla797[],2,FALSE)</f>
        <v>#N/A</v>
      </c>
      <c r="T2512" s="37"/>
    </row>
    <row r="2513" spans="15:20" x14ac:dyDescent="0.25">
      <c r="O2513" s="76"/>
      <c r="P2513" s="78"/>
      <c r="Q2513" s="77"/>
      <c r="R2513" s="78"/>
      <c r="S2513" s="36" t="e">
        <f>VLOOKUP(Tabla91116[[#This Row],[CODIGO DEL PRODUCTO]],Tabla797[],2,FALSE)</f>
        <v>#N/A</v>
      </c>
      <c r="T2513" s="37"/>
    </row>
    <row r="2514" spans="15:20" x14ac:dyDescent="0.25">
      <c r="O2514" s="76"/>
      <c r="P2514" s="78"/>
      <c r="Q2514" s="77"/>
      <c r="R2514" s="78"/>
      <c r="S2514" s="36" t="e">
        <f>VLOOKUP(Tabla91116[[#This Row],[CODIGO DEL PRODUCTO]],Tabla797[],2,FALSE)</f>
        <v>#N/A</v>
      </c>
      <c r="T2514" s="37"/>
    </row>
    <row r="2515" spans="15:20" x14ac:dyDescent="0.25">
      <c r="O2515" s="76"/>
      <c r="P2515" s="78"/>
      <c r="Q2515" s="77"/>
      <c r="R2515" s="78"/>
      <c r="S2515" s="36" t="e">
        <f>VLOOKUP(Tabla91116[[#This Row],[CODIGO DEL PRODUCTO]],Tabla797[],2,FALSE)</f>
        <v>#N/A</v>
      </c>
      <c r="T2515" s="37"/>
    </row>
    <row r="2516" spans="15:20" x14ac:dyDescent="0.25">
      <c r="O2516" s="76"/>
      <c r="P2516" s="78"/>
      <c r="Q2516" s="77"/>
      <c r="R2516" s="78"/>
      <c r="S2516" s="36" t="e">
        <f>VLOOKUP(Tabla91116[[#This Row],[CODIGO DEL PRODUCTO]],Tabla797[],2,FALSE)</f>
        <v>#N/A</v>
      </c>
      <c r="T2516" s="37"/>
    </row>
    <row r="2517" spans="15:20" x14ac:dyDescent="0.25">
      <c r="O2517" s="76"/>
      <c r="P2517" s="78"/>
      <c r="Q2517" s="77"/>
      <c r="R2517" s="78"/>
      <c r="S2517" s="36" t="e">
        <f>VLOOKUP(Tabla91116[[#This Row],[CODIGO DEL PRODUCTO]],Tabla797[],2,FALSE)</f>
        <v>#N/A</v>
      </c>
      <c r="T2517" s="37"/>
    </row>
    <row r="2518" spans="15:20" x14ac:dyDescent="0.25">
      <c r="O2518" s="76"/>
      <c r="P2518" s="78"/>
      <c r="Q2518" s="77"/>
      <c r="R2518" s="78"/>
      <c r="S2518" s="36" t="e">
        <f>VLOOKUP(Tabla91116[[#This Row],[CODIGO DEL PRODUCTO]],Tabla797[],2,FALSE)</f>
        <v>#N/A</v>
      </c>
      <c r="T2518" s="37"/>
    </row>
    <row r="2519" spans="15:20" x14ac:dyDescent="0.25">
      <c r="O2519" s="76"/>
      <c r="P2519" s="78"/>
      <c r="Q2519" s="77"/>
      <c r="R2519" s="78"/>
      <c r="S2519" s="36" t="e">
        <f>VLOOKUP(Tabla91116[[#This Row],[CODIGO DEL PRODUCTO]],Tabla797[],2,FALSE)</f>
        <v>#N/A</v>
      </c>
      <c r="T2519" s="37"/>
    </row>
    <row r="2520" spans="15:20" x14ac:dyDescent="0.25">
      <c r="O2520" s="76"/>
      <c r="P2520" s="78"/>
      <c r="Q2520" s="77"/>
      <c r="R2520" s="78"/>
      <c r="S2520" s="36" t="e">
        <f>VLOOKUP(Tabla91116[[#This Row],[CODIGO DEL PRODUCTO]],Tabla797[],2,FALSE)</f>
        <v>#N/A</v>
      </c>
      <c r="T2520" s="37"/>
    </row>
    <row r="2521" spans="15:20" x14ac:dyDescent="0.25">
      <c r="O2521" s="76"/>
      <c r="P2521" s="78"/>
      <c r="Q2521" s="77"/>
      <c r="R2521" s="78"/>
      <c r="S2521" s="36" t="e">
        <f>VLOOKUP(Tabla91116[[#This Row],[CODIGO DEL PRODUCTO]],Tabla797[],2,FALSE)</f>
        <v>#N/A</v>
      </c>
      <c r="T2521" s="37"/>
    </row>
    <row r="2522" spans="15:20" x14ac:dyDescent="0.25">
      <c r="O2522" s="76"/>
      <c r="P2522" s="78"/>
      <c r="Q2522" s="77"/>
      <c r="R2522" s="78"/>
      <c r="S2522" s="36" t="e">
        <f>VLOOKUP(Tabla91116[[#This Row],[CODIGO DEL PRODUCTO]],Tabla797[],2,FALSE)</f>
        <v>#N/A</v>
      </c>
      <c r="T2522" s="37"/>
    </row>
    <row r="2523" spans="15:20" x14ac:dyDescent="0.25">
      <c r="O2523" s="76"/>
      <c r="P2523" s="78"/>
      <c r="Q2523" s="77"/>
      <c r="R2523" s="78"/>
      <c r="S2523" s="36" t="e">
        <f>VLOOKUP(Tabla91116[[#This Row],[CODIGO DEL PRODUCTO]],Tabla797[],2,FALSE)</f>
        <v>#N/A</v>
      </c>
      <c r="T2523" s="37"/>
    </row>
    <row r="2524" spans="15:20" x14ac:dyDescent="0.25">
      <c r="O2524" s="76"/>
      <c r="P2524" s="78"/>
      <c r="Q2524" s="77"/>
      <c r="R2524" s="78"/>
      <c r="S2524" s="36" t="e">
        <f>VLOOKUP(Tabla91116[[#This Row],[CODIGO DEL PRODUCTO]],Tabla797[],2,FALSE)</f>
        <v>#N/A</v>
      </c>
      <c r="T2524" s="37"/>
    </row>
    <row r="2525" spans="15:20" x14ac:dyDescent="0.25">
      <c r="O2525" s="76"/>
      <c r="P2525" s="78"/>
      <c r="Q2525" s="77"/>
      <c r="R2525" s="78"/>
      <c r="S2525" s="36" t="e">
        <f>VLOOKUP(Tabla91116[[#This Row],[CODIGO DEL PRODUCTO]],Tabla797[],2,FALSE)</f>
        <v>#N/A</v>
      </c>
      <c r="T2525" s="37"/>
    </row>
    <row r="2526" spans="15:20" x14ac:dyDescent="0.25">
      <c r="O2526" s="76"/>
      <c r="P2526" s="78"/>
      <c r="Q2526" s="77"/>
      <c r="R2526" s="78"/>
      <c r="S2526" s="36" t="e">
        <f>VLOOKUP(Tabla91116[[#This Row],[CODIGO DEL PRODUCTO]],Tabla797[],2,FALSE)</f>
        <v>#N/A</v>
      </c>
      <c r="T2526" s="37"/>
    </row>
    <row r="2527" spans="15:20" x14ac:dyDescent="0.25">
      <c r="O2527" s="76"/>
      <c r="P2527" s="78"/>
      <c r="Q2527" s="77"/>
      <c r="R2527" s="78"/>
      <c r="S2527" s="36" t="e">
        <f>VLOOKUP(Tabla91116[[#This Row],[CODIGO DEL PRODUCTO]],Tabla797[],2,FALSE)</f>
        <v>#N/A</v>
      </c>
      <c r="T2527" s="37"/>
    </row>
    <row r="2528" spans="15:20" x14ac:dyDescent="0.25">
      <c r="O2528" s="76"/>
      <c r="P2528" s="78"/>
      <c r="Q2528" s="77"/>
      <c r="R2528" s="78"/>
      <c r="S2528" s="36" t="e">
        <f>VLOOKUP(Tabla91116[[#This Row],[CODIGO DEL PRODUCTO]],Tabla797[],2,FALSE)</f>
        <v>#N/A</v>
      </c>
      <c r="T2528" s="37"/>
    </row>
    <row r="2529" spans="15:20" x14ac:dyDescent="0.25">
      <c r="O2529" s="76"/>
      <c r="P2529" s="78"/>
      <c r="Q2529" s="77"/>
      <c r="R2529" s="78"/>
      <c r="S2529" s="36" t="e">
        <f>VLOOKUP(Tabla91116[[#This Row],[CODIGO DEL PRODUCTO]],Tabla797[],2,FALSE)</f>
        <v>#N/A</v>
      </c>
      <c r="T2529" s="37"/>
    </row>
    <row r="2530" spans="15:20" x14ac:dyDescent="0.25">
      <c r="O2530" s="76"/>
      <c r="P2530" s="78"/>
      <c r="Q2530" s="77"/>
      <c r="R2530" s="78"/>
      <c r="S2530" s="36" t="e">
        <f>VLOOKUP(Tabla91116[[#This Row],[CODIGO DEL PRODUCTO]],Tabla797[],2,FALSE)</f>
        <v>#N/A</v>
      </c>
      <c r="T2530" s="37"/>
    </row>
    <row r="2531" spans="15:20" x14ac:dyDescent="0.25">
      <c r="O2531" s="76"/>
      <c r="P2531" s="78"/>
      <c r="Q2531" s="77"/>
      <c r="R2531" s="78"/>
      <c r="S2531" s="36" t="e">
        <f>VLOOKUP(Tabla91116[[#This Row],[CODIGO DEL PRODUCTO]],Tabla797[],2,FALSE)</f>
        <v>#N/A</v>
      </c>
      <c r="T2531" s="37"/>
    </row>
    <row r="2532" spans="15:20" x14ac:dyDescent="0.25">
      <c r="O2532" s="76"/>
      <c r="P2532" s="78"/>
      <c r="Q2532" s="77"/>
      <c r="R2532" s="78"/>
      <c r="S2532" s="36" t="e">
        <f>VLOOKUP(Tabla91116[[#This Row],[CODIGO DEL PRODUCTO]],Tabla797[],2,FALSE)</f>
        <v>#N/A</v>
      </c>
      <c r="T2532" s="37"/>
    </row>
    <row r="2533" spans="15:20" x14ac:dyDescent="0.25">
      <c r="O2533" s="76"/>
      <c r="P2533" s="78"/>
      <c r="Q2533" s="77"/>
      <c r="R2533" s="78"/>
      <c r="S2533" s="36" t="e">
        <f>VLOOKUP(Tabla91116[[#This Row],[CODIGO DEL PRODUCTO]],Tabla797[],2,FALSE)</f>
        <v>#N/A</v>
      </c>
      <c r="T2533" s="37"/>
    </row>
    <row r="2534" spans="15:20" x14ac:dyDescent="0.25">
      <c r="O2534" s="76"/>
      <c r="P2534" s="78"/>
      <c r="Q2534" s="77"/>
      <c r="R2534" s="78"/>
      <c r="S2534" s="36" t="e">
        <f>VLOOKUP(Tabla91116[[#This Row],[CODIGO DEL PRODUCTO]],Tabla797[],2,FALSE)</f>
        <v>#N/A</v>
      </c>
      <c r="T2534" s="37"/>
    </row>
    <row r="2535" spans="15:20" x14ac:dyDescent="0.25">
      <c r="O2535" s="76"/>
      <c r="P2535" s="78"/>
      <c r="Q2535" s="77"/>
      <c r="R2535" s="78"/>
      <c r="S2535" s="36" t="e">
        <f>VLOOKUP(Tabla91116[[#This Row],[CODIGO DEL PRODUCTO]],Tabla797[],2,FALSE)</f>
        <v>#N/A</v>
      </c>
      <c r="T2535" s="37"/>
    </row>
    <row r="2536" spans="15:20" x14ac:dyDescent="0.25">
      <c r="O2536" s="76"/>
      <c r="P2536" s="78"/>
      <c r="Q2536" s="77"/>
      <c r="R2536" s="78"/>
      <c r="S2536" s="36" t="e">
        <f>VLOOKUP(Tabla91116[[#This Row],[CODIGO DEL PRODUCTO]],Tabla797[],2,FALSE)</f>
        <v>#N/A</v>
      </c>
      <c r="T2536" s="37"/>
    </row>
    <row r="2537" spans="15:20" x14ac:dyDescent="0.25">
      <c r="O2537" s="76"/>
      <c r="P2537" s="78"/>
      <c r="Q2537" s="77"/>
      <c r="R2537" s="78"/>
      <c r="S2537" s="36" t="e">
        <f>VLOOKUP(Tabla91116[[#This Row],[CODIGO DEL PRODUCTO]],Tabla797[],2,FALSE)</f>
        <v>#N/A</v>
      </c>
      <c r="T2537" s="37"/>
    </row>
    <row r="2538" spans="15:20" x14ac:dyDescent="0.25">
      <c r="O2538" s="76"/>
      <c r="P2538" s="78"/>
      <c r="Q2538" s="77"/>
      <c r="R2538" s="78"/>
      <c r="S2538" s="36" t="e">
        <f>VLOOKUP(Tabla91116[[#This Row],[CODIGO DEL PRODUCTO]],Tabla797[],2,FALSE)</f>
        <v>#N/A</v>
      </c>
      <c r="T2538" s="37"/>
    </row>
    <row r="2539" spans="15:20" x14ac:dyDescent="0.25">
      <c r="O2539" s="76"/>
      <c r="P2539" s="78"/>
      <c r="Q2539" s="77"/>
      <c r="R2539" s="78"/>
      <c r="S2539" s="36" t="e">
        <f>VLOOKUP(Tabla91116[[#This Row],[CODIGO DEL PRODUCTO]],Tabla797[],2,FALSE)</f>
        <v>#N/A</v>
      </c>
      <c r="T2539" s="37"/>
    </row>
    <row r="2540" spans="15:20" x14ac:dyDescent="0.25">
      <c r="O2540" s="76"/>
      <c r="P2540" s="78"/>
      <c r="Q2540" s="77"/>
      <c r="R2540" s="78"/>
      <c r="S2540" s="36" t="e">
        <f>VLOOKUP(Tabla91116[[#This Row],[CODIGO DEL PRODUCTO]],Tabla797[],2,FALSE)</f>
        <v>#N/A</v>
      </c>
      <c r="T2540" s="37"/>
    </row>
    <row r="2541" spans="15:20" x14ac:dyDescent="0.25">
      <c r="O2541" s="76"/>
      <c r="P2541" s="78"/>
      <c r="Q2541" s="77"/>
      <c r="R2541" s="78"/>
      <c r="S2541" s="36" t="e">
        <f>VLOOKUP(Tabla91116[[#This Row],[CODIGO DEL PRODUCTO]],Tabla797[],2,FALSE)</f>
        <v>#N/A</v>
      </c>
      <c r="T2541" s="37"/>
    </row>
    <row r="2542" spans="15:20" x14ac:dyDescent="0.25">
      <c r="O2542" s="76"/>
      <c r="P2542" s="78"/>
      <c r="Q2542" s="77"/>
      <c r="R2542" s="78"/>
      <c r="S2542" s="36" t="e">
        <f>VLOOKUP(Tabla91116[[#This Row],[CODIGO DEL PRODUCTO]],Tabla797[],2,FALSE)</f>
        <v>#N/A</v>
      </c>
      <c r="T2542" s="37"/>
    </row>
    <row r="2543" spans="15:20" x14ac:dyDescent="0.25">
      <c r="O2543" s="76"/>
      <c r="P2543" s="78"/>
      <c r="Q2543" s="77"/>
      <c r="R2543" s="78"/>
      <c r="S2543" s="36" t="e">
        <f>VLOOKUP(Tabla91116[[#This Row],[CODIGO DEL PRODUCTO]],Tabla797[],2,FALSE)</f>
        <v>#N/A</v>
      </c>
      <c r="T2543" s="37"/>
    </row>
    <row r="2544" spans="15:20" x14ac:dyDescent="0.25">
      <c r="O2544" s="76"/>
      <c r="P2544" s="78"/>
      <c r="Q2544" s="77"/>
      <c r="R2544" s="78"/>
      <c r="S2544" s="36" t="e">
        <f>VLOOKUP(Tabla91116[[#This Row],[CODIGO DEL PRODUCTO]],Tabla797[],2,FALSE)</f>
        <v>#N/A</v>
      </c>
      <c r="T2544" s="37"/>
    </row>
    <row r="2545" spans="15:20" x14ac:dyDescent="0.25">
      <c r="O2545" s="76"/>
      <c r="P2545" s="78"/>
      <c r="Q2545" s="77"/>
      <c r="R2545" s="78"/>
      <c r="S2545" s="36" t="e">
        <f>VLOOKUP(Tabla91116[[#This Row],[CODIGO DEL PRODUCTO]],Tabla797[],2,FALSE)</f>
        <v>#N/A</v>
      </c>
      <c r="T2545" s="37"/>
    </row>
    <row r="2546" spans="15:20" x14ac:dyDescent="0.25">
      <c r="O2546" s="76"/>
      <c r="P2546" s="78"/>
      <c r="Q2546" s="77"/>
      <c r="R2546" s="78"/>
      <c r="S2546" s="36" t="e">
        <f>VLOOKUP(Tabla91116[[#This Row],[CODIGO DEL PRODUCTO]],Tabla797[],2,FALSE)</f>
        <v>#N/A</v>
      </c>
      <c r="T2546" s="37"/>
    </row>
    <row r="2547" spans="15:20" x14ac:dyDescent="0.25">
      <c r="O2547" s="76"/>
      <c r="P2547" s="78"/>
      <c r="Q2547" s="77"/>
      <c r="R2547" s="78"/>
      <c r="S2547" s="36" t="e">
        <f>VLOOKUP(Tabla91116[[#This Row],[CODIGO DEL PRODUCTO]],Tabla797[],2,FALSE)</f>
        <v>#N/A</v>
      </c>
      <c r="T2547" s="37"/>
    </row>
    <row r="2548" spans="15:20" x14ac:dyDescent="0.25">
      <c r="O2548" s="76"/>
      <c r="P2548" s="78"/>
      <c r="Q2548" s="77"/>
      <c r="R2548" s="78"/>
      <c r="S2548" s="36" t="e">
        <f>VLOOKUP(Tabla91116[[#This Row],[CODIGO DEL PRODUCTO]],Tabla797[],2,FALSE)</f>
        <v>#N/A</v>
      </c>
      <c r="T2548" s="37"/>
    </row>
    <row r="2549" spans="15:20" x14ac:dyDescent="0.25">
      <c r="O2549" s="76"/>
      <c r="P2549" s="78"/>
      <c r="Q2549" s="77"/>
      <c r="R2549" s="78"/>
      <c r="S2549" s="36" t="e">
        <f>VLOOKUP(Tabla91116[[#This Row],[CODIGO DEL PRODUCTO]],Tabla797[],2,FALSE)</f>
        <v>#N/A</v>
      </c>
      <c r="T2549" s="37"/>
    </row>
    <row r="2550" spans="15:20" x14ac:dyDescent="0.25">
      <c r="O2550" s="76"/>
      <c r="P2550" s="78"/>
      <c r="Q2550" s="77"/>
      <c r="R2550" s="78"/>
      <c r="S2550" s="36" t="e">
        <f>VLOOKUP(Tabla91116[[#This Row],[CODIGO DEL PRODUCTO]],Tabla797[],2,FALSE)</f>
        <v>#N/A</v>
      </c>
      <c r="T2550" s="37"/>
    </row>
    <row r="2551" spans="15:20" x14ac:dyDescent="0.25">
      <c r="O2551" s="76"/>
      <c r="P2551" s="78"/>
      <c r="Q2551" s="77"/>
      <c r="R2551" s="78"/>
      <c r="S2551" s="36" t="e">
        <f>VLOOKUP(Tabla91116[[#This Row],[CODIGO DEL PRODUCTO]],Tabla797[],2,FALSE)</f>
        <v>#N/A</v>
      </c>
      <c r="T2551" s="37"/>
    </row>
    <row r="2552" spans="15:20" x14ac:dyDescent="0.25">
      <c r="O2552" s="76"/>
      <c r="P2552" s="78"/>
      <c r="Q2552" s="77"/>
      <c r="R2552" s="78"/>
      <c r="S2552" s="36" t="e">
        <f>VLOOKUP(Tabla91116[[#This Row],[CODIGO DEL PRODUCTO]],Tabla797[],2,FALSE)</f>
        <v>#N/A</v>
      </c>
      <c r="T2552" s="37"/>
    </row>
    <row r="2553" spans="15:20" x14ac:dyDescent="0.25">
      <c r="O2553" s="76"/>
      <c r="P2553" s="78"/>
      <c r="Q2553" s="77"/>
      <c r="R2553" s="78"/>
      <c r="S2553" s="36" t="e">
        <f>VLOOKUP(Tabla91116[[#This Row],[CODIGO DEL PRODUCTO]],Tabla797[],2,FALSE)</f>
        <v>#N/A</v>
      </c>
      <c r="T2553" s="37"/>
    </row>
    <row r="2554" spans="15:20" x14ac:dyDescent="0.25">
      <c r="O2554" s="76"/>
      <c r="P2554" s="78"/>
      <c r="Q2554" s="77"/>
      <c r="R2554" s="78"/>
      <c r="S2554" s="36" t="e">
        <f>VLOOKUP(Tabla91116[[#This Row],[CODIGO DEL PRODUCTO]],Tabla797[],2,FALSE)</f>
        <v>#N/A</v>
      </c>
      <c r="T2554" s="37"/>
    </row>
    <row r="2555" spans="15:20" x14ac:dyDescent="0.25">
      <c r="O2555" s="76"/>
      <c r="P2555" s="78"/>
      <c r="Q2555" s="77"/>
      <c r="R2555" s="78"/>
      <c r="S2555" s="36" t="e">
        <f>VLOOKUP(Tabla91116[[#This Row],[CODIGO DEL PRODUCTO]],Tabla797[],2,FALSE)</f>
        <v>#N/A</v>
      </c>
      <c r="T2555" s="37"/>
    </row>
    <row r="2556" spans="15:20" x14ac:dyDescent="0.25">
      <c r="O2556" s="76"/>
      <c r="P2556" s="78"/>
      <c r="Q2556" s="77"/>
      <c r="R2556" s="78"/>
      <c r="S2556" s="36" t="e">
        <f>VLOOKUP(Tabla91116[[#This Row],[CODIGO DEL PRODUCTO]],Tabla797[],2,FALSE)</f>
        <v>#N/A</v>
      </c>
      <c r="T2556" s="37"/>
    </row>
    <row r="2557" spans="15:20" x14ac:dyDescent="0.25">
      <c r="O2557" s="76"/>
      <c r="P2557" s="78"/>
      <c r="Q2557" s="77"/>
      <c r="R2557" s="78"/>
      <c r="S2557" s="36" t="e">
        <f>VLOOKUP(Tabla91116[[#This Row],[CODIGO DEL PRODUCTO]],Tabla797[],2,FALSE)</f>
        <v>#N/A</v>
      </c>
      <c r="T2557" s="37"/>
    </row>
    <row r="2558" spans="15:20" x14ac:dyDescent="0.25">
      <c r="O2558" s="76"/>
      <c r="P2558" s="78"/>
      <c r="Q2558" s="77"/>
      <c r="R2558" s="78"/>
      <c r="S2558" s="36" t="e">
        <f>VLOOKUP(Tabla91116[[#This Row],[CODIGO DEL PRODUCTO]],Tabla797[],2,FALSE)</f>
        <v>#N/A</v>
      </c>
      <c r="T2558" s="37"/>
    </row>
    <row r="2559" spans="15:20" x14ac:dyDescent="0.25">
      <c r="O2559" s="76"/>
      <c r="P2559" s="78"/>
      <c r="Q2559" s="77"/>
      <c r="R2559" s="78"/>
      <c r="S2559" s="36" t="e">
        <f>VLOOKUP(Tabla91116[[#This Row],[CODIGO DEL PRODUCTO]],Tabla797[],2,FALSE)</f>
        <v>#N/A</v>
      </c>
      <c r="T2559" s="37"/>
    </row>
    <row r="2560" spans="15:20" x14ac:dyDescent="0.25">
      <c r="O2560" s="76"/>
      <c r="P2560" s="78"/>
      <c r="Q2560" s="77"/>
      <c r="R2560" s="78"/>
      <c r="S2560" s="36" t="e">
        <f>VLOOKUP(Tabla91116[[#This Row],[CODIGO DEL PRODUCTO]],Tabla797[],2,FALSE)</f>
        <v>#N/A</v>
      </c>
      <c r="T2560" s="37"/>
    </row>
    <row r="2561" spans="15:20" x14ac:dyDescent="0.25">
      <c r="O2561" s="76"/>
      <c r="P2561" s="78"/>
      <c r="Q2561" s="77"/>
      <c r="R2561" s="78"/>
      <c r="S2561" s="36" t="e">
        <f>VLOOKUP(Tabla91116[[#This Row],[CODIGO DEL PRODUCTO]],Tabla797[],2,FALSE)</f>
        <v>#N/A</v>
      </c>
      <c r="T2561" s="37"/>
    </row>
    <row r="2562" spans="15:20" x14ac:dyDescent="0.25">
      <c r="O2562" s="76"/>
      <c r="P2562" s="78"/>
      <c r="Q2562" s="77"/>
      <c r="R2562" s="78"/>
      <c r="S2562" s="36" t="e">
        <f>VLOOKUP(Tabla91116[[#This Row],[CODIGO DEL PRODUCTO]],Tabla797[],2,FALSE)</f>
        <v>#N/A</v>
      </c>
      <c r="T2562" s="37"/>
    </row>
    <row r="2563" spans="15:20" x14ac:dyDescent="0.25">
      <c r="O2563" s="76"/>
      <c r="P2563" s="78"/>
      <c r="Q2563" s="77"/>
      <c r="R2563" s="78"/>
      <c r="S2563" s="36" t="e">
        <f>VLOOKUP(Tabla91116[[#This Row],[CODIGO DEL PRODUCTO]],Tabla797[],2,FALSE)</f>
        <v>#N/A</v>
      </c>
      <c r="T2563" s="37"/>
    </row>
    <row r="2564" spans="15:20" x14ac:dyDescent="0.25">
      <c r="O2564" s="76"/>
      <c r="P2564" s="78"/>
      <c r="Q2564" s="77"/>
      <c r="R2564" s="78"/>
      <c r="S2564" s="36" t="e">
        <f>VLOOKUP(Tabla91116[[#This Row],[CODIGO DEL PRODUCTO]],Tabla797[],2,FALSE)</f>
        <v>#N/A</v>
      </c>
      <c r="T2564" s="37"/>
    </row>
    <row r="2565" spans="15:20" x14ac:dyDescent="0.25">
      <c r="O2565" s="76"/>
      <c r="P2565" s="78"/>
      <c r="Q2565" s="77"/>
      <c r="R2565" s="78"/>
      <c r="S2565" s="36" t="e">
        <f>VLOOKUP(Tabla91116[[#This Row],[CODIGO DEL PRODUCTO]],Tabla797[],2,FALSE)</f>
        <v>#N/A</v>
      </c>
      <c r="T2565" s="37"/>
    </row>
    <row r="2566" spans="15:20" x14ac:dyDescent="0.25">
      <c r="O2566" s="76"/>
      <c r="P2566" s="78"/>
      <c r="Q2566" s="77"/>
      <c r="R2566" s="78"/>
      <c r="S2566" s="36" t="e">
        <f>VLOOKUP(Tabla91116[[#This Row],[CODIGO DEL PRODUCTO]],Tabla797[],2,FALSE)</f>
        <v>#N/A</v>
      </c>
      <c r="T2566" s="37"/>
    </row>
    <row r="2567" spans="15:20" x14ac:dyDescent="0.25">
      <c r="O2567" s="76"/>
      <c r="P2567" s="78"/>
      <c r="Q2567" s="77"/>
      <c r="R2567" s="78"/>
      <c r="S2567" s="36" t="e">
        <f>VLOOKUP(Tabla91116[[#This Row],[CODIGO DEL PRODUCTO]],Tabla797[],2,FALSE)</f>
        <v>#N/A</v>
      </c>
      <c r="T2567" s="37"/>
    </row>
    <row r="2568" spans="15:20" x14ac:dyDescent="0.25">
      <c r="O2568" s="76"/>
      <c r="P2568" s="78"/>
      <c r="Q2568" s="77"/>
      <c r="R2568" s="78"/>
      <c r="S2568" s="36" t="e">
        <f>VLOOKUP(Tabla91116[[#This Row],[CODIGO DEL PRODUCTO]],Tabla797[],2,FALSE)</f>
        <v>#N/A</v>
      </c>
      <c r="T2568" s="37"/>
    </row>
    <row r="2569" spans="15:20" x14ac:dyDescent="0.25">
      <c r="O2569" s="76"/>
      <c r="P2569" s="78"/>
      <c r="Q2569" s="77"/>
      <c r="R2569" s="78"/>
      <c r="S2569" s="36" t="e">
        <f>VLOOKUP(Tabla91116[[#This Row],[CODIGO DEL PRODUCTO]],Tabla797[],2,FALSE)</f>
        <v>#N/A</v>
      </c>
      <c r="T2569" s="37"/>
    </row>
    <row r="2570" spans="15:20" x14ac:dyDescent="0.25">
      <c r="O2570" s="76"/>
      <c r="P2570" s="78"/>
      <c r="Q2570" s="77"/>
      <c r="R2570" s="78"/>
      <c r="S2570" s="36" t="e">
        <f>VLOOKUP(Tabla91116[[#This Row],[CODIGO DEL PRODUCTO]],Tabla797[],2,FALSE)</f>
        <v>#N/A</v>
      </c>
      <c r="T2570" s="37"/>
    </row>
    <row r="2571" spans="15:20" x14ac:dyDescent="0.25">
      <c r="O2571" s="76"/>
      <c r="P2571" s="78"/>
      <c r="Q2571" s="77"/>
      <c r="R2571" s="78"/>
      <c r="S2571" s="36" t="e">
        <f>VLOOKUP(Tabla91116[[#This Row],[CODIGO DEL PRODUCTO]],Tabla797[],2,FALSE)</f>
        <v>#N/A</v>
      </c>
      <c r="T2571" s="37"/>
    </row>
    <row r="2572" spans="15:20" x14ac:dyDescent="0.25">
      <c r="O2572" s="76"/>
      <c r="P2572" s="78"/>
      <c r="Q2572" s="77"/>
      <c r="R2572" s="78"/>
      <c r="S2572" s="36" t="e">
        <f>VLOOKUP(Tabla91116[[#This Row],[CODIGO DEL PRODUCTO]],Tabla797[],2,FALSE)</f>
        <v>#N/A</v>
      </c>
      <c r="T2572" s="37"/>
    </row>
    <row r="2573" spans="15:20" x14ac:dyDescent="0.25">
      <c r="O2573" s="76"/>
      <c r="P2573" s="78"/>
      <c r="Q2573" s="77"/>
      <c r="R2573" s="78"/>
      <c r="S2573" s="36" t="e">
        <f>VLOOKUP(Tabla91116[[#This Row],[CODIGO DEL PRODUCTO]],Tabla797[],2,FALSE)</f>
        <v>#N/A</v>
      </c>
      <c r="T2573" s="37"/>
    </row>
    <row r="2574" spans="15:20" x14ac:dyDescent="0.25">
      <c r="O2574" s="76"/>
      <c r="P2574" s="78"/>
      <c r="Q2574" s="77"/>
      <c r="R2574" s="78"/>
      <c r="S2574" s="36" t="e">
        <f>VLOOKUP(Tabla91116[[#This Row],[CODIGO DEL PRODUCTO]],Tabla797[],2,FALSE)</f>
        <v>#N/A</v>
      </c>
      <c r="T2574" s="37"/>
    </row>
    <row r="2575" spans="15:20" x14ac:dyDescent="0.25">
      <c r="O2575" s="76"/>
      <c r="P2575" s="78"/>
      <c r="Q2575" s="77"/>
      <c r="R2575" s="78"/>
      <c r="S2575" s="36" t="e">
        <f>VLOOKUP(Tabla91116[[#This Row],[CODIGO DEL PRODUCTO]],Tabla797[],2,FALSE)</f>
        <v>#N/A</v>
      </c>
      <c r="T2575" s="37"/>
    </row>
    <row r="2576" spans="15:20" x14ac:dyDescent="0.25">
      <c r="O2576" s="76"/>
      <c r="P2576" s="78"/>
      <c r="Q2576" s="77"/>
      <c r="R2576" s="78"/>
      <c r="S2576" s="36" t="e">
        <f>VLOOKUP(Tabla91116[[#This Row],[CODIGO DEL PRODUCTO]],Tabla797[],2,FALSE)</f>
        <v>#N/A</v>
      </c>
      <c r="T2576" s="37"/>
    </row>
    <row r="2577" spans="15:20" x14ac:dyDescent="0.25">
      <c r="O2577" s="76"/>
      <c r="P2577" s="78"/>
      <c r="Q2577" s="77"/>
      <c r="R2577" s="78"/>
      <c r="S2577" s="36" t="e">
        <f>VLOOKUP(Tabla91116[[#This Row],[CODIGO DEL PRODUCTO]],Tabla797[],2,FALSE)</f>
        <v>#N/A</v>
      </c>
      <c r="T2577" s="37"/>
    </row>
    <row r="2578" spans="15:20" x14ac:dyDescent="0.25">
      <c r="O2578" s="76"/>
      <c r="P2578" s="78"/>
      <c r="Q2578" s="77"/>
      <c r="R2578" s="78"/>
      <c r="S2578" s="36" t="e">
        <f>VLOOKUP(Tabla91116[[#This Row],[CODIGO DEL PRODUCTO]],Tabla797[],2,FALSE)</f>
        <v>#N/A</v>
      </c>
      <c r="T2578" s="37"/>
    </row>
    <row r="2579" spans="15:20" x14ac:dyDescent="0.25">
      <c r="O2579" s="76"/>
      <c r="P2579" s="78"/>
      <c r="Q2579" s="77"/>
      <c r="R2579" s="78"/>
      <c r="S2579" s="36" t="e">
        <f>VLOOKUP(Tabla91116[[#This Row],[CODIGO DEL PRODUCTO]],Tabla797[],2,FALSE)</f>
        <v>#N/A</v>
      </c>
      <c r="T2579" s="37"/>
    </row>
    <row r="2580" spans="15:20" x14ac:dyDescent="0.25">
      <c r="O2580" s="76"/>
      <c r="P2580" s="78"/>
      <c r="Q2580" s="77"/>
      <c r="R2580" s="78"/>
      <c r="S2580" s="36" t="e">
        <f>VLOOKUP(Tabla91116[[#This Row],[CODIGO DEL PRODUCTO]],Tabla797[],2,FALSE)</f>
        <v>#N/A</v>
      </c>
      <c r="T2580" s="37"/>
    </row>
    <row r="2581" spans="15:20" x14ac:dyDescent="0.25">
      <c r="O2581" s="76"/>
      <c r="P2581" s="78"/>
      <c r="Q2581" s="77"/>
      <c r="R2581" s="78"/>
      <c r="S2581" s="36" t="e">
        <f>VLOOKUP(Tabla91116[[#This Row],[CODIGO DEL PRODUCTO]],Tabla797[],2,FALSE)</f>
        <v>#N/A</v>
      </c>
      <c r="T2581" s="37"/>
    </row>
    <row r="2582" spans="15:20" x14ac:dyDescent="0.25">
      <c r="O2582" s="76"/>
      <c r="P2582" s="78"/>
      <c r="Q2582" s="77"/>
      <c r="R2582" s="78"/>
      <c r="S2582" s="36" t="e">
        <f>VLOOKUP(Tabla91116[[#This Row],[CODIGO DEL PRODUCTO]],Tabla797[],2,FALSE)</f>
        <v>#N/A</v>
      </c>
      <c r="T2582" s="37"/>
    </row>
    <row r="2583" spans="15:20" x14ac:dyDescent="0.25">
      <c r="O2583" s="76"/>
      <c r="P2583" s="78"/>
      <c r="Q2583" s="77"/>
      <c r="R2583" s="78"/>
      <c r="S2583" s="36" t="e">
        <f>VLOOKUP(Tabla91116[[#This Row],[CODIGO DEL PRODUCTO]],Tabla797[],2,FALSE)</f>
        <v>#N/A</v>
      </c>
      <c r="T2583" s="37"/>
    </row>
    <row r="2584" spans="15:20" x14ac:dyDescent="0.25">
      <c r="O2584" s="76"/>
      <c r="P2584" s="78"/>
      <c r="Q2584" s="77"/>
      <c r="R2584" s="78"/>
      <c r="S2584" s="36" t="e">
        <f>VLOOKUP(Tabla91116[[#This Row],[CODIGO DEL PRODUCTO]],Tabla797[],2,FALSE)</f>
        <v>#N/A</v>
      </c>
      <c r="T2584" s="37"/>
    </row>
    <row r="2585" spans="15:20" x14ac:dyDescent="0.25">
      <c r="O2585" s="76"/>
      <c r="P2585" s="78"/>
      <c r="Q2585" s="77"/>
      <c r="R2585" s="78"/>
      <c r="S2585" s="36" t="e">
        <f>VLOOKUP(Tabla91116[[#This Row],[CODIGO DEL PRODUCTO]],Tabla797[],2,FALSE)</f>
        <v>#N/A</v>
      </c>
      <c r="T2585" s="37"/>
    </row>
    <row r="2586" spans="15:20" x14ac:dyDescent="0.25">
      <c r="O2586" s="76"/>
      <c r="P2586" s="78"/>
      <c r="Q2586" s="77"/>
      <c r="R2586" s="78"/>
      <c r="S2586" s="36" t="e">
        <f>VLOOKUP(Tabla91116[[#This Row],[CODIGO DEL PRODUCTO]],Tabla797[],2,FALSE)</f>
        <v>#N/A</v>
      </c>
      <c r="T2586" s="37"/>
    </row>
    <row r="2587" spans="15:20" x14ac:dyDescent="0.25">
      <c r="O2587" s="76"/>
      <c r="P2587" s="78"/>
      <c r="Q2587" s="77"/>
      <c r="R2587" s="78"/>
      <c r="S2587" s="36" t="e">
        <f>VLOOKUP(Tabla91116[[#This Row],[CODIGO DEL PRODUCTO]],Tabla797[],2,FALSE)</f>
        <v>#N/A</v>
      </c>
      <c r="T2587" s="37"/>
    </row>
    <row r="2588" spans="15:20" x14ac:dyDescent="0.25">
      <c r="O2588" s="76"/>
      <c r="P2588" s="78"/>
      <c r="Q2588" s="77"/>
      <c r="R2588" s="78"/>
      <c r="S2588" s="36" t="e">
        <f>VLOOKUP(Tabla91116[[#This Row],[CODIGO DEL PRODUCTO]],Tabla797[],2,FALSE)</f>
        <v>#N/A</v>
      </c>
      <c r="T2588" s="37"/>
    </row>
    <row r="2589" spans="15:20" x14ac:dyDescent="0.25">
      <c r="O2589" s="76"/>
      <c r="P2589" s="78"/>
      <c r="Q2589" s="77"/>
      <c r="R2589" s="78"/>
      <c r="S2589" s="36" t="e">
        <f>VLOOKUP(Tabla91116[[#This Row],[CODIGO DEL PRODUCTO]],Tabla797[],2,FALSE)</f>
        <v>#N/A</v>
      </c>
      <c r="T2589" s="37"/>
    </row>
    <row r="2590" spans="15:20" x14ac:dyDescent="0.25">
      <c r="O2590" s="76"/>
      <c r="P2590" s="78"/>
      <c r="Q2590" s="77"/>
      <c r="R2590" s="78"/>
      <c r="S2590" s="36" t="e">
        <f>VLOOKUP(Tabla91116[[#This Row],[CODIGO DEL PRODUCTO]],Tabla797[],2,FALSE)</f>
        <v>#N/A</v>
      </c>
      <c r="T2590" s="37"/>
    </row>
    <row r="2591" spans="15:20" x14ac:dyDescent="0.25">
      <c r="O2591" s="76"/>
      <c r="P2591" s="78"/>
      <c r="Q2591" s="77"/>
      <c r="R2591" s="78"/>
      <c r="S2591" s="36" t="e">
        <f>VLOOKUP(Tabla91116[[#This Row],[CODIGO DEL PRODUCTO]],Tabla797[],2,FALSE)</f>
        <v>#N/A</v>
      </c>
      <c r="T2591" s="37"/>
    </row>
    <row r="2592" spans="15:20" x14ac:dyDescent="0.25">
      <c r="O2592" s="76"/>
      <c r="P2592" s="78"/>
      <c r="Q2592" s="77"/>
      <c r="R2592" s="78"/>
      <c r="S2592" s="36" t="e">
        <f>VLOOKUP(Tabla91116[[#This Row],[CODIGO DEL PRODUCTO]],Tabla797[],2,FALSE)</f>
        <v>#N/A</v>
      </c>
      <c r="T2592" s="37"/>
    </row>
    <row r="2593" spans="15:20" x14ac:dyDescent="0.25">
      <c r="O2593" s="76"/>
      <c r="P2593" s="78"/>
      <c r="Q2593" s="77"/>
      <c r="R2593" s="78"/>
      <c r="S2593" s="36" t="e">
        <f>VLOOKUP(Tabla91116[[#This Row],[CODIGO DEL PRODUCTO]],Tabla797[],2,FALSE)</f>
        <v>#N/A</v>
      </c>
      <c r="T2593" s="37"/>
    </row>
    <row r="2594" spans="15:20" x14ac:dyDescent="0.25">
      <c r="O2594" s="76"/>
      <c r="P2594" s="78"/>
      <c r="Q2594" s="77"/>
      <c r="R2594" s="78"/>
      <c r="S2594" s="36" t="e">
        <f>VLOOKUP(Tabla91116[[#This Row],[CODIGO DEL PRODUCTO]],Tabla797[],2,FALSE)</f>
        <v>#N/A</v>
      </c>
      <c r="T2594" s="37"/>
    </row>
    <row r="2595" spans="15:20" x14ac:dyDescent="0.25">
      <c r="O2595" s="76"/>
      <c r="P2595" s="78"/>
      <c r="Q2595" s="77"/>
      <c r="R2595" s="78"/>
      <c r="S2595" s="36" t="e">
        <f>VLOOKUP(Tabla91116[[#This Row],[CODIGO DEL PRODUCTO]],Tabla797[],2,FALSE)</f>
        <v>#N/A</v>
      </c>
      <c r="T2595" s="37"/>
    </row>
    <row r="2596" spans="15:20" x14ac:dyDescent="0.25">
      <c r="O2596" s="76"/>
      <c r="P2596" s="78"/>
      <c r="Q2596" s="77"/>
      <c r="R2596" s="78"/>
      <c r="S2596" s="36" t="e">
        <f>VLOOKUP(Tabla91116[[#This Row],[CODIGO DEL PRODUCTO]],Tabla797[],2,FALSE)</f>
        <v>#N/A</v>
      </c>
      <c r="T2596" s="37"/>
    </row>
    <row r="2597" spans="15:20" x14ac:dyDescent="0.25">
      <c r="O2597" s="76"/>
      <c r="P2597" s="78"/>
      <c r="Q2597" s="77"/>
      <c r="R2597" s="78"/>
      <c r="S2597" s="36" t="e">
        <f>VLOOKUP(Tabla91116[[#This Row],[CODIGO DEL PRODUCTO]],Tabla797[],2,FALSE)</f>
        <v>#N/A</v>
      </c>
      <c r="T2597" s="37"/>
    </row>
    <row r="2598" spans="15:20" x14ac:dyDescent="0.25">
      <c r="O2598" s="76"/>
      <c r="P2598" s="78"/>
      <c r="Q2598" s="77"/>
      <c r="R2598" s="78"/>
      <c r="S2598" s="36" t="e">
        <f>VLOOKUP(Tabla91116[[#This Row],[CODIGO DEL PRODUCTO]],Tabla797[],2,FALSE)</f>
        <v>#N/A</v>
      </c>
      <c r="T2598" s="37"/>
    </row>
    <row r="2599" spans="15:20" x14ac:dyDescent="0.25">
      <c r="O2599" s="76"/>
      <c r="P2599" s="78"/>
      <c r="Q2599" s="77"/>
      <c r="R2599" s="78"/>
      <c r="S2599" s="36" t="e">
        <f>VLOOKUP(Tabla91116[[#This Row],[CODIGO DEL PRODUCTO]],Tabla797[],2,FALSE)</f>
        <v>#N/A</v>
      </c>
      <c r="T2599" s="37"/>
    </row>
    <row r="2600" spans="15:20" x14ac:dyDescent="0.25">
      <c r="O2600" s="76"/>
      <c r="P2600" s="78"/>
      <c r="Q2600" s="77"/>
      <c r="R2600" s="78"/>
      <c r="S2600" s="36" t="e">
        <f>VLOOKUP(Tabla91116[[#This Row],[CODIGO DEL PRODUCTO]],Tabla797[],2,FALSE)</f>
        <v>#N/A</v>
      </c>
      <c r="T2600" s="37"/>
    </row>
    <row r="2601" spans="15:20" x14ac:dyDescent="0.25">
      <c r="O2601" s="76"/>
      <c r="P2601" s="78"/>
      <c r="Q2601" s="77"/>
      <c r="R2601" s="78"/>
      <c r="S2601" s="36" t="e">
        <f>VLOOKUP(Tabla91116[[#This Row],[CODIGO DEL PRODUCTO]],Tabla797[],2,FALSE)</f>
        <v>#N/A</v>
      </c>
      <c r="T2601" s="37"/>
    </row>
    <row r="2602" spans="15:20" x14ac:dyDescent="0.25">
      <c r="O2602" s="76"/>
      <c r="P2602" s="78"/>
      <c r="Q2602" s="77"/>
      <c r="R2602" s="78"/>
      <c r="S2602" s="36" t="e">
        <f>VLOOKUP(Tabla91116[[#This Row],[CODIGO DEL PRODUCTO]],Tabla797[],2,FALSE)</f>
        <v>#N/A</v>
      </c>
      <c r="T2602" s="37"/>
    </row>
    <row r="2603" spans="15:20" x14ac:dyDescent="0.25">
      <c r="O2603" s="76"/>
      <c r="P2603" s="78"/>
      <c r="Q2603" s="77"/>
      <c r="R2603" s="78"/>
      <c r="S2603" s="36" t="e">
        <f>VLOOKUP(Tabla91116[[#This Row],[CODIGO DEL PRODUCTO]],Tabla797[],2,FALSE)</f>
        <v>#N/A</v>
      </c>
      <c r="T2603" s="37"/>
    </row>
    <row r="2604" spans="15:20" x14ac:dyDescent="0.25">
      <c r="O2604" s="76"/>
      <c r="P2604" s="78"/>
      <c r="Q2604" s="77"/>
      <c r="R2604" s="78"/>
      <c r="S2604" s="36" t="e">
        <f>VLOOKUP(Tabla91116[[#This Row],[CODIGO DEL PRODUCTO]],Tabla797[],2,FALSE)</f>
        <v>#N/A</v>
      </c>
      <c r="T2604" s="37"/>
    </row>
    <row r="2605" spans="15:20" x14ac:dyDescent="0.25">
      <c r="O2605" s="76"/>
      <c r="P2605" s="78"/>
      <c r="Q2605" s="77"/>
      <c r="R2605" s="78"/>
      <c r="S2605" s="36" t="e">
        <f>VLOOKUP(Tabla91116[[#This Row],[CODIGO DEL PRODUCTO]],Tabla797[],2,FALSE)</f>
        <v>#N/A</v>
      </c>
      <c r="T2605" s="37"/>
    </row>
    <row r="2606" spans="15:20" x14ac:dyDescent="0.25">
      <c r="O2606" s="76"/>
      <c r="P2606" s="78"/>
      <c r="Q2606" s="77"/>
      <c r="R2606" s="78"/>
      <c r="S2606" s="36" t="e">
        <f>VLOOKUP(Tabla91116[[#This Row],[CODIGO DEL PRODUCTO]],Tabla797[],2,FALSE)</f>
        <v>#N/A</v>
      </c>
      <c r="T2606" s="37"/>
    </row>
    <row r="2607" spans="15:20" x14ac:dyDescent="0.25">
      <c r="O2607" s="76"/>
      <c r="P2607" s="78"/>
      <c r="Q2607" s="77"/>
      <c r="R2607" s="78"/>
      <c r="S2607" s="36" t="e">
        <f>VLOOKUP(Tabla91116[[#This Row],[CODIGO DEL PRODUCTO]],Tabla797[],2,FALSE)</f>
        <v>#N/A</v>
      </c>
      <c r="T2607" s="37"/>
    </row>
    <row r="2608" spans="15:20" x14ac:dyDescent="0.25">
      <c r="O2608" s="76"/>
      <c r="P2608" s="78"/>
      <c r="Q2608" s="77"/>
      <c r="R2608" s="78"/>
      <c r="S2608" s="36" t="e">
        <f>VLOOKUP(Tabla91116[[#This Row],[CODIGO DEL PRODUCTO]],Tabla797[],2,FALSE)</f>
        <v>#N/A</v>
      </c>
      <c r="T2608" s="37"/>
    </row>
    <row r="2609" spans="15:20" x14ac:dyDescent="0.25">
      <c r="O2609" s="76"/>
      <c r="P2609" s="78"/>
      <c r="Q2609" s="77"/>
      <c r="R2609" s="78"/>
      <c r="S2609" s="36" t="e">
        <f>VLOOKUP(Tabla91116[[#This Row],[CODIGO DEL PRODUCTO]],Tabla797[],2,FALSE)</f>
        <v>#N/A</v>
      </c>
      <c r="T2609" s="37"/>
    </row>
    <row r="2610" spans="15:20" x14ac:dyDescent="0.25">
      <c r="O2610" s="76"/>
      <c r="P2610" s="78"/>
      <c r="Q2610" s="77"/>
      <c r="R2610" s="78"/>
      <c r="S2610" s="36" t="e">
        <f>VLOOKUP(Tabla91116[[#This Row],[CODIGO DEL PRODUCTO]],Tabla797[],2,FALSE)</f>
        <v>#N/A</v>
      </c>
      <c r="T2610" s="37"/>
    </row>
    <row r="2611" spans="15:20" x14ac:dyDescent="0.25">
      <c r="O2611" s="76"/>
      <c r="P2611" s="78"/>
      <c r="Q2611" s="77"/>
      <c r="R2611" s="78"/>
      <c r="S2611" s="36" t="e">
        <f>VLOOKUP(Tabla91116[[#This Row],[CODIGO DEL PRODUCTO]],Tabla797[],2,FALSE)</f>
        <v>#N/A</v>
      </c>
      <c r="T2611" s="37"/>
    </row>
    <row r="2612" spans="15:20" x14ac:dyDescent="0.25">
      <c r="O2612" s="76"/>
      <c r="P2612" s="78"/>
      <c r="Q2612" s="77"/>
      <c r="R2612" s="78"/>
      <c r="S2612" s="36" t="e">
        <f>VLOOKUP(Tabla91116[[#This Row],[CODIGO DEL PRODUCTO]],Tabla797[],2,FALSE)</f>
        <v>#N/A</v>
      </c>
      <c r="T2612" s="37"/>
    </row>
    <row r="2613" spans="15:20" x14ac:dyDescent="0.25">
      <c r="O2613" s="76"/>
      <c r="P2613" s="78"/>
      <c r="Q2613" s="77"/>
      <c r="R2613" s="78"/>
      <c r="S2613" s="36" t="e">
        <f>VLOOKUP(Tabla91116[[#This Row],[CODIGO DEL PRODUCTO]],Tabla797[],2,FALSE)</f>
        <v>#N/A</v>
      </c>
      <c r="T2613" s="37"/>
    </row>
    <row r="2614" spans="15:20" x14ac:dyDescent="0.25">
      <c r="O2614" s="76"/>
      <c r="P2614" s="78"/>
      <c r="Q2614" s="77"/>
      <c r="R2614" s="78"/>
      <c r="S2614" s="36" t="e">
        <f>VLOOKUP(Tabla91116[[#This Row],[CODIGO DEL PRODUCTO]],Tabla797[],2,FALSE)</f>
        <v>#N/A</v>
      </c>
      <c r="T2614" s="37"/>
    </row>
    <row r="2615" spans="15:20" x14ac:dyDescent="0.25">
      <c r="O2615" s="76"/>
      <c r="P2615" s="78"/>
      <c r="Q2615" s="77"/>
      <c r="R2615" s="78"/>
      <c r="S2615" s="36" t="e">
        <f>VLOOKUP(Tabla91116[[#This Row],[CODIGO DEL PRODUCTO]],Tabla797[],2,FALSE)</f>
        <v>#N/A</v>
      </c>
      <c r="T2615" s="37"/>
    </row>
    <row r="2616" spans="15:20" x14ac:dyDescent="0.25">
      <c r="O2616" s="76"/>
      <c r="P2616" s="78"/>
      <c r="Q2616" s="77"/>
      <c r="R2616" s="78"/>
      <c r="S2616" s="36" t="e">
        <f>VLOOKUP(Tabla91116[[#This Row],[CODIGO DEL PRODUCTO]],Tabla797[],2,FALSE)</f>
        <v>#N/A</v>
      </c>
      <c r="T2616" s="37"/>
    </row>
    <row r="2617" spans="15:20" x14ac:dyDescent="0.25">
      <c r="O2617" s="76"/>
      <c r="P2617" s="78"/>
      <c r="Q2617" s="77"/>
      <c r="R2617" s="78"/>
      <c r="S2617" s="36" t="e">
        <f>VLOOKUP(Tabla91116[[#This Row],[CODIGO DEL PRODUCTO]],Tabla797[],2,FALSE)</f>
        <v>#N/A</v>
      </c>
      <c r="T2617" s="37"/>
    </row>
    <row r="2618" spans="15:20" x14ac:dyDescent="0.25">
      <c r="O2618" s="76"/>
      <c r="P2618" s="78"/>
      <c r="Q2618" s="77"/>
      <c r="R2618" s="78"/>
      <c r="S2618" s="36" t="e">
        <f>VLOOKUP(Tabla91116[[#This Row],[CODIGO DEL PRODUCTO]],Tabla797[],2,FALSE)</f>
        <v>#N/A</v>
      </c>
      <c r="T2618" s="37"/>
    </row>
    <row r="2619" spans="15:20" x14ac:dyDescent="0.25">
      <c r="O2619" s="76"/>
      <c r="P2619" s="78"/>
      <c r="Q2619" s="77"/>
      <c r="R2619" s="78"/>
      <c r="S2619" s="36" t="e">
        <f>VLOOKUP(Tabla91116[[#This Row],[CODIGO DEL PRODUCTO]],Tabla797[],2,FALSE)</f>
        <v>#N/A</v>
      </c>
      <c r="T2619" s="37"/>
    </row>
    <row r="2620" spans="15:20" x14ac:dyDescent="0.25">
      <c r="O2620" s="76"/>
      <c r="P2620" s="78"/>
      <c r="Q2620" s="77"/>
      <c r="R2620" s="78"/>
      <c r="S2620" s="36" t="e">
        <f>VLOOKUP(Tabla91116[[#This Row],[CODIGO DEL PRODUCTO]],Tabla797[],2,FALSE)</f>
        <v>#N/A</v>
      </c>
      <c r="T2620" s="37"/>
    </row>
    <row r="2621" spans="15:20" x14ac:dyDescent="0.25">
      <c r="O2621" s="76"/>
      <c r="P2621" s="78"/>
      <c r="Q2621" s="77"/>
      <c r="R2621" s="78"/>
      <c r="S2621" s="36" t="e">
        <f>VLOOKUP(Tabla91116[[#This Row],[CODIGO DEL PRODUCTO]],Tabla797[],2,FALSE)</f>
        <v>#N/A</v>
      </c>
      <c r="T2621" s="37"/>
    </row>
    <row r="2622" spans="15:20" x14ac:dyDescent="0.25">
      <c r="O2622" s="76"/>
      <c r="P2622" s="78"/>
      <c r="Q2622" s="77"/>
      <c r="R2622" s="78"/>
      <c r="S2622" s="36" t="e">
        <f>VLOOKUP(Tabla91116[[#This Row],[CODIGO DEL PRODUCTO]],Tabla797[],2,FALSE)</f>
        <v>#N/A</v>
      </c>
      <c r="T2622" s="37"/>
    </row>
    <row r="2623" spans="15:20" x14ac:dyDescent="0.25">
      <c r="O2623" s="76"/>
      <c r="P2623" s="78"/>
      <c r="Q2623" s="77"/>
      <c r="R2623" s="78"/>
      <c r="S2623" s="36" t="e">
        <f>VLOOKUP(Tabla91116[[#This Row],[CODIGO DEL PRODUCTO]],Tabla797[],2,FALSE)</f>
        <v>#N/A</v>
      </c>
      <c r="T2623" s="37"/>
    </row>
    <row r="2624" spans="15:20" x14ac:dyDescent="0.25">
      <c r="O2624" s="76"/>
      <c r="P2624" s="78"/>
      <c r="Q2624" s="77"/>
      <c r="R2624" s="78"/>
      <c r="S2624" s="36" t="e">
        <f>VLOOKUP(Tabla91116[[#This Row],[CODIGO DEL PRODUCTO]],Tabla797[],2,FALSE)</f>
        <v>#N/A</v>
      </c>
      <c r="T2624" s="37"/>
    </row>
    <row r="2625" spans="15:20" x14ac:dyDescent="0.25">
      <c r="O2625" s="76"/>
      <c r="P2625" s="78"/>
      <c r="Q2625" s="77"/>
      <c r="R2625" s="78"/>
      <c r="S2625" s="36" t="e">
        <f>VLOOKUP(Tabla91116[[#This Row],[CODIGO DEL PRODUCTO]],Tabla797[],2,FALSE)</f>
        <v>#N/A</v>
      </c>
      <c r="T2625" s="37"/>
    </row>
    <row r="2626" spans="15:20" x14ac:dyDescent="0.25">
      <c r="O2626" s="76"/>
      <c r="P2626" s="78"/>
      <c r="Q2626" s="77"/>
      <c r="R2626" s="78"/>
      <c r="S2626" s="36" t="e">
        <f>VLOOKUP(Tabla91116[[#This Row],[CODIGO DEL PRODUCTO]],Tabla797[],2,FALSE)</f>
        <v>#N/A</v>
      </c>
      <c r="T2626" s="37"/>
    </row>
    <row r="2627" spans="15:20" x14ac:dyDescent="0.25">
      <c r="O2627" s="76"/>
      <c r="P2627" s="78"/>
      <c r="Q2627" s="77"/>
      <c r="R2627" s="78"/>
      <c r="S2627" s="36" t="e">
        <f>VLOOKUP(Tabla91116[[#This Row],[CODIGO DEL PRODUCTO]],Tabla797[],2,FALSE)</f>
        <v>#N/A</v>
      </c>
      <c r="T2627" s="37"/>
    </row>
    <row r="2628" spans="15:20" x14ac:dyDescent="0.25">
      <c r="O2628" s="76"/>
      <c r="P2628" s="78"/>
      <c r="Q2628" s="77"/>
      <c r="R2628" s="78"/>
      <c r="S2628" s="36" t="e">
        <f>VLOOKUP(Tabla91116[[#This Row],[CODIGO DEL PRODUCTO]],Tabla797[],2,FALSE)</f>
        <v>#N/A</v>
      </c>
      <c r="T2628" s="37"/>
    </row>
    <row r="2629" spans="15:20" x14ac:dyDescent="0.25">
      <c r="O2629" s="76"/>
      <c r="P2629" s="78"/>
      <c r="Q2629" s="77"/>
      <c r="R2629" s="78"/>
      <c r="S2629" s="36" t="e">
        <f>VLOOKUP(Tabla91116[[#This Row],[CODIGO DEL PRODUCTO]],Tabla797[],2,FALSE)</f>
        <v>#N/A</v>
      </c>
      <c r="T2629" s="37"/>
    </row>
    <row r="2630" spans="15:20" x14ac:dyDescent="0.25">
      <c r="O2630" s="76"/>
      <c r="P2630" s="78"/>
      <c r="Q2630" s="77"/>
      <c r="R2630" s="78"/>
      <c r="S2630" s="36" t="e">
        <f>VLOOKUP(Tabla91116[[#This Row],[CODIGO DEL PRODUCTO]],Tabla797[],2,FALSE)</f>
        <v>#N/A</v>
      </c>
      <c r="T2630" s="37"/>
    </row>
    <row r="2631" spans="15:20" x14ac:dyDescent="0.25">
      <c r="O2631" s="76"/>
      <c r="P2631" s="78"/>
      <c r="Q2631" s="77"/>
      <c r="R2631" s="78"/>
      <c r="S2631" s="36" t="e">
        <f>VLOOKUP(Tabla91116[[#This Row],[CODIGO DEL PRODUCTO]],Tabla797[],2,FALSE)</f>
        <v>#N/A</v>
      </c>
      <c r="T2631" s="37"/>
    </row>
    <row r="2632" spans="15:20" x14ac:dyDescent="0.25">
      <c r="O2632" s="76"/>
      <c r="P2632" s="78"/>
      <c r="Q2632" s="77"/>
      <c r="R2632" s="78"/>
      <c r="S2632" s="36" t="e">
        <f>VLOOKUP(Tabla91116[[#This Row],[CODIGO DEL PRODUCTO]],Tabla797[],2,FALSE)</f>
        <v>#N/A</v>
      </c>
      <c r="T2632" s="37"/>
    </row>
    <row r="2633" spans="15:20" x14ac:dyDescent="0.25">
      <c r="O2633" s="76"/>
      <c r="P2633" s="78"/>
      <c r="Q2633" s="77"/>
      <c r="R2633" s="78"/>
      <c r="S2633" s="36" t="e">
        <f>VLOOKUP(Tabla91116[[#This Row],[CODIGO DEL PRODUCTO]],Tabla797[],2,FALSE)</f>
        <v>#N/A</v>
      </c>
      <c r="T2633" s="37"/>
    </row>
    <row r="2634" spans="15:20" x14ac:dyDescent="0.25">
      <c r="O2634" s="76"/>
      <c r="P2634" s="78"/>
      <c r="Q2634" s="77"/>
      <c r="R2634" s="78"/>
      <c r="S2634" s="36" t="e">
        <f>VLOOKUP(Tabla91116[[#This Row],[CODIGO DEL PRODUCTO]],Tabla797[],2,FALSE)</f>
        <v>#N/A</v>
      </c>
      <c r="T2634" s="37"/>
    </row>
    <row r="2635" spans="15:20" x14ac:dyDescent="0.25">
      <c r="O2635" s="76"/>
      <c r="P2635" s="78"/>
      <c r="Q2635" s="77"/>
      <c r="R2635" s="78"/>
      <c r="S2635" s="36" t="e">
        <f>VLOOKUP(Tabla91116[[#This Row],[CODIGO DEL PRODUCTO]],Tabla797[],2,FALSE)</f>
        <v>#N/A</v>
      </c>
      <c r="T2635" s="37"/>
    </row>
    <row r="2636" spans="15:20" x14ac:dyDescent="0.25">
      <c r="O2636" s="76"/>
      <c r="P2636" s="78"/>
      <c r="Q2636" s="77"/>
      <c r="R2636" s="78"/>
      <c r="S2636" s="36" t="e">
        <f>VLOOKUP(Tabla91116[[#This Row],[CODIGO DEL PRODUCTO]],Tabla797[],2,FALSE)</f>
        <v>#N/A</v>
      </c>
      <c r="T2636" s="37"/>
    </row>
    <row r="2637" spans="15:20" x14ac:dyDescent="0.25">
      <c r="O2637" s="76"/>
      <c r="P2637" s="78"/>
      <c r="Q2637" s="77"/>
      <c r="R2637" s="78"/>
      <c r="S2637" s="36" t="e">
        <f>VLOOKUP(Tabla91116[[#This Row],[CODIGO DEL PRODUCTO]],Tabla797[],2,FALSE)</f>
        <v>#N/A</v>
      </c>
      <c r="T2637" s="37"/>
    </row>
    <row r="2638" spans="15:20" x14ac:dyDescent="0.25">
      <c r="O2638" s="76"/>
      <c r="P2638" s="78"/>
      <c r="Q2638" s="77"/>
      <c r="R2638" s="78"/>
      <c r="S2638" s="36" t="e">
        <f>VLOOKUP(Tabla91116[[#This Row],[CODIGO DEL PRODUCTO]],Tabla797[],2,FALSE)</f>
        <v>#N/A</v>
      </c>
      <c r="T2638" s="37"/>
    </row>
    <row r="2639" spans="15:20" x14ac:dyDescent="0.25">
      <c r="O2639" s="76"/>
      <c r="P2639" s="78"/>
      <c r="Q2639" s="77"/>
      <c r="R2639" s="78"/>
      <c r="S2639" s="36" t="e">
        <f>VLOOKUP(Tabla91116[[#This Row],[CODIGO DEL PRODUCTO]],Tabla797[],2,FALSE)</f>
        <v>#N/A</v>
      </c>
      <c r="T2639" s="37"/>
    </row>
    <row r="2640" spans="15:20" x14ac:dyDescent="0.25">
      <c r="O2640" s="76"/>
      <c r="P2640" s="78"/>
      <c r="Q2640" s="77"/>
      <c r="R2640" s="78"/>
      <c r="S2640" s="36" t="e">
        <f>VLOOKUP(Tabla91116[[#This Row],[CODIGO DEL PRODUCTO]],Tabla797[],2,FALSE)</f>
        <v>#N/A</v>
      </c>
      <c r="T2640" s="37"/>
    </row>
    <row r="2641" spans="15:20" x14ac:dyDescent="0.25">
      <c r="O2641" s="76"/>
      <c r="P2641" s="78"/>
      <c r="Q2641" s="77"/>
      <c r="R2641" s="78"/>
      <c r="S2641" s="36" t="e">
        <f>VLOOKUP(Tabla91116[[#This Row],[CODIGO DEL PRODUCTO]],Tabla797[],2,FALSE)</f>
        <v>#N/A</v>
      </c>
      <c r="T2641" s="37"/>
    </row>
    <row r="2642" spans="15:20" x14ac:dyDescent="0.25">
      <c r="O2642" s="76"/>
      <c r="P2642" s="78"/>
      <c r="Q2642" s="77"/>
      <c r="R2642" s="78"/>
      <c r="S2642" s="36" t="e">
        <f>VLOOKUP(Tabla91116[[#This Row],[CODIGO DEL PRODUCTO]],Tabla797[],2,FALSE)</f>
        <v>#N/A</v>
      </c>
      <c r="T2642" s="37"/>
    </row>
    <row r="2643" spans="15:20" x14ac:dyDescent="0.25">
      <c r="O2643" s="76"/>
      <c r="P2643" s="78"/>
      <c r="Q2643" s="77"/>
      <c r="R2643" s="78"/>
      <c r="S2643" s="36" t="e">
        <f>VLOOKUP(Tabla91116[[#This Row],[CODIGO DEL PRODUCTO]],Tabla797[],2,FALSE)</f>
        <v>#N/A</v>
      </c>
      <c r="T2643" s="37"/>
    </row>
    <row r="2644" spans="15:20" x14ac:dyDescent="0.25">
      <c r="O2644" s="76"/>
      <c r="P2644" s="78"/>
      <c r="Q2644" s="77"/>
      <c r="R2644" s="78"/>
      <c r="S2644" s="36" t="e">
        <f>VLOOKUP(Tabla91116[[#This Row],[CODIGO DEL PRODUCTO]],Tabla797[],2,FALSE)</f>
        <v>#N/A</v>
      </c>
      <c r="T2644" s="37"/>
    </row>
    <row r="2645" spans="15:20" x14ac:dyDescent="0.25">
      <c r="O2645" s="76"/>
      <c r="P2645" s="78"/>
      <c r="Q2645" s="77"/>
      <c r="R2645" s="78"/>
      <c r="S2645" s="36" t="e">
        <f>VLOOKUP(Tabla91116[[#This Row],[CODIGO DEL PRODUCTO]],Tabla797[],2,FALSE)</f>
        <v>#N/A</v>
      </c>
      <c r="T2645" s="37"/>
    </row>
    <row r="2646" spans="15:20" x14ac:dyDescent="0.25">
      <c r="O2646" s="76"/>
      <c r="P2646" s="78"/>
      <c r="Q2646" s="77"/>
      <c r="R2646" s="78"/>
      <c r="S2646" s="36" t="e">
        <f>VLOOKUP(Tabla91116[[#This Row],[CODIGO DEL PRODUCTO]],Tabla797[],2,FALSE)</f>
        <v>#N/A</v>
      </c>
      <c r="T2646" s="37"/>
    </row>
    <row r="2647" spans="15:20" x14ac:dyDescent="0.25">
      <c r="O2647" s="76"/>
      <c r="P2647" s="78"/>
      <c r="Q2647" s="77"/>
      <c r="R2647" s="78"/>
      <c r="S2647" s="36" t="e">
        <f>VLOOKUP(Tabla91116[[#This Row],[CODIGO DEL PRODUCTO]],Tabla797[],2,FALSE)</f>
        <v>#N/A</v>
      </c>
      <c r="T2647" s="37"/>
    </row>
    <row r="2648" spans="15:20" x14ac:dyDescent="0.25">
      <c r="O2648" s="76"/>
      <c r="P2648" s="78"/>
      <c r="Q2648" s="77"/>
      <c r="R2648" s="78"/>
      <c r="S2648" s="36" t="e">
        <f>VLOOKUP(Tabla91116[[#This Row],[CODIGO DEL PRODUCTO]],Tabla797[],2,FALSE)</f>
        <v>#N/A</v>
      </c>
      <c r="T2648" s="37"/>
    </row>
    <row r="2649" spans="15:20" x14ac:dyDescent="0.25">
      <c r="O2649" s="76"/>
      <c r="P2649" s="78"/>
      <c r="Q2649" s="77"/>
      <c r="R2649" s="78"/>
      <c r="S2649" s="36" t="e">
        <f>VLOOKUP(Tabla91116[[#This Row],[CODIGO DEL PRODUCTO]],Tabla797[],2,FALSE)</f>
        <v>#N/A</v>
      </c>
      <c r="T2649" s="37"/>
    </row>
    <row r="2650" spans="15:20" x14ac:dyDescent="0.25">
      <c r="O2650" s="76"/>
      <c r="P2650" s="78"/>
      <c r="Q2650" s="77"/>
      <c r="R2650" s="78"/>
      <c r="S2650" s="36" t="e">
        <f>VLOOKUP(Tabla91116[[#This Row],[CODIGO DEL PRODUCTO]],Tabla797[],2,FALSE)</f>
        <v>#N/A</v>
      </c>
      <c r="T2650" s="37"/>
    </row>
    <row r="2651" spans="15:20" x14ac:dyDescent="0.25">
      <c r="O2651" s="76"/>
      <c r="P2651" s="78"/>
      <c r="Q2651" s="77"/>
      <c r="R2651" s="78"/>
      <c r="S2651" s="36" t="e">
        <f>VLOOKUP(Tabla91116[[#This Row],[CODIGO DEL PRODUCTO]],Tabla797[],2,FALSE)</f>
        <v>#N/A</v>
      </c>
      <c r="T2651" s="37"/>
    </row>
    <row r="2652" spans="15:20" x14ac:dyDescent="0.25">
      <c r="O2652" s="76"/>
      <c r="P2652" s="78"/>
      <c r="Q2652" s="77"/>
      <c r="R2652" s="78"/>
      <c r="S2652" s="36" t="e">
        <f>VLOOKUP(Tabla91116[[#This Row],[CODIGO DEL PRODUCTO]],Tabla797[],2,FALSE)</f>
        <v>#N/A</v>
      </c>
      <c r="T2652" s="37"/>
    </row>
    <row r="2653" spans="15:20" x14ac:dyDescent="0.25">
      <c r="O2653" s="76"/>
      <c r="P2653" s="78"/>
      <c r="Q2653" s="77"/>
      <c r="R2653" s="78"/>
      <c r="S2653" s="36" t="e">
        <f>VLOOKUP(Tabla91116[[#This Row],[CODIGO DEL PRODUCTO]],Tabla797[],2,FALSE)</f>
        <v>#N/A</v>
      </c>
      <c r="T2653" s="37"/>
    </row>
    <row r="2654" spans="15:20" x14ac:dyDescent="0.25">
      <c r="O2654" s="76"/>
      <c r="P2654" s="78"/>
      <c r="Q2654" s="77"/>
      <c r="R2654" s="78"/>
      <c r="S2654" s="36" t="e">
        <f>VLOOKUP(Tabla91116[[#This Row],[CODIGO DEL PRODUCTO]],Tabla797[],2,FALSE)</f>
        <v>#N/A</v>
      </c>
      <c r="T2654" s="37"/>
    </row>
    <row r="2655" spans="15:20" x14ac:dyDescent="0.25">
      <c r="O2655" s="76"/>
      <c r="P2655" s="78"/>
      <c r="Q2655" s="77"/>
      <c r="R2655" s="78"/>
      <c r="S2655" s="36" t="e">
        <f>VLOOKUP(Tabla91116[[#This Row],[CODIGO DEL PRODUCTO]],Tabla797[],2,FALSE)</f>
        <v>#N/A</v>
      </c>
      <c r="T2655" s="37"/>
    </row>
    <row r="2656" spans="15:20" x14ac:dyDescent="0.25">
      <c r="O2656" s="76"/>
      <c r="P2656" s="78"/>
      <c r="Q2656" s="77"/>
      <c r="R2656" s="78"/>
      <c r="S2656" s="36" t="e">
        <f>VLOOKUP(Tabla91116[[#This Row],[CODIGO DEL PRODUCTO]],Tabla797[],2,FALSE)</f>
        <v>#N/A</v>
      </c>
      <c r="T2656" s="37"/>
    </row>
    <row r="2657" spans="15:20" x14ac:dyDescent="0.25">
      <c r="O2657" s="76"/>
      <c r="P2657" s="78"/>
      <c r="Q2657" s="77"/>
      <c r="R2657" s="78"/>
      <c r="S2657" s="36" t="e">
        <f>VLOOKUP(Tabla91116[[#This Row],[CODIGO DEL PRODUCTO]],Tabla797[],2,FALSE)</f>
        <v>#N/A</v>
      </c>
      <c r="T2657" s="37"/>
    </row>
    <row r="2658" spans="15:20" x14ac:dyDescent="0.25">
      <c r="O2658" s="76"/>
      <c r="P2658" s="78"/>
      <c r="Q2658" s="77"/>
      <c r="R2658" s="78"/>
      <c r="S2658" s="36" t="e">
        <f>VLOOKUP(Tabla91116[[#This Row],[CODIGO DEL PRODUCTO]],Tabla797[],2,FALSE)</f>
        <v>#N/A</v>
      </c>
      <c r="T2658" s="37"/>
    </row>
    <row r="2659" spans="15:20" x14ac:dyDescent="0.25">
      <c r="O2659" s="76"/>
      <c r="P2659" s="78"/>
      <c r="Q2659" s="77"/>
      <c r="R2659" s="78"/>
      <c r="S2659" s="36" t="e">
        <f>VLOOKUP(Tabla91116[[#This Row],[CODIGO DEL PRODUCTO]],Tabla797[],2,FALSE)</f>
        <v>#N/A</v>
      </c>
      <c r="T2659" s="37"/>
    </row>
    <row r="2660" spans="15:20" x14ac:dyDescent="0.25">
      <c r="O2660" s="76"/>
      <c r="P2660" s="78"/>
      <c r="Q2660" s="77"/>
      <c r="R2660" s="78"/>
      <c r="S2660" s="36" t="e">
        <f>VLOOKUP(Tabla91116[[#This Row],[CODIGO DEL PRODUCTO]],Tabla797[],2,FALSE)</f>
        <v>#N/A</v>
      </c>
      <c r="T2660" s="37"/>
    </row>
    <row r="2661" spans="15:20" x14ac:dyDescent="0.25">
      <c r="O2661" s="76"/>
      <c r="P2661" s="78"/>
      <c r="Q2661" s="77"/>
      <c r="R2661" s="78"/>
      <c r="S2661" s="36" t="e">
        <f>VLOOKUP(Tabla91116[[#This Row],[CODIGO DEL PRODUCTO]],Tabla797[],2,FALSE)</f>
        <v>#N/A</v>
      </c>
      <c r="T2661" s="37"/>
    </row>
    <row r="2662" spans="15:20" x14ac:dyDescent="0.25">
      <c r="O2662" s="76"/>
      <c r="P2662" s="78"/>
      <c r="Q2662" s="77"/>
      <c r="R2662" s="78"/>
      <c r="S2662" s="36" t="e">
        <f>VLOOKUP(Tabla91116[[#This Row],[CODIGO DEL PRODUCTO]],Tabla797[],2,FALSE)</f>
        <v>#N/A</v>
      </c>
      <c r="T2662" s="37"/>
    </row>
    <row r="2663" spans="15:20" x14ac:dyDescent="0.25">
      <c r="O2663" s="76"/>
      <c r="P2663" s="78"/>
      <c r="Q2663" s="77"/>
      <c r="R2663" s="78"/>
      <c r="S2663" s="36" t="e">
        <f>VLOOKUP(Tabla91116[[#This Row],[CODIGO DEL PRODUCTO]],Tabla797[],2,FALSE)</f>
        <v>#N/A</v>
      </c>
      <c r="T2663" s="37"/>
    </row>
    <row r="2664" spans="15:20" x14ac:dyDescent="0.25">
      <c r="O2664" s="76"/>
      <c r="P2664" s="78"/>
      <c r="Q2664" s="77"/>
      <c r="R2664" s="78"/>
      <c r="S2664" s="36" t="e">
        <f>VLOOKUP(Tabla91116[[#This Row],[CODIGO DEL PRODUCTO]],Tabla797[],2,FALSE)</f>
        <v>#N/A</v>
      </c>
      <c r="T2664" s="37"/>
    </row>
    <row r="2665" spans="15:20" x14ac:dyDescent="0.25">
      <c r="O2665" s="76"/>
      <c r="P2665" s="78"/>
      <c r="Q2665" s="77"/>
      <c r="R2665" s="78"/>
      <c r="S2665" s="36" t="e">
        <f>VLOOKUP(Tabla91116[[#This Row],[CODIGO DEL PRODUCTO]],Tabla797[],2,FALSE)</f>
        <v>#N/A</v>
      </c>
      <c r="T2665" s="37"/>
    </row>
    <row r="2666" spans="15:20" x14ac:dyDescent="0.25">
      <c r="O2666" s="76"/>
      <c r="P2666" s="78"/>
      <c r="Q2666" s="77"/>
      <c r="R2666" s="78"/>
      <c r="S2666" s="36" t="e">
        <f>VLOOKUP(Tabla91116[[#This Row],[CODIGO DEL PRODUCTO]],Tabla797[],2,FALSE)</f>
        <v>#N/A</v>
      </c>
      <c r="T2666" s="37"/>
    </row>
    <row r="2667" spans="15:20" x14ac:dyDescent="0.25">
      <c r="O2667" s="76"/>
      <c r="P2667" s="78"/>
      <c r="Q2667" s="77"/>
      <c r="R2667" s="78"/>
      <c r="S2667" s="36" t="e">
        <f>VLOOKUP(Tabla91116[[#This Row],[CODIGO DEL PRODUCTO]],Tabla797[],2,FALSE)</f>
        <v>#N/A</v>
      </c>
      <c r="T2667" s="37"/>
    </row>
    <row r="2668" spans="15:20" x14ac:dyDescent="0.25">
      <c r="O2668" s="76"/>
      <c r="P2668" s="78"/>
      <c r="Q2668" s="77"/>
      <c r="R2668" s="78"/>
      <c r="S2668" s="36" t="e">
        <f>VLOOKUP(Tabla91116[[#This Row],[CODIGO DEL PRODUCTO]],Tabla797[],2,FALSE)</f>
        <v>#N/A</v>
      </c>
      <c r="T2668" s="37"/>
    </row>
    <row r="2669" spans="15:20" x14ac:dyDescent="0.25">
      <c r="O2669" s="76"/>
      <c r="P2669" s="78"/>
      <c r="Q2669" s="77"/>
      <c r="R2669" s="78"/>
      <c r="S2669" s="36" t="e">
        <f>VLOOKUP(Tabla91116[[#This Row],[CODIGO DEL PRODUCTO]],Tabla797[],2,FALSE)</f>
        <v>#N/A</v>
      </c>
      <c r="T2669" s="37"/>
    </row>
    <row r="2670" spans="15:20" x14ac:dyDescent="0.25">
      <c r="O2670" s="76"/>
      <c r="P2670" s="78"/>
      <c r="Q2670" s="77"/>
      <c r="R2670" s="78"/>
      <c r="S2670" s="36" t="e">
        <f>VLOOKUP(Tabla91116[[#This Row],[CODIGO DEL PRODUCTO]],Tabla797[],2,FALSE)</f>
        <v>#N/A</v>
      </c>
      <c r="T2670" s="37"/>
    </row>
    <row r="2671" spans="15:20" x14ac:dyDescent="0.25">
      <c r="O2671" s="76"/>
      <c r="P2671" s="78"/>
      <c r="Q2671" s="77"/>
      <c r="R2671" s="78"/>
      <c r="S2671" s="36" t="e">
        <f>VLOOKUP(Tabla91116[[#This Row],[CODIGO DEL PRODUCTO]],Tabla797[],2,FALSE)</f>
        <v>#N/A</v>
      </c>
      <c r="T2671" s="37"/>
    </row>
    <row r="2672" spans="15:20" x14ac:dyDescent="0.25">
      <c r="O2672" s="76"/>
      <c r="P2672" s="78"/>
      <c r="Q2672" s="77"/>
      <c r="R2672" s="78"/>
      <c r="S2672" s="36" t="e">
        <f>VLOOKUP(Tabla91116[[#This Row],[CODIGO DEL PRODUCTO]],Tabla797[],2,FALSE)</f>
        <v>#N/A</v>
      </c>
      <c r="T2672" s="37"/>
    </row>
    <row r="2673" spans="15:20" x14ac:dyDescent="0.25">
      <c r="O2673" s="76"/>
      <c r="P2673" s="78"/>
      <c r="Q2673" s="77"/>
      <c r="R2673" s="78"/>
      <c r="S2673" s="36" t="e">
        <f>VLOOKUP(Tabla91116[[#This Row],[CODIGO DEL PRODUCTO]],Tabla797[],2,FALSE)</f>
        <v>#N/A</v>
      </c>
      <c r="T2673" s="37"/>
    </row>
    <row r="2674" spans="15:20" x14ac:dyDescent="0.25">
      <c r="O2674" s="76"/>
      <c r="P2674" s="78"/>
      <c r="Q2674" s="77"/>
      <c r="R2674" s="78"/>
      <c r="S2674" s="36" t="e">
        <f>VLOOKUP(Tabla91116[[#This Row],[CODIGO DEL PRODUCTO]],Tabla797[],2,FALSE)</f>
        <v>#N/A</v>
      </c>
      <c r="T2674" s="37"/>
    </row>
    <row r="2675" spans="15:20" x14ac:dyDescent="0.25">
      <c r="O2675" s="76"/>
      <c r="P2675" s="78"/>
      <c r="Q2675" s="77"/>
      <c r="R2675" s="78"/>
      <c r="S2675" s="36" t="e">
        <f>VLOOKUP(Tabla91116[[#This Row],[CODIGO DEL PRODUCTO]],Tabla797[],2,FALSE)</f>
        <v>#N/A</v>
      </c>
      <c r="T2675" s="37"/>
    </row>
    <row r="2676" spans="15:20" x14ac:dyDescent="0.25">
      <c r="O2676" s="76"/>
      <c r="P2676" s="78"/>
      <c r="Q2676" s="77"/>
      <c r="R2676" s="78"/>
      <c r="S2676" s="36" t="e">
        <f>VLOOKUP(Tabla91116[[#This Row],[CODIGO DEL PRODUCTO]],Tabla797[],2,FALSE)</f>
        <v>#N/A</v>
      </c>
      <c r="T2676" s="37"/>
    </row>
    <row r="2677" spans="15:20" x14ac:dyDescent="0.25">
      <c r="O2677" s="76"/>
      <c r="P2677" s="78"/>
      <c r="Q2677" s="77"/>
      <c r="R2677" s="78"/>
      <c r="S2677" s="36" t="e">
        <f>VLOOKUP(Tabla91116[[#This Row],[CODIGO DEL PRODUCTO]],Tabla797[],2,FALSE)</f>
        <v>#N/A</v>
      </c>
      <c r="T2677" s="37"/>
    </row>
    <row r="2678" spans="15:20" x14ac:dyDescent="0.25">
      <c r="O2678" s="76"/>
      <c r="P2678" s="78"/>
      <c r="Q2678" s="77"/>
      <c r="R2678" s="78"/>
      <c r="S2678" s="36" t="e">
        <f>VLOOKUP(Tabla91116[[#This Row],[CODIGO DEL PRODUCTO]],Tabla797[],2,FALSE)</f>
        <v>#N/A</v>
      </c>
      <c r="T2678" s="37"/>
    </row>
    <row r="2679" spans="15:20" x14ac:dyDescent="0.25">
      <c r="O2679" s="76"/>
      <c r="P2679" s="78"/>
      <c r="Q2679" s="77"/>
      <c r="R2679" s="78"/>
      <c r="S2679" s="36" t="e">
        <f>VLOOKUP(Tabla91116[[#This Row],[CODIGO DEL PRODUCTO]],Tabla797[],2,FALSE)</f>
        <v>#N/A</v>
      </c>
      <c r="T2679" s="37"/>
    </row>
    <row r="2680" spans="15:20" x14ac:dyDescent="0.25">
      <c r="O2680" s="76"/>
      <c r="P2680" s="78"/>
      <c r="Q2680" s="77"/>
      <c r="R2680" s="78"/>
      <c r="S2680" s="36" t="e">
        <f>VLOOKUP(Tabla91116[[#This Row],[CODIGO DEL PRODUCTO]],Tabla797[],2,FALSE)</f>
        <v>#N/A</v>
      </c>
      <c r="T2680" s="37"/>
    </row>
    <row r="2681" spans="15:20" x14ac:dyDescent="0.25">
      <c r="O2681" s="76"/>
      <c r="P2681" s="78"/>
      <c r="Q2681" s="77"/>
      <c r="R2681" s="78"/>
      <c r="S2681" s="36" t="e">
        <f>VLOOKUP(Tabla91116[[#This Row],[CODIGO DEL PRODUCTO]],Tabla797[],2,FALSE)</f>
        <v>#N/A</v>
      </c>
      <c r="T2681" s="37"/>
    </row>
    <row r="2682" spans="15:20" x14ac:dyDescent="0.25">
      <c r="O2682" s="76"/>
      <c r="P2682" s="78"/>
      <c r="Q2682" s="77"/>
      <c r="R2682" s="78"/>
      <c r="S2682" s="36" t="e">
        <f>VLOOKUP(Tabla91116[[#This Row],[CODIGO DEL PRODUCTO]],Tabla797[],2,FALSE)</f>
        <v>#N/A</v>
      </c>
      <c r="T2682" s="37"/>
    </row>
    <row r="2683" spans="15:20" x14ac:dyDescent="0.25">
      <c r="O2683" s="76"/>
      <c r="P2683" s="78"/>
      <c r="Q2683" s="77"/>
      <c r="R2683" s="78"/>
      <c r="S2683" s="36" t="e">
        <f>VLOOKUP(Tabla91116[[#This Row],[CODIGO DEL PRODUCTO]],Tabla797[],2,FALSE)</f>
        <v>#N/A</v>
      </c>
      <c r="T2683" s="37"/>
    </row>
    <row r="2684" spans="15:20" x14ac:dyDescent="0.25">
      <c r="O2684" s="76"/>
      <c r="P2684" s="78"/>
      <c r="Q2684" s="77"/>
      <c r="R2684" s="78"/>
      <c r="S2684" s="36" t="e">
        <f>VLOOKUP(Tabla91116[[#This Row],[CODIGO DEL PRODUCTO]],Tabla797[],2,FALSE)</f>
        <v>#N/A</v>
      </c>
      <c r="T2684" s="37"/>
    </row>
    <row r="2685" spans="15:20" x14ac:dyDescent="0.25">
      <c r="O2685" s="76"/>
      <c r="P2685" s="78"/>
      <c r="Q2685" s="77"/>
      <c r="R2685" s="78"/>
      <c r="S2685" s="36" t="e">
        <f>VLOOKUP(Tabla91116[[#This Row],[CODIGO DEL PRODUCTO]],Tabla797[],2,FALSE)</f>
        <v>#N/A</v>
      </c>
      <c r="T2685" s="37"/>
    </row>
    <row r="2686" spans="15:20" x14ac:dyDescent="0.25">
      <c r="O2686" s="76"/>
      <c r="P2686" s="78"/>
      <c r="Q2686" s="77"/>
      <c r="R2686" s="78"/>
      <c r="S2686" s="36" t="e">
        <f>VLOOKUP(Tabla91116[[#This Row],[CODIGO DEL PRODUCTO]],Tabla797[],2,FALSE)</f>
        <v>#N/A</v>
      </c>
      <c r="T2686" s="37"/>
    </row>
    <row r="2687" spans="15:20" x14ac:dyDescent="0.25">
      <c r="O2687" s="76"/>
      <c r="P2687" s="78"/>
      <c r="Q2687" s="77"/>
      <c r="R2687" s="78"/>
      <c r="S2687" s="36" t="e">
        <f>VLOOKUP(Tabla91116[[#This Row],[CODIGO DEL PRODUCTO]],Tabla797[],2,FALSE)</f>
        <v>#N/A</v>
      </c>
      <c r="T2687" s="37"/>
    </row>
    <row r="2688" spans="15:20" x14ac:dyDescent="0.25">
      <c r="O2688" s="76"/>
      <c r="P2688" s="78"/>
      <c r="Q2688" s="77"/>
      <c r="R2688" s="78"/>
      <c r="S2688" s="36" t="e">
        <f>VLOOKUP(Tabla91116[[#This Row],[CODIGO DEL PRODUCTO]],Tabla797[],2,FALSE)</f>
        <v>#N/A</v>
      </c>
      <c r="T2688" s="37"/>
    </row>
    <row r="2689" spans="15:20" x14ac:dyDescent="0.25">
      <c r="O2689" s="76"/>
      <c r="P2689" s="78"/>
      <c r="Q2689" s="77"/>
      <c r="R2689" s="78"/>
      <c r="S2689" s="36" t="e">
        <f>VLOOKUP(Tabla91116[[#This Row],[CODIGO DEL PRODUCTO]],Tabla797[],2,FALSE)</f>
        <v>#N/A</v>
      </c>
      <c r="T2689" s="37"/>
    </row>
    <row r="2690" spans="15:20" x14ac:dyDescent="0.25">
      <c r="O2690" s="76"/>
      <c r="P2690" s="78"/>
      <c r="Q2690" s="77"/>
      <c r="R2690" s="78"/>
      <c r="S2690" s="36" t="e">
        <f>VLOOKUP(Tabla91116[[#This Row],[CODIGO DEL PRODUCTO]],Tabla797[],2,FALSE)</f>
        <v>#N/A</v>
      </c>
      <c r="T2690" s="37"/>
    </row>
    <row r="2691" spans="15:20" x14ac:dyDescent="0.25">
      <c r="O2691" s="76"/>
      <c r="P2691" s="78"/>
      <c r="Q2691" s="77"/>
      <c r="R2691" s="78"/>
      <c r="S2691" s="36" t="e">
        <f>VLOOKUP(Tabla91116[[#This Row],[CODIGO DEL PRODUCTO]],Tabla797[],2,FALSE)</f>
        <v>#N/A</v>
      </c>
      <c r="T2691" s="37"/>
    </row>
    <row r="2692" spans="15:20" x14ac:dyDescent="0.25">
      <c r="O2692" s="76"/>
      <c r="P2692" s="78"/>
      <c r="Q2692" s="77"/>
      <c r="R2692" s="78"/>
      <c r="S2692" s="36" t="e">
        <f>VLOOKUP(Tabla91116[[#This Row],[CODIGO DEL PRODUCTO]],Tabla797[],2,FALSE)</f>
        <v>#N/A</v>
      </c>
      <c r="T2692" s="37"/>
    </row>
    <row r="2693" spans="15:20" x14ac:dyDescent="0.25">
      <c r="O2693" s="76"/>
      <c r="P2693" s="78"/>
      <c r="Q2693" s="77"/>
      <c r="R2693" s="78"/>
      <c r="S2693" s="36" t="e">
        <f>VLOOKUP(Tabla91116[[#This Row],[CODIGO DEL PRODUCTO]],Tabla797[],2,FALSE)</f>
        <v>#N/A</v>
      </c>
      <c r="T2693" s="37"/>
    </row>
    <row r="2694" spans="15:20" x14ac:dyDescent="0.25">
      <c r="O2694" s="76"/>
      <c r="P2694" s="78"/>
      <c r="Q2694" s="77"/>
      <c r="R2694" s="78"/>
      <c r="S2694" s="36" t="e">
        <f>VLOOKUP(Tabla91116[[#This Row],[CODIGO DEL PRODUCTO]],Tabla797[],2,FALSE)</f>
        <v>#N/A</v>
      </c>
      <c r="T2694" s="37"/>
    </row>
    <row r="2695" spans="15:20" x14ac:dyDescent="0.25">
      <c r="O2695" s="76"/>
      <c r="P2695" s="78"/>
      <c r="Q2695" s="77"/>
      <c r="R2695" s="78"/>
      <c r="S2695" s="36" t="e">
        <f>VLOOKUP(Tabla91116[[#This Row],[CODIGO DEL PRODUCTO]],Tabla797[],2,FALSE)</f>
        <v>#N/A</v>
      </c>
      <c r="T2695" s="37"/>
    </row>
    <row r="2696" spans="15:20" x14ac:dyDescent="0.25">
      <c r="O2696" s="76"/>
      <c r="P2696" s="78"/>
      <c r="Q2696" s="77"/>
      <c r="R2696" s="78"/>
      <c r="S2696" s="36" t="e">
        <f>VLOOKUP(Tabla91116[[#This Row],[CODIGO DEL PRODUCTO]],Tabla797[],2,FALSE)</f>
        <v>#N/A</v>
      </c>
      <c r="T2696" s="37"/>
    </row>
    <row r="2697" spans="15:20" x14ac:dyDescent="0.25">
      <c r="O2697" s="76"/>
      <c r="P2697" s="78"/>
      <c r="Q2697" s="77"/>
      <c r="R2697" s="78"/>
      <c r="S2697" s="36" t="e">
        <f>VLOOKUP(Tabla91116[[#This Row],[CODIGO DEL PRODUCTO]],Tabla797[],2,FALSE)</f>
        <v>#N/A</v>
      </c>
      <c r="T2697" s="37"/>
    </row>
    <row r="2698" spans="15:20" x14ac:dyDescent="0.25">
      <c r="O2698" s="76"/>
      <c r="P2698" s="78"/>
      <c r="Q2698" s="77"/>
      <c r="R2698" s="78"/>
      <c r="S2698" s="36" t="e">
        <f>VLOOKUP(Tabla91116[[#This Row],[CODIGO DEL PRODUCTO]],Tabla797[],2,FALSE)</f>
        <v>#N/A</v>
      </c>
      <c r="T2698" s="37"/>
    </row>
    <row r="2699" spans="15:20" x14ac:dyDescent="0.25">
      <c r="O2699" s="76"/>
      <c r="P2699" s="78"/>
      <c r="Q2699" s="77"/>
      <c r="R2699" s="78"/>
      <c r="S2699" s="36" t="e">
        <f>VLOOKUP(Tabla91116[[#This Row],[CODIGO DEL PRODUCTO]],Tabla797[],2,FALSE)</f>
        <v>#N/A</v>
      </c>
      <c r="T2699" s="37"/>
    </row>
    <row r="2700" spans="15:20" x14ac:dyDescent="0.25">
      <c r="O2700" s="76"/>
      <c r="P2700" s="78"/>
      <c r="Q2700" s="77"/>
      <c r="R2700" s="78"/>
      <c r="S2700" s="36" t="e">
        <f>VLOOKUP(Tabla91116[[#This Row],[CODIGO DEL PRODUCTO]],Tabla797[],2,FALSE)</f>
        <v>#N/A</v>
      </c>
      <c r="T2700" s="37"/>
    </row>
    <row r="2701" spans="15:20" x14ac:dyDescent="0.25">
      <c r="O2701" s="76"/>
      <c r="P2701" s="78"/>
      <c r="Q2701" s="77"/>
      <c r="R2701" s="78"/>
      <c r="S2701" s="36" t="e">
        <f>VLOOKUP(Tabla91116[[#This Row],[CODIGO DEL PRODUCTO]],Tabla797[],2,FALSE)</f>
        <v>#N/A</v>
      </c>
      <c r="T2701" s="37"/>
    </row>
    <row r="2702" spans="15:20" x14ac:dyDescent="0.25">
      <c r="O2702" s="76"/>
      <c r="P2702" s="78"/>
      <c r="Q2702" s="77"/>
      <c r="R2702" s="78"/>
      <c r="S2702" s="36" t="e">
        <f>VLOOKUP(Tabla91116[[#This Row],[CODIGO DEL PRODUCTO]],Tabla797[],2,FALSE)</f>
        <v>#N/A</v>
      </c>
      <c r="T2702" s="37"/>
    </row>
    <row r="2703" spans="15:20" x14ac:dyDescent="0.25">
      <c r="O2703" s="76"/>
      <c r="P2703" s="78"/>
      <c r="Q2703" s="77"/>
      <c r="R2703" s="78"/>
      <c r="S2703" s="36" t="e">
        <f>VLOOKUP(Tabla91116[[#This Row],[CODIGO DEL PRODUCTO]],Tabla797[],2,FALSE)</f>
        <v>#N/A</v>
      </c>
      <c r="T2703" s="37"/>
    </row>
    <row r="2704" spans="15:20" x14ac:dyDescent="0.25">
      <c r="O2704" s="76"/>
      <c r="P2704" s="78"/>
      <c r="Q2704" s="77"/>
      <c r="R2704" s="78"/>
      <c r="S2704" s="36" t="e">
        <f>VLOOKUP(Tabla91116[[#This Row],[CODIGO DEL PRODUCTO]],Tabla797[],2,FALSE)</f>
        <v>#N/A</v>
      </c>
      <c r="T2704" s="37"/>
    </row>
    <row r="2705" spans="15:20" x14ac:dyDescent="0.25">
      <c r="O2705" s="76"/>
      <c r="P2705" s="78"/>
      <c r="Q2705" s="77"/>
      <c r="R2705" s="78"/>
      <c r="S2705" s="36" t="e">
        <f>VLOOKUP(Tabla91116[[#This Row],[CODIGO DEL PRODUCTO]],Tabla797[],2,FALSE)</f>
        <v>#N/A</v>
      </c>
      <c r="T2705" s="37"/>
    </row>
    <row r="2706" spans="15:20" x14ac:dyDescent="0.25">
      <c r="O2706" s="76"/>
      <c r="P2706" s="78"/>
      <c r="Q2706" s="77"/>
      <c r="R2706" s="78"/>
      <c r="S2706" s="36" t="e">
        <f>VLOOKUP(Tabla91116[[#This Row],[CODIGO DEL PRODUCTO]],Tabla797[],2,FALSE)</f>
        <v>#N/A</v>
      </c>
      <c r="T2706" s="37"/>
    </row>
    <row r="2707" spans="15:20" x14ac:dyDescent="0.25">
      <c r="O2707" s="76"/>
      <c r="P2707" s="78"/>
      <c r="Q2707" s="77"/>
      <c r="R2707" s="78"/>
      <c r="S2707" s="36" t="e">
        <f>VLOOKUP(Tabla91116[[#This Row],[CODIGO DEL PRODUCTO]],Tabla797[],2,FALSE)</f>
        <v>#N/A</v>
      </c>
      <c r="T2707" s="37"/>
    </row>
    <row r="2708" spans="15:20" x14ac:dyDescent="0.25">
      <c r="O2708" s="76"/>
      <c r="P2708" s="78"/>
      <c r="Q2708" s="77"/>
      <c r="R2708" s="78"/>
      <c r="S2708" s="36" t="e">
        <f>VLOOKUP(Tabla91116[[#This Row],[CODIGO DEL PRODUCTO]],Tabla797[],2,FALSE)</f>
        <v>#N/A</v>
      </c>
      <c r="T2708" s="37"/>
    </row>
    <row r="2709" spans="15:20" x14ac:dyDescent="0.25">
      <c r="O2709" s="76"/>
      <c r="P2709" s="78"/>
      <c r="Q2709" s="77"/>
      <c r="R2709" s="78"/>
      <c r="S2709" s="36" t="e">
        <f>VLOOKUP(Tabla91116[[#This Row],[CODIGO DEL PRODUCTO]],Tabla797[],2,FALSE)</f>
        <v>#N/A</v>
      </c>
      <c r="T2709" s="37"/>
    </row>
    <row r="2710" spans="15:20" x14ac:dyDescent="0.25">
      <c r="O2710" s="76"/>
      <c r="P2710" s="78"/>
      <c r="Q2710" s="77"/>
      <c r="R2710" s="78"/>
      <c r="S2710" s="36" t="e">
        <f>VLOOKUP(Tabla91116[[#This Row],[CODIGO DEL PRODUCTO]],Tabla797[],2,FALSE)</f>
        <v>#N/A</v>
      </c>
      <c r="T2710" s="37"/>
    </row>
    <row r="2711" spans="15:20" x14ac:dyDescent="0.25">
      <c r="O2711" s="76"/>
      <c r="P2711" s="78"/>
      <c r="Q2711" s="77"/>
      <c r="R2711" s="78"/>
      <c r="S2711" s="36" t="e">
        <f>VLOOKUP(Tabla91116[[#This Row],[CODIGO DEL PRODUCTO]],Tabla797[],2,FALSE)</f>
        <v>#N/A</v>
      </c>
      <c r="T2711" s="37"/>
    </row>
    <row r="2712" spans="15:20" x14ac:dyDescent="0.25">
      <c r="O2712" s="76"/>
      <c r="P2712" s="78"/>
      <c r="Q2712" s="77"/>
      <c r="R2712" s="78"/>
      <c r="S2712" s="36" t="e">
        <f>VLOOKUP(Tabla91116[[#This Row],[CODIGO DEL PRODUCTO]],Tabla797[],2,FALSE)</f>
        <v>#N/A</v>
      </c>
      <c r="T2712" s="37"/>
    </row>
    <row r="2713" spans="15:20" x14ac:dyDescent="0.25">
      <c r="O2713" s="76"/>
      <c r="P2713" s="78"/>
      <c r="Q2713" s="77"/>
      <c r="R2713" s="78"/>
      <c r="S2713" s="36" t="e">
        <f>VLOOKUP(Tabla91116[[#This Row],[CODIGO DEL PRODUCTO]],Tabla797[],2,FALSE)</f>
        <v>#N/A</v>
      </c>
      <c r="T2713" s="37"/>
    </row>
    <row r="2714" spans="15:20" x14ac:dyDescent="0.25">
      <c r="O2714" s="76"/>
      <c r="P2714" s="78"/>
      <c r="Q2714" s="77"/>
      <c r="R2714" s="78"/>
      <c r="S2714" s="36" t="e">
        <f>VLOOKUP(Tabla91116[[#This Row],[CODIGO DEL PRODUCTO]],Tabla797[],2,FALSE)</f>
        <v>#N/A</v>
      </c>
      <c r="T2714" s="37"/>
    </row>
    <row r="2715" spans="15:20" x14ac:dyDescent="0.25">
      <c r="O2715" s="76"/>
      <c r="P2715" s="78"/>
      <c r="Q2715" s="77"/>
      <c r="R2715" s="78"/>
      <c r="S2715" s="36" t="e">
        <f>VLOOKUP(Tabla91116[[#This Row],[CODIGO DEL PRODUCTO]],Tabla797[],2,FALSE)</f>
        <v>#N/A</v>
      </c>
      <c r="T2715" s="37"/>
    </row>
    <row r="2716" spans="15:20" x14ac:dyDescent="0.25">
      <c r="O2716" s="76"/>
      <c r="P2716" s="78"/>
      <c r="Q2716" s="77"/>
      <c r="R2716" s="78"/>
      <c r="S2716" s="36" t="e">
        <f>VLOOKUP(Tabla91116[[#This Row],[CODIGO DEL PRODUCTO]],Tabla797[],2,FALSE)</f>
        <v>#N/A</v>
      </c>
      <c r="T2716" s="37"/>
    </row>
    <row r="2717" spans="15:20" x14ac:dyDescent="0.25">
      <c r="O2717" s="76"/>
      <c r="P2717" s="78"/>
      <c r="Q2717" s="77"/>
      <c r="R2717" s="78"/>
      <c r="S2717" s="36" t="e">
        <f>VLOOKUP(Tabla91116[[#This Row],[CODIGO DEL PRODUCTO]],Tabla797[],2,FALSE)</f>
        <v>#N/A</v>
      </c>
      <c r="T2717" s="37"/>
    </row>
    <row r="2718" spans="15:20" x14ac:dyDescent="0.25">
      <c r="O2718" s="76"/>
      <c r="P2718" s="78"/>
      <c r="Q2718" s="77"/>
      <c r="R2718" s="78"/>
      <c r="S2718" s="36" t="e">
        <f>VLOOKUP(Tabla91116[[#This Row],[CODIGO DEL PRODUCTO]],Tabla797[],2,FALSE)</f>
        <v>#N/A</v>
      </c>
      <c r="T2718" s="37"/>
    </row>
    <row r="2719" spans="15:20" x14ac:dyDescent="0.25">
      <c r="O2719" s="76"/>
      <c r="P2719" s="78"/>
      <c r="Q2719" s="77"/>
      <c r="R2719" s="78"/>
      <c r="S2719" s="36" t="e">
        <f>VLOOKUP(Tabla91116[[#This Row],[CODIGO DEL PRODUCTO]],Tabla797[],2,FALSE)</f>
        <v>#N/A</v>
      </c>
      <c r="T2719" s="37"/>
    </row>
    <row r="2720" spans="15:20" x14ac:dyDescent="0.25">
      <c r="O2720" s="76"/>
      <c r="P2720" s="78"/>
      <c r="Q2720" s="77"/>
      <c r="R2720" s="78"/>
      <c r="S2720" s="36" t="e">
        <f>VLOOKUP(Tabla91116[[#This Row],[CODIGO DEL PRODUCTO]],Tabla797[],2,FALSE)</f>
        <v>#N/A</v>
      </c>
      <c r="T2720" s="37"/>
    </row>
    <row r="2721" spans="15:20" x14ac:dyDescent="0.25">
      <c r="O2721" s="76"/>
      <c r="P2721" s="78"/>
      <c r="Q2721" s="77"/>
      <c r="R2721" s="78"/>
      <c r="S2721" s="36" t="e">
        <f>VLOOKUP(Tabla91116[[#This Row],[CODIGO DEL PRODUCTO]],Tabla797[],2,FALSE)</f>
        <v>#N/A</v>
      </c>
      <c r="T2721" s="37"/>
    </row>
    <row r="2722" spans="15:20" x14ac:dyDescent="0.25">
      <c r="O2722" s="76"/>
      <c r="P2722" s="78"/>
      <c r="Q2722" s="77"/>
      <c r="R2722" s="78"/>
      <c r="S2722" s="36" t="e">
        <f>VLOOKUP(Tabla91116[[#This Row],[CODIGO DEL PRODUCTO]],Tabla797[],2,FALSE)</f>
        <v>#N/A</v>
      </c>
      <c r="T2722" s="37"/>
    </row>
    <row r="2723" spans="15:20" x14ac:dyDescent="0.25">
      <c r="O2723" s="76"/>
      <c r="P2723" s="78"/>
      <c r="Q2723" s="77"/>
      <c r="R2723" s="78"/>
      <c r="S2723" s="36" t="e">
        <f>VLOOKUP(Tabla91116[[#This Row],[CODIGO DEL PRODUCTO]],Tabla797[],2,FALSE)</f>
        <v>#N/A</v>
      </c>
      <c r="T2723" s="37"/>
    </row>
    <row r="2724" spans="15:20" x14ac:dyDescent="0.25">
      <c r="O2724" s="76"/>
      <c r="P2724" s="78"/>
      <c r="Q2724" s="77"/>
      <c r="R2724" s="78"/>
      <c r="S2724" s="36" t="e">
        <f>VLOOKUP(Tabla91116[[#This Row],[CODIGO DEL PRODUCTO]],Tabla797[],2,FALSE)</f>
        <v>#N/A</v>
      </c>
      <c r="T2724" s="37"/>
    </row>
    <row r="2725" spans="15:20" x14ac:dyDescent="0.25">
      <c r="O2725" s="76"/>
      <c r="P2725" s="78"/>
      <c r="Q2725" s="77"/>
      <c r="R2725" s="78"/>
      <c r="S2725" s="36" t="e">
        <f>VLOOKUP(Tabla91116[[#This Row],[CODIGO DEL PRODUCTO]],Tabla797[],2,FALSE)</f>
        <v>#N/A</v>
      </c>
      <c r="T2725" s="37"/>
    </row>
    <row r="2726" spans="15:20" x14ac:dyDescent="0.25">
      <c r="O2726" s="76"/>
      <c r="P2726" s="78"/>
      <c r="Q2726" s="77"/>
      <c r="R2726" s="78"/>
      <c r="S2726" s="36" t="e">
        <f>VLOOKUP(Tabla91116[[#This Row],[CODIGO DEL PRODUCTO]],Tabla797[],2,FALSE)</f>
        <v>#N/A</v>
      </c>
      <c r="T2726" s="37"/>
    </row>
    <row r="2727" spans="15:20" x14ac:dyDescent="0.25">
      <c r="O2727" s="76"/>
      <c r="P2727" s="78"/>
      <c r="Q2727" s="77"/>
      <c r="R2727" s="78"/>
      <c r="S2727" s="36" t="e">
        <f>VLOOKUP(Tabla91116[[#This Row],[CODIGO DEL PRODUCTO]],Tabla797[],2,FALSE)</f>
        <v>#N/A</v>
      </c>
      <c r="T2727" s="37"/>
    </row>
    <row r="2728" spans="15:20" x14ac:dyDescent="0.25">
      <c r="O2728" s="76"/>
      <c r="P2728" s="78"/>
      <c r="Q2728" s="77"/>
      <c r="R2728" s="78"/>
      <c r="S2728" s="36" t="e">
        <f>VLOOKUP(Tabla91116[[#This Row],[CODIGO DEL PRODUCTO]],Tabla797[],2,FALSE)</f>
        <v>#N/A</v>
      </c>
      <c r="T2728" s="37"/>
    </row>
    <row r="2729" spans="15:20" x14ac:dyDescent="0.25">
      <c r="O2729" s="76"/>
      <c r="P2729" s="78"/>
      <c r="Q2729" s="77"/>
      <c r="R2729" s="78"/>
      <c r="S2729" s="36" t="e">
        <f>VLOOKUP(Tabla91116[[#This Row],[CODIGO DEL PRODUCTO]],Tabla797[],2,FALSE)</f>
        <v>#N/A</v>
      </c>
      <c r="T2729" s="37"/>
    </row>
    <row r="2730" spans="15:20" x14ac:dyDescent="0.25">
      <c r="O2730" s="76"/>
      <c r="P2730" s="78"/>
      <c r="Q2730" s="77"/>
      <c r="R2730" s="78"/>
      <c r="S2730" s="36" t="e">
        <f>VLOOKUP(Tabla91116[[#This Row],[CODIGO DEL PRODUCTO]],Tabla797[],2,FALSE)</f>
        <v>#N/A</v>
      </c>
      <c r="T2730" s="37"/>
    </row>
    <row r="2731" spans="15:20" x14ac:dyDescent="0.25">
      <c r="O2731" s="76"/>
      <c r="P2731" s="78"/>
      <c r="Q2731" s="77"/>
      <c r="R2731" s="78"/>
      <c r="S2731" s="36" t="e">
        <f>VLOOKUP(Tabla91116[[#This Row],[CODIGO DEL PRODUCTO]],Tabla797[],2,FALSE)</f>
        <v>#N/A</v>
      </c>
      <c r="T2731" s="37"/>
    </row>
    <row r="2732" spans="15:20" x14ac:dyDescent="0.25">
      <c r="O2732" s="76"/>
      <c r="P2732" s="78"/>
      <c r="Q2732" s="77"/>
      <c r="R2732" s="78"/>
      <c r="S2732" s="36" t="e">
        <f>VLOOKUP(Tabla91116[[#This Row],[CODIGO DEL PRODUCTO]],Tabla797[],2,FALSE)</f>
        <v>#N/A</v>
      </c>
      <c r="T2732" s="37"/>
    </row>
    <row r="2733" spans="15:20" x14ac:dyDescent="0.25">
      <c r="O2733" s="76"/>
      <c r="P2733" s="78"/>
      <c r="Q2733" s="77"/>
      <c r="R2733" s="78"/>
      <c r="S2733" s="36" t="e">
        <f>VLOOKUP(Tabla91116[[#This Row],[CODIGO DEL PRODUCTO]],Tabla797[],2,FALSE)</f>
        <v>#N/A</v>
      </c>
      <c r="T2733" s="37"/>
    </row>
    <row r="2734" spans="15:20" x14ac:dyDescent="0.25">
      <c r="O2734" s="76"/>
      <c r="P2734" s="78"/>
      <c r="Q2734" s="77"/>
      <c r="R2734" s="78"/>
      <c r="S2734" s="36" t="e">
        <f>VLOOKUP(Tabla91116[[#This Row],[CODIGO DEL PRODUCTO]],Tabla797[],2,FALSE)</f>
        <v>#N/A</v>
      </c>
      <c r="T2734" s="37"/>
    </row>
    <row r="2735" spans="15:20" x14ac:dyDescent="0.25">
      <c r="O2735" s="76"/>
      <c r="P2735" s="78"/>
      <c r="Q2735" s="77"/>
      <c r="R2735" s="78"/>
      <c r="S2735" s="36" t="e">
        <f>VLOOKUP(Tabla91116[[#This Row],[CODIGO DEL PRODUCTO]],Tabla797[],2,FALSE)</f>
        <v>#N/A</v>
      </c>
      <c r="T2735" s="37"/>
    </row>
    <row r="2736" spans="15:20" x14ac:dyDescent="0.25">
      <c r="O2736" s="76"/>
      <c r="P2736" s="78"/>
      <c r="Q2736" s="77"/>
      <c r="R2736" s="78"/>
      <c r="S2736" s="36" t="e">
        <f>VLOOKUP(Tabla91116[[#This Row],[CODIGO DEL PRODUCTO]],Tabla797[],2,FALSE)</f>
        <v>#N/A</v>
      </c>
      <c r="T2736" s="37"/>
    </row>
    <row r="2737" spans="15:20" x14ac:dyDescent="0.25">
      <c r="O2737" s="76"/>
      <c r="P2737" s="78"/>
      <c r="Q2737" s="77"/>
      <c r="R2737" s="78"/>
      <c r="S2737" s="36" t="e">
        <f>VLOOKUP(Tabla91116[[#This Row],[CODIGO DEL PRODUCTO]],Tabla797[],2,FALSE)</f>
        <v>#N/A</v>
      </c>
      <c r="T2737" s="37"/>
    </row>
    <row r="2738" spans="15:20" x14ac:dyDescent="0.25">
      <c r="O2738" s="76"/>
      <c r="P2738" s="78"/>
      <c r="Q2738" s="77"/>
      <c r="R2738" s="78"/>
      <c r="S2738" s="36" t="e">
        <f>VLOOKUP(Tabla91116[[#This Row],[CODIGO DEL PRODUCTO]],Tabla797[],2,FALSE)</f>
        <v>#N/A</v>
      </c>
      <c r="T2738" s="37"/>
    </row>
    <row r="2739" spans="15:20" x14ac:dyDescent="0.25">
      <c r="O2739" s="76"/>
      <c r="P2739" s="78"/>
      <c r="Q2739" s="77"/>
      <c r="R2739" s="78"/>
      <c r="S2739" s="36" t="e">
        <f>VLOOKUP(Tabla91116[[#This Row],[CODIGO DEL PRODUCTO]],Tabla797[],2,FALSE)</f>
        <v>#N/A</v>
      </c>
      <c r="T2739" s="37"/>
    </row>
    <row r="2740" spans="15:20" x14ac:dyDescent="0.25">
      <c r="O2740" s="76"/>
      <c r="P2740" s="78"/>
      <c r="Q2740" s="77"/>
      <c r="R2740" s="78"/>
      <c r="S2740" s="36" t="e">
        <f>VLOOKUP(Tabla91116[[#This Row],[CODIGO DEL PRODUCTO]],Tabla797[],2,FALSE)</f>
        <v>#N/A</v>
      </c>
      <c r="T2740" s="37"/>
    </row>
    <row r="2741" spans="15:20" x14ac:dyDescent="0.25">
      <c r="O2741" s="76"/>
      <c r="P2741" s="78"/>
      <c r="Q2741" s="77"/>
      <c r="R2741" s="78"/>
      <c r="S2741" s="36" t="e">
        <f>VLOOKUP(Tabla91116[[#This Row],[CODIGO DEL PRODUCTO]],Tabla797[],2,FALSE)</f>
        <v>#N/A</v>
      </c>
      <c r="T2741" s="37"/>
    </row>
    <row r="2742" spans="15:20" x14ac:dyDescent="0.25">
      <c r="O2742" s="76"/>
      <c r="P2742" s="78"/>
      <c r="Q2742" s="77"/>
      <c r="R2742" s="78"/>
      <c r="S2742" s="36" t="e">
        <f>VLOOKUP(Tabla91116[[#This Row],[CODIGO DEL PRODUCTO]],Tabla797[],2,FALSE)</f>
        <v>#N/A</v>
      </c>
      <c r="T2742" s="37"/>
    </row>
    <row r="2743" spans="15:20" x14ac:dyDescent="0.25">
      <c r="O2743" s="76"/>
      <c r="P2743" s="78"/>
      <c r="Q2743" s="77"/>
      <c r="R2743" s="78"/>
      <c r="S2743" s="36" t="e">
        <f>VLOOKUP(Tabla91116[[#This Row],[CODIGO DEL PRODUCTO]],Tabla797[],2,FALSE)</f>
        <v>#N/A</v>
      </c>
      <c r="T2743" s="37"/>
    </row>
    <row r="2744" spans="15:20" x14ac:dyDescent="0.25">
      <c r="O2744" s="76"/>
      <c r="P2744" s="78"/>
      <c r="Q2744" s="77"/>
      <c r="R2744" s="78"/>
      <c r="S2744" s="36" t="e">
        <f>VLOOKUP(Tabla91116[[#This Row],[CODIGO DEL PRODUCTO]],Tabla797[],2,FALSE)</f>
        <v>#N/A</v>
      </c>
      <c r="T2744" s="37"/>
    </row>
    <row r="2745" spans="15:20" x14ac:dyDescent="0.25">
      <c r="O2745" s="76"/>
      <c r="P2745" s="78"/>
      <c r="Q2745" s="77"/>
      <c r="R2745" s="78"/>
      <c r="S2745" s="36" t="e">
        <f>VLOOKUP(Tabla91116[[#This Row],[CODIGO DEL PRODUCTO]],Tabla797[],2,FALSE)</f>
        <v>#N/A</v>
      </c>
      <c r="T2745" s="37"/>
    </row>
    <row r="2746" spans="15:20" x14ac:dyDescent="0.25">
      <c r="O2746" s="76"/>
      <c r="P2746" s="78"/>
      <c r="Q2746" s="77"/>
      <c r="R2746" s="78"/>
      <c r="S2746" s="36" t="e">
        <f>VLOOKUP(Tabla91116[[#This Row],[CODIGO DEL PRODUCTO]],Tabla797[],2,FALSE)</f>
        <v>#N/A</v>
      </c>
      <c r="T2746" s="37"/>
    </row>
    <row r="2747" spans="15:20" x14ac:dyDescent="0.25">
      <c r="O2747" s="76"/>
      <c r="P2747" s="78"/>
      <c r="Q2747" s="77"/>
      <c r="R2747" s="78"/>
      <c r="S2747" s="36" t="e">
        <f>VLOOKUP(Tabla91116[[#This Row],[CODIGO DEL PRODUCTO]],Tabla797[],2,FALSE)</f>
        <v>#N/A</v>
      </c>
      <c r="T2747" s="37"/>
    </row>
    <row r="2748" spans="15:20" x14ac:dyDescent="0.25">
      <c r="O2748" s="76"/>
      <c r="P2748" s="78"/>
      <c r="Q2748" s="77"/>
      <c r="R2748" s="78"/>
      <c r="S2748" s="36" t="e">
        <f>VLOOKUP(Tabla91116[[#This Row],[CODIGO DEL PRODUCTO]],Tabla797[],2,FALSE)</f>
        <v>#N/A</v>
      </c>
      <c r="T2748" s="37"/>
    </row>
    <row r="2749" spans="15:20" x14ac:dyDescent="0.25">
      <c r="O2749" s="76"/>
      <c r="P2749" s="78"/>
      <c r="Q2749" s="77"/>
      <c r="R2749" s="78"/>
      <c r="S2749" s="36" t="e">
        <f>VLOOKUP(Tabla91116[[#This Row],[CODIGO DEL PRODUCTO]],Tabla797[],2,FALSE)</f>
        <v>#N/A</v>
      </c>
      <c r="T2749" s="37"/>
    </row>
    <row r="2750" spans="15:20" x14ac:dyDescent="0.25">
      <c r="O2750" s="76"/>
      <c r="P2750" s="78"/>
      <c r="Q2750" s="77"/>
      <c r="R2750" s="78"/>
      <c r="S2750" s="36" t="e">
        <f>VLOOKUP(Tabla91116[[#This Row],[CODIGO DEL PRODUCTO]],Tabla797[],2,FALSE)</f>
        <v>#N/A</v>
      </c>
      <c r="T2750" s="37"/>
    </row>
    <row r="2751" spans="15:20" x14ac:dyDescent="0.25">
      <c r="O2751" s="76"/>
      <c r="P2751" s="78"/>
      <c r="Q2751" s="77"/>
      <c r="R2751" s="78"/>
      <c r="S2751" s="36" t="e">
        <f>VLOOKUP(Tabla91116[[#This Row],[CODIGO DEL PRODUCTO]],Tabla797[],2,FALSE)</f>
        <v>#N/A</v>
      </c>
      <c r="T2751" s="37"/>
    </row>
    <row r="2752" spans="15:20" x14ac:dyDescent="0.25">
      <c r="O2752" s="76"/>
      <c r="P2752" s="78"/>
      <c r="Q2752" s="77"/>
      <c r="R2752" s="78"/>
      <c r="S2752" s="36" t="e">
        <f>VLOOKUP(Tabla91116[[#This Row],[CODIGO DEL PRODUCTO]],Tabla797[],2,FALSE)</f>
        <v>#N/A</v>
      </c>
      <c r="T2752" s="37"/>
    </row>
    <row r="2753" spans="15:20" x14ac:dyDescent="0.25">
      <c r="O2753" s="76"/>
      <c r="P2753" s="78"/>
      <c r="Q2753" s="77"/>
      <c r="R2753" s="78"/>
      <c r="S2753" s="36" t="e">
        <f>VLOOKUP(Tabla91116[[#This Row],[CODIGO DEL PRODUCTO]],Tabla797[],2,FALSE)</f>
        <v>#N/A</v>
      </c>
      <c r="T2753" s="37"/>
    </row>
    <row r="2754" spans="15:20" x14ac:dyDescent="0.25">
      <c r="O2754" s="76"/>
      <c r="P2754" s="78"/>
      <c r="Q2754" s="77"/>
      <c r="R2754" s="78"/>
      <c r="S2754" s="36" t="e">
        <f>VLOOKUP(Tabla91116[[#This Row],[CODIGO DEL PRODUCTO]],Tabla797[],2,FALSE)</f>
        <v>#N/A</v>
      </c>
      <c r="T2754" s="37"/>
    </row>
    <row r="2755" spans="15:20" x14ac:dyDescent="0.25">
      <c r="O2755" s="76"/>
      <c r="P2755" s="78"/>
      <c r="Q2755" s="77"/>
      <c r="R2755" s="78"/>
      <c r="S2755" s="36" t="e">
        <f>VLOOKUP(Tabla91116[[#This Row],[CODIGO DEL PRODUCTO]],Tabla797[],2,FALSE)</f>
        <v>#N/A</v>
      </c>
      <c r="T2755" s="37"/>
    </row>
    <row r="2756" spans="15:20" x14ac:dyDescent="0.25">
      <c r="O2756" s="76"/>
      <c r="P2756" s="78"/>
      <c r="Q2756" s="77"/>
      <c r="R2756" s="78"/>
      <c r="S2756" s="36" t="e">
        <f>VLOOKUP(Tabla91116[[#This Row],[CODIGO DEL PRODUCTO]],Tabla797[],2,FALSE)</f>
        <v>#N/A</v>
      </c>
      <c r="T2756" s="37"/>
    </row>
    <row r="2757" spans="15:20" x14ac:dyDescent="0.25">
      <c r="O2757" s="76"/>
      <c r="P2757" s="78"/>
      <c r="Q2757" s="77"/>
      <c r="R2757" s="78"/>
      <c r="S2757" s="36" t="e">
        <f>VLOOKUP(Tabla91116[[#This Row],[CODIGO DEL PRODUCTO]],Tabla797[],2,FALSE)</f>
        <v>#N/A</v>
      </c>
      <c r="T2757" s="37"/>
    </row>
    <row r="2758" spans="15:20" x14ac:dyDescent="0.25">
      <c r="O2758" s="76"/>
      <c r="P2758" s="78"/>
      <c r="Q2758" s="77"/>
      <c r="R2758" s="78"/>
      <c r="S2758" s="36" t="e">
        <f>VLOOKUP(Tabla91116[[#This Row],[CODIGO DEL PRODUCTO]],Tabla797[],2,FALSE)</f>
        <v>#N/A</v>
      </c>
      <c r="T2758" s="37"/>
    </row>
    <row r="2759" spans="15:20" x14ac:dyDescent="0.25">
      <c r="O2759" s="76"/>
      <c r="P2759" s="78"/>
      <c r="Q2759" s="77"/>
      <c r="R2759" s="78"/>
      <c r="S2759" s="36" t="e">
        <f>VLOOKUP(Tabla91116[[#This Row],[CODIGO DEL PRODUCTO]],Tabla797[],2,FALSE)</f>
        <v>#N/A</v>
      </c>
      <c r="T2759" s="37"/>
    </row>
    <row r="2760" spans="15:20" x14ac:dyDescent="0.25">
      <c r="O2760" s="76"/>
      <c r="P2760" s="78"/>
      <c r="Q2760" s="77"/>
      <c r="R2760" s="78"/>
      <c r="S2760" s="36" t="e">
        <f>VLOOKUP(Tabla91116[[#This Row],[CODIGO DEL PRODUCTO]],Tabla797[],2,FALSE)</f>
        <v>#N/A</v>
      </c>
      <c r="T2760" s="37"/>
    </row>
    <row r="2761" spans="15:20" x14ac:dyDescent="0.25">
      <c r="O2761" s="76"/>
      <c r="P2761" s="78"/>
      <c r="Q2761" s="77"/>
      <c r="R2761" s="78"/>
      <c r="S2761" s="36" t="e">
        <f>VLOOKUP(Tabla91116[[#This Row],[CODIGO DEL PRODUCTO]],Tabla797[],2,FALSE)</f>
        <v>#N/A</v>
      </c>
      <c r="T2761" s="37"/>
    </row>
    <row r="2762" spans="15:20" x14ac:dyDescent="0.25">
      <c r="O2762" s="76"/>
      <c r="P2762" s="78"/>
      <c r="Q2762" s="77"/>
      <c r="R2762" s="78"/>
      <c r="S2762" s="36" t="e">
        <f>VLOOKUP(Tabla91116[[#This Row],[CODIGO DEL PRODUCTO]],Tabla797[],2,FALSE)</f>
        <v>#N/A</v>
      </c>
      <c r="T2762" s="37"/>
    </row>
    <row r="2763" spans="15:20" x14ac:dyDescent="0.25">
      <c r="O2763" s="76"/>
      <c r="P2763" s="78"/>
      <c r="Q2763" s="77"/>
      <c r="R2763" s="78"/>
      <c r="S2763" s="36" t="e">
        <f>VLOOKUP(Tabla91116[[#This Row],[CODIGO DEL PRODUCTO]],Tabla797[],2,FALSE)</f>
        <v>#N/A</v>
      </c>
      <c r="T2763" s="37"/>
    </row>
    <row r="2764" spans="15:20" x14ac:dyDescent="0.25">
      <c r="O2764" s="76"/>
      <c r="P2764" s="78"/>
      <c r="Q2764" s="77"/>
      <c r="R2764" s="78"/>
      <c r="S2764" s="36" t="e">
        <f>VLOOKUP(Tabla91116[[#This Row],[CODIGO DEL PRODUCTO]],Tabla797[],2,FALSE)</f>
        <v>#N/A</v>
      </c>
      <c r="T2764" s="37"/>
    </row>
    <row r="2765" spans="15:20" x14ac:dyDescent="0.25">
      <c r="O2765" s="76"/>
      <c r="P2765" s="78"/>
      <c r="Q2765" s="77"/>
      <c r="R2765" s="78"/>
      <c r="S2765" s="36" t="e">
        <f>VLOOKUP(Tabla91116[[#This Row],[CODIGO DEL PRODUCTO]],Tabla797[],2,FALSE)</f>
        <v>#N/A</v>
      </c>
      <c r="T2765" s="37"/>
    </row>
    <row r="2766" spans="15:20" x14ac:dyDescent="0.25">
      <c r="O2766" s="76"/>
      <c r="P2766" s="78"/>
      <c r="Q2766" s="77"/>
      <c r="R2766" s="78"/>
      <c r="S2766" s="36" t="e">
        <f>VLOOKUP(Tabla91116[[#This Row],[CODIGO DEL PRODUCTO]],Tabla797[],2,FALSE)</f>
        <v>#N/A</v>
      </c>
      <c r="T2766" s="37"/>
    </row>
    <row r="2767" spans="15:20" x14ac:dyDescent="0.25">
      <c r="O2767" s="76"/>
      <c r="P2767" s="78"/>
      <c r="Q2767" s="77"/>
      <c r="R2767" s="78"/>
      <c r="S2767" s="36" t="e">
        <f>VLOOKUP(Tabla91116[[#This Row],[CODIGO DEL PRODUCTO]],Tabla797[],2,FALSE)</f>
        <v>#N/A</v>
      </c>
      <c r="T2767" s="37"/>
    </row>
    <row r="2768" spans="15:20" x14ac:dyDescent="0.25">
      <c r="O2768" s="76"/>
      <c r="P2768" s="78"/>
      <c r="Q2768" s="77"/>
      <c r="R2768" s="78"/>
      <c r="S2768" s="36" t="e">
        <f>VLOOKUP(Tabla91116[[#This Row],[CODIGO DEL PRODUCTO]],Tabla797[],2,FALSE)</f>
        <v>#N/A</v>
      </c>
      <c r="T2768" s="37"/>
    </row>
    <row r="2769" spans="15:20" x14ac:dyDescent="0.25">
      <c r="O2769" s="76"/>
      <c r="P2769" s="78"/>
      <c r="Q2769" s="77"/>
      <c r="R2769" s="78"/>
      <c r="S2769" s="36" t="e">
        <f>VLOOKUP(Tabla91116[[#This Row],[CODIGO DEL PRODUCTO]],Tabla797[],2,FALSE)</f>
        <v>#N/A</v>
      </c>
      <c r="T2769" s="37"/>
    </row>
    <row r="2770" spans="15:20" x14ac:dyDescent="0.25">
      <c r="O2770" s="76"/>
      <c r="P2770" s="78"/>
      <c r="Q2770" s="77"/>
      <c r="R2770" s="78"/>
      <c r="S2770" s="36" t="e">
        <f>VLOOKUP(Tabla91116[[#This Row],[CODIGO DEL PRODUCTO]],Tabla797[],2,FALSE)</f>
        <v>#N/A</v>
      </c>
      <c r="T2770" s="37"/>
    </row>
    <row r="2771" spans="15:20" x14ac:dyDescent="0.25">
      <c r="O2771" s="76"/>
      <c r="P2771" s="78"/>
      <c r="Q2771" s="77"/>
      <c r="R2771" s="78"/>
      <c r="S2771" s="36" t="e">
        <f>VLOOKUP(Tabla91116[[#This Row],[CODIGO DEL PRODUCTO]],Tabla797[],2,FALSE)</f>
        <v>#N/A</v>
      </c>
      <c r="T2771" s="37"/>
    </row>
    <row r="2772" spans="15:20" x14ac:dyDescent="0.25">
      <c r="O2772" s="76"/>
      <c r="P2772" s="78"/>
      <c r="Q2772" s="77"/>
      <c r="R2772" s="78"/>
      <c r="S2772" s="36" t="e">
        <f>VLOOKUP(Tabla91116[[#This Row],[CODIGO DEL PRODUCTO]],Tabla797[],2,FALSE)</f>
        <v>#N/A</v>
      </c>
      <c r="T2772" s="37"/>
    </row>
    <row r="2773" spans="15:20" x14ac:dyDescent="0.25">
      <c r="O2773" s="76"/>
      <c r="P2773" s="78"/>
      <c r="Q2773" s="77"/>
      <c r="R2773" s="78"/>
      <c r="S2773" s="36" t="e">
        <f>VLOOKUP(Tabla91116[[#This Row],[CODIGO DEL PRODUCTO]],Tabla797[],2,FALSE)</f>
        <v>#N/A</v>
      </c>
      <c r="T2773" s="37"/>
    </row>
    <row r="2774" spans="15:20" x14ac:dyDescent="0.25">
      <c r="O2774" s="76"/>
      <c r="P2774" s="78"/>
      <c r="Q2774" s="77"/>
      <c r="R2774" s="78"/>
      <c r="S2774" s="36" t="e">
        <f>VLOOKUP(Tabla91116[[#This Row],[CODIGO DEL PRODUCTO]],Tabla797[],2,FALSE)</f>
        <v>#N/A</v>
      </c>
      <c r="T2774" s="37"/>
    </row>
    <row r="2775" spans="15:20" x14ac:dyDescent="0.25">
      <c r="O2775" s="76"/>
      <c r="P2775" s="78"/>
      <c r="Q2775" s="77"/>
      <c r="R2775" s="78"/>
      <c r="S2775" s="36" t="e">
        <f>VLOOKUP(Tabla91116[[#This Row],[CODIGO DEL PRODUCTO]],Tabla797[],2,FALSE)</f>
        <v>#N/A</v>
      </c>
      <c r="T2775" s="37"/>
    </row>
    <row r="2776" spans="15:20" x14ac:dyDescent="0.25">
      <c r="O2776" s="76"/>
      <c r="P2776" s="78"/>
      <c r="Q2776" s="77"/>
      <c r="R2776" s="78"/>
      <c r="S2776" s="36" t="e">
        <f>VLOOKUP(Tabla91116[[#This Row],[CODIGO DEL PRODUCTO]],Tabla797[],2,FALSE)</f>
        <v>#N/A</v>
      </c>
      <c r="T2776" s="37"/>
    </row>
    <row r="2777" spans="15:20" x14ac:dyDescent="0.25">
      <c r="O2777" s="76"/>
      <c r="P2777" s="78"/>
      <c r="Q2777" s="77"/>
      <c r="R2777" s="78"/>
      <c r="S2777" s="36" t="e">
        <f>VLOOKUP(Tabla91116[[#This Row],[CODIGO DEL PRODUCTO]],Tabla797[],2,FALSE)</f>
        <v>#N/A</v>
      </c>
      <c r="T2777" s="37"/>
    </row>
    <row r="2778" spans="15:20" x14ac:dyDescent="0.25">
      <c r="O2778" s="76"/>
      <c r="P2778" s="78"/>
      <c r="Q2778" s="77"/>
      <c r="R2778" s="78"/>
      <c r="S2778" s="36" t="e">
        <f>VLOOKUP(Tabla91116[[#This Row],[CODIGO DEL PRODUCTO]],Tabla797[],2,FALSE)</f>
        <v>#N/A</v>
      </c>
      <c r="T2778" s="37"/>
    </row>
    <row r="2779" spans="15:20" x14ac:dyDescent="0.25">
      <c r="O2779" s="76"/>
      <c r="P2779" s="78"/>
      <c r="Q2779" s="77"/>
      <c r="R2779" s="78"/>
      <c r="S2779" s="36" t="e">
        <f>VLOOKUP(Tabla91116[[#This Row],[CODIGO DEL PRODUCTO]],Tabla797[],2,FALSE)</f>
        <v>#N/A</v>
      </c>
      <c r="T2779" s="37"/>
    </row>
    <row r="2780" spans="15:20" x14ac:dyDescent="0.25">
      <c r="O2780" s="76"/>
      <c r="P2780" s="78"/>
      <c r="Q2780" s="77"/>
      <c r="R2780" s="78"/>
      <c r="S2780" s="36" t="e">
        <f>VLOOKUP(Tabla91116[[#This Row],[CODIGO DEL PRODUCTO]],Tabla797[],2,FALSE)</f>
        <v>#N/A</v>
      </c>
      <c r="T2780" s="37"/>
    </row>
    <row r="2781" spans="15:20" x14ac:dyDescent="0.25">
      <c r="O2781" s="76"/>
      <c r="P2781" s="78"/>
      <c r="Q2781" s="77"/>
      <c r="R2781" s="78"/>
      <c r="S2781" s="36" t="e">
        <f>VLOOKUP(Tabla91116[[#This Row],[CODIGO DEL PRODUCTO]],Tabla797[],2,FALSE)</f>
        <v>#N/A</v>
      </c>
      <c r="T2781" s="37"/>
    </row>
    <row r="2782" spans="15:20" x14ac:dyDescent="0.25">
      <c r="O2782" s="76"/>
      <c r="P2782" s="78"/>
      <c r="Q2782" s="77"/>
      <c r="R2782" s="78"/>
      <c r="S2782" s="36" t="e">
        <f>VLOOKUP(Tabla91116[[#This Row],[CODIGO DEL PRODUCTO]],Tabla797[],2,FALSE)</f>
        <v>#N/A</v>
      </c>
      <c r="T2782" s="37"/>
    </row>
    <row r="2783" spans="15:20" x14ac:dyDescent="0.25">
      <c r="O2783" s="76"/>
      <c r="P2783" s="78"/>
      <c r="Q2783" s="77"/>
      <c r="R2783" s="78"/>
      <c r="S2783" s="36" t="e">
        <f>VLOOKUP(Tabla91116[[#This Row],[CODIGO DEL PRODUCTO]],Tabla797[],2,FALSE)</f>
        <v>#N/A</v>
      </c>
      <c r="T2783" s="37"/>
    </row>
    <row r="2784" spans="15:20" x14ac:dyDescent="0.25">
      <c r="O2784" s="76"/>
      <c r="P2784" s="78"/>
      <c r="Q2784" s="77"/>
      <c r="R2784" s="78"/>
      <c r="S2784" s="36" t="e">
        <f>VLOOKUP(Tabla91116[[#This Row],[CODIGO DEL PRODUCTO]],Tabla797[],2,FALSE)</f>
        <v>#N/A</v>
      </c>
      <c r="T2784" s="37"/>
    </row>
    <row r="2785" spans="15:20" x14ac:dyDescent="0.25">
      <c r="O2785" s="76"/>
      <c r="P2785" s="78"/>
      <c r="Q2785" s="77"/>
      <c r="R2785" s="78"/>
      <c r="S2785" s="36" t="e">
        <f>VLOOKUP(Tabla91116[[#This Row],[CODIGO DEL PRODUCTO]],Tabla797[],2,FALSE)</f>
        <v>#N/A</v>
      </c>
      <c r="T2785" s="37"/>
    </row>
    <row r="2786" spans="15:20" x14ac:dyDescent="0.25">
      <c r="O2786" s="76"/>
      <c r="P2786" s="78"/>
      <c r="Q2786" s="77"/>
      <c r="R2786" s="78"/>
      <c r="S2786" s="36" t="e">
        <f>VLOOKUP(Tabla91116[[#This Row],[CODIGO DEL PRODUCTO]],Tabla797[],2,FALSE)</f>
        <v>#N/A</v>
      </c>
      <c r="T2786" s="37"/>
    </row>
    <row r="2787" spans="15:20" x14ac:dyDescent="0.25">
      <c r="O2787" s="76"/>
      <c r="P2787" s="78"/>
      <c r="Q2787" s="77"/>
      <c r="R2787" s="78"/>
      <c r="S2787" s="36" t="e">
        <f>VLOOKUP(Tabla91116[[#This Row],[CODIGO DEL PRODUCTO]],Tabla797[],2,FALSE)</f>
        <v>#N/A</v>
      </c>
      <c r="T2787" s="37"/>
    </row>
    <row r="2788" spans="15:20" x14ac:dyDescent="0.25">
      <c r="O2788" s="76"/>
      <c r="P2788" s="78"/>
      <c r="Q2788" s="77"/>
      <c r="R2788" s="78"/>
      <c r="S2788" s="36" t="e">
        <f>VLOOKUP(Tabla91116[[#This Row],[CODIGO DEL PRODUCTO]],Tabla797[],2,FALSE)</f>
        <v>#N/A</v>
      </c>
      <c r="T2788" s="37"/>
    </row>
    <row r="2789" spans="15:20" x14ac:dyDescent="0.25">
      <c r="O2789" s="76"/>
      <c r="P2789" s="78"/>
      <c r="Q2789" s="77"/>
      <c r="R2789" s="78"/>
      <c r="S2789" s="36" t="e">
        <f>VLOOKUP(Tabla91116[[#This Row],[CODIGO DEL PRODUCTO]],Tabla797[],2,FALSE)</f>
        <v>#N/A</v>
      </c>
      <c r="T2789" s="37"/>
    </row>
    <row r="2790" spans="15:20" x14ac:dyDescent="0.25">
      <c r="O2790" s="76"/>
      <c r="P2790" s="78"/>
      <c r="Q2790" s="77"/>
      <c r="R2790" s="78"/>
      <c r="S2790" s="36" t="e">
        <f>VLOOKUP(Tabla91116[[#This Row],[CODIGO DEL PRODUCTO]],Tabla797[],2,FALSE)</f>
        <v>#N/A</v>
      </c>
      <c r="T2790" s="37"/>
    </row>
    <row r="2791" spans="15:20" x14ac:dyDescent="0.25">
      <c r="O2791" s="76"/>
      <c r="P2791" s="78"/>
      <c r="Q2791" s="77"/>
      <c r="R2791" s="78"/>
      <c r="S2791" s="36" t="e">
        <f>VLOOKUP(Tabla91116[[#This Row],[CODIGO DEL PRODUCTO]],Tabla797[],2,FALSE)</f>
        <v>#N/A</v>
      </c>
      <c r="T2791" s="37"/>
    </row>
    <row r="2792" spans="15:20" x14ac:dyDescent="0.25">
      <c r="O2792" s="76"/>
      <c r="P2792" s="78"/>
      <c r="Q2792" s="77"/>
      <c r="R2792" s="78"/>
      <c r="S2792" s="36" t="e">
        <f>VLOOKUP(Tabla91116[[#This Row],[CODIGO DEL PRODUCTO]],Tabla797[],2,FALSE)</f>
        <v>#N/A</v>
      </c>
      <c r="T2792" s="37"/>
    </row>
    <row r="2793" spans="15:20" x14ac:dyDescent="0.25">
      <c r="O2793" s="76"/>
      <c r="P2793" s="78"/>
      <c r="Q2793" s="77"/>
      <c r="R2793" s="78"/>
      <c r="S2793" s="36" t="e">
        <f>VLOOKUP(Tabla91116[[#This Row],[CODIGO DEL PRODUCTO]],Tabla797[],2,FALSE)</f>
        <v>#N/A</v>
      </c>
      <c r="T2793" s="37"/>
    </row>
    <row r="2794" spans="15:20" x14ac:dyDescent="0.25">
      <c r="O2794" s="76"/>
      <c r="P2794" s="78"/>
      <c r="Q2794" s="77"/>
      <c r="R2794" s="78"/>
      <c r="S2794" s="36" t="e">
        <f>VLOOKUP(Tabla91116[[#This Row],[CODIGO DEL PRODUCTO]],Tabla797[],2,FALSE)</f>
        <v>#N/A</v>
      </c>
      <c r="T2794" s="37"/>
    </row>
    <row r="2795" spans="15:20" x14ac:dyDescent="0.25">
      <c r="O2795" s="76"/>
      <c r="P2795" s="78"/>
      <c r="Q2795" s="77"/>
      <c r="R2795" s="78"/>
      <c r="S2795" s="36" t="e">
        <f>VLOOKUP(Tabla91116[[#This Row],[CODIGO DEL PRODUCTO]],Tabla797[],2,FALSE)</f>
        <v>#N/A</v>
      </c>
      <c r="T2795" s="37"/>
    </row>
    <row r="2796" spans="15:20" x14ac:dyDescent="0.25">
      <c r="O2796" s="76"/>
      <c r="P2796" s="78"/>
      <c r="Q2796" s="77"/>
      <c r="R2796" s="78"/>
      <c r="S2796" s="36" t="e">
        <f>VLOOKUP(Tabla91116[[#This Row],[CODIGO DEL PRODUCTO]],Tabla797[],2,FALSE)</f>
        <v>#N/A</v>
      </c>
      <c r="T2796" s="37"/>
    </row>
    <row r="2797" spans="15:20" x14ac:dyDescent="0.25">
      <c r="O2797" s="76"/>
      <c r="P2797" s="78"/>
      <c r="Q2797" s="77"/>
      <c r="R2797" s="78"/>
      <c r="S2797" s="36" t="e">
        <f>VLOOKUP(Tabla91116[[#This Row],[CODIGO DEL PRODUCTO]],Tabla797[],2,FALSE)</f>
        <v>#N/A</v>
      </c>
      <c r="T2797" s="37"/>
    </row>
    <row r="2798" spans="15:20" x14ac:dyDescent="0.25">
      <c r="O2798" s="76"/>
      <c r="P2798" s="78"/>
      <c r="Q2798" s="77"/>
      <c r="R2798" s="78"/>
      <c r="S2798" s="36" t="e">
        <f>VLOOKUP(Tabla91116[[#This Row],[CODIGO DEL PRODUCTO]],Tabla797[],2,FALSE)</f>
        <v>#N/A</v>
      </c>
      <c r="T2798" s="37"/>
    </row>
    <row r="2799" spans="15:20" x14ac:dyDescent="0.25">
      <c r="O2799" s="76"/>
      <c r="P2799" s="78"/>
      <c r="Q2799" s="77"/>
      <c r="R2799" s="78"/>
      <c r="S2799" s="36" t="e">
        <f>VLOOKUP(Tabla91116[[#This Row],[CODIGO DEL PRODUCTO]],Tabla797[],2,FALSE)</f>
        <v>#N/A</v>
      </c>
      <c r="T2799" s="37"/>
    </row>
    <row r="2800" spans="15:20" x14ac:dyDescent="0.25">
      <c r="O2800" s="76"/>
      <c r="P2800" s="78"/>
      <c r="Q2800" s="77"/>
      <c r="R2800" s="78"/>
      <c r="S2800" s="36" t="e">
        <f>VLOOKUP(Tabla91116[[#This Row],[CODIGO DEL PRODUCTO]],Tabla797[],2,FALSE)</f>
        <v>#N/A</v>
      </c>
      <c r="T2800" s="37"/>
    </row>
    <row r="2801" spans="15:20" x14ac:dyDescent="0.25">
      <c r="O2801" s="76"/>
      <c r="P2801" s="78"/>
      <c r="Q2801" s="77"/>
      <c r="R2801" s="78"/>
      <c r="S2801" s="36" t="e">
        <f>VLOOKUP(Tabla91116[[#This Row],[CODIGO DEL PRODUCTO]],Tabla797[],2,FALSE)</f>
        <v>#N/A</v>
      </c>
      <c r="T2801" s="37"/>
    </row>
    <row r="2802" spans="15:20" x14ac:dyDescent="0.25">
      <c r="O2802" s="76"/>
      <c r="P2802" s="78"/>
      <c r="Q2802" s="77"/>
      <c r="R2802" s="78"/>
      <c r="S2802" s="36" t="e">
        <f>VLOOKUP(Tabla91116[[#This Row],[CODIGO DEL PRODUCTO]],Tabla797[],2,FALSE)</f>
        <v>#N/A</v>
      </c>
      <c r="T2802" s="37"/>
    </row>
    <row r="2803" spans="15:20" x14ac:dyDescent="0.25">
      <c r="O2803" s="76"/>
      <c r="P2803" s="78"/>
      <c r="Q2803" s="77"/>
      <c r="R2803" s="78"/>
      <c r="S2803" s="36" t="e">
        <f>VLOOKUP(Tabla91116[[#This Row],[CODIGO DEL PRODUCTO]],Tabla797[],2,FALSE)</f>
        <v>#N/A</v>
      </c>
      <c r="T2803" s="37"/>
    </row>
    <row r="2804" spans="15:20" x14ac:dyDescent="0.25">
      <c r="O2804" s="76"/>
      <c r="P2804" s="78"/>
      <c r="Q2804" s="77"/>
      <c r="R2804" s="78"/>
      <c r="S2804" s="36" t="e">
        <f>VLOOKUP(Tabla91116[[#This Row],[CODIGO DEL PRODUCTO]],Tabla797[],2,FALSE)</f>
        <v>#N/A</v>
      </c>
      <c r="T2804" s="37"/>
    </row>
    <row r="2805" spans="15:20" x14ac:dyDescent="0.25">
      <c r="O2805" s="76"/>
      <c r="P2805" s="78"/>
      <c r="Q2805" s="77"/>
      <c r="R2805" s="78"/>
      <c r="S2805" s="36" t="e">
        <f>VLOOKUP(Tabla91116[[#This Row],[CODIGO DEL PRODUCTO]],Tabla797[],2,FALSE)</f>
        <v>#N/A</v>
      </c>
      <c r="T2805" s="37"/>
    </row>
    <row r="2806" spans="15:20" x14ac:dyDescent="0.25">
      <c r="O2806" s="76"/>
      <c r="P2806" s="78"/>
      <c r="Q2806" s="77"/>
      <c r="R2806" s="78"/>
      <c r="S2806" s="36" t="e">
        <f>VLOOKUP(Tabla91116[[#This Row],[CODIGO DEL PRODUCTO]],Tabla797[],2,FALSE)</f>
        <v>#N/A</v>
      </c>
      <c r="T2806" s="37"/>
    </row>
    <row r="2807" spans="15:20" x14ac:dyDescent="0.25">
      <c r="O2807" s="76"/>
      <c r="P2807" s="78"/>
      <c r="Q2807" s="77"/>
      <c r="R2807" s="78"/>
      <c r="S2807" s="36" t="e">
        <f>VLOOKUP(Tabla91116[[#This Row],[CODIGO DEL PRODUCTO]],Tabla797[],2,FALSE)</f>
        <v>#N/A</v>
      </c>
      <c r="T2807" s="37"/>
    </row>
    <row r="2808" spans="15:20" x14ac:dyDescent="0.25">
      <c r="O2808" s="76"/>
      <c r="P2808" s="78"/>
      <c r="Q2808" s="77"/>
      <c r="R2808" s="78"/>
      <c r="S2808" s="36" t="e">
        <f>VLOOKUP(Tabla91116[[#This Row],[CODIGO DEL PRODUCTO]],Tabla797[],2,FALSE)</f>
        <v>#N/A</v>
      </c>
      <c r="T2808" s="37"/>
    </row>
    <row r="2809" spans="15:20" x14ac:dyDescent="0.25">
      <c r="O2809" s="76"/>
      <c r="P2809" s="78"/>
      <c r="Q2809" s="77"/>
      <c r="R2809" s="78"/>
      <c r="S2809" s="36" t="e">
        <f>VLOOKUP(Tabla91116[[#This Row],[CODIGO DEL PRODUCTO]],Tabla797[],2,FALSE)</f>
        <v>#N/A</v>
      </c>
      <c r="T2809" s="37"/>
    </row>
    <row r="2810" spans="15:20" x14ac:dyDescent="0.25">
      <c r="O2810" s="76"/>
      <c r="P2810" s="78"/>
      <c r="Q2810" s="77"/>
      <c r="R2810" s="78"/>
      <c r="S2810" s="36" t="e">
        <f>VLOOKUP(Tabla91116[[#This Row],[CODIGO DEL PRODUCTO]],Tabla797[],2,FALSE)</f>
        <v>#N/A</v>
      </c>
      <c r="T2810" s="37"/>
    </row>
    <row r="2811" spans="15:20" x14ac:dyDescent="0.25">
      <c r="O2811" s="76"/>
      <c r="P2811" s="78"/>
      <c r="Q2811" s="77"/>
      <c r="R2811" s="78"/>
      <c r="S2811" s="36" t="e">
        <f>VLOOKUP(Tabla91116[[#This Row],[CODIGO DEL PRODUCTO]],Tabla797[],2,FALSE)</f>
        <v>#N/A</v>
      </c>
      <c r="T2811" s="37"/>
    </row>
    <row r="2812" spans="15:20" x14ac:dyDescent="0.25">
      <c r="O2812" s="76"/>
      <c r="P2812" s="78"/>
      <c r="Q2812" s="77"/>
      <c r="R2812" s="78"/>
      <c r="S2812" s="36" t="e">
        <f>VLOOKUP(Tabla91116[[#This Row],[CODIGO DEL PRODUCTO]],Tabla797[],2,FALSE)</f>
        <v>#N/A</v>
      </c>
      <c r="T2812" s="37"/>
    </row>
    <row r="2813" spans="15:20" x14ac:dyDescent="0.25">
      <c r="O2813" s="76"/>
      <c r="P2813" s="78"/>
      <c r="Q2813" s="77"/>
      <c r="R2813" s="78"/>
      <c r="S2813" s="36" t="e">
        <f>VLOOKUP(Tabla91116[[#This Row],[CODIGO DEL PRODUCTO]],Tabla797[],2,FALSE)</f>
        <v>#N/A</v>
      </c>
      <c r="T2813" s="37"/>
    </row>
    <row r="2814" spans="15:20" x14ac:dyDescent="0.25">
      <c r="O2814" s="76"/>
      <c r="P2814" s="78"/>
      <c r="Q2814" s="77"/>
      <c r="R2814" s="78"/>
      <c r="S2814" s="36" t="e">
        <f>VLOOKUP(Tabla91116[[#This Row],[CODIGO DEL PRODUCTO]],Tabla797[],2,FALSE)</f>
        <v>#N/A</v>
      </c>
      <c r="T2814" s="37"/>
    </row>
    <row r="2815" spans="15:20" x14ac:dyDescent="0.25">
      <c r="O2815" s="76"/>
      <c r="P2815" s="78"/>
      <c r="Q2815" s="77"/>
      <c r="R2815" s="78"/>
      <c r="S2815" s="36" t="e">
        <f>VLOOKUP(Tabla91116[[#This Row],[CODIGO DEL PRODUCTO]],Tabla797[],2,FALSE)</f>
        <v>#N/A</v>
      </c>
      <c r="T2815" s="37"/>
    </row>
    <row r="2816" spans="15:20" x14ac:dyDescent="0.25">
      <c r="O2816" s="76"/>
      <c r="P2816" s="78"/>
      <c r="Q2816" s="77"/>
      <c r="R2816" s="78"/>
      <c r="S2816" s="36" t="e">
        <f>VLOOKUP(Tabla91116[[#This Row],[CODIGO DEL PRODUCTO]],Tabla797[],2,FALSE)</f>
        <v>#N/A</v>
      </c>
      <c r="T2816" s="37"/>
    </row>
    <row r="2817" spans="15:20" x14ac:dyDescent="0.25">
      <c r="O2817" s="76"/>
      <c r="P2817" s="78"/>
      <c r="Q2817" s="77"/>
      <c r="R2817" s="78"/>
      <c r="S2817" s="36" t="e">
        <f>VLOOKUP(Tabla91116[[#This Row],[CODIGO DEL PRODUCTO]],Tabla797[],2,FALSE)</f>
        <v>#N/A</v>
      </c>
      <c r="T2817" s="37"/>
    </row>
    <row r="2818" spans="15:20" x14ac:dyDescent="0.25">
      <c r="O2818" s="76"/>
      <c r="P2818" s="78"/>
      <c r="Q2818" s="77"/>
      <c r="R2818" s="78"/>
      <c r="S2818" s="36" t="e">
        <f>VLOOKUP(Tabla91116[[#This Row],[CODIGO DEL PRODUCTO]],Tabla797[],2,FALSE)</f>
        <v>#N/A</v>
      </c>
      <c r="T2818" s="37"/>
    </row>
    <row r="2819" spans="15:20" x14ac:dyDescent="0.25">
      <c r="O2819" s="76"/>
      <c r="P2819" s="78"/>
      <c r="Q2819" s="77"/>
      <c r="R2819" s="78"/>
      <c r="S2819" s="36" t="e">
        <f>VLOOKUP(Tabla91116[[#This Row],[CODIGO DEL PRODUCTO]],Tabla797[],2,FALSE)</f>
        <v>#N/A</v>
      </c>
      <c r="T2819" s="37"/>
    </row>
    <row r="2820" spans="15:20" x14ac:dyDescent="0.25">
      <c r="O2820" s="76"/>
      <c r="P2820" s="78"/>
      <c r="Q2820" s="77"/>
      <c r="R2820" s="78"/>
      <c r="S2820" s="36" t="e">
        <f>VLOOKUP(Tabla91116[[#This Row],[CODIGO DEL PRODUCTO]],Tabla797[],2,FALSE)</f>
        <v>#N/A</v>
      </c>
      <c r="T2820" s="37"/>
    </row>
    <row r="2821" spans="15:20" x14ac:dyDescent="0.25">
      <c r="O2821" s="76"/>
      <c r="P2821" s="78"/>
      <c r="Q2821" s="77"/>
      <c r="R2821" s="78"/>
      <c r="S2821" s="36" t="e">
        <f>VLOOKUP(Tabla91116[[#This Row],[CODIGO DEL PRODUCTO]],Tabla797[],2,FALSE)</f>
        <v>#N/A</v>
      </c>
      <c r="T2821" s="37"/>
    </row>
    <row r="2822" spans="15:20" x14ac:dyDescent="0.25">
      <c r="O2822" s="76"/>
      <c r="P2822" s="78"/>
      <c r="Q2822" s="77"/>
      <c r="R2822" s="78"/>
      <c r="S2822" s="36" t="e">
        <f>VLOOKUP(Tabla91116[[#This Row],[CODIGO DEL PRODUCTO]],Tabla797[],2,FALSE)</f>
        <v>#N/A</v>
      </c>
      <c r="T2822" s="37"/>
    </row>
    <row r="2823" spans="15:20" x14ac:dyDescent="0.25">
      <c r="O2823" s="76"/>
      <c r="P2823" s="78"/>
      <c r="Q2823" s="77"/>
      <c r="R2823" s="78"/>
      <c r="S2823" s="36" t="e">
        <f>VLOOKUP(Tabla91116[[#This Row],[CODIGO DEL PRODUCTO]],Tabla797[],2,FALSE)</f>
        <v>#N/A</v>
      </c>
      <c r="T2823" s="37"/>
    </row>
    <row r="2824" spans="15:20" x14ac:dyDescent="0.25">
      <c r="O2824" s="76"/>
      <c r="P2824" s="78"/>
      <c r="Q2824" s="77"/>
      <c r="R2824" s="78"/>
      <c r="S2824" s="36" t="e">
        <f>VLOOKUP(Tabla91116[[#This Row],[CODIGO DEL PRODUCTO]],Tabla797[],2,FALSE)</f>
        <v>#N/A</v>
      </c>
      <c r="T2824" s="37"/>
    </row>
    <row r="2825" spans="15:20" x14ac:dyDescent="0.25">
      <c r="O2825" s="76"/>
      <c r="P2825" s="78"/>
      <c r="Q2825" s="77"/>
      <c r="R2825" s="78"/>
      <c r="S2825" s="36" t="e">
        <f>VLOOKUP(Tabla91116[[#This Row],[CODIGO DEL PRODUCTO]],Tabla797[],2,FALSE)</f>
        <v>#N/A</v>
      </c>
      <c r="T2825" s="37"/>
    </row>
    <row r="2826" spans="15:20" x14ac:dyDescent="0.25">
      <c r="O2826" s="76"/>
      <c r="P2826" s="78"/>
      <c r="Q2826" s="77"/>
      <c r="R2826" s="78"/>
      <c r="S2826" s="36" t="e">
        <f>VLOOKUP(Tabla91116[[#This Row],[CODIGO DEL PRODUCTO]],Tabla797[],2,FALSE)</f>
        <v>#N/A</v>
      </c>
      <c r="T2826" s="37"/>
    </row>
    <row r="2827" spans="15:20" x14ac:dyDescent="0.25">
      <c r="O2827" s="76"/>
      <c r="P2827" s="78"/>
      <c r="Q2827" s="77"/>
      <c r="R2827" s="78"/>
      <c r="S2827" s="36" t="e">
        <f>VLOOKUP(Tabla91116[[#This Row],[CODIGO DEL PRODUCTO]],Tabla797[],2,FALSE)</f>
        <v>#N/A</v>
      </c>
      <c r="T2827" s="37"/>
    </row>
    <row r="2828" spans="15:20" x14ac:dyDescent="0.25">
      <c r="O2828" s="76"/>
      <c r="P2828" s="78"/>
      <c r="Q2828" s="77"/>
      <c r="R2828" s="78"/>
      <c r="S2828" s="36" t="e">
        <f>VLOOKUP(Tabla91116[[#This Row],[CODIGO DEL PRODUCTO]],Tabla797[],2,FALSE)</f>
        <v>#N/A</v>
      </c>
      <c r="T2828" s="37"/>
    </row>
    <row r="2829" spans="15:20" x14ac:dyDescent="0.25">
      <c r="O2829" s="76"/>
      <c r="P2829" s="78"/>
      <c r="Q2829" s="77"/>
      <c r="R2829" s="78"/>
      <c r="S2829" s="36" t="e">
        <f>VLOOKUP(Tabla91116[[#This Row],[CODIGO DEL PRODUCTO]],Tabla797[],2,FALSE)</f>
        <v>#N/A</v>
      </c>
      <c r="T2829" s="37"/>
    </row>
    <row r="2830" spans="15:20" x14ac:dyDescent="0.25">
      <c r="O2830" s="76"/>
      <c r="P2830" s="78"/>
      <c r="Q2830" s="77"/>
      <c r="R2830" s="78"/>
      <c r="S2830" s="36" t="e">
        <f>VLOOKUP(Tabla91116[[#This Row],[CODIGO DEL PRODUCTO]],Tabla797[],2,FALSE)</f>
        <v>#N/A</v>
      </c>
      <c r="T2830" s="37"/>
    </row>
    <row r="2831" spans="15:20" x14ac:dyDescent="0.25">
      <c r="O2831" s="76"/>
      <c r="P2831" s="78"/>
      <c r="Q2831" s="77"/>
      <c r="R2831" s="78"/>
      <c r="S2831" s="36" t="e">
        <f>VLOOKUP(Tabla91116[[#This Row],[CODIGO DEL PRODUCTO]],Tabla797[],2,FALSE)</f>
        <v>#N/A</v>
      </c>
      <c r="T2831" s="37"/>
    </row>
    <row r="2832" spans="15:20" x14ac:dyDescent="0.25">
      <c r="O2832" s="76"/>
      <c r="P2832" s="78"/>
      <c r="Q2832" s="77"/>
      <c r="R2832" s="78"/>
      <c r="S2832" s="36" t="e">
        <f>VLOOKUP(Tabla91116[[#This Row],[CODIGO DEL PRODUCTO]],Tabla797[],2,FALSE)</f>
        <v>#N/A</v>
      </c>
      <c r="T2832" s="37"/>
    </row>
    <row r="2833" spans="15:20" x14ac:dyDescent="0.25">
      <c r="O2833" s="76"/>
      <c r="P2833" s="78"/>
      <c r="Q2833" s="77"/>
      <c r="R2833" s="78"/>
      <c r="S2833" s="36" t="e">
        <f>VLOOKUP(Tabla91116[[#This Row],[CODIGO DEL PRODUCTO]],Tabla797[],2,FALSE)</f>
        <v>#N/A</v>
      </c>
      <c r="T2833" s="37"/>
    </row>
    <row r="2834" spans="15:20" x14ac:dyDescent="0.25">
      <c r="O2834" s="76"/>
      <c r="P2834" s="78"/>
      <c r="Q2834" s="77"/>
      <c r="R2834" s="78"/>
      <c r="S2834" s="36" t="e">
        <f>VLOOKUP(Tabla91116[[#This Row],[CODIGO DEL PRODUCTO]],Tabla797[],2,FALSE)</f>
        <v>#N/A</v>
      </c>
      <c r="T2834" s="37"/>
    </row>
    <row r="2835" spans="15:20" x14ac:dyDescent="0.25">
      <c r="O2835" s="76"/>
      <c r="P2835" s="78"/>
      <c r="Q2835" s="77"/>
      <c r="R2835" s="78"/>
      <c r="S2835" s="36" t="e">
        <f>VLOOKUP(Tabla91116[[#This Row],[CODIGO DEL PRODUCTO]],Tabla797[],2,FALSE)</f>
        <v>#N/A</v>
      </c>
      <c r="T2835" s="37"/>
    </row>
    <row r="2836" spans="15:20" x14ac:dyDescent="0.25">
      <c r="O2836" s="76"/>
      <c r="P2836" s="78"/>
      <c r="Q2836" s="77"/>
      <c r="R2836" s="78"/>
      <c r="S2836" s="36" t="e">
        <f>VLOOKUP(Tabla91116[[#This Row],[CODIGO DEL PRODUCTO]],Tabla797[],2,FALSE)</f>
        <v>#N/A</v>
      </c>
      <c r="T2836" s="37"/>
    </row>
    <row r="2837" spans="15:20" x14ac:dyDescent="0.25">
      <c r="O2837" s="76"/>
      <c r="P2837" s="78"/>
      <c r="Q2837" s="77"/>
      <c r="R2837" s="78"/>
      <c r="S2837" s="36" t="e">
        <f>VLOOKUP(Tabla91116[[#This Row],[CODIGO DEL PRODUCTO]],Tabla797[],2,FALSE)</f>
        <v>#N/A</v>
      </c>
      <c r="T2837" s="37"/>
    </row>
    <row r="2838" spans="15:20" x14ac:dyDescent="0.25">
      <c r="O2838" s="76"/>
      <c r="P2838" s="78"/>
      <c r="Q2838" s="77"/>
      <c r="R2838" s="78"/>
      <c r="S2838" s="36" t="e">
        <f>VLOOKUP(Tabla91116[[#This Row],[CODIGO DEL PRODUCTO]],Tabla797[],2,FALSE)</f>
        <v>#N/A</v>
      </c>
      <c r="T2838" s="37"/>
    </row>
    <row r="2839" spans="15:20" x14ac:dyDescent="0.25">
      <c r="O2839" s="76"/>
      <c r="P2839" s="78"/>
      <c r="Q2839" s="77"/>
      <c r="R2839" s="78"/>
      <c r="S2839" s="36" t="e">
        <f>VLOOKUP(Tabla91116[[#This Row],[CODIGO DEL PRODUCTO]],Tabla797[],2,FALSE)</f>
        <v>#N/A</v>
      </c>
      <c r="T2839" s="37"/>
    </row>
    <row r="2840" spans="15:20" x14ac:dyDescent="0.25">
      <c r="O2840" s="76"/>
      <c r="P2840" s="78"/>
      <c r="Q2840" s="77"/>
      <c r="R2840" s="78"/>
      <c r="S2840" s="36" t="e">
        <f>VLOOKUP(Tabla91116[[#This Row],[CODIGO DEL PRODUCTO]],Tabla797[],2,FALSE)</f>
        <v>#N/A</v>
      </c>
      <c r="T2840" s="37"/>
    </row>
    <row r="2841" spans="15:20" x14ac:dyDescent="0.25">
      <c r="O2841" s="76"/>
      <c r="P2841" s="78"/>
      <c r="Q2841" s="77"/>
      <c r="R2841" s="78"/>
      <c r="S2841" s="36" t="e">
        <f>VLOOKUP(Tabla91116[[#This Row],[CODIGO DEL PRODUCTO]],Tabla797[],2,FALSE)</f>
        <v>#N/A</v>
      </c>
      <c r="T2841" s="37"/>
    </row>
    <row r="2842" spans="15:20" x14ac:dyDescent="0.25">
      <c r="O2842" s="76"/>
      <c r="P2842" s="78"/>
      <c r="Q2842" s="77"/>
      <c r="R2842" s="78"/>
      <c r="S2842" s="36" t="e">
        <f>VLOOKUP(Tabla91116[[#This Row],[CODIGO DEL PRODUCTO]],Tabla797[],2,FALSE)</f>
        <v>#N/A</v>
      </c>
      <c r="T2842" s="37"/>
    </row>
    <row r="2843" spans="15:20" x14ac:dyDescent="0.25">
      <c r="O2843" s="76"/>
      <c r="P2843" s="78"/>
      <c r="Q2843" s="77"/>
      <c r="R2843" s="78"/>
      <c r="S2843" s="36" t="e">
        <f>VLOOKUP(Tabla91116[[#This Row],[CODIGO DEL PRODUCTO]],Tabla797[],2,FALSE)</f>
        <v>#N/A</v>
      </c>
      <c r="T2843" s="37"/>
    </row>
    <row r="2844" spans="15:20" x14ac:dyDescent="0.25">
      <c r="O2844" s="76"/>
      <c r="P2844" s="78"/>
      <c r="Q2844" s="77"/>
      <c r="R2844" s="78"/>
      <c r="S2844" s="36" t="e">
        <f>VLOOKUP(Tabla91116[[#This Row],[CODIGO DEL PRODUCTO]],Tabla797[],2,FALSE)</f>
        <v>#N/A</v>
      </c>
      <c r="T2844" s="37"/>
    </row>
    <row r="2845" spans="15:20" x14ac:dyDescent="0.25">
      <c r="O2845" s="76"/>
      <c r="P2845" s="78"/>
      <c r="Q2845" s="77"/>
      <c r="R2845" s="78"/>
      <c r="S2845" s="36" t="e">
        <f>VLOOKUP(Tabla91116[[#This Row],[CODIGO DEL PRODUCTO]],Tabla797[],2,FALSE)</f>
        <v>#N/A</v>
      </c>
      <c r="T2845" s="37"/>
    </row>
    <row r="2846" spans="15:20" x14ac:dyDescent="0.25">
      <c r="O2846" s="76"/>
      <c r="P2846" s="78"/>
      <c r="Q2846" s="77"/>
      <c r="R2846" s="78"/>
      <c r="S2846" s="36" t="e">
        <f>VLOOKUP(Tabla91116[[#This Row],[CODIGO DEL PRODUCTO]],Tabla797[],2,FALSE)</f>
        <v>#N/A</v>
      </c>
      <c r="T2846" s="37"/>
    </row>
    <row r="2847" spans="15:20" x14ac:dyDescent="0.25">
      <c r="O2847" s="76"/>
      <c r="P2847" s="78"/>
      <c r="Q2847" s="77"/>
      <c r="R2847" s="78"/>
      <c r="S2847" s="36" t="e">
        <f>VLOOKUP(Tabla91116[[#This Row],[CODIGO DEL PRODUCTO]],Tabla797[],2,FALSE)</f>
        <v>#N/A</v>
      </c>
      <c r="T2847" s="37"/>
    </row>
    <row r="2848" spans="15:20" x14ac:dyDescent="0.25">
      <c r="O2848" s="76"/>
      <c r="P2848" s="78"/>
      <c r="Q2848" s="77"/>
      <c r="R2848" s="78"/>
      <c r="S2848" s="36" t="e">
        <f>VLOOKUP(Tabla91116[[#This Row],[CODIGO DEL PRODUCTO]],Tabla797[],2,FALSE)</f>
        <v>#N/A</v>
      </c>
      <c r="T2848" s="37"/>
    </row>
    <row r="2849" spans="15:20" x14ac:dyDescent="0.25">
      <c r="O2849" s="76"/>
      <c r="P2849" s="78"/>
      <c r="Q2849" s="77"/>
      <c r="R2849" s="78"/>
      <c r="S2849" s="36" t="e">
        <f>VLOOKUP(Tabla91116[[#This Row],[CODIGO DEL PRODUCTO]],Tabla797[],2,FALSE)</f>
        <v>#N/A</v>
      </c>
      <c r="T2849" s="37"/>
    </row>
    <row r="2850" spans="15:20" x14ac:dyDescent="0.25">
      <c r="O2850" s="76"/>
      <c r="P2850" s="78"/>
      <c r="Q2850" s="77"/>
      <c r="R2850" s="78"/>
      <c r="S2850" s="36" t="e">
        <f>VLOOKUP(Tabla91116[[#This Row],[CODIGO DEL PRODUCTO]],Tabla797[],2,FALSE)</f>
        <v>#N/A</v>
      </c>
      <c r="T2850" s="37"/>
    </row>
    <row r="2851" spans="15:20" x14ac:dyDescent="0.25">
      <c r="O2851" s="76"/>
      <c r="P2851" s="78"/>
      <c r="Q2851" s="77"/>
      <c r="R2851" s="78"/>
      <c r="S2851" s="36" t="e">
        <f>VLOOKUP(Tabla91116[[#This Row],[CODIGO DEL PRODUCTO]],Tabla797[],2,FALSE)</f>
        <v>#N/A</v>
      </c>
      <c r="T2851" s="37"/>
    </row>
    <row r="2852" spans="15:20" x14ac:dyDescent="0.25">
      <c r="O2852" s="76"/>
      <c r="P2852" s="78"/>
      <c r="Q2852" s="77"/>
      <c r="R2852" s="78"/>
      <c r="S2852" s="36" t="e">
        <f>VLOOKUP(Tabla91116[[#This Row],[CODIGO DEL PRODUCTO]],Tabla797[],2,FALSE)</f>
        <v>#N/A</v>
      </c>
      <c r="T2852" s="37"/>
    </row>
    <row r="2853" spans="15:20" x14ac:dyDescent="0.25">
      <c r="O2853" s="76"/>
      <c r="P2853" s="78"/>
      <c r="Q2853" s="77"/>
      <c r="R2853" s="78"/>
      <c r="S2853" s="36" t="e">
        <f>VLOOKUP(Tabla91116[[#This Row],[CODIGO DEL PRODUCTO]],Tabla797[],2,FALSE)</f>
        <v>#N/A</v>
      </c>
      <c r="T2853" s="37"/>
    </row>
    <row r="2854" spans="15:20" x14ac:dyDescent="0.25">
      <c r="O2854" s="76"/>
      <c r="P2854" s="78"/>
      <c r="Q2854" s="77"/>
      <c r="R2854" s="78"/>
      <c r="S2854" s="36" t="e">
        <f>VLOOKUP(Tabla91116[[#This Row],[CODIGO DEL PRODUCTO]],Tabla797[],2,FALSE)</f>
        <v>#N/A</v>
      </c>
      <c r="T2854" s="37"/>
    </row>
    <row r="2855" spans="15:20" x14ac:dyDescent="0.25">
      <c r="O2855" s="76"/>
      <c r="P2855" s="78"/>
      <c r="Q2855" s="77"/>
      <c r="R2855" s="78"/>
      <c r="S2855" s="36" t="e">
        <f>VLOOKUP(Tabla91116[[#This Row],[CODIGO DEL PRODUCTO]],Tabla797[],2,FALSE)</f>
        <v>#N/A</v>
      </c>
      <c r="T2855" s="37"/>
    </row>
    <row r="2856" spans="15:20" x14ac:dyDescent="0.25">
      <c r="O2856" s="76"/>
      <c r="P2856" s="78"/>
      <c r="Q2856" s="77"/>
      <c r="R2856" s="78"/>
      <c r="S2856" s="36" t="e">
        <f>VLOOKUP(Tabla91116[[#This Row],[CODIGO DEL PRODUCTO]],Tabla797[],2,FALSE)</f>
        <v>#N/A</v>
      </c>
      <c r="T2856" s="37"/>
    </row>
    <row r="2857" spans="15:20" x14ac:dyDescent="0.25">
      <c r="O2857" s="76"/>
      <c r="P2857" s="78"/>
      <c r="Q2857" s="77"/>
      <c r="R2857" s="78"/>
      <c r="S2857" s="36" t="e">
        <f>VLOOKUP(Tabla91116[[#This Row],[CODIGO DEL PRODUCTO]],Tabla797[],2,FALSE)</f>
        <v>#N/A</v>
      </c>
      <c r="T2857" s="37"/>
    </row>
    <row r="2858" spans="15:20" x14ac:dyDescent="0.25">
      <c r="O2858" s="76"/>
      <c r="P2858" s="78"/>
      <c r="Q2858" s="77"/>
      <c r="R2858" s="78"/>
      <c r="S2858" s="36" t="e">
        <f>VLOOKUP(Tabla91116[[#This Row],[CODIGO DEL PRODUCTO]],Tabla797[],2,FALSE)</f>
        <v>#N/A</v>
      </c>
      <c r="T2858" s="37"/>
    </row>
    <row r="2859" spans="15:20" x14ac:dyDescent="0.25">
      <c r="O2859" s="76"/>
      <c r="P2859" s="78"/>
      <c r="Q2859" s="77"/>
      <c r="R2859" s="78"/>
      <c r="S2859" s="36" t="e">
        <f>VLOOKUP(Tabla91116[[#This Row],[CODIGO DEL PRODUCTO]],Tabla797[],2,FALSE)</f>
        <v>#N/A</v>
      </c>
      <c r="T2859" s="37"/>
    </row>
    <row r="2860" spans="15:20" x14ac:dyDescent="0.25">
      <c r="O2860" s="76"/>
      <c r="P2860" s="78"/>
      <c r="Q2860" s="77"/>
      <c r="R2860" s="78"/>
      <c r="S2860" s="36" t="e">
        <f>VLOOKUP(Tabla91116[[#This Row],[CODIGO DEL PRODUCTO]],Tabla797[],2,FALSE)</f>
        <v>#N/A</v>
      </c>
      <c r="T2860" s="37"/>
    </row>
    <row r="2861" spans="15:20" x14ac:dyDescent="0.25">
      <c r="O2861" s="76"/>
      <c r="P2861" s="78"/>
      <c r="Q2861" s="77"/>
      <c r="R2861" s="78"/>
      <c r="S2861" s="36" t="e">
        <f>VLOOKUP(Tabla91116[[#This Row],[CODIGO DEL PRODUCTO]],Tabla797[],2,FALSE)</f>
        <v>#N/A</v>
      </c>
      <c r="T2861" s="37"/>
    </row>
    <row r="2862" spans="15:20" x14ac:dyDescent="0.25">
      <c r="O2862" s="76"/>
      <c r="P2862" s="78"/>
      <c r="Q2862" s="77"/>
      <c r="R2862" s="78"/>
      <c r="S2862" s="36" t="e">
        <f>VLOOKUP(Tabla91116[[#This Row],[CODIGO DEL PRODUCTO]],Tabla797[],2,FALSE)</f>
        <v>#N/A</v>
      </c>
      <c r="T2862" s="37"/>
    </row>
    <row r="2863" spans="15:20" x14ac:dyDescent="0.25">
      <c r="O2863" s="76"/>
      <c r="P2863" s="78"/>
      <c r="Q2863" s="77"/>
      <c r="R2863" s="78"/>
      <c r="S2863" s="36" t="e">
        <f>VLOOKUP(Tabla91116[[#This Row],[CODIGO DEL PRODUCTO]],Tabla797[],2,FALSE)</f>
        <v>#N/A</v>
      </c>
      <c r="T2863" s="37"/>
    </row>
    <row r="2864" spans="15:20" x14ac:dyDescent="0.25">
      <c r="O2864" s="76"/>
      <c r="P2864" s="78"/>
      <c r="Q2864" s="77"/>
      <c r="R2864" s="78"/>
      <c r="S2864" s="36" t="e">
        <f>VLOOKUP(Tabla91116[[#This Row],[CODIGO DEL PRODUCTO]],Tabla797[],2,FALSE)</f>
        <v>#N/A</v>
      </c>
      <c r="T2864" s="37"/>
    </row>
    <row r="2865" spans="15:20" x14ac:dyDescent="0.25">
      <c r="O2865" s="76"/>
      <c r="P2865" s="78"/>
      <c r="Q2865" s="77"/>
      <c r="R2865" s="78"/>
      <c r="S2865" s="36" t="e">
        <f>VLOOKUP(Tabla91116[[#This Row],[CODIGO DEL PRODUCTO]],Tabla797[],2,FALSE)</f>
        <v>#N/A</v>
      </c>
      <c r="T2865" s="37"/>
    </row>
    <row r="2866" spans="15:20" x14ac:dyDescent="0.25">
      <c r="O2866" s="76"/>
      <c r="P2866" s="78"/>
      <c r="Q2866" s="77"/>
      <c r="R2866" s="78"/>
      <c r="S2866" s="36" t="e">
        <f>VLOOKUP(Tabla91116[[#This Row],[CODIGO DEL PRODUCTO]],Tabla797[],2,FALSE)</f>
        <v>#N/A</v>
      </c>
      <c r="T2866" s="37"/>
    </row>
    <row r="2867" spans="15:20" x14ac:dyDescent="0.25">
      <c r="O2867" s="76"/>
      <c r="P2867" s="78"/>
      <c r="Q2867" s="77"/>
      <c r="R2867" s="78"/>
      <c r="S2867" s="36" t="e">
        <f>VLOOKUP(Tabla91116[[#This Row],[CODIGO DEL PRODUCTO]],Tabla797[],2,FALSE)</f>
        <v>#N/A</v>
      </c>
      <c r="T2867" s="37"/>
    </row>
    <row r="2868" spans="15:20" x14ac:dyDescent="0.25">
      <c r="O2868" s="76"/>
      <c r="P2868" s="78"/>
      <c r="Q2868" s="77"/>
      <c r="R2868" s="78"/>
      <c r="S2868" s="36" t="e">
        <f>VLOOKUP(Tabla91116[[#This Row],[CODIGO DEL PRODUCTO]],Tabla797[],2,FALSE)</f>
        <v>#N/A</v>
      </c>
      <c r="T2868" s="37"/>
    </row>
    <row r="2869" spans="15:20" x14ac:dyDescent="0.25">
      <c r="O2869" s="76"/>
      <c r="P2869" s="78"/>
      <c r="Q2869" s="77"/>
      <c r="R2869" s="78"/>
      <c r="S2869" s="36" t="e">
        <f>VLOOKUP(Tabla91116[[#This Row],[CODIGO DEL PRODUCTO]],Tabla797[],2,FALSE)</f>
        <v>#N/A</v>
      </c>
      <c r="T2869" s="37"/>
    </row>
    <row r="2870" spans="15:20" x14ac:dyDescent="0.25">
      <c r="O2870" s="76"/>
      <c r="P2870" s="78"/>
      <c r="Q2870" s="77"/>
      <c r="R2870" s="78"/>
      <c r="S2870" s="36" t="e">
        <f>VLOOKUP(Tabla91116[[#This Row],[CODIGO DEL PRODUCTO]],Tabla797[],2,FALSE)</f>
        <v>#N/A</v>
      </c>
      <c r="T2870" s="37"/>
    </row>
    <row r="2871" spans="15:20" x14ac:dyDescent="0.25">
      <c r="O2871" s="76"/>
      <c r="P2871" s="78"/>
      <c r="Q2871" s="77"/>
      <c r="R2871" s="78"/>
      <c r="S2871" s="36" t="e">
        <f>VLOOKUP(Tabla91116[[#This Row],[CODIGO DEL PRODUCTO]],Tabla797[],2,FALSE)</f>
        <v>#N/A</v>
      </c>
      <c r="T2871" s="37"/>
    </row>
    <row r="2872" spans="15:20" x14ac:dyDescent="0.25">
      <c r="O2872" s="76"/>
      <c r="P2872" s="78"/>
      <c r="Q2872" s="77"/>
      <c r="R2872" s="78"/>
      <c r="S2872" s="36" t="e">
        <f>VLOOKUP(Tabla91116[[#This Row],[CODIGO DEL PRODUCTO]],Tabla797[],2,FALSE)</f>
        <v>#N/A</v>
      </c>
      <c r="T2872" s="37"/>
    </row>
    <row r="2873" spans="15:20" x14ac:dyDescent="0.25">
      <c r="O2873" s="76"/>
      <c r="P2873" s="78"/>
      <c r="Q2873" s="77"/>
      <c r="R2873" s="78"/>
      <c r="S2873" s="36" t="e">
        <f>VLOOKUP(Tabla91116[[#This Row],[CODIGO DEL PRODUCTO]],Tabla797[],2,FALSE)</f>
        <v>#N/A</v>
      </c>
      <c r="T2873" s="37"/>
    </row>
    <row r="2874" spans="15:20" x14ac:dyDescent="0.25">
      <c r="O2874" s="76"/>
      <c r="P2874" s="78"/>
      <c r="Q2874" s="77"/>
      <c r="R2874" s="78"/>
      <c r="S2874" s="36" t="e">
        <f>VLOOKUP(Tabla91116[[#This Row],[CODIGO DEL PRODUCTO]],Tabla797[],2,FALSE)</f>
        <v>#N/A</v>
      </c>
      <c r="T2874" s="37"/>
    </row>
    <row r="2875" spans="15:20" x14ac:dyDescent="0.25">
      <c r="O2875" s="76"/>
      <c r="P2875" s="78"/>
      <c r="Q2875" s="77"/>
      <c r="R2875" s="78"/>
      <c r="S2875" s="36" t="e">
        <f>VLOOKUP(Tabla91116[[#This Row],[CODIGO DEL PRODUCTO]],Tabla797[],2,FALSE)</f>
        <v>#N/A</v>
      </c>
      <c r="T2875" s="37"/>
    </row>
    <row r="2876" spans="15:20" x14ac:dyDescent="0.25">
      <c r="O2876" s="76"/>
      <c r="P2876" s="78"/>
      <c r="Q2876" s="77"/>
      <c r="R2876" s="78"/>
      <c r="S2876" s="36" t="e">
        <f>VLOOKUP(Tabla91116[[#This Row],[CODIGO DEL PRODUCTO]],Tabla797[],2,FALSE)</f>
        <v>#N/A</v>
      </c>
      <c r="T2876" s="37"/>
    </row>
    <row r="2877" spans="15:20" x14ac:dyDescent="0.25">
      <c r="O2877" s="76"/>
      <c r="P2877" s="78"/>
      <c r="Q2877" s="77"/>
      <c r="R2877" s="78"/>
      <c r="S2877" s="36" t="e">
        <f>VLOOKUP(Tabla91116[[#This Row],[CODIGO DEL PRODUCTO]],Tabla797[],2,FALSE)</f>
        <v>#N/A</v>
      </c>
      <c r="T2877" s="37"/>
    </row>
    <row r="2878" spans="15:20" x14ac:dyDescent="0.25">
      <c r="O2878" s="76"/>
      <c r="P2878" s="78"/>
      <c r="Q2878" s="77"/>
      <c r="R2878" s="78"/>
      <c r="S2878" s="36" t="e">
        <f>VLOOKUP(Tabla91116[[#This Row],[CODIGO DEL PRODUCTO]],Tabla797[],2,FALSE)</f>
        <v>#N/A</v>
      </c>
      <c r="T2878" s="37"/>
    </row>
    <row r="2879" spans="15:20" x14ac:dyDescent="0.25">
      <c r="O2879" s="76"/>
      <c r="P2879" s="78"/>
      <c r="Q2879" s="77"/>
      <c r="R2879" s="78"/>
      <c r="S2879" s="36" t="e">
        <f>VLOOKUP(Tabla91116[[#This Row],[CODIGO DEL PRODUCTO]],Tabla797[],2,FALSE)</f>
        <v>#N/A</v>
      </c>
      <c r="T2879" s="37"/>
    </row>
    <row r="2880" spans="15:20" x14ac:dyDescent="0.25">
      <c r="O2880" s="76"/>
      <c r="P2880" s="78"/>
      <c r="Q2880" s="77"/>
      <c r="R2880" s="78"/>
      <c r="S2880" s="36" t="e">
        <f>VLOOKUP(Tabla91116[[#This Row],[CODIGO DEL PRODUCTO]],Tabla797[],2,FALSE)</f>
        <v>#N/A</v>
      </c>
      <c r="T2880" s="37"/>
    </row>
    <row r="2881" spans="15:20" x14ac:dyDescent="0.25">
      <c r="O2881" s="76"/>
      <c r="P2881" s="78"/>
      <c r="Q2881" s="77"/>
      <c r="R2881" s="78"/>
      <c r="S2881" s="36" t="e">
        <f>VLOOKUP(Tabla91116[[#This Row],[CODIGO DEL PRODUCTO]],Tabla797[],2,FALSE)</f>
        <v>#N/A</v>
      </c>
      <c r="T2881" s="37"/>
    </row>
    <row r="2882" spans="15:20" x14ac:dyDescent="0.25">
      <c r="O2882" s="76"/>
      <c r="P2882" s="78"/>
      <c r="Q2882" s="77"/>
      <c r="R2882" s="78"/>
      <c r="S2882" s="36" t="e">
        <f>VLOOKUP(Tabla91116[[#This Row],[CODIGO DEL PRODUCTO]],Tabla797[],2,FALSE)</f>
        <v>#N/A</v>
      </c>
      <c r="T2882" s="37"/>
    </row>
    <row r="2883" spans="15:20" x14ac:dyDescent="0.25">
      <c r="O2883" s="76"/>
      <c r="P2883" s="78"/>
      <c r="Q2883" s="77"/>
      <c r="R2883" s="78"/>
      <c r="S2883" s="36" t="e">
        <f>VLOOKUP(Tabla91116[[#This Row],[CODIGO DEL PRODUCTO]],Tabla797[],2,FALSE)</f>
        <v>#N/A</v>
      </c>
      <c r="T2883" s="37"/>
    </row>
    <row r="2884" spans="15:20" x14ac:dyDescent="0.25">
      <c r="O2884" s="76"/>
      <c r="P2884" s="78"/>
      <c r="Q2884" s="77"/>
      <c r="R2884" s="78"/>
      <c r="S2884" s="36" t="e">
        <f>VLOOKUP(Tabla91116[[#This Row],[CODIGO DEL PRODUCTO]],Tabla797[],2,FALSE)</f>
        <v>#N/A</v>
      </c>
      <c r="T2884" s="37"/>
    </row>
    <row r="2885" spans="15:20" x14ac:dyDescent="0.25">
      <c r="O2885" s="76"/>
      <c r="P2885" s="78"/>
      <c r="Q2885" s="77"/>
      <c r="R2885" s="78"/>
      <c r="S2885" s="36" t="e">
        <f>VLOOKUP(Tabla91116[[#This Row],[CODIGO DEL PRODUCTO]],Tabla797[],2,FALSE)</f>
        <v>#N/A</v>
      </c>
      <c r="T2885" s="37"/>
    </row>
    <row r="2886" spans="15:20" x14ac:dyDescent="0.25">
      <c r="O2886" s="76"/>
      <c r="P2886" s="78"/>
      <c r="Q2886" s="77"/>
      <c r="R2886" s="78"/>
      <c r="S2886" s="36" t="e">
        <f>VLOOKUP(Tabla91116[[#This Row],[CODIGO DEL PRODUCTO]],Tabla797[],2,FALSE)</f>
        <v>#N/A</v>
      </c>
      <c r="T2886" s="37"/>
    </row>
    <row r="2887" spans="15:20" x14ac:dyDescent="0.25">
      <c r="O2887" s="76"/>
      <c r="P2887" s="78"/>
      <c r="Q2887" s="77"/>
      <c r="R2887" s="78"/>
      <c r="S2887" s="36" t="e">
        <f>VLOOKUP(Tabla91116[[#This Row],[CODIGO DEL PRODUCTO]],Tabla797[],2,FALSE)</f>
        <v>#N/A</v>
      </c>
      <c r="T2887" s="37"/>
    </row>
    <row r="2888" spans="15:20" x14ac:dyDescent="0.25">
      <c r="O2888" s="76"/>
      <c r="P2888" s="78"/>
      <c r="Q2888" s="77"/>
      <c r="R2888" s="78"/>
      <c r="S2888" s="36" t="e">
        <f>VLOOKUP(Tabla91116[[#This Row],[CODIGO DEL PRODUCTO]],Tabla797[],2,FALSE)</f>
        <v>#N/A</v>
      </c>
      <c r="T2888" s="37"/>
    </row>
    <row r="2889" spans="15:20" x14ac:dyDescent="0.25">
      <c r="O2889" s="76"/>
      <c r="P2889" s="78"/>
      <c r="Q2889" s="77"/>
      <c r="R2889" s="78"/>
      <c r="S2889" s="36" t="e">
        <f>VLOOKUP(Tabla91116[[#This Row],[CODIGO DEL PRODUCTO]],Tabla797[],2,FALSE)</f>
        <v>#N/A</v>
      </c>
      <c r="T2889" s="37"/>
    </row>
    <row r="2890" spans="15:20" x14ac:dyDescent="0.25">
      <c r="O2890" s="76"/>
      <c r="P2890" s="78"/>
      <c r="Q2890" s="77"/>
      <c r="R2890" s="78"/>
      <c r="S2890" s="36" t="e">
        <f>VLOOKUP(Tabla91116[[#This Row],[CODIGO DEL PRODUCTO]],Tabla797[],2,FALSE)</f>
        <v>#N/A</v>
      </c>
      <c r="T2890" s="37"/>
    </row>
    <row r="2891" spans="15:20" x14ac:dyDescent="0.25">
      <c r="O2891" s="76"/>
      <c r="P2891" s="78"/>
      <c r="Q2891" s="77"/>
      <c r="R2891" s="78"/>
      <c r="S2891" s="36" t="e">
        <f>VLOOKUP(Tabla91116[[#This Row],[CODIGO DEL PRODUCTO]],Tabla797[],2,FALSE)</f>
        <v>#N/A</v>
      </c>
      <c r="T2891" s="37"/>
    </row>
    <row r="2892" spans="15:20" x14ac:dyDescent="0.25">
      <c r="O2892" s="76"/>
      <c r="P2892" s="78"/>
      <c r="Q2892" s="77"/>
      <c r="R2892" s="78"/>
      <c r="S2892" s="36" t="e">
        <f>VLOOKUP(Tabla91116[[#This Row],[CODIGO DEL PRODUCTO]],Tabla797[],2,FALSE)</f>
        <v>#N/A</v>
      </c>
      <c r="T2892" s="37"/>
    </row>
    <row r="2893" spans="15:20" x14ac:dyDescent="0.25">
      <c r="O2893" s="76"/>
      <c r="P2893" s="78"/>
      <c r="Q2893" s="77"/>
      <c r="R2893" s="78"/>
      <c r="S2893" s="36" t="e">
        <f>VLOOKUP(Tabla91116[[#This Row],[CODIGO DEL PRODUCTO]],Tabla797[],2,FALSE)</f>
        <v>#N/A</v>
      </c>
      <c r="T2893" s="37"/>
    </row>
    <row r="2894" spans="15:20" x14ac:dyDescent="0.25">
      <c r="O2894" s="76"/>
      <c r="P2894" s="78"/>
      <c r="Q2894" s="77"/>
      <c r="R2894" s="78"/>
      <c r="S2894" s="36" t="e">
        <f>VLOOKUP(Tabla91116[[#This Row],[CODIGO DEL PRODUCTO]],Tabla797[],2,FALSE)</f>
        <v>#N/A</v>
      </c>
      <c r="T2894" s="37"/>
    </row>
    <row r="2895" spans="15:20" x14ac:dyDescent="0.25">
      <c r="O2895" s="76"/>
      <c r="P2895" s="78"/>
      <c r="Q2895" s="77"/>
      <c r="R2895" s="78"/>
      <c r="S2895" s="36" t="e">
        <f>VLOOKUP(Tabla91116[[#This Row],[CODIGO DEL PRODUCTO]],Tabla797[],2,FALSE)</f>
        <v>#N/A</v>
      </c>
      <c r="T2895" s="37"/>
    </row>
    <row r="2896" spans="15:20" x14ac:dyDescent="0.25">
      <c r="O2896" s="76"/>
      <c r="P2896" s="78"/>
      <c r="Q2896" s="77"/>
      <c r="R2896" s="78"/>
      <c r="S2896" s="36" t="e">
        <f>VLOOKUP(Tabla91116[[#This Row],[CODIGO DEL PRODUCTO]],Tabla797[],2,FALSE)</f>
        <v>#N/A</v>
      </c>
      <c r="T2896" s="37"/>
    </row>
    <row r="2897" spans="15:20" x14ac:dyDescent="0.25">
      <c r="O2897" s="76"/>
      <c r="P2897" s="78"/>
      <c r="Q2897" s="77"/>
      <c r="R2897" s="78"/>
      <c r="S2897" s="36" t="e">
        <f>VLOOKUP(Tabla91116[[#This Row],[CODIGO DEL PRODUCTO]],Tabla797[],2,FALSE)</f>
        <v>#N/A</v>
      </c>
      <c r="T2897" s="37"/>
    </row>
    <row r="2898" spans="15:20" x14ac:dyDescent="0.25">
      <c r="O2898" s="76"/>
      <c r="P2898" s="78"/>
      <c r="Q2898" s="77"/>
      <c r="R2898" s="78"/>
      <c r="S2898" s="36" t="e">
        <f>VLOOKUP(Tabla91116[[#This Row],[CODIGO DEL PRODUCTO]],Tabla797[],2,FALSE)</f>
        <v>#N/A</v>
      </c>
      <c r="T2898" s="37"/>
    </row>
    <row r="2899" spans="15:20" x14ac:dyDescent="0.25">
      <c r="O2899" s="76"/>
      <c r="P2899" s="78"/>
      <c r="Q2899" s="77"/>
      <c r="R2899" s="78"/>
      <c r="S2899" s="36" t="e">
        <f>VLOOKUP(Tabla91116[[#This Row],[CODIGO DEL PRODUCTO]],Tabla797[],2,FALSE)</f>
        <v>#N/A</v>
      </c>
      <c r="T2899" s="37"/>
    </row>
    <row r="2900" spans="15:20" x14ac:dyDescent="0.25">
      <c r="O2900" s="76"/>
      <c r="P2900" s="78"/>
      <c r="Q2900" s="77"/>
      <c r="R2900" s="78"/>
      <c r="S2900" s="36" t="e">
        <f>VLOOKUP(Tabla91116[[#This Row],[CODIGO DEL PRODUCTO]],Tabla797[],2,FALSE)</f>
        <v>#N/A</v>
      </c>
      <c r="T2900" s="37"/>
    </row>
    <row r="2901" spans="15:20" x14ac:dyDescent="0.25">
      <c r="O2901" s="76"/>
      <c r="P2901" s="78"/>
      <c r="Q2901" s="77"/>
      <c r="R2901" s="78"/>
      <c r="S2901" s="36" t="e">
        <f>VLOOKUP(Tabla91116[[#This Row],[CODIGO DEL PRODUCTO]],Tabla797[],2,FALSE)</f>
        <v>#N/A</v>
      </c>
      <c r="T2901" s="37"/>
    </row>
    <row r="2902" spans="15:20" x14ac:dyDescent="0.25">
      <c r="O2902" s="76"/>
      <c r="P2902" s="78"/>
      <c r="Q2902" s="77"/>
      <c r="R2902" s="78"/>
      <c r="S2902" s="36" t="e">
        <f>VLOOKUP(Tabla91116[[#This Row],[CODIGO DEL PRODUCTO]],Tabla797[],2,FALSE)</f>
        <v>#N/A</v>
      </c>
      <c r="T2902" s="37"/>
    </row>
    <row r="2903" spans="15:20" x14ac:dyDescent="0.25">
      <c r="O2903" s="76"/>
      <c r="P2903" s="78"/>
      <c r="Q2903" s="77"/>
      <c r="R2903" s="78"/>
      <c r="S2903" s="36" t="e">
        <f>VLOOKUP(Tabla91116[[#This Row],[CODIGO DEL PRODUCTO]],Tabla797[],2,FALSE)</f>
        <v>#N/A</v>
      </c>
      <c r="T2903" s="37"/>
    </row>
    <row r="2904" spans="15:20" x14ac:dyDescent="0.25">
      <c r="O2904" s="76"/>
      <c r="P2904" s="78"/>
      <c r="Q2904" s="77"/>
      <c r="R2904" s="78"/>
      <c r="S2904" s="36" t="e">
        <f>VLOOKUP(Tabla91116[[#This Row],[CODIGO DEL PRODUCTO]],Tabla797[],2,FALSE)</f>
        <v>#N/A</v>
      </c>
      <c r="T2904" s="37"/>
    </row>
    <row r="2905" spans="15:20" x14ac:dyDescent="0.25">
      <c r="O2905" s="76"/>
      <c r="P2905" s="78"/>
      <c r="Q2905" s="77"/>
      <c r="R2905" s="78"/>
      <c r="S2905" s="36" t="e">
        <f>VLOOKUP(Tabla91116[[#This Row],[CODIGO DEL PRODUCTO]],Tabla797[],2,FALSE)</f>
        <v>#N/A</v>
      </c>
      <c r="T2905" s="37"/>
    </row>
    <row r="2906" spans="15:20" x14ac:dyDescent="0.25">
      <c r="O2906" s="76"/>
      <c r="P2906" s="78"/>
      <c r="Q2906" s="77"/>
      <c r="R2906" s="78"/>
      <c r="S2906" s="36" t="e">
        <f>VLOOKUP(Tabla91116[[#This Row],[CODIGO DEL PRODUCTO]],Tabla797[],2,FALSE)</f>
        <v>#N/A</v>
      </c>
      <c r="T2906" s="37"/>
    </row>
    <row r="2907" spans="15:20" x14ac:dyDescent="0.25">
      <c r="O2907" s="76"/>
      <c r="P2907" s="78"/>
      <c r="Q2907" s="77"/>
      <c r="R2907" s="78"/>
      <c r="S2907" s="36" t="e">
        <f>VLOOKUP(Tabla91116[[#This Row],[CODIGO DEL PRODUCTO]],Tabla797[],2,FALSE)</f>
        <v>#N/A</v>
      </c>
      <c r="T2907" s="37"/>
    </row>
    <row r="2908" spans="15:20" x14ac:dyDescent="0.25">
      <c r="O2908" s="76"/>
      <c r="P2908" s="78"/>
      <c r="Q2908" s="77"/>
      <c r="R2908" s="78"/>
      <c r="S2908" s="36" t="e">
        <f>VLOOKUP(Tabla91116[[#This Row],[CODIGO DEL PRODUCTO]],Tabla797[],2,FALSE)</f>
        <v>#N/A</v>
      </c>
      <c r="T2908" s="37"/>
    </row>
    <row r="2909" spans="15:20" x14ac:dyDescent="0.25">
      <c r="O2909" s="76"/>
      <c r="P2909" s="78"/>
      <c r="Q2909" s="77"/>
      <c r="R2909" s="78"/>
      <c r="S2909" s="36" t="e">
        <f>VLOOKUP(Tabla91116[[#This Row],[CODIGO DEL PRODUCTO]],Tabla797[],2,FALSE)</f>
        <v>#N/A</v>
      </c>
      <c r="T2909" s="37"/>
    </row>
    <row r="2910" spans="15:20" x14ac:dyDescent="0.25">
      <c r="O2910" s="76"/>
      <c r="P2910" s="78"/>
      <c r="Q2910" s="77"/>
      <c r="R2910" s="78"/>
      <c r="S2910" s="36" t="e">
        <f>VLOOKUP(Tabla91116[[#This Row],[CODIGO DEL PRODUCTO]],Tabla797[],2,FALSE)</f>
        <v>#N/A</v>
      </c>
      <c r="T2910" s="37"/>
    </row>
    <row r="2911" spans="15:20" x14ac:dyDescent="0.25">
      <c r="O2911" s="76"/>
      <c r="P2911" s="78"/>
      <c r="Q2911" s="77"/>
      <c r="R2911" s="78"/>
      <c r="S2911" s="36" t="e">
        <f>VLOOKUP(Tabla91116[[#This Row],[CODIGO DEL PRODUCTO]],Tabla797[],2,FALSE)</f>
        <v>#N/A</v>
      </c>
      <c r="T2911" s="37"/>
    </row>
    <row r="2912" spans="15:20" x14ac:dyDescent="0.25">
      <c r="O2912" s="76"/>
      <c r="P2912" s="78"/>
      <c r="Q2912" s="77"/>
      <c r="R2912" s="78"/>
      <c r="S2912" s="36" t="e">
        <f>VLOOKUP(Tabla91116[[#This Row],[CODIGO DEL PRODUCTO]],Tabla797[],2,FALSE)</f>
        <v>#N/A</v>
      </c>
      <c r="T2912" s="37"/>
    </row>
    <row r="2913" spans="15:20" x14ac:dyDescent="0.25">
      <c r="O2913" s="76"/>
      <c r="P2913" s="78"/>
      <c r="Q2913" s="77"/>
      <c r="R2913" s="78"/>
      <c r="S2913" s="36" t="e">
        <f>VLOOKUP(Tabla91116[[#This Row],[CODIGO DEL PRODUCTO]],Tabla797[],2,FALSE)</f>
        <v>#N/A</v>
      </c>
      <c r="T2913" s="37"/>
    </row>
    <row r="2914" spans="15:20" x14ac:dyDescent="0.25">
      <c r="O2914" s="76"/>
      <c r="P2914" s="78"/>
      <c r="Q2914" s="77"/>
      <c r="R2914" s="78"/>
      <c r="S2914" s="36" t="e">
        <f>VLOOKUP(Tabla91116[[#This Row],[CODIGO DEL PRODUCTO]],Tabla797[],2,FALSE)</f>
        <v>#N/A</v>
      </c>
      <c r="T2914" s="37"/>
    </row>
    <row r="2915" spans="15:20" x14ac:dyDescent="0.25">
      <c r="O2915" s="76"/>
      <c r="P2915" s="78"/>
      <c r="Q2915" s="77"/>
      <c r="R2915" s="78"/>
      <c r="S2915" s="36" t="e">
        <f>VLOOKUP(Tabla91116[[#This Row],[CODIGO DEL PRODUCTO]],Tabla797[],2,FALSE)</f>
        <v>#N/A</v>
      </c>
      <c r="T2915" s="37"/>
    </row>
    <row r="2916" spans="15:20" x14ac:dyDescent="0.25">
      <c r="O2916" s="76"/>
      <c r="P2916" s="78"/>
      <c r="Q2916" s="77"/>
      <c r="R2916" s="78"/>
      <c r="S2916" s="36" t="e">
        <f>VLOOKUP(Tabla91116[[#This Row],[CODIGO DEL PRODUCTO]],Tabla797[],2,FALSE)</f>
        <v>#N/A</v>
      </c>
      <c r="T2916" s="37"/>
    </row>
    <row r="2917" spans="15:20" x14ac:dyDescent="0.25">
      <c r="O2917" s="76"/>
      <c r="P2917" s="78"/>
      <c r="Q2917" s="77"/>
      <c r="R2917" s="78"/>
      <c r="S2917" s="36" t="e">
        <f>VLOOKUP(Tabla91116[[#This Row],[CODIGO DEL PRODUCTO]],Tabla797[],2,FALSE)</f>
        <v>#N/A</v>
      </c>
      <c r="T2917" s="37"/>
    </row>
    <row r="2918" spans="15:20" x14ac:dyDescent="0.25">
      <c r="O2918" s="76"/>
      <c r="P2918" s="78"/>
      <c r="Q2918" s="77"/>
      <c r="R2918" s="78"/>
      <c r="S2918" s="36" t="e">
        <f>VLOOKUP(Tabla91116[[#This Row],[CODIGO DEL PRODUCTO]],Tabla797[],2,FALSE)</f>
        <v>#N/A</v>
      </c>
      <c r="T2918" s="37"/>
    </row>
    <row r="2919" spans="15:20" x14ac:dyDescent="0.25">
      <c r="O2919" s="76"/>
      <c r="P2919" s="78"/>
      <c r="Q2919" s="77"/>
      <c r="R2919" s="78"/>
      <c r="S2919" s="36" t="e">
        <f>VLOOKUP(Tabla91116[[#This Row],[CODIGO DEL PRODUCTO]],Tabla797[],2,FALSE)</f>
        <v>#N/A</v>
      </c>
      <c r="T2919" s="37"/>
    </row>
    <row r="2920" spans="15:20" x14ac:dyDescent="0.25">
      <c r="O2920" s="76"/>
      <c r="P2920" s="78"/>
      <c r="Q2920" s="77"/>
      <c r="R2920" s="78"/>
      <c r="S2920" s="36" t="e">
        <f>VLOOKUP(Tabla91116[[#This Row],[CODIGO DEL PRODUCTO]],Tabla797[],2,FALSE)</f>
        <v>#N/A</v>
      </c>
      <c r="T2920" s="37"/>
    </row>
    <row r="2921" spans="15:20" x14ac:dyDescent="0.25">
      <c r="O2921" s="76"/>
      <c r="P2921" s="78"/>
      <c r="Q2921" s="77"/>
      <c r="R2921" s="78"/>
      <c r="S2921" s="36" t="e">
        <f>VLOOKUP(Tabla91116[[#This Row],[CODIGO DEL PRODUCTO]],Tabla797[],2,FALSE)</f>
        <v>#N/A</v>
      </c>
      <c r="T2921" s="37"/>
    </row>
    <row r="2922" spans="15:20" x14ac:dyDescent="0.25">
      <c r="O2922" s="76"/>
      <c r="P2922" s="78"/>
      <c r="Q2922" s="77"/>
      <c r="R2922" s="78"/>
      <c r="S2922" s="36" t="e">
        <f>VLOOKUP(Tabla91116[[#This Row],[CODIGO DEL PRODUCTO]],Tabla797[],2,FALSE)</f>
        <v>#N/A</v>
      </c>
      <c r="T2922" s="37"/>
    </row>
    <row r="2923" spans="15:20" x14ac:dyDescent="0.25">
      <c r="O2923" s="76"/>
      <c r="P2923" s="78"/>
      <c r="Q2923" s="77"/>
      <c r="R2923" s="78"/>
      <c r="S2923" s="36" t="e">
        <f>VLOOKUP(Tabla91116[[#This Row],[CODIGO DEL PRODUCTO]],Tabla797[],2,FALSE)</f>
        <v>#N/A</v>
      </c>
      <c r="T2923" s="37"/>
    </row>
    <row r="2924" spans="15:20" x14ac:dyDescent="0.25">
      <c r="O2924" s="76"/>
      <c r="P2924" s="78"/>
      <c r="Q2924" s="77"/>
      <c r="R2924" s="78"/>
      <c r="S2924" s="36" t="e">
        <f>VLOOKUP(Tabla91116[[#This Row],[CODIGO DEL PRODUCTO]],Tabla797[],2,FALSE)</f>
        <v>#N/A</v>
      </c>
      <c r="T2924" s="37"/>
    </row>
    <row r="2925" spans="15:20" x14ac:dyDescent="0.25">
      <c r="O2925" s="76"/>
      <c r="P2925" s="78"/>
      <c r="Q2925" s="77"/>
      <c r="R2925" s="78"/>
      <c r="S2925" s="36" t="e">
        <f>VLOOKUP(Tabla91116[[#This Row],[CODIGO DEL PRODUCTO]],Tabla797[],2,FALSE)</f>
        <v>#N/A</v>
      </c>
      <c r="T2925" s="37"/>
    </row>
    <row r="2926" spans="15:20" x14ac:dyDescent="0.25">
      <c r="O2926" s="76"/>
      <c r="P2926" s="78"/>
      <c r="Q2926" s="77"/>
      <c r="R2926" s="78"/>
      <c r="S2926" s="36" t="e">
        <f>VLOOKUP(Tabla91116[[#This Row],[CODIGO DEL PRODUCTO]],Tabla797[],2,FALSE)</f>
        <v>#N/A</v>
      </c>
      <c r="T2926" s="37"/>
    </row>
    <row r="2927" spans="15:20" x14ac:dyDescent="0.25">
      <c r="O2927" s="76"/>
      <c r="P2927" s="78"/>
      <c r="Q2927" s="77"/>
      <c r="R2927" s="78"/>
      <c r="S2927" s="36" t="e">
        <f>VLOOKUP(Tabla91116[[#This Row],[CODIGO DEL PRODUCTO]],Tabla797[],2,FALSE)</f>
        <v>#N/A</v>
      </c>
      <c r="T2927" s="37"/>
    </row>
    <row r="2928" spans="15:20" x14ac:dyDescent="0.25">
      <c r="O2928" s="76"/>
      <c r="P2928" s="78"/>
      <c r="Q2928" s="77"/>
      <c r="R2928" s="78"/>
      <c r="S2928" s="36" t="e">
        <f>VLOOKUP(Tabla91116[[#This Row],[CODIGO DEL PRODUCTO]],Tabla797[],2,FALSE)</f>
        <v>#N/A</v>
      </c>
      <c r="T2928" s="37"/>
    </row>
    <row r="2929" spans="15:20" x14ac:dyDescent="0.25">
      <c r="O2929" s="76"/>
      <c r="P2929" s="78"/>
      <c r="Q2929" s="77"/>
      <c r="R2929" s="78"/>
      <c r="S2929" s="36" t="e">
        <f>VLOOKUP(Tabla91116[[#This Row],[CODIGO DEL PRODUCTO]],Tabla797[],2,FALSE)</f>
        <v>#N/A</v>
      </c>
      <c r="T2929" s="37"/>
    </row>
    <row r="2930" spans="15:20" x14ac:dyDescent="0.25">
      <c r="O2930" s="76"/>
      <c r="P2930" s="78"/>
      <c r="Q2930" s="77"/>
      <c r="R2930" s="78"/>
      <c r="S2930" s="36" t="e">
        <f>VLOOKUP(Tabla91116[[#This Row],[CODIGO DEL PRODUCTO]],Tabla797[],2,FALSE)</f>
        <v>#N/A</v>
      </c>
      <c r="T2930" s="37"/>
    </row>
    <row r="2931" spans="15:20" x14ac:dyDescent="0.25">
      <c r="O2931" s="76"/>
      <c r="P2931" s="78"/>
      <c r="Q2931" s="77"/>
      <c r="R2931" s="78"/>
      <c r="S2931" s="36" t="e">
        <f>VLOOKUP(Tabla91116[[#This Row],[CODIGO DEL PRODUCTO]],Tabla797[],2,FALSE)</f>
        <v>#N/A</v>
      </c>
      <c r="T2931" s="37"/>
    </row>
    <row r="2932" spans="15:20" x14ac:dyDescent="0.25">
      <c r="O2932" s="76"/>
      <c r="P2932" s="78"/>
      <c r="Q2932" s="77"/>
      <c r="R2932" s="78"/>
      <c r="S2932" s="36" t="e">
        <f>VLOOKUP(Tabla91116[[#This Row],[CODIGO DEL PRODUCTO]],Tabla797[],2,FALSE)</f>
        <v>#N/A</v>
      </c>
      <c r="T2932" s="37"/>
    </row>
    <row r="2933" spans="15:20" x14ac:dyDescent="0.25">
      <c r="O2933" s="76"/>
      <c r="P2933" s="78"/>
      <c r="Q2933" s="77"/>
      <c r="R2933" s="78"/>
      <c r="S2933" s="36" t="e">
        <f>VLOOKUP(Tabla91116[[#This Row],[CODIGO DEL PRODUCTO]],Tabla797[],2,FALSE)</f>
        <v>#N/A</v>
      </c>
      <c r="T2933" s="37"/>
    </row>
    <row r="2934" spans="15:20" x14ac:dyDescent="0.25">
      <c r="O2934" s="76"/>
      <c r="P2934" s="78"/>
      <c r="Q2934" s="77"/>
      <c r="R2934" s="78"/>
      <c r="S2934" s="36" t="e">
        <f>VLOOKUP(Tabla91116[[#This Row],[CODIGO DEL PRODUCTO]],Tabla797[],2,FALSE)</f>
        <v>#N/A</v>
      </c>
      <c r="T2934" s="37"/>
    </row>
    <row r="2935" spans="15:20" x14ac:dyDescent="0.25">
      <c r="O2935" s="76"/>
      <c r="P2935" s="78"/>
      <c r="Q2935" s="77"/>
      <c r="R2935" s="78"/>
      <c r="S2935" s="36" t="e">
        <f>VLOOKUP(Tabla91116[[#This Row],[CODIGO DEL PRODUCTO]],Tabla797[],2,FALSE)</f>
        <v>#N/A</v>
      </c>
      <c r="T2935" s="37"/>
    </row>
    <row r="2936" spans="15:20" x14ac:dyDescent="0.25">
      <c r="O2936" s="76"/>
      <c r="P2936" s="78"/>
      <c r="Q2936" s="77"/>
      <c r="R2936" s="78"/>
      <c r="S2936" s="36" t="e">
        <f>VLOOKUP(Tabla91116[[#This Row],[CODIGO DEL PRODUCTO]],Tabla797[],2,FALSE)</f>
        <v>#N/A</v>
      </c>
      <c r="T2936" s="37"/>
    </row>
    <row r="2937" spans="15:20" x14ac:dyDescent="0.25">
      <c r="O2937" s="76"/>
      <c r="P2937" s="78"/>
      <c r="Q2937" s="77"/>
      <c r="R2937" s="78"/>
      <c r="S2937" s="36" t="e">
        <f>VLOOKUP(Tabla91116[[#This Row],[CODIGO DEL PRODUCTO]],Tabla797[],2,FALSE)</f>
        <v>#N/A</v>
      </c>
      <c r="T2937" s="37"/>
    </row>
    <row r="2938" spans="15:20" x14ac:dyDescent="0.25">
      <c r="O2938" s="76"/>
      <c r="P2938" s="78"/>
      <c r="Q2938" s="77"/>
      <c r="R2938" s="78"/>
      <c r="S2938" s="36" t="e">
        <f>VLOOKUP(Tabla91116[[#This Row],[CODIGO DEL PRODUCTO]],Tabla797[],2,FALSE)</f>
        <v>#N/A</v>
      </c>
      <c r="T2938" s="37"/>
    </row>
    <row r="2939" spans="15:20" x14ac:dyDescent="0.25">
      <c r="O2939" s="76"/>
      <c r="P2939" s="78"/>
      <c r="Q2939" s="77"/>
      <c r="R2939" s="78"/>
      <c r="S2939" s="36" t="e">
        <f>VLOOKUP(Tabla91116[[#This Row],[CODIGO DEL PRODUCTO]],Tabla797[],2,FALSE)</f>
        <v>#N/A</v>
      </c>
      <c r="T2939" s="37"/>
    </row>
    <row r="2940" spans="15:20" x14ac:dyDescent="0.25">
      <c r="O2940" s="76"/>
      <c r="P2940" s="78"/>
      <c r="Q2940" s="77"/>
      <c r="R2940" s="78"/>
      <c r="S2940" s="36" t="e">
        <f>VLOOKUP(Tabla91116[[#This Row],[CODIGO DEL PRODUCTO]],Tabla797[],2,FALSE)</f>
        <v>#N/A</v>
      </c>
      <c r="T2940" s="37"/>
    </row>
    <row r="2941" spans="15:20" x14ac:dyDescent="0.25">
      <c r="O2941" s="76"/>
      <c r="P2941" s="78"/>
      <c r="Q2941" s="77"/>
      <c r="R2941" s="78"/>
      <c r="S2941" s="36" t="e">
        <f>VLOOKUP(Tabla91116[[#This Row],[CODIGO DEL PRODUCTO]],Tabla797[],2,FALSE)</f>
        <v>#N/A</v>
      </c>
      <c r="T2941" s="37"/>
    </row>
    <row r="2942" spans="15:20" x14ac:dyDescent="0.25">
      <c r="O2942" s="76"/>
      <c r="P2942" s="78"/>
      <c r="Q2942" s="77"/>
      <c r="R2942" s="78"/>
      <c r="S2942" s="36" t="e">
        <f>VLOOKUP(Tabla91116[[#This Row],[CODIGO DEL PRODUCTO]],Tabla797[],2,FALSE)</f>
        <v>#N/A</v>
      </c>
      <c r="T2942" s="37"/>
    </row>
    <row r="2943" spans="15:20" x14ac:dyDescent="0.25">
      <c r="O2943" s="76"/>
      <c r="P2943" s="78"/>
      <c r="Q2943" s="77"/>
      <c r="R2943" s="78"/>
      <c r="S2943" s="36" t="e">
        <f>VLOOKUP(Tabla91116[[#This Row],[CODIGO DEL PRODUCTO]],Tabla797[],2,FALSE)</f>
        <v>#N/A</v>
      </c>
      <c r="T2943" s="37"/>
    </row>
    <row r="2944" spans="15:20" x14ac:dyDescent="0.25">
      <c r="O2944" s="76"/>
      <c r="P2944" s="78"/>
      <c r="Q2944" s="77"/>
      <c r="R2944" s="78"/>
      <c r="S2944" s="36" t="e">
        <f>VLOOKUP(Tabla91116[[#This Row],[CODIGO DEL PRODUCTO]],Tabla797[],2,FALSE)</f>
        <v>#N/A</v>
      </c>
      <c r="T2944" s="37"/>
    </row>
    <row r="2945" spans="15:20" x14ac:dyDescent="0.25">
      <c r="O2945" s="76"/>
      <c r="P2945" s="78"/>
      <c r="Q2945" s="77"/>
      <c r="R2945" s="78"/>
      <c r="S2945" s="36" t="e">
        <f>VLOOKUP(Tabla91116[[#This Row],[CODIGO DEL PRODUCTO]],Tabla797[],2,FALSE)</f>
        <v>#N/A</v>
      </c>
      <c r="T2945" s="37"/>
    </row>
    <row r="2946" spans="15:20" x14ac:dyDescent="0.25">
      <c r="O2946" s="76"/>
      <c r="P2946" s="78"/>
      <c r="Q2946" s="77"/>
      <c r="R2946" s="78"/>
      <c r="S2946" s="36" t="e">
        <f>VLOOKUP(Tabla91116[[#This Row],[CODIGO DEL PRODUCTO]],Tabla797[],2,FALSE)</f>
        <v>#N/A</v>
      </c>
      <c r="T2946" s="37"/>
    </row>
    <row r="2947" spans="15:20" x14ac:dyDescent="0.25">
      <c r="O2947" s="76"/>
      <c r="P2947" s="78"/>
      <c r="Q2947" s="77"/>
      <c r="R2947" s="78"/>
      <c r="S2947" s="36" t="e">
        <f>VLOOKUP(Tabla91116[[#This Row],[CODIGO DEL PRODUCTO]],Tabla797[],2,FALSE)</f>
        <v>#N/A</v>
      </c>
      <c r="T2947" s="37"/>
    </row>
    <row r="2948" spans="15:20" x14ac:dyDescent="0.25">
      <c r="O2948" s="76"/>
      <c r="P2948" s="78"/>
      <c r="Q2948" s="77"/>
      <c r="R2948" s="78"/>
      <c r="S2948" s="36" t="e">
        <f>VLOOKUP(Tabla91116[[#This Row],[CODIGO DEL PRODUCTO]],Tabla797[],2,FALSE)</f>
        <v>#N/A</v>
      </c>
      <c r="T2948" s="37"/>
    </row>
    <row r="2949" spans="15:20" x14ac:dyDescent="0.25">
      <c r="O2949" s="76"/>
      <c r="P2949" s="78"/>
      <c r="Q2949" s="77"/>
      <c r="R2949" s="78"/>
      <c r="S2949" s="36" t="e">
        <f>VLOOKUP(Tabla91116[[#This Row],[CODIGO DEL PRODUCTO]],Tabla797[],2,FALSE)</f>
        <v>#N/A</v>
      </c>
      <c r="T2949" s="37"/>
    </row>
    <row r="2950" spans="15:20" x14ac:dyDescent="0.25">
      <c r="O2950" s="76"/>
      <c r="P2950" s="78"/>
      <c r="Q2950" s="77"/>
      <c r="R2950" s="78"/>
      <c r="S2950" s="36" t="e">
        <f>VLOOKUP(Tabla91116[[#This Row],[CODIGO DEL PRODUCTO]],Tabla797[],2,FALSE)</f>
        <v>#N/A</v>
      </c>
      <c r="T2950" s="37"/>
    </row>
    <row r="2951" spans="15:20" x14ac:dyDescent="0.25">
      <c r="O2951" s="76"/>
      <c r="P2951" s="78"/>
      <c r="Q2951" s="77"/>
      <c r="R2951" s="78"/>
      <c r="S2951" s="36" t="e">
        <f>VLOOKUP(Tabla91116[[#This Row],[CODIGO DEL PRODUCTO]],Tabla797[],2,FALSE)</f>
        <v>#N/A</v>
      </c>
      <c r="T2951" s="37"/>
    </row>
    <row r="2952" spans="15:20" x14ac:dyDescent="0.25">
      <c r="O2952" s="76"/>
      <c r="P2952" s="78"/>
      <c r="Q2952" s="77"/>
      <c r="R2952" s="78"/>
      <c r="S2952" s="36" t="e">
        <f>VLOOKUP(Tabla91116[[#This Row],[CODIGO DEL PRODUCTO]],Tabla797[],2,FALSE)</f>
        <v>#N/A</v>
      </c>
      <c r="T2952" s="37"/>
    </row>
    <row r="2953" spans="15:20" x14ac:dyDescent="0.25">
      <c r="O2953" s="76"/>
      <c r="P2953" s="78"/>
      <c r="Q2953" s="77"/>
      <c r="R2953" s="78"/>
      <c r="S2953" s="36" t="e">
        <f>VLOOKUP(Tabla91116[[#This Row],[CODIGO DEL PRODUCTO]],Tabla797[],2,FALSE)</f>
        <v>#N/A</v>
      </c>
      <c r="T2953" s="37"/>
    </row>
    <row r="2954" spans="15:20" x14ac:dyDescent="0.25">
      <c r="O2954" s="76"/>
      <c r="P2954" s="78"/>
      <c r="Q2954" s="77"/>
      <c r="R2954" s="78"/>
      <c r="S2954" s="36" t="e">
        <f>VLOOKUP(Tabla91116[[#This Row],[CODIGO DEL PRODUCTO]],Tabla797[],2,FALSE)</f>
        <v>#N/A</v>
      </c>
      <c r="T2954" s="37"/>
    </row>
    <row r="2955" spans="15:20" x14ac:dyDescent="0.25">
      <c r="O2955" s="76"/>
      <c r="P2955" s="78"/>
      <c r="Q2955" s="77"/>
      <c r="R2955" s="78"/>
      <c r="S2955" s="36" t="e">
        <f>VLOOKUP(Tabla91116[[#This Row],[CODIGO DEL PRODUCTO]],Tabla797[],2,FALSE)</f>
        <v>#N/A</v>
      </c>
      <c r="T2955" s="37"/>
    </row>
    <row r="2956" spans="15:20" x14ac:dyDescent="0.25">
      <c r="O2956" s="76"/>
      <c r="P2956" s="78"/>
      <c r="Q2956" s="77"/>
      <c r="R2956" s="78"/>
      <c r="S2956" s="36" t="e">
        <f>VLOOKUP(Tabla91116[[#This Row],[CODIGO DEL PRODUCTO]],Tabla797[],2,FALSE)</f>
        <v>#N/A</v>
      </c>
      <c r="T2956" s="37"/>
    </row>
    <row r="2957" spans="15:20" x14ac:dyDescent="0.25">
      <c r="O2957" s="76"/>
      <c r="P2957" s="78"/>
      <c r="Q2957" s="77"/>
      <c r="R2957" s="78"/>
      <c r="S2957" s="36" t="e">
        <f>VLOOKUP(Tabla91116[[#This Row],[CODIGO DEL PRODUCTO]],Tabla797[],2,FALSE)</f>
        <v>#N/A</v>
      </c>
      <c r="T2957" s="37"/>
    </row>
    <row r="2958" spans="15:20" x14ac:dyDescent="0.25">
      <c r="O2958" s="76"/>
      <c r="P2958" s="78"/>
      <c r="Q2958" s="77"/>
      <c r="R2958" s="78"/>
      <c r="S2958" s="36" t="e">
        <f>VLOOKUP(Tabla91116[[#This Row],[CODIGO DEL PRODUCTO]],Tabla797[],2,FALSE)</f>
        <v>#N/A</v>
      </c>
      <c r="T2958" s="37"/>
    </row>
    <row r="2959" spans="15:20" x14ac:dyDescent="0.25">
      <c r="O2959" s="76"/>
      <c r="P2959" s="78"/>
      <c r="Q2959" s="77"/>
      <c r="R2959" s="78"/>
      <c r="S2959" s="36" t="e">
        <f>VLOOKUP(Tabla91116[[#This Row],[CODIGO DEL PRODUCTO]],Tabla797[],2,FALSE)</f>
        <v>#N/A</v>
      </c>
      <c r="T2959" s="37"/>
    </row>
    <row r="2960" spans="15:20" x14ac:dyDescent="0.25">
      <c r="O2960" s="76"/>
      <c r="P2960" s="78"/>
      <c r="Q2960" s="77"/>
      <c r="R2960" s="78"/>
      <c r="S2960" s="36" t="e">
        <f>VLOOKUP(Tabla91116[[#This Row],[CODIGO DEL PRODUCTO]],Tabla797[],2,FALSE)</f>
        <v>#N/A</v>
      </c>
      <c r="T2960" s="37"/>
    </row>
    <row r="2961" spans="15:20" x14ac:dyDescent="0.25">
      <c r="O2961" s="76"/>
      <c r="P2961" s="78"/>
      <c r="Q2961" s="77"/>
      <c r="R2961" s="78"/>
      <c r="S2961" s="36" t="e">
        <f>VLOOKUP(Tabla91116[[#This Row],[CODIGO DEL PRODUCTO]],Tabla797[],2,FALSE)</f>
        <v>#N/A</v>
      </c>
      <c r="T2961" s="37"/>
    </row>
    <row r="2962" spans="15:20" x14ac:dyDescent="0.25">
      <c r="O2962" s="76"/>
      <c r="P2962" s="78"/>
      <c r="Q2962" s="77"/>
      <c r="R2962" s="78"/>
      <c r="S2962" s="36" t="e">
        <f>VLOOKUP(Tabla91116[[#This Row],[CODIGO DEL PRODUCTO]],Tabla797[],2,FALSE)</f>
        <v>#N/A</v>
      </c>
      <c r="T2962" s="37"/>
    </row>
    <row r="2963" spans="15:20" x14ac:dyDescent="0.25">
      <c r="O2963" s="76"/>
      <c r="P2963" s="78"/>
      <c r="Q2963" s="77"/>
      <c r="R2963" s="78"/>
      <c r="S2963" s="36" t="e">
        <f>VLOOKUP(Tabla91116[[#This Row],[CODIGO DEL PRODUCTO]],Tabla797[],2,FALSE)</f>
        <v>#N/A</v>
      </c>
      <c r="T2963" s="37"/>
    </row>
    <row r="2964" spans="15:20" x14ac:dyDescent="0.25">
      <c r="O2964" s="76"/>
      <c r="P2964" s="78"/>
      <c r="Q2964" s="77"/>
      <c r="R2964" s="78"/>
      <c r="S2964" s="36" t="e">
        <f>VLOOKUP(Tabla91116[[#This Row],[CODIGO DEL PRODUCTO]],Tabla797[],2,FALSE)</f>
        <v>#N/A</v>
      </c>
      <c r="T2964" s="37"/>
    </row>
    <row r="2965" spans="15:20" x14ac:dyDescent="0.25">
      <c r="O2965" s="76"/>
      <c r="P2965" s="78"/>
      <c r="Q2965" s="77"/>
      <c r="R2965" s="78"/>
      <c r="S2965" s="36" t="e">
        <f>VLOOKUP(Tabla91116[[#This Row],[CODIGO DEL PRODUCTO]],Tabla797[],2,FALSE)</f>
        <v>#N/A</v>
      </c>
      <c r="T2965" s="37"/>
    </row>
    <row r="2966" spans="15:20" x14ac:dyDescent="0.25">
      <c r="O2966" s="76"/>
      <c r="P2966" s="78"/>
      <c r="Q2966" s="77"/>
      <c r="R2966" s="78"/>
      <c r="S2966" s="36" t="e">
        <f>VLOOKUP(Tabla91116[[#This Row],[CODIGO DEL PRODUCTO]],Tabla797[],2,FALSE)</f>
        <v>#N/A</v>
      </c>
      <c r="T2966" s="37"/>
    </row>
    <row r="2967" spans="15:20" x14ac:dyDescent="0.25">
      <c r="O2967" s="76"/>
      <c r="P2967" s="78"/>
      <c r="Q2967" s="77"/>
      <c r="R2967" s="78"/>
      <c r="S2967" s="36" t="e">
        <f>VLOOKUP(Tabla91116[[#This Row],[CODIGO DEL PRODUCTO]],Tabla797[],2,FALSE)</f>
        <v>#N/A</v>
      </c>
      <c r="T2967" s="37"/>
    </row>
    <row r="2968" spans="15:20" x14ac:dyDescent="0.25">
      <c r="O2968" s="76"/>
      <c r="P2968" s="78"/>
      <c r="Q2968" s="77"/>
      <c r="R2968" s="78"/>
      <c r="S2968" s="36" t="e">
        <f>VLOOKUP(Tabla91116[[#This Row],[CODIGO DEL PRODUCTO]],Tabla797[],2,FALSE)</f>
        <v>#N/A</v>
      </c>
      <c r="T2968" s="37"/>
    </row>
    <row r="2969" spans="15:20" x14ac:dyDescent="0.25">
      <c r="O2969" s="76"/>
      <c r="P2969" s="78"/>
      <c r="Q2969" s="77"/>
      <c r="R2969" s="78"/>
      <c r="S2969" s="36" t="e">
        <f>VLOOKUP(Tabla91116[[#This Row],[CODIGO DEL PRODUCTO]],Tabla797[],2,FALSE)</f>
        <v>#N/A</v>
      </c>
      <c r="T2969" s="37"/>
    </row>
    <row r="2970" spans="15:20" x14ac:dyDescent="0.25">
      <c r="O2970" s="76"/>
      <c r="P2970" s="78"/>
      <c r="Q2970" s="77"/>
      <c r="R2970" s="78"/>
      <c r="S2970" s="36" t="e">
        <f>VLOOKUP(Tabla91116[[#This Row],[CODIGO DEL PRODUCTO]],Tabla797[],2,FALSE)</f>
        <v>#N/A</v>
      </c>
      <c r="T2970" s="37"/>
    </row>
    <row r="2971" spans="15:20" x14ac:dyDescent="0.25">
      <c r="O2971" s="76"/>
      <c r="P2971" s="78"/>
      <c r="Q2971" s="77"/>
      <c r="R2971" s="78"/>
      <c r="S2971" s="36" t="e">
        <f>VLOOKUP(Tabla91116[[#This Row],[CODIGO DEL PRODUCTO]],Tabla797[],2,FALSE)</f>
        <v>#N/A</v>
      </c>
      <c r="T2971" s="37"/>
    </row>
    <row r="2972" spans="15:20" x14ac:dyDescent="0.25">
      <c r="O2972" s="76"/>
      <c r="P2972" s="78"/>
      <c r="Q2972" s="77"/>
      <c r="R2972" s="78"/>
      <c r="S2972" s="36" t="e">
        <f>VLOOKUP(Tabla91116[[#This Row],[CODIGO DEL PRODUCTO]],Tabla797[],2,FALSE)</f>
        <v>#N/A</v>
      </c>
      <c r="T2972" s="37"/>
    </row>
    <row r="2973" spans="15:20" x14ac:dyDescent="0.25">
      <c r="O2973" s="76"/>
      <c r="P2973" s="78"/>
      <c r="Q2973" s="77"/>
      <c r="R2973" s="78"/>
      <c r="S2973" s="36" t="e">
        <f>VLOOKUP(Tabla91116[[#This Row],[CODIGO DEL PRODUCTO]],Tabla797[],2,FALSE)</f>
        <v>#N/A</v>
      </c>
      <c r="T2973" s="37"/>
    </row>
    <row r="2974" spans="15:20" x14ac:dyDescent="0.25">
      <c r="O2974" s="76"/>
      <c r="P2974" s="78"/>
      <c r="Q2974" s="77"/>
      <c r="R2974" s="78"/>
      <c r="S2974" s="36" t="e">
        <f>VLOOKUP(Tabla91116[[#This Row],[CODIGO DEL PRODUCTO]],Tabla797[],2,FALSE)</f>
        <v>#N/A</v>
      </c>
      <c r="T2974" s="37"/>
    </row>
    <row r="2975" spans="15:20" x14ac:dyDescent="0.25">
      <c r="O2975" s="76"/>
      <c r="P2975" s="78"/>
      <c r="Q2975" s="77"/>
      <c r="R2975" s="78"/>
      <c r="S2975" s="36" t="e">
        <f>VLOOKUP(Tabla91116[[#This Row],[CODIGO DEL PRODUCTO]],Tabla797[],2,FALSE)</f>
        <v>#N/A</v>
      </c>
      <c r="T2975" s="37"/>
    </row>
    <row r="2976" spans="15:20" x14ac:dyDescent="0.25">
      <c r="O2976" s="76"/>
      <c r="P2976" s="78"/>
      <c r="Q2976" s="77"/>
      <c r="R2976" s="78"/>
      <c r="S2976" s="36" t="e">
        <f>VLOOKUP(Tabla91116[[#This Row],[CODIGO DEL PRODUCTO]],Tabla797[],2,FALSE)</f>
        <v>#N/A</v>
      </c>
      <c r="T2976" s="37"/>
    </row>
    <row r="2977" spans="15:20" x14ac:dyDescent="0.25">
      <c r="O2977" s="76"/>
      <c r="P2977" s="78"/>
      <c r="Q2977" s="77"/>
      <c r="R2977" s="78"/>
      <c r="S2977" s="36" t="e">
        <f>VLOOKUP(Tabla91116[[#This Row],[CODIGO DEL PRODUCTO]],Tabla797[],2,FALSE)</f>
        <v>#N/A</v>
      </c>
      <c r="T2977" s="37"/>
    </row>
    <row r="2978" spans="15:20" x14ac:dyDescent="0.25">
      <c r="O2978" s="76"/>
      <c r="P2978" s="78"/>
      <c r="Q2978" s="77"/>
      <c r="R2978" s="78"/>
      <c r="S2978" s="36" t="e">
        <f>VLOOKUP(Tabla91116[[#This Row],[CODIGO DEL PRODUCTO]],Tabla797[],2,FALSE)</f>
        <v>#N/A</v>
      </c>
      <c r="T2978" s="37"/>
    </row>
    <row r="2979" spans="15:20" x14ac:dyDescent="0.25">
      <c r="O2979" s="76"/>
      <c r="P2979" s="78"/>
      <c r="Q2979" s="77"/>
      <c r="R2979" s="78"/>
      <c r="S2979" s="36" t="e">
        <f>VLOOKUP(Tabla91116[[#This Row],[CODIGO DEL PRODUCTO]],Tabla797[],2,FALSE)</f>
        <v>#N/A</v>
      </c>
      <c r="T2979" s="37"/>
    </row>
    <row r="2980" spans="15:20" x14ac:dyDescent="0.25">
      <c r="O2980" s="76"/>
      <c r="P2980" s="78"/>
      <c r="Q2980" s="77"/>
      <c r="R2980" s="78"/>
      <c r="S2980" s="36" t="e">
        <f>VLOOKUP(Tabla91116[[#This Row],[CODIGO DEL PRODUCTO]],Tabla797[],2,FALSE)</f>
        <v>#N/A</v>
      </c>
      <c r="T2980" s="37"/>
    </row>
    <row r="2981" spans="15:20" x14ac:dyDescent="0.25">
      <c r="O2981" s="76"/>
      <c r="P2981" s="78"/>
      <c r="Q2981" s="77"/>
      <c r="R2981" s="78"/>
      <c r="S2981" s="36" t="e">
        <f>VLOOKUP(Tabla91116[[#This Row],[CODIGO DEL PRODUCTO]],Tabla797[],2,FALSE)</f>
        <v>#N/A</v>
      </c>
      <c r="T2981" s="37"/>
    </row>
    <row r="2982" spans="15:20" x14ac:dyDescent="0.25">
      <c r="O2982" s="76"/>
      <c r="P2982" s="78"/>
      <c r="Q2982" s="77"/>
      <c r="R2982" s="78"/>
      <c r="S2982" s="36" t="e">
        <f>VLOOKUP(Tabla91116[[#This Row],[CODIGO DEL PRODUCTO]],Tabla797[],2,FALSE)</f>
        <v>#N/A</v>
      </c>
      <c r="T2982" s="37"/>
    </row>
    <row r="2983" spans="15:20" x14ac:dyDescent="0.25">
      <c r="O2983" s="76"/>
      <c r="P2983" s="78"/>
      <c r="Q2983" s="77"/>
      <c r="R2983" s="78"/>
      <c r="S2983" s="36" t="e">
        <f>VLOOKUP(Tabla91116[[#This Row],[CODIGO DEL PRODUCTO]],Tabla797[],2,FALSE)</f>
        <v>#N/A</v>
      </c>
      <c r="T2983" s="37"/>
    </row>
    <row r="2984" spans="15:20" x14ac:dyDescent="0.25">
      <c r="O2984" s="76"/>
      <c r="P2984" s="78"/>
      <c r="Q2984" s="77"/>
      <c r="R2984" s="78"/>
      <c r="S2984" s="36" t="e">
        <f>VLOOKUP(Tabla91116[[#This Row],[CODIGO DEL PRODUCTO]],Tabla797[],2,FALSE)</f>
        <v>#N/A</v>
      </c>
      <c r="T2984" s="37"/>
    </row>
    <row r="2985" spans="15:20" x14ac:dyDescent="0.25">
      <c r="O2985" s="76"/>
      <c r="P2985" s="78"/>
      <c r="Q2985" s="77"/>
      <c r="R2985" s="78"/>
      <c r="S2985" s="36" t="e">
        <f>VLOOKUP(Tabla91116[[#This Row],[CODIGO DEL PRODUCTO]],Tabla797[],2,FALSE)</f>
        <v>#N/A</v>
      </c>
      <c r="T2985" s="37"/>
    </row>
    <row r="2986" spans="15:20" x14ac:dyDescent="0.25">
      <c r="O2986" s="76"/>
      <c r="P2986" s="78"/>
      <c r="Q2986" s="77"/>
      <c r="R2986" s="78"/>
      <c r="S2986" s="36" t="e">
        <f>VLOOKUP(Tabla91116[[#This Row],[CODIGO DEL PRODUCTO]],Tabla797[],2,FALSE)</f>
        <v>#N/A</v>
      </c>
      <c r="T2986" s="37"/>
    </row>
    <row r="2987" spans="15:20" x14ac:dyDescent="0.25">
      <c r="O2987" s="76"/>
      <c r="P2987" s="78"/>
      <c r="Q2987" s="77"/>
      <c r="R2987" s="78"/>
      <c r="S2987" s="36" t="e">
        <f>VLOOKUP(Tabla91116[[#This Row],[CODIGO DEL PRODUCTO]],Tabla797[],2,FALSE)</f>
        <v>#N/A</v>
      </c>
      <c r="T2987" s="37"/>
    </row>
    <row r="2988" spans="15:20" x14ac:dyDescent="0.25">
      <c r="O2988" s="76"/>
      <c r="P2988" s="78"/>
      <c r="Q2988" s="77"/>
      <c r="R2988" s="78"/>
      <c r="S2988" s="36" t="e">
        <f>VLOOKUP(Tabla91116[[#This Row],[CODIGO DEL PRODUCTO]],Tabla797[],2,FALSE)</f>
        <v>#N/A</v>
      </c>
      <c r="T2988" s="37"/>
    </row>
    <row r="2989" spans="15:20" x14ac:dyDescent="0.25">
      <c r="O2989" s="76"/>
      <c r="P2989" s="78"/>
      <c r="Q2989" s="77"/>
      <c r="R2989" s="78"/>
      <c r="S2989" s="36" t="e">
        <f>VLOOKUP(Tabla91116[[#This Row],[CODIGO DEL PRODUCTO]],Tabla797[],2,FALSE)</f>
        <v>#N/A</v>
      </c>
      <c r="T2989" s="37"/>
    </row>
    <row r="2990" spans="15:20" x14ac:dyDescent="0.25">
      <c r="O2990" s="76"/>
      <c r="P2990" s="78"/>
      <c r="Q2990" s="77"/>
      <c r="R2990" s="78"/>
      <c r="S2990" s="36" t="e">
        <f>VLOOKUP(Tabla91116[[#This Row],[CODIGO DEL PRODUCTO]],Tabla797[],2,FALSE)</f>
        <v>#N/A</v>
      </c>
      <c r="T2990" s="37"/>
    </row>
    <row r="2991" spans="15:20" x14ac:dyDescent="0.25">
      <c r="O2991" s="76"/>
      <c r="P2991" s="78"/>
      <c r="Q2991" s="77"/>
      <c r="R2991" s="78"/>
      <c r="S2991" s="36" t="e">
        <f>VLOOKUP(Tabla91116[[#This Row],[CODIGO DEL PRODUCTO]],Tabla797[],2,FALSE)</f>
        <v>#N/A</v>
      </c>
      <c r="T2991" s="37"/>
    </row>
    <row r="2992" spans="15:20" x14ac:dyDescent="0.25">
      <c r="O2992" s="76"/>
      <c r="P2992" s="78"/>
      <c r="Q2992" s="77"/>
      <c r="R2992" s="78"/>
      <c r="S2992" s="36" t="e">
        <f>VLOOKUP(Tabla91116[[#This Row],[CODIGO DEL PRODUCTO]],Tabla797[],2,FALSE)</f>
        <v>#N/A</v>
      </c>
      <c r="T2992" s="37"/>
    </row>
    <row r="2993" spans="15:20" x14ac:dyDescent="0.25">
      <c r="O2993" s="76"/>
      <c r="P2993" s="78"/>
      <c r="Q2993" s="77"/>
      <c r="R2993" s="78"/>
      <c r="S2993" s="36" t="e">
        <f>VLOOKUP(Tabla91116[[#This Row],[CODIGO DEL PRODUCTO]],Tabla797[],2,FALSE)</f>
        <v>#N/A</v>
      </c>
      <c r="T2993" s="37"/>
    </row>
    <row r="2994" spans="15:20" x14ac:dyDescent="0.25">
      <c r="O2994" s="76"/>
      <c r="P2994" s="78"/>
      <c r="Q2994" s="77"/>
      <c r="R2994" s="78"/>
      <c r="S2994" s="36" t="e">
        <f>VLOOKUP(Tabla91116[[#This Row],[CODIGO DEL PRODUCTO]],Tabla797[],2,FALSE)</f>
        <v>#N/A</v>
      </c>
      <c r="T2994" s="37"/>
    </row>
    <row r="2995" spans="15:20" x14ac:dyDescent="0.25">
      <c r="O2995" s="76"/>
      <c r="P2995" s="78"/>
      <c r="Q2995" s="77"/>
      <c r="R2995" s="78"/>
      <c r="S2995" s="36" t="e">
        <f>VLOOKUP(Tabla91116[[#This Row],[CODIGO DEL PRODUCTO]],Tabla797[],2,FALSE)</f>
        <v>#N/A</v>
      </c>
      <c r="T2995" s="37"/>
    </row>
    <row r="2996" spans="15:20" x14ac:dyDescent="0.25">
      <c r="O2996" s="76"/>
      <c r="P2996" s="78"/>
      <c r="Q2996" s="77"/>
      <c r="R2996" s="78"/>
      <c r="S2996" s="36" t="e">
        <f>VLOOKUP(Tabla91116[[#This Row],[CODIGO DEL PRODUCTO]],Tabla797[],2,FALSE)</f>
        <v>#N/A</v>
      </c>
      <c r="T2996" s="37"/>
    </row>
    <row r="2997" spans="15:20" x14ac:dyDescent="0.25">
      <c r="O2997" s="76"/>
      <c r="P2997" s="78"/>
      <c r="Q2997" s="77"/>
      <c r="R2997" s="78"/>
      <c r="S2997" s="36" t="e">
        <f>VLOOKUP(Tabla91116[[#This Row],[CODIGO DEL PRODUCTO]],Tabla797[],2,FALSE)</f>
        <v>#N/A</v>
      </c>
      <c r="T2997" s="37"/>
    </row>
    <row r="2998" spans="15:20" x14ac:dyDescent="0.25">
      <c r="O2998" s="76"/>
      <c r="P2998" s="78"/>
      <c r="Q2998" s="77"/>
      <c r="R2998" s="78"/>
      <c r="S2998" s="36" t="e">
        <f>VLOOKUP(Tabla91116[[#This Row],[CODIGO DEL PRODUCTO]],Tabla797[],2,FALSE)</f>
        <v>#N/A</v>
      </c>
      <c r="T2998" s="37"/>
    </row>
    <row r="2999" spans="15:20" x14ac:dyDescent="0.25">
      <c r="O2999" s="76"/>
      <c r="P2999" s="78"/>
      <c r="Q2999" s="77"/>
      <c r="R2999" s="78"/>
      <c r="S2999" s="36" t="e">
        <f>VLOOKUP(Tabla91116[[#This Row],[CODIGO DEL PRODUCTO]],Tabla797[],2,FALSE)</f>
        <v>#N/A</v>
      </c>
      <c r="T2999" s="37"/>
    </row>
    <row r="3000" spans="15:20" x14ac:dyDescent="0.25">
      <c r="O3000" s="76"/>
      <c r="P3000" s="78"/>
      <c r="Q3000" s="77"/>
      <c r="R3000" s="78"/>
      <c r="S3000" s="36" t="e">
        <f>VLOOKUP(Tabla91116[[#This Row],[CODIGO DEL PRODUCTO]],Tabla797[],2,FALSE)</f>
        <v>#N/A</v>
      </c>
      <c r="T3000" s="37"/>
    </row>
  </sheetData>
  <mergeCells count="3">
    <mergeCell ref="A3:F3"/>
    <mergeCell ref="H3:M3"/>
    <mergeCell ref="O3:T3"/>
  </mergeCells>
  <conditionalFormatting sqref="H7:H431 O12:O703">
    <cfRule type="duplicateValues" dxfId="140" priority="4"/>
  </conditionalFormatting>
  <conditionalFormatting sqref="A1:A1048576">
    <cfRule type="duplicateValues" dxfId="139" priority="3"/>
  </conditionalFormatting>
  <conditionalFormatting sqref="H6">
    <cfRule type="duplicateValues" dxfId="138" priority="2"/>
  </conditionalFormatting>
  <conditionalFormatting sqref="O6:O11">
    <cfRule type="duplicateValues" dxfId="137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F599-0150-4453-A3D2-6539387D47AE}">
  <dimension ref="A2:P187"/>
  <sheetViews>
    <sheetView topLeftCell="A157" workbookViewId="0">
      <selection activeCell="H176" sqref="H176"/>
    </sheetView>
  </sheetViews>
  <sheetFormatPr baseColWidth="10" defaultRowHeight="15" x14ac:dyDescent="0.25"/>
  <cols>
    <col min="1" max="1" width="18.28515625" bestFit="1" customWidth="1"/>
    <col min="2" max="2" width="33" bestFit="1" customWidth="1"/>
    <col min="3" max="3" width="14.5703125" bestFit="1" customWidth="1"/>
    <col min="4" max="4" width="6.28515625" customWidth="1"/>
    <col min="5" max="5" width="18.28515625" bestFit="1" customWidth="1"/>
    <col min="6" max="6" width="24" bestFit="1" customWidth="1"/>
    <col min="7" max="7" width="14.5703125" bestFit="1" customWidth="1"/>
    <col min="8" max="8" width="7" customWidth="1"/>
    <col min="9" max="9" width="18.28515625" bestFit="1" customWidth="1"/>
    <col min="10" max="10" width="30.140625" bestFit="1" customWidth="1"/>
    <col min="11" max="11" width="14.5703125" bestFit="1" customWidth="1"/>
    <col min="12" max="12" width="6.42578125" customWidth="1"/>
    <col min="13" max="13" width="18.28515625" bestFit="1" customWidth="1"/>
    <col min="14" max="14" width="24" bestFit="1" customWidth="1"/>
    <col min="15" max="15" width="14.5703125" bestFit="1" customWidth="1"/>
  </cols>
  <sheetData>
    <row r="2" spans="1:15" x14ac:dyDescent="0.25">
      <c r="B2" s="66" t="s">
        <v>688</v>
      </c>
      <c r="F2" s="66" t="s">
        <v>690</v>
      </c>
      <c r="J2" s="66" t="s">
        <v>691</v>
      </c>
      <c r="N2" s="66" t="s">
        <v>692</v>
      </c>
    </row>
    <row r="3" spans="1:15" x14ac:dyDescent="0.25">
      <c r="A3" s="13" t="s">
        <v>7</v>
      </c>
      <c r="B3" s="13" t="s">
        <v>0</v>
      </c>
      <c r="C3" s="13" t="s">
        <v>164</v>
      </c>
      <c r="E3" s="13" t="s">
        <v>7</v>
      </c>
      <c r="F3" s="13" t="s">
        <v>0</v>
      </c>
      <c r="G3" s="13" t="s">
        <v>164</v>
      </c>
      <c r="I3" s="13" t="s">
        <v>7</v>
      </c>
      <c r="J3" s="13" t="s">
        <v>0</v>
      </c>
      <c r="K3" s="13" t="s">
        <v>164</v>
      </c>
      <c r="M3" s="13" t="s">
        <v>7</v>
      </c>
      <c r="N3" s="13" t="s">
        <v>0</v>
      </c>
      <c r="O3" s="13" t="s">
        <v>164</v>
      </c>
    </row>
    <row r="4" spans="1:15" x14ac:dyDescent="0.25">
      <c r="A4" s="168" t="s">
        <v>688</v>
      </c>
      <c r="B4" s="9" t="s">
        <v>6</v>
      </c>
      <c r="C4" s="22">
        <v>544612</v>
      </c>
      <c r="E4" s="168" t="s">
        <v>690</v>
      </c>
      <c r="F4" s="9" t="s">
        <v>6</v>
      </c>
      <c r="G4" s="22">
        <v>451.65800000000002</v>
      </c>
      <c r="I4" s="168" t="s">
        <v>408</v>
      </c>
      <c r="J4" s="9" t="s">
        <v>6</v>
      </c>
      <c r="K4" s="22">
        <v>324757</v>
      </c>
      <c r="M4" s="168" t="s">
        <v>411</v>
      </c>
      <c r="N4" s="9" t="s">
        <v>6</v>
      </c>
      <c r="O4" s="22">
        <v>282773</v>
      </c>
    </row>
    <row r="5" spans="1:15" x14ac:dyDescent="0.25">
      <c r="A5" s="169"/>
      <c r="B5" s="9" t="s">
        <v>41</v>
      </c>
      <c r="C5" s="22">
        <v>365912</v>
      </c>
      <c r="E5" s="169"/>
      <c r="F5" s="9" t="s">
        <v>41</v>
      </c>
      <c r="G5" s="22">
        <v>302389</v>
      </c>
      <c r="I5" s="169"/>
      <c r="J5" s="9" t="s">
        <v>41</v>
      </c>
      <c r="K5" s="22">
        <v>217574</v>
      </c>
      <c r="M5" s="169"/>
      <c r="N5" s="9" t="s">
        <v>41</v>
      </c>
      <c r="O5" s="22">
        <v>183611</v>
      </c>
    </row>
    <row r="6" spans="1:15" x14ac:dyDescent="0.25">
      <c r="A6" s="169"/>
      <c r="B6" s="9" t="s">
        <v>24</v>
      </c>
      <c r="C6" s="22"/>
      <c r="E6" s="169"/>
      <c r="F6" s="9" t="s">
        <v>24</v>
      </c>
      <c r="G6" s="22"/>
      <c r="I6" s="169"/>
      <c r="J6" s="9" t="s">
        <v>24</v>
      </c>
      <c r="K6" s="22"/>
      <c r="M6" s="169"/>
      <c r="N6" s="9" t="s">
        <v>24</v>
      </c>
      <c r="O6" s="22"/>
    </row>
    <row r="7" spans="1:15" x14ac:dyDescent="0.25">
      <c r="A7" s="169"/>
      <c r="B7" s="9" t="s">
        <v>10</v>
      </c>
      <c r="C7" s="22">
        <v>288704</v>
      </c>
      <c r="E7" s="169"/>
      <c r="F7" s="9" t="s">
        <v>10</v>
      </c>
      <c r="G7" s="22">
        <v>223987</v>
      </c>
      <c r="I7" s="169"/>
      <c r="J7" s="9" t="s">
        <v>10</v>
      </c>
      <c r="K7" s="22">
        <v>156484</v>
      </c>
      <c r="M7" s="169"/>
      <c r="N7" s="9" t="s">
        <v>10</v>
      </c>
      <c r="O7" s="99">
        <v>183611</v>
      </c>
    </row>
    <row r="8" spans="1:15" x14ac:dyDescent="0.25">
      <c r="A8" s="169"/>
      <c r="B8" s="9" t="s">
        <v>11</v>
      </c>
      <c r="C8" s="22"/>
      <c r="E8" s="169"/>
      <c r="F8" s="9" t="s">
        <v>11</v>
      </c>
      <c r="G8" s="22"/>
      <c r="I8" s="169"/>
      <c r="J8" s="9" t="s">
        <v>11</v>
      </c>
      <c r="K8" s="22"/>
      <c r="M8" s="169"/>
      <c r="N8" s="9" t="s">
        <v>11</v>
      </c>
      <c r="O8" s="99"/>
    </row>
    <row r="9" spans="1:15" x14ac:dyDescent="0.25">
      <c r="A9" s="169"/>
      <c r="B9" s="9" t="s">
        <v>49</v>
      </c>
      <c r="C9" s="22">
        <v>79160</v>
      </c>
      <c r="E9" s="169"/>
      <c r="F9" s="9" t="s">
        <v>49</v>
      </c>
      <c r="G9" s="22">
        <v>122153</v>
      </c>
      <c r="I9" s="169"/>
      <c r="J9" s="9" t="s">
        <v>49</v>
      </c>
      <c r="K9" s="22">
        <v>18392</v>
      </c>
      <c r="M9" s="169"/>
      <c r="N9" s="9" t="s">
        <v>49</v>
      </c>
      <c r="O9" s="22">
        <v>26946</v>
      </c>
    </row>
    <row r="10" spans="1:15" x14ac:dyDescent="0.25">
      <c r="A10" s="169"/>
      <c r="B10" s="9" t="s">
        <v>44</v>
      </c>
      <c r="C10" s="90">
        <v>574221</v>
      </c>
      <c r="E10" s="169"/>
      <c r="F10" s="9" t="s">
        <v>44</v>
      </c>
      <c r="G10" s="22">
        <v>445388</v>
      </c>
      <c r="I10" s="169"/>
      <c r="J10" s="9" t="s">
        <v>44</v>
      </c>
      <c r="K10" s="22">
        <v>454383</v>
      </c>
      <c r="M10" s="169"/>
      <c r="N10" s="9" t="s">
        <v>44</v>
      </c>
      <c r="O10" s="22">
        <v>448372</v>
      </c>
    </row>
    <row r="11" spans="1:15" x14ac:dyDescent="0.25">
      <c r="A11" s="170"/>
      <c r="B11" s="9" t="s">
        <v>47</v>
      </c>
      <c r="C11" s="22">
        <v>263488</v>
      </c>
      <c r="E11" s="170"/>
      <c r="F11" s="9" t="s">
        <v>47</v>
      </c>
      <c r="G11" s="22">
        <v>81740</v>
      </c>
      <c r="I11" s="170"/>
      <c r="J11" s="9" t="s">
        <v>47</v>
      </c>
      <c r="K11" s="22"/>
      <c r="M11" s="170"/>
      <c r="N11" s="9" t="s">
        <v>47</v>
      </c>
      <c r="O11" s="22"/>
    </row>
    <row r="12" spans="1:15" x14ac:dyDescent="0.25">
      <c r="B12" s="103" t="s">
        <v>424</v>
      </c>
      <c r="C12" s="90">
        <v>1579.73</v>
      </c>
      <c r="F12" s="103" t="s">
        <v>424</v>
      </c>
      <c r="G12" s="90">
        <v>1280.42</v>
      </c>
      <c r="J12" s="103" t="s">
        <v>424</v>
      </c>
      <c r="K12" s="90">
        <v>897.56</v>
      </c>
      <c r="N12" s="103" t="s">
        <v>424</v>
      </c>
      <c r="O12" s="90">
        <v>729.43</v>
      </c>
    </row>
    <row r="13" spans="1:15" ht="15.75" thickBot="1" x14ac:dyDescent="0.3">
      <c r="C13" s="86"/>
    </row>
    <row r="14" spans="1:15" x14ac:dyDescent="0.25">
      <c r="B14" s="57" t="s">
        <v>175</v>
      </c>
      <c r="C14" s="58"/>
    </row>
    <row r="15" spans="1:15" x14ac:dyDescent="0.25">
      <c r="B15" s="60" t="s">
        <v>689</v>
      </c>
      <c r="C15" s="61"/>
    </row>
    <row r="16" spans="1:15" x14ac:dyDescent="0.25">
      <c r="A16" s="62" t="s">
        <v>7</v>
      </c>
      <c r="B16" s="12" t="s">
        <v>0</v>
      </c>
      <c r="C16" s="63" t="s">
        <v>164</v>
      </c>
    </row>
    <row r="17" spans="1:15" x14ac:dyDescent="0.25">
      <c r="A17" s="148"/>
      <c r="B17" s="54" t="s">
        <v>6</v>
      </c>
      <c r="C17" s="68">
        <f t="shared" ref="C17:C25" si="0">+C4+G4+K4+O4</f>
        <v>1152593.6580000001</v>
      </c>
    </row>
    <row r="18" spans="1:15" x14ac:dyDescent="0.25">
      <c r="A18" s="149"/>
      <c r="B18" s="54" t="s">
        <v>9</v>
      </c>
      <c r="C18" s="68">
        <f t="shared" si="0"/>
        <v>1069486</v>
      </c>
    </row>
    <row r="19" spans="1:15" x14ac:dyDescent="0.25">
      <c r="A19" s="149"/>
      <c r="B19" s="54" t="s">
        <v>24</v>
      </c>
      <c r="C19" s="68">
        <f t="shared" si="0"/>
        <v>0</v>
      </c>
    </row>
    <row r="20" spans="1:15" x14ac:dyDescent="0.25">
      <c r="A20" s="149" t="s">
        <v>689</v>
      </c>
      <c r="B20" s="54" t="s">
        <v>10</v>
      </c>
      <c r="C20" s="68">
        <f t="shared" si="0"/>
        <v>852786</v>
      </c>
    </row>
    <row r="21" spans="1:15" x14ac:dyDescent="0.25">
      <c r="A21" s="149"/>
      <c r="B21" s="54" t="s">
        <v>12</v>
      </c>
      <c r="C21" s="68">
        <f t="shared" si="0"/>
        <v>0</v>
      </c>
    </row>
    <row r="22" spans="1:15" x14ac:dyDescent="0.25">
      <c r="A22" s="149"/>
      <c r="B22" s="55" t="s">
        <v>14</v>
      </c>
      <c r="C22" s="68">
        <f t="shared" si="0"/>
        <v>246651</v>
      </c>
    </row>
    <row r="23" spans="1:15" x14ac:dyDescent="0.25">
      <c r="A23" s="149"/>
      <c r="B23" s="104" t="s">
        <v>15</v>
      </c>
      <c r="C23" s="105">
        <f t="shared" si="0"/>
        <v>1922364</v>
      </c>
    </row>
    <row r="24" spans="1:15" ht="15.75" thickBot="1" x14ac:dyDescent="0.3">
      <c r="A24" s="150"/>
      <c r="B24" s="54" t="s">
        <v>13</v>
      </c>
      <c r="C24" s="68">
        <f t="shared" si="0"/>
        <v>345228</v>
      </c>
    </row>
    <row r="25" spans="1:15" x14ac:dyDescent="0.25">
      <c r="B25" s="54" t="s">
        <v>424</v>
      </c>
      <c r="C25" s="106">
        <f t="shared" si="0"/>
        <v>4487.1400000000003</v>
      </c>
    </row>
    <row r="27" spans="1:15" s="16" customFormat="1" x14ac:dyDescent="0.25"/>
    <row r="29" spans="1:15" x14ac:dyDescent="0.25">
      <c r="B29" s="66" t="s">
        <v>731</v>
      </c>
      <c r="F29" s="66" t="s">
        <v>732</v>
      </c>
      <c r="J29" s="66" t="s">
        <v>753</v>
      </c>
      <c r="N29" s="66" t="s">
        <v>754</v>
      </c>
    </row>
    <row r="30" spans="1:15" x14ac:dyDescent="0.25">
      <c r="A30" s="13" t="s">
        <v>7</v>
      </c>
      <c r="B30" s="13" t="s">
        <v>0</v>
      </c>
      <c r="C30" s="13" t="s">
        <v>164</v>
      </c>
      <c r="E30" s="13" t="s">
        <v>7</v>
      </c>
      <c r="F30" s="13" t="s">
        <v>0</v>
      </c>
      <c r="G30" s="13" t="s">
        <v>164</v>
      </c>
      <c r="I30" s="13" t="s">
        <v>7</v>
      </c>
      <c r="J30" s="13" t="s">
        <v>0</v>
      </c>
      <c r="K30" s="13" t="s">
        <v>164</v>
      </c>
      <c r="M30" s="13" t="s">
        <v>7</v>
      </c>
      <c r="N30" s="13" t="s">
        <v>0</v>
      </c>
      <c r="O30" s="13" t="s">
        <v>164</v>
      </c>
    </row>
    <row r="31" spans="1:15" x14ac:dyDescent="0.25">
      <c r="A31" s="168" t="s">
        <v>731</v>
      </c>
      <c r="B31" s="9" t="s">
        <v>6</v>
      </c>
      <c r="C31" s="22">
        <v>437319</v>
      </c>
      <c r="E31" s="168" t="s">
        <v>732</v>
      </c>
      <c r="F31" s="9" t="s">
        <v>6</v>
      </c>
      <c r="G31" s="22">
        <v>633214</v>
      </c>
      <c r="I31" s="168" t="s">
        <v>438</v>
      </c>
      <c r="J31" s="9" t="s">
        <v>6</v>
      </c>
      <c r="K31" s="22">
        <v>380404</v>
      </c>
      <c r="M31" s="168" t="s">
        <v>439</v>
      </c>
      <c r="N31" s="9" t="s">
        <v>6</v>
      </c>
      <c r="O31" s="22">
        <v>569612</v>
      </c>
    </row>
    <row r="32" spans="1:15" x14ac:dyDescent="0.25">
      <c r="A32" s="169"/>
      <c r="B32" s="9" t="s">
        <v>41</v>
      </c>
      <c r="C32" s="22">
        <v>285479</v>
      </c>
      <c r="E32" s="169"/>
      <c r="F32" s="9" t="s">
        <v>41</v>
      </c>
      <c r="G32" s="22">
        <v>410814</v>
      </c>
      <c r="I32" s="169"/>
      <c r="J32" s="9" t="s">
        <v>41</v>
      </c>
      <c r="K32" s="22">
        <v>255340</v>
      </c>
      <c r="M32" s="169"/>
      <c r="N32" s="9" t="s">
        <v>41</v>
      </c>
      <c r="O32" s="22">
        <v>384199</v>
      </c>
    </row>
    <row r="33" spans="1:15" x14ac:dyDescent="0.25">
      <c r="A33" s="169"/>
      <c r="B33" s="9" t="s">
        <v>24</v>
      </c>
      <c r="C33" s="22"/>
      <c r="E33" s="169"/>
      <c r="F33" s="9" t="s">
        <v>24</v>
      </c>
      <c r="G33" s="22"/>
      <c r="I33" s="169"/>
      <c r="J33" s="9" t="s">
        <v>24</v>
      </c>
      <c r="K33" s="22"/>
      <c r="M33" s="169"/>
      <c r="N33" s="9" t="s">
        <v>24</v>
      </c>
      <c r="O33" s="22"/>
    </row>
    <row r="34" spans="1:15" x14ac:dyDescent="0.25">
      <c r="A34" s="169"/>
      <c r="B34" s="9" t="s">
        <v>10</v>
      </c>
      <c r="C34" s="22">
        <v>195812</v>
      </c>
      <c r="E34" s="169"/>
      <c r="F34" s="9" t="s">
        <v>10</v>
      </c>
      <c r="G34" s="22">
        <v>298349</v>
      </c>
      <c r="I34" s="169"/>
      <c r="J34" s="9" t="s">
        <v>10</v>
      </c>
      <c r="K34" s="22">
        <v>173082</v>
      </c>
      <c r="M34" s="169"/>
      <c r="N34" s="9" t="s">
        <v>10</v>
      </c>
      <c r="O34" s="99">
        <v>259269</v>
      </c>
    </row>
    <row r="35" spans="1:15" x14ac:dyDescent="0.25">
      <c r="A35" s="169"/>
      <c r="B35" s="9" t="s">
        <v>11</v>
      </c>
      <c r="C35" s="22"/>
      <c r="E35" s="169"/>
      <c r="F35" s="9" t="s">
        <v>11</v>
      </c>
      <c r="G35" s="22"/>
      <c r="I35" s="169"/>
      <c r="J35" s="9" t="s">
        <v>11</v>
      </c>
      <c r="K35" s="22"/>
      <c r="M35" s="169"/>
      <c r="N35" s="9" t="s">
        <v>11</v>
      </c>
      <c r="O35" s="99"/>
    </row>
    <row r="36" spans="1:15" x14ac:dyDescent="0.25">
      <c r="A36" s="169"/>
      <c r="B36" s="9" t="s">
        <v>49</v>
      </c>
      <c r="C36" s="22">
        <v>23469</v>
      </c>
      <c r="E36" s="169"/>
      <c r="F36" s="9" t="s">
        <v>49</v>
      </c>
      <c r="G36" s="22">
        <v>164352</v>
      </c>
      <c r="I36" s="169"/>
      <c r="J36" s="9" t="s">
        <v>49</v>
      </c>
      <c r="K36" s="22">
        <v>13406</v>
      </c>
      <c r="M36" s="169"/>
      <c r="N36" s="9" t="s">
        <v>49</v>
      </c>
      <c r="O36" s="22">
        <v>22957</v>
      </c>
    </row>
    <row r="37" spans="1:15" x14ac:dyDescent="0.25">
      <c r="A37" s="169"/>
      <c r="B37" s="9" t="s">
        <v>44</v>
      </c>
      <c r="C37" s="90">
        <v>572977</v>
      </c>
      <c r="E37" s="169"/>
      <c r="F37" s="9" t="s">
        <v>44</v>
      </c>
      <c r="G37" s="22">
        <v>681906</v>
      </c>
      <c r="I37" s="169"/>
      <c r="J37" s="9" t="s">
        <v>44</v>
      </c>
      <c r="K37" s="22">
        <v>532466</v>
      </c>
      <c r="M37" s="169"/>
      <c r="N37" s="9" t="s">
        <v>44</v>
      </c>
      <c r="O37" s="22">
        <v>793973</v>
      </c>
    </row>
    <row r="38" spans="1:15" x14ac:dyDescent="0.25">
      <c r="A38" s="170"/>
      <c r="B38" s="9" t="s">
        <v>47</v>
      </c>
      <c r="C38" s="22"/>
      <c r="E38" s="170"/>
      <c r="F38" s="9" t="s">
        <v>47</v>
      </c>
      <c r="G38" s="22">
        <v>7562</v>
      </c>
      <c r="I38" s="170"/>
      <c r="J38" s="9" t="s">
        <v>47</v>
      </c>
      <c r="K38" s="22">
        <v>3361</v>
      </c>
      <c r="M38" s="170"/>
      <c r="N38" s="9" t="s">
        <v>47</v>
      </c>
      <c r="O38" s="22">
        <v>5842</v>
      </c>
    </row>
    <row r="39" spans="1:15" x14ac:dyDescent="0.25">
      <c r="B39" s="103" t="s">
        <v>424</v>
      </c>
      <c r="C39" s="90">
        <v>1105.45</v>
      </c>
      <c r="F39" s="103" t="s">
        <v>424</v>
      </c>
      <c r="G39" s="90">
        <v>1787.42</v>
      </c>
      <c r="J39" s="103" t="s">
        <v>424</v>
      </c>
      <c r="K39" s="90">
        <v>1025.01</v>
      </c>
      <c r="N39" s="103" t="s">
        <v>424</v>
      </c>
      <c r="O39" s="90">
        <v>1436.12</v>
      </c>
    </row>
    <row r="40" spans="1:15" ht="15.75" thickBot="1" x14ac:dyDescent="0.3"/>
    <row r="41" spans="1:15" x14ac:dyDescent="0.25">
      <c r="B41" s="57" t="s">
        <v>175</v>
      </c>
      <c r="C41" s="58"/>
      <c r="F41" s="66"/>
    </row>
    <row r="42" spans="1:15" x14ac:dyDescent="0.25">
      <c r="B42" s="60" t="s">
        <v>752</v>
      </c>
      <c r="C42" s="61"/>
      <c r="E42" s="13" t="s">
        <v>7</v>
      </c>
      <c r="F42" s="13" t="s">
        <v>0</v>
      </c>
      <c r="G42" s="13" t="s">
        <v>164</v>
      </c>
    </row>
    <row r="43" spans="1:15" x14ac:dyDescent="0.25">
      <c r="A43" s="62" t="s">
        <v>7</v>
      </c>
      <c r="B43" s="12" t="s">
        <v>0</v>
      </c>
      <c r="C43" s="63" t="s">
        <v>164</v>
      </c>
      <c r="E43" s="145"/>
      <c r="F43" s="9" t="s">
        <v>6</v>
      </c>
      <c r="G43" s="22"/>
    </row>
    <row r="44" spans="1:15" x14ac:dyDescent="0.25">
      <c r="A44" s="148"/>
      <c r="B44" s="54" t="s">
        <v>6</v>
      </c>
      <c r="C44" s="68">
        <f>+C31+G31+K31+O31+G43</f>
        <v>2020549</v>
      </c>
      <c r="E44" s="146"/>
      <c r="F44" s="9" t="s">
        <v>41</v>
      </c>
      <c r="G44" s="22"/>
      <c r="I44" s="85">
        <f>+C44-2020549</f>
        <v>0</v>
      </c>
    </row>
    <row r="45" spans="1:15" x14ac:dyDescent="0.25">
      <c r="A45" s="149"/>
      <c r="B45" s="54" t="s">
        <v>9</v>
      </c>
      <c r="C45" s="68">
        <f t="shared" ref="C45:C52" si="1">+C32+G32+K32+O32+G44</f>
        <v>1335832</v>
      </c>
      <c r="E45" s="146"/>
      <c r="F45" s="9" t="s">
        <v>24</v>
      </c>
      <c r="G45" s="22"/>
    </row>
    <row r="46" spans="1:15" x14ac:dyDescent="0.25">
      <c r="A46" s="149"/>
      <c r="B46" s="54" t="s">
        <v>24</v>
      </c>
      <c r="C46" s="68">
        <f t="shared" si="1"/>
        <v>0</v>
      </c>
      <c r="E46" s="146"/>
      <c r="F46" s="9" t="s">
        <v>10</v>
      </c>
      <c r="G46" s="99"/>
    </row>
    <row r="47" spans="1:15" x14ac:dyDescent="0.25">
      <c r="A47" s="149" t="s">
        <v>752</v>
      </c>
      <c r="B47" s="54" t="s">
        <v>10</v>
      </c>
      <c r="C47" s="68">
        <f t="shared" si="1"/>
        <v>926512</v>
      </c>
      <c r="E47" s="146"/>
      <c r="F47" s="9" t="s">
        <v>11</v>
      </c>
      <c r="G47" s="99"/>
    </row>
    <row r="48" spans="1:15" x14ac:dyDescent="0.25">
      <c r="A48" s="149"/>
      <c r="B48" s="54" t="s">
        <v>12</v>
      </c>
      <c r="C48" s="68">
        <f t="shared" si="1"/>
        <v>0</v>
      </c>
      <c r="E48" s="146"/>
      <c r="F48" s="9" t="s">
        <v>49</v>
      </c>
      <c r="G48" s="22"/>
    </row>
    <row r="49" spans="1:15" x14ac:dyDescent="0.25">
      <c r="A49" s="149"/>
      <c r="B49" s="55" t="s">
        <v>14</v>
      </c>
      <c r="C49" s="68">
        <f t="shared" si="1"/>
        <v>224184</v>
      </c>
      <c r="E49" s="146"/>
      <c r="F49" s="9" t="s">
        <v>44</v>
      </c>
      <c r="G49" s="22"/>
    </row>
    <row r="50" spans="1:15" x14ac:dyDescent="0.25">
      <c r="A50" s="149"/>
      <c r="B50" s="104" t="s">
        <v>15</v>
      </c>
      <c r="C50" s="68">
        <f t="shared" si="1"/>
        <v>2581322</v>
      </c>
      <c r="E50" s="147"/>
      <c r="F50" s="9" t="s">
        <v>47</v>
      </c>
      <c r="G50" s="22"/>
    </row>
    <row r="51" spans="1:15" ht="15.75" thickBot="1" x14ac:dyDescent="0.3">
      <c r="A51" s="150"/>
      <c r="B51" s="54" t="s">
        <v>13</v>
      </c>
      <c r="C51" s="68">
        <f t="shared" si="1"/>
        <v>16765</v>
      </c>
      <c r="F51" s="103" t="s">
        <v>424</v>
      </c>
      <c r="G51" s="90"/>
    </row>
    <row r="52" spans="1:15" x14ac:dyDescent="0.25">
      <c r="B52" s="54" t="s">
        <v>424</v>
      </c>
      <c r="C52" s="68">
        <f t="shared" si="1"/>
        <v>5354</v>
      </c>
    </row>
    <row r="54" spans="1:15" s="16" customFormat="1" x14ac:dyDescent="0.25"/>
    <row r="56" spans="1:15" x14ac:dyDescent="0.25">
      <c r="B56" s="66" t="s">
        <v>755</v>
      </c>
      <c r="F56" s="66" t="s">
        <v>756</v>
      </c>
      <c r="J56" s="66" t="s">
        <v>757</v>
      </c>
      <c r="N56" s="66" t="s">
        <v>758</v>
      </c>
    </row>
    <row r="57" spans="1:15" x14ac:dyDescent="0.25">
      <c r="A57" s="13" t="s">
        <v>7</v>
      </c>
      <c r="B57" s="13" t="s">
        <v>0</v>
      </c>
      <c r="C57" s="13" t="s">
        <v>164</v>
      </c>
      <c r="E57" s="13" t="s">
        <v>7</v>
      </c>
      <c r="F57" s="13" t="s">
        <v>0</v>
      </c>
      <c r="G57" s="13" t="s">
        <v>164</v>
      </c>
      <c r="I57" s="13" t="s">
        <v>7</v>
      </c>
      <c r="J57" s="13" t="s">
        <v>0</v>
      </c>
      <c r="K57" s="13" t="s">
        <v>164</v>
      </c>
      <c r="M57" s="13" t="s">
        <v>7</v>
      </c>
      <c r="N57" s="13" t="s">
        <v>0</v>
      </c>
      <c r="O57" s="117" t="s">
        <v>164</v>
      </c>
    </row>
    <row r="58" spans="1:15" x14ac:dyDescent="0.25">
      <c r="A58" s="168" t="s">
        <v>755</v>
      </c>
      <c r="B58" s="9" t="s">
        <v>6</v>
      </c>
      <c r="C58" s="22">
        <v>625480</v>
      </c>
      <c r="E58" s="168" t="s">
        <v>756</v>
      </c>
      <c r="F58" s="9" t="s">
        <v>6</v>
      </c>
      <c r="G58" s="22">
        <v>598291</v>
      </c>
      <c r="I58" s="168" t="s">
        <v>757</v>
      </c>
      <c r="J58" s="9" t="s">
        <v>6</v>
      </c>
      <c r="K58" s="22">
        <v>524547</v>
      </c>
      <c r="M58" s="168" t="s">
        <v>758</v>
      </c>
      <c r="N58" s="9" t="s">
        <v>6</v>
      </c>
      <c r="O58" s="22">
        <v>709378</v>
      </c>
    </row>
    <row r="59" spans="1:15" x14ac:dyDescent="0.25">
      <c r="A59" s="169"/>
      <c r="B59" s="9" t="s">
        <v>41</v>
      </c>
      <c r="C59" s="22">
        <v>419649</v>
      </c>
      <c r="E59" s="169"/>
      <c r="F59" s="9" t="s">
        <v>41</v>
      </c>
      <c r="G59" s="22">
        <v>399330</v>
      </c>
      <c r="I59" s="169"/>
      <c r="J59" s="9" t="s">
        <v>41</v>
      </c>
      <c r="K59" s="22">
        <v>346931</v>
      </c>
      <c r="M59" s="169"/>
      <c r="N59" s="9" t="s">
        <v>41</v>
      </c>
      <c r="O59" s="22">
        <v>472613</v>
      </c>
    </row>
    <row r="60" spans="1:15" x14ac:dyDescent="0.25">
      <c r="A60" s="169"/>
      <c r="B60" s="9" t="s">
        <v>24</v>
      </c>
      <c r="C60" s="22"/>
      <c r="E60" s="169"/>
      <c r="F60" s="9" t="s">
        <v>24</v>
      </c>
      <c r="G60" s="22"/>
      <c r="I60" s="169"/>
      <c r="J60" s="9" t="s">
        <v>24</v>
      </c>
      <c r="K60" s="22"/>
      <c r="M60" s="169"/>
      <c r="N60" s="9" t="s">
        <v>24</v>
      </c>
      <c r="O60" s="22"/>
    </row>
    <row r="61" spans="1:15" x14ac:dyDescent="0.25">
      <c r="A61" s="169"/>
      <c r="B61" s="9" t="s">
        <v>10</v>
      </c>
      <c r="C61" s="22">
        <v>292003</v>
      </c>
      <c r="E61" s="169"/>
      <c r="F61" s="9" t="s">
        <v>10</v>
      </c>
      <c r="G61" s="22">
        <v>271689</v>
      </c>
      <c r="I61" s="169"/>
      <c r="J61" s="9" t="s">
        <v>10</v>
      </c>
      <c r="K61" s="22">
        <v>250412</v>
      </c>
      <c r="M61" s="169"/>
      <c r="N61" s="9" t="s">
        <v>10</v>
      </c>
      <c r="O61" s="22">
        <v>325008</v>
      </c>
    </row>
    <row r="62" spans="1:15" x14ac:dyDescent="0.25">
      <c r="A62" s="169"/>
      <c r="B62" s="9" t="s">
        <v>11</v>
      </c>
      <c r="C62" s="22">
        <v>211.85</v>
      </c>
      <c r="E62" s="169"/>
      <c r="F62" s="9" t="s">
        <v>11</v>
      </c>
      <c r="G62" s="22"/>
      <c r="I62" s="169"/>
      <c r="J62" s="9" t="s">
        <v>11</v>
      </c>
      <c r="K62" s="22"/>
      <c r="M62" s="169"/>
      <c r="N62" s="9" t="s">
        <v>11</v>
      </c>
      <c r="O62" s="22"/>
    </row>
    <row r="63" spans="1:15" x14ac:dyDescent="0.25">
      <c r="A63" s="169"/>
      <c r="B63" s="9" t="s">
        <v>49</v>
      </c>
      <c r="C63" s="22">
        <v>67769</v>
      </c>
      <c r="E63" s="169"/>
      <c r="F63" s="9" t="s">
        <v>49</v>
      </c>
      <c r="G63" s="22">
        <v>77520</v>
      </c>
      <c r="I63" s="169"/>
      <c r="J63" s="9" t="s">
        <v>49</v>
      </c>
      <c r="K63" s="22">
        <v>47162</v>
      </c>
      <c r="M63" s="169"/>
      <c r="N63" s="9" t="s">
        <v>49</v>
      </c>
      <c r="O63" s="22">
        <v>75705</v>
      </c>
    </row>
    <row r="64" spans="1:15" x14ac:dyDescent="0.25">
      <c r="A64" s="169"/>
      <c r="B64" s="9" t="s">
        <v>44</v>
      </c>
      <c r="C64" s="90">
        <v>849502</v>
      </c>
      <c r="E64" s="169"/>
      <c r="F64" s="9" t="s">
        <v>44</v>
      </c>
      <c r="G64" s="22">
        <v>749796</v>
      </c>
      <c r="I64" s="169"/>
      <c r="J64" s="9" t="s">
        <v>44</v>
      </c>
      <c r="K64" s="22">
        <v>675318</v>
      </c>
      <c r="M64" s="169"/>
      <c r="N64" s="9" t="s">
        <v>44</v>
      </c>
      <c r="O64" s="22">
        <v>920506</v>
      </c>
    </row>
    <row r="65" spans="1:15" x14ac:dyDescent="0.25">
      <c r="A65" s="170"/>
      <c r="B65" s="9" t="s">
        <v>47</v>
      </c>
      <c r="C65" s="22">
        <v>8964</v>
      </c>
      <c r="E65" s="170"/>
      <c r="F65" s="9" t="s">
        <v>47</v>
      </c>
      <c r="G65" s="22">
        <v>6501</v>
      </c>
      <c r="I65" s="170"/>
      <c r="J65" s="9" t="s">
        <v>47</v>
      </c>
      <c r="K65" s="22">
        <v>4375</v>
      </c>
      <c r="M65" s="170"/>
      <c r="N65" s="9" t="s">
        <v>47</v>
      </c>
      <c r="O65" s="22"/>
    </row>
    <row r="66" spans="1:15" x14ac:dyDescent="0.25">
      <c r="B66" s="103" t="s">
        <v>424</v>
      </c>
      <c r="C66" s="90">
        <v>602.66999999999996</v>
      </c>
      <c r="F66" s="103" t="s">
        <v>424</v>
      </c>
      <c r="G66" s="90">
        <v>1440.01</v>
      </c>
      <c r="J66" s="103" t="s">
        <v>424</v>
      </c>
      <c r="K66" s="90">
        <v>1403.46</v>
      </c>
      <c r="N66" s="103" t="s">
        <v>424</v>
      </c>
      <c r="O66" s="22">
        <v>1795.84</v>
      </c>
    </row>
    <row r="67" spans="1:15" ht="15.75" thickBot="1" x14ac:dyDescent="0.3"/>
    <row r="68" spans="1:15" x14ac:dyDescent="0.25">
      <c r="B68" s="57" t="s">
        <v>175</v>
      </c>
      <c r="C68" s="58"/>
      <c r="F68" s="66"/>
    </row>
    <row r="69" spans="1:15" x14ac:dyDescent="0.25">
      <c r="B69" s="60" t="s">
        <v>759</v>
      </c>
      <c r="C69" s="61"/>
      <c r="E69" s="13" t="s">
        <v>7</v>
      </c>
      <c r="F69" s="13" t="s">
        <v>0</v>
      </c>
      <c r="G69" s="13" t="s">
        <v>164</v>
      </c>
    </row>
    <row r="70" spans="1:15" x14ac:dyDescent="0.25">
      <c r="A70" s="62" t="s">
        <v>7</v>
      </c>
      <c r="B70" s="12" t="s">
        <v>0</v>
      </c>
      <c r="C70" s="63" t="s">
        <v>164</v>
      </c>
      <c r="E70" s="145"/>
      <c r="F70" s="9" t="s">
        <v>6</v>
      </c>
      <c r="G70" s="22"/>
    </row>
    <row r="71" spans="1:15" x14ac:dyDescent="0.25">
      <c r="A71" s="148"/>
      <c r="B71" s="54" t="s">
        <v>6</v>
      </c>
      <c r="C71" s="68">
        <f>+C58+G58+K58+O58+G70</f>
        <v>2457696</v>
      </c>
      <c r="E71" s="146"/>
      <c r="F71" s="9" t="s">
        <v>41</v>
      </c>
      <c r="G71" s="22"/>
    </row>
    <row r="72" spans="1:15" x14ac:dyDescent="0.25">
      <c r="A72" s="149"/>
      <c r="B72" s="54" t="s">
        <v>9</v>
      </c>
      <c r="C72" s="68">
        <f t="shared" ref="C72:C79" si="2">+C59+G59+K59+O59+G71</f>
        <v>1638523</v>
      </c>
      <c r="E72" s="146"/>
      <c r="F72" s="9" t="s">
        <v>24</v>
      </c>
      <c r="G72" s="22"/>
    </row>
    <row r="73" spans="1:15" x14ac:dyDescent="0.25">
      <c r="A73" s="149"/>
      <c r="B73" s="54" t="s">
        <v>24</v>
      </c>
      <c r="C73" s="68">
        <f t="shared" si="2"/>
        <v>0</v>
      </c>
      <c r="E73" s="146"/>
      <c r="F73" s="9" t="s">
        <v>10</v>
      </c>
      <c r="G73" s="99"/>
    </row>
    <row r="74" spans="1:15" x14ac:dyDescent="0.25">
      <c r="A74" s="149" t="s">
        <v>759</v>
      </c>
      <c r="B74" s="54" t="s">
        <v>10</v>
      </c>
      <c r="C74" s="68">
        <f>+C61+G61+K61+O61+G73</f>
        <v>1139112</v>
      </c>
      <c r="E74" s="146"/>
      <c r="F74" s="9" t="s">
        <v>11</v>
      </c>
      <c r="G74" s="99"/>
    </row>
    <row r="75" spans="1:15" x14ac:dyDescent="0.25">
      <c r="A75" s="149"/>
      <c r="B75" s="54" t="s">
        <v>12</v>
      </c>
      <c r="C75" s="68">
        <f t="shared" si="2"/>
        <v>211.85</v>
      </c>
      <c r="E75" s="146"/>
      <c r="F75" s="9" t="s">
        <v>49</v>
      </c>
      <c r="G75" s="22"/>
    </row>
    <row r="76" spans="1:15" x14ac:dyDescent="0.25">
      <c r="A76" s="149"/>
      <c r="B76" s="55" t="s">
        <v>14</v>
      </c>
      <c r="C76" s="68">
        <f t="shared" si="2"/>
        <v>268156</v>
      </c>
      <c r="E76" s="146"/>
      <c r="F76" s="9" t="s">
        <v>44</v>
      </c>
      <c r="G76" s="22"/>
    </row>
    <row r="77" spans="1:15" x14ac:dyDescent="0.25">
      <c r="A77" s="149"/>
      <c r="B77" s="104" t="s">
        <v>15</v>
      </c>
      <c r="C77" s="68">
        <f t="shared" si="2"/>
        <v>3195122</v>
      </c>
      <c r="E77" s="147"/>
      <c r="F77" s="9" t="s">
        <v>47</v>
      </c>
      <c r="G77" s="22"/>
    </row>
    <row r="78" spans="1:15" ht="15.75" thickBot="1" x14ac:dyDescent="0.3">
      <c r="A78" s="150"/>
      <c r="B78" s="54" t="s">
        <v>13</v>
      </c>
      <c r="C78" s="68">
        <f t="shared" si="2"/>
        <v>19840</v>
      </c>
      <c r="F78" s="103" t="s">
        <v>424</v>
      </c>
      <c r="G78" s="90"/>
    </row>
    <row r="79" spans="1:15" x14ac:dyDescent="0.25">
      <c r="B79" s="54" t="s">
        <v>424</v>
      </c>
      <c r="C79" s="68">
        <f t="shared" si="2"/>
        <v>5241.9799999999996</v>
      </c>
    </row>
    <row r="81" spans="1:15" s="16" customFormat="1" x14ac:dyDescent="0.25"/>
    <row r="83" spans="1:15" x14ac:dyDescent="0.25">
      <c r="B83" s="66" t="s">
        <v>777</v>
      </c>
      <c r="F83" s="66" t="s">
        <v>779</v>
      </c>
      <c r="J83" s="66" t="s">
        <v>780</v>
      </c>
      <c r="N83" s="66" t="s">
        <v>781</v>
      </c>
    </row>
    <row r="84" spans="1:15" x14ac:dyDescent="0.25">
      <c r="A84" s="13" t="s">
        <v>7</v>
      </c>
      <c r="B84" s="13" t="s">
        <v>0</v>
      </c>
      <c r="C84" s="13" t="s">
        <v>164</v>
      </c>
      <c r="E84" s="13" t="s">
        <v>7</v>
      </c>
      <c r="F84" s="13" t="s">
        <v>0</v>
      </c>
      <c r="G84" s="13" t="s">
        <v>164</v>
      </c>
      <c r="I84" s="13" t="s">
        <v>7</v>
      </c>
      <c r="J84" s="13" t="s">
        <v>0</v>
      </c>
      <c r="K84" s="13" t="s">
        <v>164</v>
      </c>
      <c r="M84" s="13" t="s">
        <v>7</v>
      </c>
      <c r="N84" s="13" t="s">
        <v>0</v>
      </c>
      <c r="O84" s="117" t="s">
        <v>164</v>
      </c>
    </row>
    <row r="85" spans="1:15" x14ac:dyDescent="0.25">
      <c r="A85" s="171" t="s">
        <v>777</v>
      </c>
      <c r="B85" s="9" t="s">
        <v>6</v>
      </c>
      <c r="C85" s="22">
        <v>425649</v>
      </c>
      <c r="E85" s="168" t="s">
        <v>779</v>
      </c>
      <c r="F85" s="9" t="s">
        <v>6</v>
      </c>
      <c r="G85" s="22">
        <v>547707</v>
      </c>
      <c r="I85" s="168" t="s">
        <v>780</v>
      </c>
      <c r="J85" s="9" t="s">
        <v>6</v>
      </c>
      <c r="K85" s="22">
        <v>728999</v>
      </c>
      <c r="M85" s="168" t="s">
        <v>532</v>
      </c>
      <c r="N85" s="9" t="s">
        <v>6</v>
      </c>
      <c r="O85" s="22">
        <v>588752</v>
      </c>
    </row>
    <row r="86" spans="1:15" x14ac:dyDescent="0.25">
      <c r="A86" s="169"/>
      <c r="B86" s="9" t="s">
        <v>41</v>
      </c>
      <c r="C86" s="22">
        <v>290668</v>
      </c>
      <c r="E86" s="169"/>
      <c r="F86" s="9" t="s">
        <v>41</v>
      </c>
      <c r="G86" s="22">
        <v>366110</v>
      </c>
      <c r="I86" s="169"/>
      <c r="J86" s="9" t="s">
        <v>41</v>
      </c>
      <c r="K86" s="22">
        <v>478913</v>
      </c>
      <c r="M86" s="169"/>
      <c r="N86" s="9" t="s">
        <v>41</v>
      </c>
      <c r="O86" s="22">
        <v>385810</v>
      </c>
    </row>
    <row r="87" spans="1:15" x14ac:dyDescent="0.25">
      <c r="A87" s="169"/>
      <c r="B87" s="9" t="s">
        <v>24</v>
      </c>
      <c r="C87" s="22"/>
      <c r="E87" s="169"/>
      <c r="F87" s="9" t="s">
        <v>24</v>
      </c>
      <c r="G87" s="22"/>
      <c r="I87" s="169"/>
      <c r="J87" s="9" t="s">
        <v>24</v>
      </c>
      <c r="K87" s="22"/>
      <c r="M87" s="169"/>
      <c r="N87" s="9" t="s">
        <v>24</v>
      </c>
      <c r="O87" s="22"/>
    </row>
    <row r="88" spans="1:15" x14ac:dyDescent="0.25">
      <c r="A88" s="169"/>
      <c r="B88" s="9" t="s">
        <v>10</v>
      </c>
      <c r="C88" s="22">
        <v>200196</v>
      </c>
      <c r="E88" s="169"/>
      <c r="F88" s="9" t="s">
        <v>10</v>
      </c>
      <c r="G88" s="22">
        <v>259585</v>
      </c>
      <c r="I88" s="169"/>
      <c r="J88" s="9" t="s">
        <v>10</v>
      </c>
      <c r="K88" s="22">
        <v>349955</v>
      </c>
      <c r="M88" s="169"/>
      <c r="N88" s="9" t="s">
        <v>10</v>
      </c>
      <c r="O88" s="22">
        <v>274502</v>
      </c>
    </row>
    <row r="89" spans="1:15" x14ac:dyDescent="0.25">
      <c r="A89" s="169"/>
      <c r="B89" s="9" t="s">
        <v>11</v>
      </c>
      <c r="C89" s="22"/>
      <c r="E89" s="169"/>
      <c r="F89" s="9" t="s">
        <v>11</v>
      </c>
      <c r="G89" s="22"/>
      <c r="I89" s="169"/>
      <c r="J89" s="9" t="s">
        <v>11</v>
      </c>
      <c r="K89" s="22"/>
      <c r="M89" s="169"/>
      <c r="N89" s="9" t="s">
        <v>11</v>
      </c>
      <c r="O89" s="22"/>
    </row>
    <row r="90" spans="1:15" x14ac:dyDescent="0.25">
      <c r="A90" s="169"/>
      <c r="B90" s="9" t="s">
        <v>49</v>
      </c>
      <c r="C90" s="22">
        <v>88383</v>
      </c>
      <c r="E90" s="169"/>
      <c r="F90" s="9" t="s">
        <v>49</v>
      </c>
      <c r="G90" s="22">
        <v>13717</v>
      </c>
      <c r="I90" s="169"/>
      <c r="J90" s="9" t="s">
        <v>49</v>
      </c>
      <c r="K90" s="22">
        <v>108523</v>
      </c>
      <c r="M90" s="169"/>
      <c r="N90" s="9" t="s">
        <v>49</v>
      </c>
      <c r="O90" s="22">
        <v>83100</v>
      </c>
    </row>
    <row r="91" spans="1:15" x14ac:dyDescent="0.25">
      <c r="A91" s="169"/>
      <c r="B91" s="9" t="s">
        <v>44</v>
      </c>
      <c r="C91" s="90">
        <v>502529</v>
      </c>
      <c r="E91" s="169"/>
      <c r="F91" s="9" t="s">
        <v>44</v>
      </c>
      <c r="G91" s="22">
        <v>604214</v>
      </c>
      <c r="I91" s="169"/>
      <c r="J91" s="9" t="s">
        <v>44</v>
      </c>
      <c r="K91" s="22">
        <v>918222</v>
      </c>
      <c r="M91" s="169"/>
      <c r="N91" s="9" t="s">
        <v>44</v>
      </c>
      <c r="O91" s="22">
        <v>742652</v>
      </c>
    </row>
    <row r="92" spans="1:15" x14ac:dyDescent="0.25">
      <c r="A92" s="170"/>
      <c r="B92" s="9" t="s">
        <v>47</v>
      </c>
      <c r="C92" s="22"/>
      <c r="E92" s="170"/>
      <c r="F92" s="9" t="s">
        <v>47</v>
      </c>
      <c r="G92" s="22"/>
      <c r="I92" s="170"/>
      <c r="J92" s="9" t="s">
        <v>47</v>
      </c>
      <c r="K92" s="22">
        <v>4542</v>
      </c>
      <c r="M92" s="170"/>
      <c r="N92" s="9" t="s">
        <v>47</v>
      </c>
      <c r="O92" s="22"/>
    </row>
    <row r="93" spans="1:15" x14ac:dyDescent="0.25">
      <c r="B93" s="103" t="s">
        <v>424</v>
      </c>
      <c r="C93" s="90">
        <v>964.96</v>
      </c>
      <c r="F93" s="103" t="s">
        <v>424</v>
      </c>
      <c r="G93" s="90">
        <v>1440.66</v>
      </c>
      <c r="J93" s="103" t="s">
        <v>424</v>
      </c>
      <c r="K93" s="90">
        <v>1986.57</v>
      </c>
      <c r="N93" s="103" t="s">
        <v>424</v>
      </c>
      <c r="O93" s="22">
        <v>1546.77</v>
      </c>
    </row>
    <row r="94" spans="1:15" ht="15.75" thickBot="1" x14ac:dyDescent="0.3"/>
    <row r="95" spans="1:15" x14ac:dyDescent="0.25">
      <c r="B95" s="57" t="s">
        <v>175</v>
      </c>
      <c r="C95" s="58"/>
      <c r="F95" s="66"/>
    </row>
    <row r="96" spans="1:15" x14ac:dyDescent="0.25">
      <c r="B96" s="60" t="s">
        <v>778</v>
      </c>
      <c r="C96" s="61"/>
      <c r="E96" s="13" t="s">
        <v>7</v>
      </c>
      <c r="F96" s="13" t="s">
        <v>0</v>
      </c>
      <c r="G96" s="13" t="s">
        <v>164</v>
      </c>
    </row>
    <row r="97" spans="1:15" x14ac:dyDescent="0.25">
      <c r="A97" s="62" t="s">
        <v>7</v>
      </c>
      <c r="B97" s="12" t="s">
        <v>0</v>
      </c>
      <c r="C97" s="63" t="s">
        <v>164</v>
      </c>
      <c r="E97" s="145"/>
      <c r="F97" s="9" t="s">
        <v>6</v>
      </c>
      <c r="G97" s="22"/>
    </row>
    <row r="98" spans="1:15" x14ac:dyDescent="0.25">
      <c r="A98" s="148"/>
      <c r="B98" s="54" t="s">
        <v>6</v>
      </c>
      <c r="C98" s="68">
        <f>+C85+G85+K85+O85+G97</f>
        <v>2291107</v>
      </c>
      <c r="E98" s="146"/>
      <c r="F98" s="9" t="s">
        <v>41</v>
      </c>
      <c r="G98" s="22"/>
    </row>
    <row r="99" spans="1:15" x14ac:dyDescent="0.25">
      <c r="A99" s="149"/>
      <c r="B99" s="54" t="s">
        <v>9</v>
      </c>
      <c r="C99" s="68">
        <f t="shared" ref="C99:C100" si="3">+C86+G86+K86+O86+G98</f>
        <v>1521501</v>
      </c>
      <c r="E99" s="146"/>
      <c r="F99" s="9" t="s">
        <v>24</v>
      </c>
      <c r="G99" s="22"/>
    </row>
    <row r="100" spans="1:15" x14ac:dyDescent="0.25">
      <c r="A100" s="149"/>
      <c r="B100" s="54" t="s">
        <v>24</v>
      </c>
      <c r="C100" s="68">
        <f t="shared" si="3"/>
        <v>0</v>
      </c>
      <c r="E100" s="146"/>
      <c r="F100" s="9" t="s">
        <v>10</v>
      </c>
      <c r="G100" s="99"/>
    </row>
    <row r="101" spans="1:15" x14ac:dyDescent="0.25">
      <c r="A101" s="149" t="s">
        <v>778</v>
      </c>
      <c r="B101" s="54" t="s">
        <v>10</v>
      </c>
      <c r="C101" s="68">
        <f>+C88+G88+K88+O88+G100</f>
        <v>1084238</v>
      </c>
      <c r="E101" s="146"/>
      <c r="F101" s="9" t="s">
        <v>11</v>
      </c>
      <c r="G101" s="99"/>
    </row>
    <row r="102" spans="1:15" x14ac:dyDescent="0.25">
      <c r="A102" s="149"/>
      <c r="B102" s="54" t="s">
        <v>12</v>
      </c>
      <c r="C102" s="68">
        <f t="shared" ref="C102:C106" si="4">+C89+G89+K89+O89+G101</f>
        <v>0</v>
      </c>
      <c r="E102" s="146"/>
      <c r="F102" s="9" t="s">
        <v>49</v>
      </c>
      <c r="G102" s="22"/>
    </row>
    <row r="103" spans="1:15" x14ac:dyDescent="0.25">
      <c r="A103" s="149"/>
      <c r="B103" s="55" t="s">
        <v>14</v>
      </c>
      <c r="C103" s="68">
        <f t="shared" si="4"/>
        <v>293723</v>
      </c>
      <c r="E103" s="146"/>
      <c r="F103" s="9" t="s">
        <v>44</v>
      </c>
      <c r="G103" s="22"/>
    </row>
    <row r="104" spans="1:15" x14ac:dyDescent="0.25">
      <c r="A104" s="149"/>
      <c r="B104" s="104" t="s">
        <v>15</v>
      </c>
      <c r="C104" s="68">
        <f t="shared" si="4"/>
        <v>2767617</v>
      </c>
      <c r="E104" s="147"/>
      <c r="F104" s="9" t="s">
        <v>47</v>
      </c>
      <c r="G104" s="22"/>
    </row>
    <row r="105" spans="1:15" ht="15.75" thickBot="1" x14ac:dyDescent="0.3">
      <c r="A105" s="150"/>
      <c r="B105" s="54" t="s">
        <v>13</v>
      </c>
      <c r="C105" s="68">
        <f t="shared" si="4"/>
        <v>4542</v>
      </c>
      <c r="F105" s="103" t="s">
        <v>424</v>
      </c>
      <c r="G105" s="90"/>
    </row>
    <row r="106" spans="1:15" x14ac:dyDescent="0.25">
      <c r="B106" s="54" t="s">
        <v>424</v>
      </c>
      <c r="C106" s="68">
        <f t="shared" si="4"/>
        <v>5938.9599999999991</v>
      </c>
    </row>
    <row r="108" spans="1:15" s="16" customFormat="1" x14ac:dyDescent="0.25"/>
    <row r="110" spans="1:15" x14ac:dyDescent="0.25">
      <c r="B110" s="66" t="s">
        <v>796</v>
      </c>
      <c r="F110" s="66" t="s">
        <v>797</v>
      </c>
      <c r="J110" s="66" t="s">
        <v>798</v>
      </c>
      <c r="N110" s="66" t="s">
        <v>800</v>
      </c>
    </row>
    <row r="111" spans="1:15" x14ac:dyDescent="0.25">
      <c r="A111" s="13" t="s">
        <v>7</v>
      </c>
      <c r="B111" s="13" t="s">
        <v>0</v>
      </c>
      <c r="C111" s="13" t="s">
        <v>164</v>
      </c>
      <c r="E111" s="13" t="s">
        <v>7</v>
      </c>
      <c r="F111" s="13" t="s">
        <v>0</v>
      </c>
      <c r="G111" s="13" t="s">
        <v>164</v>
      </c>
      <c r="I111" s="13" t="s">
        <v>7</v>
      </c>
      <c r="J111" s="13" t="s">
        <v>0</v>
      </c>
      <c r="K111" s="13" t="s">
        <v>164</v>
      </c>
      <c r="M111" s="13" t="s">
        <v>7</v>
      </c>
      <c r="N111" s="13" t="s">
        <v>0</v>
      </c>
      <c r="O111" s="117" t="s">
        <v>164</v>
      </c>
    </row>
    <row r="112" spans="1:15" x14ac:dyDescent="0.25">
      <c r="A112" s="168" t="s">
        <v>796</v>
      </c>
      <c r="B112" s="9" t="s">
        <v>6</v>
      </c>
      <c r="C112" s="22">
        <v>671911</v>
      </c>
      <c r="E112" s="168" t="s">
        <v>797</v>
      </c>
      <c r="F112" s="9" t="s">
        <v>6</v>
      </c>
      <c r="G112" s="22">
        <v>957460</v>
      </c>
      <c r="I112" s="168" t="s">
        <v>798</v>
      </c>
      <c r="J112" s="9" t="s">
        <v>6</v>
      </c>
      <c r="K112" s="22">
        <v>981812</v>
      </c>
      <c r="M112" s="168" t="s">
        <v>799</v>
      </c>
      <c r="N112" s="9" t="s">
        <v>6</v>
      </c>
      <c r="O112" s="130">
        <v>863779</v>
      </c>
    </row>
    <row r="113" spans="1:15" x14ac:dyDescent="0.25">
      <c r="A113" s="169"/>
      <c r="B113" s="9" t="s">
        <v>41</v>
      </c>
      <c r="C113" s="22">
        <v>446035</v>
      </c>
      <c r="E113" s="169"/>
      <c r="F113" s="9" t="s">
        <v>41</v>
      </c>
      <c r="G113" s="22">
        <v>634794</v>
      </c>
      <c r="I113" s="169"/>
      <c r="J113" s="9" t="s">
        <v>41</v>
      </c>
      <c r="K113" s="22">
        <v>658404</v>
      </c>
      <c r="M113" s="169"/>
      <c r="N113" s="9" t="s">
        <v>41</v>
      </c>
      <c r="O113" s="131">
        <v>584854</v>
      </c>
    </row>
    <row r="114" spans="1:15" x14ac:dyDescent="0.25">
      <c r="A114" s="169"/>
      <c r="B114" s="9" t="s">
        <v>24</v>
      </c>
      <c r="C114" s="22"/>
      <c r="E114" s="169"/>
      <c r="F114" s="9" t="s">
        <v>24</v>
      </c>
      <c r="G114" s="22"/>
      <c r="I114" s="169"/>
      <c r="J114" s="9" t="s">
        <v>24</v>
      </c>
      <c r="K114" s="22"/>
      <c r="M114" s="169"/>
      <c r="N114" s="9" t="s">
        <v>24</v>
      </c>
      <c r="O114" s="90"/>
    </row>
    <row r="115" spans="1:15" x14ac:dyDescent="0.25">
      <c r="A115" s="169"/>
      <c r="B115" s="9" t="s">
        <v>10</v>
      </c>
      <c r="C115" s="22">
        <v>323184</v>
      </c>
      <c r="E115" s="169"/>
      <c r="F115" s="9" t="s">
        <v>10</v>
      </c>
      <c r="G115" s="22">
        <v>457671</v>
      </c>
      <c r="I115" s="169"/>
      <c r="J115" s="9" t="s">
        <v>10</v>
      </c>
      <c r="K115" s="22">
        <v>458985</v>
      </c>
      <c r="M115" s="169"/>
      <c r="N115" s="9" t="s">
        <v>10</v>
      </c>
      <c r="O115" s="131">
        <v>426293</v>
      </c>
    </row>
    <row r="116" spans="1:15" x14ac:dyDescent="0.25">
      <c r="A116" s="169"/>
      <c r="B116" s="9" t="s">
        <v>11</v>
      </c>
      <c r="C116" s="22"/>
      <c r="E116" s="169"/>
      <c r="F116" s="9" t="s">
        <v>11</v>
      </c>
      <c r="G116" s="22"/>
      <c r="I116" s="169"/>
      <c r="J116" s="9" t="s">
        <v>11</v>
      </c>
      <c r="K116" s="22"/>
      <c r="M116" s="169"/>
      <c r="N116" s="9" t="s">
        <v>11</v>
      </c>
      <c r="O116" s="90"/>
    </row>
    <row r="117" spans="1:15" x14ac:dyDescent="0.25">
      <c r="A117" s="169"/>
      <c r="B117" s="9" t="s">
        <v>49</v>
      </c>
      <c r="C117" s="22">
        <v>72773</v>
      </c>
      <c r="E117" s="169"/>
      <c r="F117" s="9" t="s">
        <v>49</v>
      </c>
      <c r="G117" s="22">
        <v>87611</v>
      </c>
      <c r="I117" s="169"/>
      <c r="J117" s="9" t="s">
        <v>49</v>
      </c>
      <c r="K117" s="22">
        <v>42695</v>
      </c>
      <c r="M117" s="169"/>
      <c r="N117" s="9" t="s">
        <v>49</v>
      </c>
      <c r="O117" s="131">
        <v>40020</v>
      </c>
    </row>
    <row r="118" spans="1:15" x14ac:dyDescent="0.25">
      <c r="A118" s="169"/>
      <c r="B118" s="9" t="s">
        <v>44</v>
      </c>
      <c r="C118" s="90">
        <v>874640</v>
      </c>
      <c r="E118" s="169"/>
      <c r="F118" s="9" t="s">
        <v>44</v>
      </c>
      <c r="G118" s="22">
        <v>1274833</v>
      </c>
      <c r="I118" s="169"/>
      <c r="J118" s="9" t="s">
        <v>44</v>
      </c>
      <c r="K118" s="22">
        <v>1363391</v>
      </c>
      <c r="M118" s="169"/>
      <c r="N118" s="9" t="s">
        <v>44</v>
      </c>
      <c r="O118" s="131">
        <v>1139226</v>
      </c>
    </row>
    <row r="119" spans="1:15" x14ac:dyDescent="0.25">
      <c r="A119" s="170"/>
      <c r="B119" s="9" t="s">
        <v>47</v>
      </c>
      <c r="C119" s="22"/>
      <c r="E119" s="170"/>
      <c r="F119" s="9" t="s">
        <v>47</v>
      </c>
      <c r="G119" s="22"/>
      <c r="I119" s="170"/>
      <c r="J119" s="9" t="s">
        <v>47</v>
      </c>
      <c r="K119" s="22"/>
      <c r="M119" s="170"/>
      <c r="N119" s="9" t="s">
        <v>47</v>
      </c>
      <c r="O119" s="131">
        <v>128203</v>
      </c>
    </row>
    <row r="120" spans="1:15" x14ac:dyDescent="0.25">
      <c r="B120" s="103" t="s">
        <v>424</v>
      </c>
      <c r="C120" s="90">
        <v>1936.15</v>
      </c>
      <c r="F120" s="103" t="s">
        <v>424</v>
      </c>
      <c r="G120" s="90">
        <v>2471.2399999999998</v>
      </c>
      <c r="J120" s="103" t="s">
        <v>424</v>
      </c>
      <c r="K120" s="90">
        <v>2373.2199999999998</v>
      </c>
      <c r="N120" s="103" t="s">
        <v>424</v>
      </c>
      <c r="O120" s="132">
        <v>2303.73</v>
      </c>
    </row>
    <row r="121" spans="1:15" ht="15.75" thickBot="1" x14ac:dyDescent="0.3"/>
    <row r="122" spans="1:15" x14ac:dyDescent="0.25">
      <c r="B122" s="57" t="s">
        <v>175</v>
      </c>
      <c r="C122" s="58"/>
      <c r="F122" s="66"/>
    </row>
    <row r="123" spans="1:15" x14ac:dyDescent="0.25">
      <c r="B123" s="60" t="s">
        <v>801</v>
      </c>
      <c r="C123" s="61"/>
      <c r="E123" s="13" t="s">
        <v>7</v>
      </c>
      <c r="F123" s="13" t="s">
        <v>0</v>
      </c>
      <c r="G123" s="13" t="s">
        <v>164</v>
      </c>
    </row>
    <row r="124" spans="1:15" x14ac:dyDescent="0.25">
      <c r="A124" s="62" t="s">
        <v>7</v>
      </c>
      <c r="B124" s="12" t="s">
        <v>0</v>
      </c>
      <c r="C124" s="63" t="s">
        <v>164</v>
      </c>
      <c r="E124" s="145"/>
      <c r="F124" s="9" t="s">
        <v>6</v>
      </c>
      <c r="G124" s="22"/>
    </row>
    <row r="125" spans="1:15" x14ac:dyDescent="0.25">
      <c r="A125" s="148"/>
      <c r="B125" s="54" t="s">
        <v>6</v>
      </c>
      <c r="C125" s="68">
        <f>+C112+G112+K112+O112+G124</f>
        <v>3474962</v>
      </c>
      <c r="E125" s="146"/>
      <c r="F125" s="9" t="s">
        <v>41</v>
      </c>
      <c r="G125" s="22"/>
      <c r="I125" s="85"/>
    </row>
    <row r="126" spans="1:15" x14ac:dyDescent="0.25">
      <c r="A126" s="149"/>
      <c r="B126" s="54" t="s">
        <v>9</v>
      </c>
      <c r="C126" s="68">
        <f t="shared" ref="C126:C127" si="5">+C113+G113+K113+O113+G125</f>
        <v>2324087</v>
      </c>
      <c r="E126" s="146"/>
      <c r="F126" s="9" t="s">
        <v>24</v>
      </c>
      <c r="G126" s="22"/>
    </row>
    <row r="127" spans="1:15" x14ac:dyDescent="0.25">
      <c r="A127" s="149"/>
      <c r="B127" s="54" t="s">
        <v>24</v>
      </c>
      <c r="C127" s="68">
        <f t="shared" si="5"/>
        <v>0</v>
      </c>
      <c r="E127" s="146"/>
      <c r="F127" s="9" t="s">
        <v>10</v>
      </c>
      <c r="G127" s="99"/>
    </row>
    <row r="128" spans="1:15" x14ac:dyDescent="0.25">
      <c r="A128" s="149" t="s">
        <v>801</v>
      </c>
      <c r="B128" s="54" t="s">
        <v>10</v>
      </c>
      <c r="C128" s="68">
        <f>+C115+G115+K115+O115+G127</f>
        <v>1666133</v>
      </c>
      <c r="E128" s="146"/>
      <c r="F128" s="9" t="s">
        <v>11</v>
      </c>
      <c r="G128" s="99"/>
    </row>
    <row r="129" spans="1:15" x14ac:dyDescent="0.25">
      <c r="A129" s="149"/>
      <c r="B129" s="54" t="s">
        <v>12</v>
      </c>
      <c r="C129" s="68">
        <f t="shared" ref="C129:C133" si="6">+C116+G116+K116+O116+G128</f>
        <v>0</v>
      </c>
      <c r="E129" s="146"/>
      <c r="F129" s="9" t="s">
        <v>49</v>
      </c>
      <c r="G129" s="22"/>
    </row>
    <row r="130" spans="1:15" x14ac:dyDescent="0.25">
      <c r="A130" s="149"/>
      <c r="B130" s="55" t="s">
        <v>14</v>
      </c>
      <c r="C130" s="68">
        <f t="shared" si="6"/>
        <v>243099</v>
      </c>
      <c r="E130" s="146"/>
      <c r="F130" s="9" t="s">
        <v>44</v>
      </c>
      <c r="G130" s="22"/>
    </row>
    <row r="131" spans="1:15" x14ac:dyDescent="0.25">
      <c r="A131" s="149"/>
      <c r="B131" s="104" t="s">
        <v>15</v>
      </c>
      <c r="C131" s="68">
        <f t="shared" si="6"/>
        <v>4652090</v>
      </c>
      <c r="E131" s="147"/>
      <c r="F131" s="9" t="s">
        <v>47</v>
      </c>
      <c r="G131" s="22"/>
    </row>
    <row r="132" spans="1:15" ht="15.75" thickBot="1" x14ac:dyDescent="0.3">
      <c r="A132" s="150"/>
      <c r="B132" s="54" t="s">
        <v>13</v>
      </c>
      <c r="C132" s="68">
        <f t="shared" si="6"/>
        <v>128203</v>
      </c>
      <c r="F132" s="103" t="s">
        <v>424</v>
      </c>
      <c r="G132" s="90"/>
    </row>
    <row r="133" spans="1:15" x14ac:dyDescent="0.25">
      <c r="B133" s="54" t="s">
        <v>424</v>
      </c>
      <c r="C133" s="68">
        <f t="shared" si="6"/>
        <v>9084.3399999999983</v>
      </c>
    </row>
    <row r="135" spans="1:15" s="16" customFormat="1" x14ac:dyDescent="0.25"/>
    <row r="137" spans="1:15" x14ac:dyDescent="0.25">
      <c r="B137" s="66" t="s">
        <v>810</v>
      </c>
      <c r="F137" s="66" t="s">
        <v>811</v>
      </c>
      <c r="J137" s="66" t="s">
        <v>813</v>
      </c>
      <c r="N137" s="66" t="s">
        <v>814</v>
      </c>
    </row>
    <row r="138" spans="1:15" x14ac:dyDescent="0.25">
      <c r="A138" s="13" t="s">
        <v>7</v>
      </c>
      <c r="B138" s="13" t="s">
        <v>0</v>
      </c>
      <c r="C138" s="13" t="s">
        <v>164</v>
      </c>
      <c r="E138" s="13" t="s">
        <v>7</v>
      </c>
      <c r="F138" s="13" t="s">
        <v>0</v>
      </c>
      <c r="G138" s="13" t="s">
        <v>164</v>
      </c>
      <c r="I138" s="13" t="s">
        <v>7</v>
      </c>
      <c r="J138" s="13" t="s">
        <v>0</v>
      </c>
      <c r="K138" s="13" t="s">
        <v>164</v>
      </c>
      <c r="M138" s="13" t="s">
        <v>7</v>
      </c>
      <c r="N138" s="13" t="s">
        <v>0</v>
      </c>
      <c r="O138" s="117" t="s">
        <v>164</v>
      </c>
    </row>
    <row r="139" spans="1:15" x14ac:dyDescent="0.25">
      <c r="A139" s="168" t="s">
        <v>810</v>
      </c>
      <c r="B139" s="9" t="s">
        <v>6</v>
      </c>
      <c r="C139" s="159">
        <v>818.43799999999999</v>
      </c>
      <c r="E139" s="168" t="s">
        <v>812</v>
      </c>
      <c r="F139" s="9" t="s">
        <v>6</v>
      </c>
      <c r="G139" s="22">
        <v>253082</v>
      </c>
      <c r="I139" s="168" t="s">
        <v>813</v>
      </c>
      <c r="J139" s="9" t="s">
        <v>6</v>
      </c>
      <c r="K139" s="22">
        <v>296595</v>
      </c>
      <c r="M139" s="168" t="s">
        <v>814</v>
      </c>
      <c r="N139" s="9" t="s">
        <v>6</v>
      </c>
      <c r="O139" s="130">
        <v>855471</v>
      </c>
    </row>
    <row r="140" spans="1:15" x14ac:dyDescent="0.25">
      <c r="A140" s="169"/>
      <c r="B140" s="9" t="s">
        <v>41</v>
      </c>
      <c r="C140" s="22">
        <v>536232</v>
      </c>
      <c r="E140" s="169"/>
      <c r="F140" s="9" t="s">
        <v>41</v>
      </c>
      <c r="G140" s="22">
        <v>162596</v>
      </c>
      <c r="I140" s="169"/>
      <c r="J140" s="9" t="s">
        <v>41</v>
      </c>
      <c r="K140" s="22">
        <v>196624</v>
      </c>
      <c r="M140" s="169"/>
      <c r="N140" s="9" t="s">
        <v>41</v>
      </c>
      <c r="O140" s="131">
        <v>567949</v>
      </c>
    </row>
    <row r="141" spans="1:15" x14ac:dyDescent="0.25">
      <c r="A141" s="169"/>
      <c r="B141" s="9" t="s">
        <v>24</v>
      </c>
      <c r="C141" s="22"/>
      <c r="E141" s="169"/>
      <c r="F141" s="9" t="s">
        <v>24</v>
      </c>
      <c r="G141" s="22"/>
      <c r="I141" s="169"/>
      <c r="J141" s="9" t="s">
        <v>24</v>
      </c>
      <c r="K141" s="22"/>
      <c r="M141" s="169"/>
      <c r="N141" s="9" t="s">
        <v>24</v>
      </c>
      <c r="O141" s="90"/>
    </row>
    <row r="142" spans="1:15" x14ac:dyDescent="0.25">
      <c r="A142" s="169"/>
      <c r="B142" s="9" t="s">
        <v>10</v>
      </c>
      <c r="C142" s="22">
        <v>380283</v>
      </c>
      <c r="E142" s="169"/>
      <c r="F142" s="9" t="s">
        <v>10</v>
      </c>
      <c r="G142" s="22">
        <v>111215</v>
      </c>
      <c r="I142" s="169"/>
      <c r="J142" s="9" t="s">
        <v>10</v>
      </c>
      <c r="K142" s="22">
        <v>130246</v>
      </c>
      <c r="M142" s="169"/>
      <c r="N142" s="9" t="s">
        <v>10</v>
      </c>
      <c r="O142" s="131">
        <v>386776</v>
      </c>
    </row>
    <row r="143" spans="1:15" x14ac:dyDescent="0.25">
      <c r="A143" s="169"/>
      <c r="B143" s="9" t="s">
        <v>11</v>
      </c>
      <c r="C143" s="22"/>
      <c r="E143" s="169"/>
      <c r="F143" s="9" t="s">
        <v>11</v>
      </c>
      <c r="G143" s="22"/>
      <c r="I143" s="169"/>
      <c r="J143" s="9" t="s">
        <v>11</v>
      </c>
      <c r="K143" s="22"/>
      <c r="M143" s="169"/>
      <c r="N143" s="9" t="s">
        <v>11</v>
      </c>
      <c r="O143" s="90">
        <v>0.03</v>
      </c>
    </row>
    <row r="144" spans="1:15" x14ac:dyDescent="0.25">
      <c r="A144" s="169"/>
      <c r="B144" s="9" t="s">
        <v>49</v>
      </c>
      <c r="C144" s="22">
        <v>65674</v>
      </c>
      <c r="E144" s="169"/>
      <c r="F144" s="9" t="s">
        <v>49</v>
      </c>
      <c r="G144" s="22">
        <v>7860</v>
      </c>
      <c r="I144" s="169"/>
      <c r="J144" s="9" t="s">
        <v>49</v>
      </c>
      <c r="K144" s="22">
        <v>39357</v>
      </c>
      <c r="M144" s="169"/>
      <c r="N144" s="9" t="s">
        <v>49</v>
      </c>
      <c r="O144" s="131">
        <v>56054</v>
      </c>
    </row>
    <row r="145" spans="1:15" x14ac:dyDescent="0.25">
      <c r="A145" s="169"/>
      <c r="B145" s="9" t="s">
        <v>44</v>
      </c>
      <c r="C145" s="90">
        <v>1031086</v>
      </c>
      <c r="E145" s="169"/>
      <c r="F145" s="9" t="s">
        <v>44</v>
      </c>
      <c r="G145" s="22">
        <v>350024</v>
      </c>
      <c r="I145" s="169"/>
      <c r="J145" s="9" t="s">
        <v>44</v>
      </c>
      <c r="K145" s="22">
        <v>373711</v>
      </c>
      <c r="M145" s="169"/>
      <c r="N145" s="9" t="s">
        <v>44</v>
      </c>
      <c r="O145" s="131">
        <v>1097.6020000000001</v>
      </c>
    </row>
    <row r="146" spans="1:15" x14ac:dyDescent="0.25">
      <c r="A146" s="170"/>
      <c r="B146" s="9" t="s">
        <v>47</v>
      </c>
      <c r="C146" s="22"/>
      <c r="E146" s="170"/>
      <c r="F146" s="9" t="s">
        <v>47</v>
      </c>
      <c r="G146" s="22"/>
      <c r="I146" s="170"/>
      <c r="J146" s="9" t="s">
        <v>47</v>
      </c>
      <c r="K146" s="22"/>
      <c r="M146" s="170"/>
      <c r="N146" s="9" t="s">
        <v>47</v>
      </c>
      <c r="O146" s="131"/>
    </row>
    <row r="147" spans="1:15" x14ac:dyDescent="0.25">
      <c r="B147" s="103" t="s">
        <v>424</v>
      </c>
      <c r="C147" s="90">
        <v>2060.96</v>
      </c>
      <c r="F147" s="103" t="s">
        <v>424</v>
      </c>
      <c r="G147" s="90">
        <v>619.77</v>
      </c>
      <c r="J147" s="103" t="s">
        <v>424</v>
      </c>
      <c r="K147" s="90">
        <v>753.25</v>
      </c>
      <c r="N147" s="103" t="s">
        <v>424</v>
      </c>
      <c r="O147" s="132">
        <v>2162.8200000000002</v>
      </c>
    </row>
    <row r="148" spans="1:15" ht="15.75" thickBot="1" x14ac:dyDescent="0.3"/>
    <row r="149" spans="1:15" x14ac:dyDescent="0.25">
      <c r="B149" s="57" t="s">
        <v>175</v>
      </c>
      <c r="C149" s="58"/>
      <c r="F149" s="66"/>
    </row>
    <row r="150" spans="1:15" x14ac:dyDescent="0.25">
      <c r="B150" s="60" t="s">
        <v>815</v>
      </c>
      <c r="C150" s="61"/>
      <c r="E150" s="13" t="s">
        <v>7</v>
      </c>
      <c r="F150" s="13" t="s">
        <v>0</v>
      </c>
      <c r="G150" s="13" t="s">
        <v>164</v>
      </c>
    </row>
    <row r="151" spans="1:15" x14ac:dyDescent="0.25">
      <c r="A151" s="62" t="s">
        <v>7</v>
      </c>
      <c r="B151" s="12" t="s">
        <v>0</v>
      </c>
      <c r="C151" s="63" t="s">
        <v>164</v>
      </c>
      <c r="E151" s="145"/>
      <c r="F151" s="9" t="s">
        <v>6</v>
      </c>
      <c r="G151" s="22"/>
    </row>
    <row r="152" spans="1:15" x14ac:dyDescent="0.25">
      <c r="A152" s="148"/>
      <c r="B152" s="54" t="s">
        <v>6</v>
      </c>
      <c r="C152" s="68">
        <f>+C139+G139+K139+O139+G151</f>
        <v>1405966.4380000001</v>
      </c>
      <c r="E152" s="146"/>
      <c r="F152" s="9" t="s">
        <v>41</v>
      </c>
      <c r="G152" s="22"/>
      <c r="I152" s="85"/>
    </row>
    <row r="153" spans="1:15" x14ac:dyDescent="0.25">
      <c r="A153" s="149"/>
      <c r="B153" s="54" t="s">
        <v>9</v>
      </c>
      <c r="C153" s="68">
        <f t="shared" ref="C153:C154" si="7">+C140+G140+K140+O140+G152</f>
        <v>1463401</v>
      </c>
      <c r="E153" s="146"/>
      <c r="F153" s="9" t="s">
        <v>24</v>
      </c>
      <c r="G153" s="22"/>
    </row>
    <row r="154" spans="1:15" x14ac:dyDescent="0.25">
      <c r="A154" s="149"/>
      <c r="B154" s="54" t="s">
        <v>24</v>
      </c>
      <c r="C154" s="68">
        <f t="shared" si="7"/>
        <v>0</v>
      </c>
      <c r="E154" s="146"/>
      <c r="F154" s="9" t="s">
        <v>10</v>
      </c>
      <c r="G154" s="99"/>
    </row>
    <row r="155" spans="1:15" x14ac:dyDescent="0.25">
      <c r="A155" s="149" t="s">
        <v>815</v>
      </c>
      <c r="B155" s="54" t="s">
        <v>10</v>
      </c>
      <c r="C155" s="68">
        <f>+C142+G142+K142+O142+G154</f>
        <v>1008520</v>
      </c>
      <c r="E155" s="146"/>
      <c r="F155" s="9" t="s">
        <v>11</v>
      </c>
      <c r="G155" s="99"/>
    </row>
    <row r="156" spans="1:15" x14ac:dyDescent="0.25">
      <c r="A156" s="149"/>
      <c r="B156" s="54" t="s">
        <v>12</v>
      </c>
      <c r="C156" s="68">
        <f t="shared" ref="C156:C160" si="8">+C143+G143+K143+O143+G155</f>
        <v>0.03</v>
      </c>
      <c r="E156" s="146"/>
      <c r="F156" s="9" t="s">
        <v>49</v>
      </c>
      <c r="G156" s="22"/>
    </row>
    <row r="157" spans="1:15" x14ac:dyDescent="0.25">
      <c r="A157" s="149"/>
      <c r="B157" s="55" t="s">
        <v>14</v>
      </c>
      <c r="C157" s="68">
        <f t="shared" si="8"/>
        <v>168945</v>
      </c>
      <c r="E157" s="146"/>
      <c r="F157" s="9" t="s">
        <v>44</v>
      </c>
      <c r="G157" s="22"/>
    </row>
    <row r="158" spans="1:15" x14ac:dyDescent="0.25">
      <c r="A158" s="149"/>
      <c r="B158" s="104" t="s">
        <v>15</v>
      </c>
      <c r="C158" s="68">
        <f t="shared" si="8"/>
        <v>1755918.602</v>
      </c>
      <c r="E158" s="147"/>
      <c r="F158" s="9" t="s">
        <v>47</v>
      </c>
      <c r="G158" s="22"/>
    </row>
    <row r="159" spans="1:15" ht="15.75" thickBot="1" x14ac:dyDescent="0.3">
      <c r="A159" s="150"/>
      <c r="B159" s="54" t="s">
        <v>13</v>
      </c>
      <c r="C159" s="68">
        <f t="shared" si="8"/>
        <v>0</v>
      </c>
      <c r="F159" s="103" t="s">
        <v>424</v>
      </c>
      <c r="G159" s="90"/>
    </row>
    <row r="160" spans="1:15" x14ac:dyDescent="0.25">
      <c r="B160" s="54" t="s">
        <v>424</v>
      </c>
      <c r="C160" s="68">
        <f t="shared" si="8"/>
        <v>5596.8</v>
      </c>
    </row>
    <row r="162" spans="1:16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</row>
    <row r="164" spans="1:16" x14ac:dyDescent="0.25">
      <c r="B164" s="66"/>
      <c r="F164" s="66"/>
      <c r="J164" s="66"/>
      <c r="N164" s="66"/>
    </row>
    <row r="165" spans="1:16" x14ac:dyDescent="0.25">
      <c r="A165" s="13" t="s">
        <v>7</v>
      </c>
      <c r="B165" s="13" t="s">
        <v>0</v>
      </c>
      <c r="C165" s="13" t="s">
        <v>164</v>
      </c>
      <c r="E165" s="13" t="s">
        <v>7</v>
      </c>
      <c r="F165" s="13" t="s">
        <v>0</v>
      </c>
      <c r="G165" s="13" t="s">
        <v>164</v>
      </c>
      <c r="I165" s="13" t="s">
        <v>7</v>
      </c>
      <c r="J165" s="13" t="s">
        <v>0</v>
      </c>
      <c r="K165" s="13" t="s">
        <v>164</v>
      </c>
      <c r="M165" s="13" t="s">
        <v>7</v>
      </c>
      <c r="N165" s="13" t="s">
        <v>0</v>
      </c>
      <c r="O165" s="117" t="s">
        <v>164</v>
      </c>
    </row>
    <row r="166" spans="1:16" x14ac:dyDescent="0.25">
      <c r="A166" s="172" t="s">
        <v>829</v>
      </c>
      <c r="B166" s="9" t="s">
        <v>6</v>
      </c>
      <c r="C166" s="22">
        <v>930704</v>
      </c>
      <c r="E166" s="168" t="s">
        <v>651</v>
      </c>
      <c r="F166" s="9" t="s">
        <v>6</v>
      </c>
      <c r="G166" s="22">
        <v>573715</v>
      </c>
      <c r="I166" s="168" t="s">
        <v>652</v>
      </c>
      <c r="J166" s="9" t="s">
        <v>6</v>
      </c>
      <c r="K166" s="22"/>
      <c r="M166" s="168" t="s">
        <v>653</v>
      </c>
      <c r="N166" s="9" t="s">
        <v>6</v>
      </c>
      <c r="O166" s="130"/>
    </row>
    <row r="167" spans="1:16" x14ac:dyDescent="0.25">
      <c r="A167" s="169"/>
      <c r="B167" s="9" t="s">
        <v>41</v>
      </c>
      <c r="C167" s="22">
        <v>617843</v>
      </c>
      <c r="E167" s="169"/>
      <c r="F167" s="9" t="s">
        <v>41</v>
      </c>
      <c r="G167" s="22">
        <v>385789</v>
      </c>
      <c r="I167" s="169"/>
      <c r="J167" s="9" t="s">
        <v>41</v>
      </c>
      <c r="K167" s="22"/>
      <c r="M167" s="169"/>
      <c r="N167" s="9" t="s">
        <v>41</v>
      </c>
      <c r="O167" s="131"/>
    </row>
    <row r="168" spans="1:16" x14ac:dyDescent="0.25">
      <c r="A168" s="169"/>
      <c r="B168" s="9" t="s">
        <v>24</v>
      </c>
      <c r="C168" s="22"/>
      <c r="E168" s="169"/>
      <c r="F168" s="9" t="s">
        <v>24</v>
      </c>
      <c r="G168" s="22"/>
      <c r="I168" s="169"/>
      <c r="J168" s="9" t="s">
        <v>24</v>
      </c>
      <c r="K168" s="22"/>
      <c r="M168" s="169"/>
      <c r="N168" s="9" t="s">
        <v>24</v>
      </c>
      <c r="O168" s="90"/>
    </row>
    <row r="169" spans="1:16" x14ac:dyDescent="0.25">
      <c r="A169" s="169"/>
      <c r="B169" s="9" t="s">
        <v>10</v>
      </c>
      <c r="C169" s="22">
        <v>435011</v>
      </c>
      <c r="E169" s="169"/>
      <c r="F169" s="9" t="s">
        <v>10</v>
      </c>
      <c r="G169" s="22">
        <v>277620</v>
      </c>
      <c r="I169" s="169"/>
      <c r="J169" s="9" t="s">
        <v>10</v>
      </c>
      <c r="K169" s="22"/>
      <c r="M169" s="169"/>
      <c r="N169" s="9" t="s">
        <v>10</v>
      </c>
      <c r="O169" s="131"/>
    </row>
    <row r="170" spans="1:16" x14ac:dyDescent="0.25">
      <c r="A170" s="169"/>
      <c r="B170" s="9" t="s">
        <v>11</v>
      </c>
      <c r="C170" s="22"/>
      <c r="E170" s="169"/>
      <c r="F170" s="9" t="s">
        <v>11</v>
      </c>
      <c r="G170" s="22"/>
      <c r="I170" s="169"/>
      <c r="J170" s="9" t="s">
        <v>11</v>
      </c>
      <c r="K170" s="22"/>
      <c r="M170" s="169"/>
      <c r="N170" s="9" t="s">
        <v>11</v>
      </c>
      <c r="O170" s="90"/>
    </row>
    <row r="171" spans="1:16" x14ac:dyDescent="0.25">
      <c r="A171" s="169"/>
      <c r="B171" s="9" t="s">
        <v>49</v>
      </c>
      <c r="C171" s="22">
        <v>122334</v>
      </c>
      <c r="E171" s="169"/>
      <c r="F171" s="9" t="s">
        <v>49</v>
      </c>
      <c r="G171" s="22">
        <v>45971</v>
      </c>
      <c r="I171" s="169"/>
      <c r="J171" s="9" t="s">
        <v>49</v>
      </c>
      <c r="K171" s="22"/>
      <c r="M171" s="169"/>
      <c r="N171" s="9" t="s">
        <v>49</v>
      </c>
      <c r="O171" s="131"/>
    </row>
    <row r="172" spans="1:16" x14ac:dyDescent="0.25">
      <c r="A172" s="169"/>
      <c r="B172" s="9" t="s">
        <v>44</v>
      </c>
      <c r="C172" s="90">
        <v>1185122</v>
      </c>
      <c r="E172" s="169"/>
      <c r="F172" s="9" t="s">
        <v>44</v>
      </c>
      <c r="G172" s="22">
        <v>780601</v>
      </c>
      <c r="I172" s="169"/>
      <c r="J172" s="9" t="s">
        <v>44</v>
      </c>
      <c r="K172" s="22"/>
      <c r="M172" s="169"/>
      <c r="N172" s="9" t="s">
        <v>44</v>
      </c>
      <c r="O172" s="131"/>
    </row>
    <row r="173" spans="1:16" x14ac:dyDescent="0.25">
      <c r="A173" s="170"/>
      <c r="B173" s="9" t="s">
        <v>47</v>
      </c>
      <c r="C173" s="22"/>
      <c r="E173" s="170"/>
      <c r="F173" s="9" t="s">
        <v>47</v>
      </c>
      <c r="G173" s="22"/>
      <c r="I173" s="170"/>
      <c r="J173" s="9" t="s">
        <v>47</v>
      </c>
      <c r="K173" s="22"/>
      <c r="M173" s="170"/>
      <c r="N173" s="9" t="s">
        <v>47</v>
      </c>
      <c r="O173" s="131"/>
    </row>
    <row r="174" spans="1:16" x14ac:dyDescent="0.25">
      <c r="B174" s="103" t="s">
        <v>424</v>
      </c>
      <c r="C174" s="90">
        <v>2613.13</v>
      </c>
      <c r="F174" s="103" t="s">
        <v>424</v>
      </c>
      <c r="G174" s="90">
        <v>1550.77</v>
      </c>
      <c r="J174" s="103" t="s">
        <v>424</v>
      </c>
      <c r="K174" s="90"/>
      <c r="N174" s="103" t="s">
        <v>424</v>
      </c>
      <c r="O174" s="132"/>
    </row>
    <row r="175" spans="1:16" ht="15.75" thickBot="1" x14ac:dyDescent="0.3"/>
    <row r="176" spans="1:16" x14ac:dyDescent="0.25">
      <c r="B176" s="57" t="s">
        <v>175</v>
      </c>
      <c r="C176" s="58"/>
      <c r="F176" s="66"/>
    </row>
    <row r="177" spans="1:9" x14ac:dyDescent="0.25">
      <c r="B177" s="60"/>
      <c r="C177" s="61"/>
      <c r="E177" s="13" t="s">
        <v>7</v>
      </c>
      <c r="F177" s="13" t="s">
        <v>0</v>
      </c>
      <c r="G177" s="13" t="s">
        <v>164</v>
      </c>
    </row>
    <row r="178" spans="1:9" x14ac:dyDescent="0.25">
      <c r="A178" s="62" t="s">
        <v>7</v>
      </c>
      <c r="B178" s="12" t="s">
        <v>0</v>
      </c>
      <c r="C178" s="63" t="s">
        <v>164</v>
      </c>
      <c r="E178" s="145"/>
      <c r="F178" s="9" t="s">
        <v>6</v>
      </c>
      <c r="G178" s="22"/>
    </row>
    <row r="179" spans="1:9" x14ac:dyDescent="0.25">
      <c r="A179" s="148"/>
      <c r="B179" s="54" t="s">
        <v>6</v>
      </c>
      <c r="C179" s="68">
        <f>+C166+G166+K166+O166+G178</f>
        <v>1504419</v>
      </c>
      <c r="E179" s="146"/>
      <c r="F179" s="9" t="s">
        <v>41</v>
      </c>
      <c r="G179" s="22"/>
      <c r="I179" s="85"/>
    </row>
    <row r="180" spans="1:9" x14ac:dyDescent="0.25">
      <c r="A180" s="149"/>
      <c r="B180" s="54" t="s">
        <v>9</v>
      </c>
      <c r="C180" s="68">
        <f t="shared" ref="C180:C181" si="9">+C167+G167+K167+O167+G179</f>
        <v>1003632</v>
      </c>
      <c r="E180" s="146"/>
      <c r="F180" s="9" t="s">
        <v>24</v>
      </c>
      <c r="G180" s="22"/>
    </row>
    <row r="181" spans="1:9" x14ac:dyDescent="0.25">
      <c r="A181" s="149"/>
      <c r="B181" s="54" t="s">
        <v>24</v>
      </c>
      <c r="C181" s="68">
        <f t="shared" si="9"/>
        <v>0</v>
      </c>
      <c r="E181" s="146"/>
      <c r="F181" s="9" t="s">
        <v>10</v>
      </c>
      <c r="G181" s="99"/>
    </row>
    <row r="182" spans="1:9" x14ac:dyDescent="0.25">
      <c r="A182" s="149" t="s">
        <v>654</v>
      </c>
      <c r="B182" s="54" t="s">
        <v>10</v>
      </c>
      <c r="C182" s="68">
        <f>+C169+G169+K169+O169+G181</f>
        <v>712631</v>
      </c>
      <c r="E182" s="146"/>
      <c r="F182" s="9" t="s">
        <v>11</v>
      </c>
      <c r="G182" s="99"/>
    </row>
    <row r="183" spans="1:9" x14ac:dyDescent="0.25">
      <c r="A183" s="149"/>
      <c r="B183" s="54" t="s">
        <v>12</v>
      </c>
      <c r="C183" s="68">
        <f t="shared" ref="C183:C187" si="10">+C170+G170+K170+O170+G182</f>
        <v>0</v>
      </c>
      <c r="E183" s="146"/>
      <c r="F183" s="9" t="s">
        <v>49</v>
      </c>
      <c r="G183" s="22"/>
    </row>
    <row r="184" spans="1:9" x14ac:dyDescent="0.25">
      <c r="A184" s="149"/>
      <c r="B184" s="55" t="s">
        <v>14</v>
      </c>
      <c r="C184" s="68">
        <f t="shared" si="10"/>
        <v>168305</v>
      </c>
      <c r="E184" s="146"/>
      <c r="F184" s="9" t="s">
        <v>44</v>
      </c>
      <c r="G184" s="22"/>
    </row>
    <row r="185" spans="1:9" x14ac:dyDescent="0.25">
      <c r="A185" s="149"/>
      <c r="B185" s="104" t="s">
        <v>15</v>
      </c>
      <c r="C185" s="68">
        <f t="shared" si="10"/>
        <v>1965723</v>
      </c>
      <c r="E185" s="147"/>
      <c r="F185" s="9" t="s">
        <v>47</v>
      </c>
      <c r="G185" s="22"/>
    </row>
    <row r="186" spans="1:9" ht="15.75" thickBot="1" x14ac:dyDescent="0.3">
      <c r="A186" s="150"/>
      <c r="B186" s="54" t="s">
        <v>13</v>
      </c>
      <c r="C186" s="68">
        <f t="shared" si="10"/>
        <v>0</v>
      </c>
      <c r="F186" s="103" t="s">
        <v>424</v>
      </c>
      <c r="G186" s="90"/>
    </row>
    <row r="187" spans="1:9" x14ac:dyDescent="0.25">
      <c r="B187" s="54" t="s">
        <v>424</v>
      </c>
      <c r="C187" s="68">
        <f t="shared" si="10"/>
        <v>4163.8999999999996</v>
      </c>
    </row>
  </sheetData>
  <mergeCells count="28">
    <mergeCell ref="A166:A173"/>
    <mergeCell ref="E166:E173"/>
    <mergeCell ref="I166:I173"/>
    <mergeCell ref="M166:M173"/>
    <mergeCell ref="A112:A119"/>
    <mergeCell ref="E112:E119"/>
    <mergeCell ref="I112:I119"/>
    <mergeCell ref="M112:M119"/>
    <mergeCell ref="A139:A146"/>
    <mergeCell ref="E139:E146"/>
    <mergeCell ref="I139:I146"/>
    <mergeCell ref="M139:M146"/>
    <mergeCell ref="A58:A65"/>
    <mergeCell ref="E58:E65"/>
    <mergeCell ref="I58:I65"/>
    <mergeCell ref="M58:M65"/>
    <mergeCell ref="A85:A92"/>
    <mergeCell ref="E85:E92"/>
    <mergeCell ref="I85:I92"/>
    <mergeCell ref="M85:M92"/>
    <mergeCell ref="A4:A11"/>
    <mergeCell ref="E4:E11"/>
    <mergeCell ref="I4:I11"/>
    <mergeCell ref="M4:M11"/>
    <mergeCell ref="A31:A38"/>
    <mergeCell ref="E31:E38"/>
    <mergeCell ref="I31:I38"/>
    <mergeCell ref="M31:M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11DE-6D8E-4B09-81EE-32C02194BA8E}">
  <dimension ref="A1:X3000"/>
  <sheetViews>
    <sheetView topLeftCell="F1067" zoomScale="98" zoomScaleNormal="98" workbookViewId="0">
      <selection activeCell="E31" sqref="E31"/>
    </sheetView>
  </sheetViews>
  <sheetFormatPr baseColWidth="10" defaultRowHeight="15" x14ac:dyDescent="0.25"/>
  <cols>
    <col min="1" max="1" width="24.42578125" customWidth="1"/>
    <col min="2" max="2" width="35.85546875" bestFit="1" customWidth="1"/>
    <col min="3" max="3" width="23.140625" customWidth="1"/>
    <col min="4" max="4" width="15" bestFit="1" customWidth="1"/>
    <col min="5" max="6" width="14.5703125" bestFit="1" customWidth="1"/>
    <col min="7" max="7" width="2.7109375" customWidth="1"/>
    <col min="8" max="8" width="14.28515625" customWidth="1"/>
    <col min="9" max="9" width="32.42578125" bestFit="1" customWidth="1"/>
    <col min="11" max="11" width="24.42578125" customWidth="1"/>
    <col min="12" max="12" width="22.140625" bestFit="1" customWidth="1"/>
    <col min="13" max="13" width="17.85546875" bestFit="1" customWidth="1"/>
    <col min="14" max="14" width="3.28515625" customWidth="1"/>
    <col min="15" max="15" width="14.28515625" customWidth="1"/>
    <col min="16" max="16" width="27" bestFit="1" customWidth="1"/>
    <col min="18" max="18" width="24.42578125" customWidth="1"/>
    <col min="19" max="19" width="22.140625" bestFit="1" customWidth="1"/>
    <col min="20" max="20" width="14.85546875" bestFit="1" customWidth="1"/>
    <col min="23" max="23" width="13.28515625" bestFit="1" customWidth="1"/>
    <col min="24" max="24" width="178.140625" bestFit="1" customWidth="1"/>
  </cols>
  <sheetData>
    <row r="1" spans="1:21" x14ac:dyDescent="0.25">
      <c r="C1" s="43" t="s">
        <v>54</v>
      </c>
      <c r="K1" s="43" t="s">
        <v>54</v>
      </c>
      <c r="P1" s="43" t="s">
        <v>54</v>
      </c>
    </row>
    <row r="3" spans="1:21" x14ac:dyDescent="0.25">
      <c r="A3" s="166" t="s">
        <v>30</v>
      </c>
      <c r="B3" s="166"/>
      <c r="C3" s="166"/>
      <c r="D3" s="166"/>
      <c r="E3" s="166"/>
      <c r="F3" s="166"/>
      <c r="H3" s="166" t="s">
        <v>31</v>
      </c>
      <c r="I3" s="166"/>
      <c r="J3" s="166"/>
      <c r="K3" s="166"/>
      <c r="L3" s="166"/>
      <c r="M3" s="166"/>
      <c r="O3" s="167" t="s">
        <v>27</v>
      </c>
      <c r="P3" s="167"/>
      <c r="Q3" s="167"/>
      <c r="R3" s="167"/>
      <c r="S3" s="167"/>
      <c r="T3" s="167"/>
    </row>
    <row r="4" spans="1:21" s="20" customFormat="1" x14ac:dyDescent="0.25">
      <c r="A4" s="25"/>
      <c r="B4" s="25"/>
      <c r="C4" s="25"/>
      <c r="D4" s="25"/>
      <c r="E4" s="25"/>
      <c r="F4" s="25"/>
      <c r="H4" s="25"/>
      <c r="I4" s="25"/>
      <c r="J4" s="25"/>
      <c r="K4" s="25"/>
      <c r="L4" s="25"/>
      <c r="M4" s="25"/>
      <c r="O4" s="26"/>
      <c r="P4" s="26"/>
      <c r="Q4" s="26"/>
      <c r="R4" s="26"/>
      <c r="S4" s="26"/>
      <c r="T4" s="26"/>
    </row>
    <row r="5" spans="1:21" x14ac:dyDescent="0.25">
      <c r="A5" s="27" t="s">
        <v>32</v>
      </c>
      <c r="B5" s="75" t="s">
        <v>33</v>
      </c>
      <c r="C5" s="29" t="s">
        <v>34</v>
      </c>
      <c r="D5" s="75" t="s">
        <v>35</v>
      </c>
      <c r="E5" s="75" t="s">
        <v>31</v>
      </c>
      <c r="F5" s="30" t="s">
        <v>36</v>
      </c>
      <c r="H5" s="31" t="s">
        <v>37</v>
      </c>
      <c r="I5" s="31" t="s">
        <v>51</v>
      </c>
      <c r="J5" s="75" t="s">
        <v>7</v>
      </c>
      <c r="K5" s="29" t="s">
        <v>32</v>
      </c>
      <c r="L5" s="75" t="s">
        <v>38</v>
      </c>
      <c r="M5" s="30" t="s">
        <v>39</v>
      </c>
      <c r="O5" s="31" t="s">
        <v>37</v>
      </c>
      <c r="P5" s="31" t="s">
        <v>51</v>
      </c>
      <c r="Q5" s="75" t="s">
        <v>7</v>
      </c>
      <c r="R5" s="29" t="s">
        <v>32</v>
      </c>
      <c r="S5" s="75" t="s">
        <v>38</v>
      </c>
      <c r="T5" s="30" t="s">
        <v>39</v>
      </c>
      <c r="U5" s="91" t="s">
        <v>369</v>
      </c>
    </row>
    <row r="6" spans="1:21" x14ac:dyDescent="0.25">
      <c r="A6" s="32" t="s">
        <v>40</v>
      </c>
      <c r="B6" s="9" t="s">
        <v>41</v>
      </c>
      <c r="C6" s="22"/>
      <c r="D6" s="22">
        <f>SUMIF(Tabla911[CODIGO DEL PRODUCTO],Tabla79[[#This Row],[CODIGO DEL PRODUCTO]],Tabla911[CANTIDAD KG])/1000</f>
        <v>11719.62</v>
      </c>
      <c r="E6" s="22">
        <f>SUMIF(Tabla810[CODIGO DEL PRODUCTO],Tabla79[[#This Row],[CODIGO DEL PRODUCTO]],Tabla810[CANTIDAD KG])/1000</f>
        <v>12305.692999999999</v>
      </c>
      <c r="F6" s="33">
        <f>Tabla79[[#This Row],[EXISTENCIAS INICIALES]]+Tabla79[[#This Row],[ENTRADAS]]-Tabla79[[#This Row],[SALIDAS]]</f>
        <v>-586.0729999999985</v>
      </c>
      <c r="H6" s="34">
        <v>8563</v>
      </c>
      <c r="I6" s="34" t="s">
        <v>121</v>
      </c>
      <c r="J6" s="35">
        <v>45721</v>
      </c>
      <c r="K6" s="36" t="s">
        <v>42</v>
      </c>
      <c r="L6" s="36" t="str">
        <f>VLOOKUP(Tabla810[[#This Row],[CODIGO DEL PRODUCTO]],Tabla79[],2,FALSE)</f>
        <v>ARENA FINA</v>
      </c>
      <c r="M6" s="37">
        <v>3000</v>
      </c>
      <c r="O6" s="34">
        <v>99885</v>
      </c>
      <c r="P6" s="34" t="s">
        <v>235</v>
      </c>
      <c r="Q6" s="35">
        <v>45717</v>
      </c>
      <c r="R6" s="78" t="s">
        <v>42</v>
      </c>
      <c r="S6" s="36" t="str">
        <f>VLOOKUP(Tabla911[[#This Row],[CODIGO DEL PRODUCTO]],Tabla79[],2,FALSE)</f>
        <v>ARENA FINA</v>
      </c>
      <c r="T6" s="37">
        <v>38440</v>
      </c>
      <c r="U6" s="92"/>
    </row>
    <row r="7" spans="1:21" x14ac:dyDescent="0.25">
      <c r="A7" s="32" t="s">
        <v>43</v>
      </c>
      <c r="B7" s="9" t="s">
        <v>44</v>
      </c>
      <c r="C7" s="22"/>
      <c r="D7" s="22">
        <f>SUMIF(Tabla911[CODIGO DEL PRODUCTO],Tabla79[[#This Row],[CODIGO DEL PRODUCTO]],Tabla911[CANTIDAD KG])/1000</f>
        <v>23362.07</v>
      </c>
      <c r="E7" s="22">
        <f>SUMIF(Tabla810[CODIGO DEL PRODUCTO],Tabla79[[#This Row],[CODIGO DEL PRODUCTO]],Tabla810[CANTIDAD KG])/1000</f>
        <v>23978.153999999999</v>
      </c>
      <c r="F7" s="33">
        <f>Tabla79[[#This Row],[EXISTENCIAS INICIALES]]+Tabla79[[#This Row],[ENTRADAS]]-Tabla79[[#This Row],[SALIDAS]]</f>
        <v>-616.08399999999892</v>
      </c>
      <c r="H7" s="34">
        <v>8573</v>
      </c>
      <c r="I7" s="34" t="s">
        <v>170</v>
      </c>
      <c r="J7" s="35">
        <v>45722</v>
      </c>
      <c r="K7" s="36" t="s">
        <v>42</v>
      </c>
      <c r="L7" s="36" t="str">
        <f>VLOOKUP(Tabla810[[#This Row],[CODIGO DEL PRODUCTO]],Tabla79[],2,FALSE)</f>
        <v>ARENA FINA</v>
      </c>
      <c r="M7" s="37">
        <v>1000</v>
      </c>
      <c r="O7" s="34">
        <v>99890</v>
      </c>
      <c r="P7" s="34" t="s">
        <v>235</v>
      </c>
      <c r="Q7" s="35">
        <v>45721</v>
      </c>
      <c r="R7" s="78" t="s">
        <v>42</v>
      </c>
      <c r="S7" s="36" t="str">
        <f>VLOOKUP(Tabla911[[#This Row],[CODIGO DEL PRODUCTO]],Tabla79[],2,FALSE)</f>
        <v>ARENA FINA</v>
      </c>
      <c r="T7" s="37">
        <v>37960</v>
      </c>
      <c r="U7" s="92"/>
    </row>
    <row r="8" spans="1:21" x14ac:dyDescent="0.25">
      <c r="A8" s="32" t="s">
        <v>46</v>
      </c>
      <c r="B8" s="9" t="s">
        <v>47</v>
      </c>
      <c r="C8" s="22"/>
      <c r="D8" s="22">
        <f>SUMIF(Tabla911[CODIGO DEL PRODUCTO],Tabla79[[#This Row],[CODIGO DEL PRODUCTO]],Tabla911[CANTIDAD KG])/1000</f>
        <v>70.86</v>
      </c>
      <c r="E8" s="22">
        <f>SUMIF(Tabla810[CODIGO DEL PRODUCTO],Tabla79[[#This Row],[CODIGO DEL PRODUCTO]],Tabla810[CANTIDAD KG])/1000</f>
        <v>1430.951</v>
      </c>
      <c r="F8" s="33">
        <f>Tabla79[[#This Row],[EXISTENCIAS INICIALES]]+Tabla79[[#This Row],[ENTRADAS]]-Tabla79[[#This Row],[SALIDAS]]</f>
        <v>-1360.0910000000001</v>
      </c>
      <c r="H8" s="34"/>
      <c r="I8" s="34"/>
      <c r="J8" s="35">
        <v>45722</v>
      </c>
      <c r="K8" s="36" t="s">
        <v>43</v>
      </c>
      <c r="L8" s="36" t="str">
        <f>VLOOKUP(Tabla810[[#This Row],[CODIGO DEL PRODUCTO]],Tabla79[],2,FALSE)</f>
        <v>PIEDRA 6-20</v>
      </c>
      <c r="M8" s="37">
        <v>1000</v>
      </c>
      <c r="O8" s="34">
        <v>99893</v>
      </c>
      <c r="P8" s="34" t="s">
        <v>235</v>
      </c>
      <c r="Q8" s="35">
        <v>45721</v>
      </c>
      <c r="R8" s="78" t="s">
        <v>42</v>
      </c>
      <c r="S8" s="36" t="str">
        <f>VLOOKUP(Tabla911[[#This Row],[CODIGO DEL PRODUCTO]],Tabla79[],2,FALSE)</f>
        <v>ARENA FINA</v>
      </c>
      <c r="T8" s="37">
        <v>37340</v>
      </c>
      <c r="U8" s="92"/>
    </row>
    <row r="9" spans="1:21" x14ac:dyDescent="0.25">
      <c r="A9" s="32" t="s">
        <v>48</v>
      </c>
      <c r="B9" s="9" t="s">
        <v>49</v>
      </c>
      <c r="C9" s="22"/>
      <c r="D9" s="22">
        <f>SUMIF(Tabla911[CODIGO DEL PRODUCTO],Tabla79[[#This Row],[CODIGO DEL PRODUCTO]],Tabla911[CANTIDAD KG])/1000</f>
        <v>3324.9</v>
      </c>
      <c r="E9" s="22">
        <f>SUMIF(Tabla810[CODIGO DEL PRODUCTO],Tabla79[[#This Row],[CODIGO DEL PRODUCTO]],Tabla810[CANTIDAD KG])/1000</f>
        <v>3882.8049999999998</v>
      </c>
      <c r="F9" s="33">
        <f>Tabla79[[#This Row],[EXISTENCIAS INICIALES]]+Tabla79[[#This Row],[ENTRADAS]]-Tabla79[[#This Row],[SALIDAS]]</f>
        <v>-557.90499999999975</v>
      </c>
      <c r="H9" s="34">
        <v>8582</v>
      </c>
      <c r="I9" s="34" t="s">
        <v>283</v>
      </c>
      <c r="J9" s="35">
        <v>45722</v>
      </c>
      <c r="K9" s="36" t="s">
        <v>42</v>
      </c>
      <c r="L9" s="36" t="str">
        <f>VLOOKUP(Tabla810[[#This Row],[CODIGO DEL PRODUCTO]],Tabla79[],2,FALSE)</f>
        <v>ARENA FINA</v>
      </c>
      <c r="M9" s="37">
        <v>6000</v>
      </c>
      <c r="O9" s="34">
        <v>98739</v>
      </c>
      <c r="P9" s="34" t="s">
        <v>151</v>
      </c>
      <c r="Q9" s="35">
        <v>45721</v>
      </c>
      <c r="R9" s="78" t="s">
        <v>43</v>
      </c>
      <c r="S9" s="36" t="str">
        <f>VLOOKUP(Tabla911[[#This Row],[CODIGO DEL PRODUCTO]],Tabla79[],2,FALSE)</f>
        <v>PIEDRA 6-20</v>
      </c>
      <c r="T9" s="37">
        <v>35300</v>
      </c>
      <c r="U9" s="92"/>
    </row>
    <row r="10" spans="1:21" x14ac:dyDescent="0.25">
      <c r="A10" s="32" t="s">
        <v>42</v>
      </c>
      <c r="B10" s="9" t="s">
        <v>6</v>
      </c>
      <c r="C10" s="22"/>
      <c r="D10" s="22">
        <f>SUMIF(Tabla911[CODIGO DEL PRODUCTO],Tabla79[[#This Row],[CODIGO DEL PRODUCTO]],Tabla911[CANTIDAD KG])/1000</f>
        <v>20442.36</v>
      </c>
      <c r="E10" s="22">
        <f>SUMIF(Tabla810[CODIGO DEL PRODUCTO],Tabla79[[#This Row],[CODIGO DEL PRODUCTO]],Tabla810[CANTIDAD KG])/1000</f>
        <v>21634.534</v>
      </c>
      <c r="F10" s="33">
        <f>Tabla79[[#This Row],[EXISTENCIAS INICIALES]]+Tabla79[[#This Row],[ENTRADAS]]-Tabla79[[#This Row],[SALIDAS]]</f>
        <v>-1192.1739999999991</v>
      </c>
      <c r="H10" s="34"/>
      <c r="I10" s="34" t="s">
        <v>53</v>
      </c>
      <c r="J10" s="35">
        <v>45719</v>
      </c>
      <c r="K10" s="36" t="s">
        <v>42</v>
      </c>
      <c r="L10" s="36" t="str">
        <f>VLOOKUP(Tabla810[[#This Row],[CODIGO DEL PRODUCTO]],Tabla79[],2,FALSE)</f>
        <v>ARENA FINA</v>
      </c>
      <c r="M10" s="37">
        <v>143761</v>
      </c>
      <c r="O10" s="34">
        <v>98756</v>
      </c>
      <c r="P10" s="34" t="s">
        <v>197</v>
      </c>
      <c r="Q10" s="35">
        <v>45721</v>
      </c>
      <c r="R10" s="78" t="s">
        <v>43</v>
      </c>
      <c r="S10" s="36" t="str">
        <f>VLOOKUP(Tabla911[[#This Row],[CODIGO DEL PRODUCTO]],Tabla79[],2,FALSE)</f>
        <v>PIEDRA 6-20</v>
      </c>
      <c r="T10" s="37">
        <v>34400</v>
      </c>
      <c r="U10" s="92"/>
    </row>
    <row r="11" spans="1:21" x14ac:dyDescent="0.25">
      <c r="A11" s="32" t="s">
        <v>286</v>
      </c>
      <c r="B11" s="9" t="s">
        <v>10</v>
      </c>
      <c r="C11" s="22"/>
      <c r="D11" s="22">
        <f>SUMIF(Tabla911[CODIGO DEL PRODUCTO],Tabla79[[#This Row],[CODIGO DEL PRODUCTO]],Tabla911[CANTIDAD KG])/1000</f>
        <v>9333.33</v>
      </c>
      <c r="E11" s="22">
        <f>SUMIF(Tabla810[CODIGO DEL PRODUCTO],Tabla79[[#This Row],[CODIGO DEL PRODUCTO]],Tabla810[CANTIDAD KG])/1000</f>
        <v>9164.6059999999998</v>
      </c>
      <c r="F11" s="33">
        <f>Tabla79[[#This Row],[EXISTENCIAS INICIALES]]+Tabla79[[#This Row],[ENTRADAS]]-Tabla79[[#This Row],[SALIDAS]]</f>
        <v>168.72400000000016</v>
      </c>
      <c r="H11" s="34"/>
      <c r="I11" s="34" t="s">
        <v>53</v>
      </c>
      <c r="J11" s="35">
        <v>45720</v>
      </c>
      <c r="K11" s="36" t="s">
        <v>40</v>
      </c>
      <c r="L11" s="36" t="str">
        <f>VLOOKUP(Tabla810[[#This Row],[CODIGO DEL PRODUCTO]],Tabla79[],2,FALSE)</f>
        <v>PIEDRA 0-6</v>
      </c>
      <c r="M11" s="37">
        <v>88376</v>
      </c>
      <c r="O11" s="34">
        <v>98757</v>
      </c>
      <c r="P11" s="34" t="s">
        <v>234</v>
      </c>
      <c r="Q11" s="35">
        <v>45721</v>
      </c>
      <c r="R11" s="78" t="s">
        <v>43</v>
      </c>
      <c r="S11" s="36" t="str">
        <f>VLOOKUP(Tabla911[[#This Row],[CODIGO DEL PRODUCTO]],Tabla79[],2,FALSE)</f>
        <v>PIEDRA 6-20</v>
      </c>
      <c r="T11" s="37">
        <v>34660</v>
      </c>
      <c r="U11" s="92"/>
    </row>
    <row r="12" spans="1:21" x14ac:dyDescent="0.25">
      <c r="A12" s="32" t="s">
        <v>50</v>
      </c>
      <c r="B12" s="9" t="s">
        <v>12</v>
      </c>
      <c r="C12" s="22"/>
      <c r="D12" s="22">
        <f>SUMIF(Tabla911[CODIGO DEL PRODUCTO],Tabla79[[#This Row],[CODIGO DEL PRODUCTO]],Tabla911[CANTIDAD KG])/1000</f>
        <v>9.74</v>
      </c>
      <c r="E12" s="22">
        <f>SUMIF(Tabla810[CODIGO DEL PRODUCTO],Tabla79[[#This Row],[CODIGO DEL PRODUCTO]],Tabla810[CANTIDAD KG])/1000</f>
        <v>13.321480000000003</v>
      </c>
      <c r="F12" s="33">
        <f>Tabla79[[#This Row],[EXISTENCIAS INICIALES]]+Tabla79[[#This Row],[ENTRADAS]]-Tabla79[[#This Row],[SALIDAS]]</f>
        <v>-3.5814800000000027</v>
      </c>
      <c r="H12" s="34"/>
      <c r="I12" s="34" t="s">
        <v>53</v>
      </c>
      <c r="J12" s="35">
        <v>45721</v>
      </c>
      <c r="K12" s="36" t="s">
        <v>286</v>
      </c>
      <c r="L12" s="36" t="str">
        <f>VLOOKUP(Tabla810[[#This Row],[CODIGO DEL PRODUCTO]],Tabla79[],2,FALSE)</f>
        <v>CPF 40 AVELLANEDA</v>
      </c>
      <c r="M12" s="37">
        <v>69661</v>
      </c>
      <c r="O12" s="76">
        <v>22040</v>
      </c>
      <c r="P12" s="76" t="s">
        <v>235</v>
      </c>
      <c r="Q12" s="77">
        <v>45722</v>
      </c>
      <c r="R12" s="78" t="s">
        <v>42</v>
      </c>
      <c r="S12" s="36" t="str">
        <f>VLOOKUP(Tabla911[[#This Row],[CODIGO DEL PRODUCTO]],Tabla79[],2,FALSE)</f>
        <v>ARENA FINA</v>
      </c>
      <c r="T12" s="37">
        <v>37040</v>
      </c>
      <c r="U12" s="92"/>
    </row>
    <row r="13" spans="1:21" x14ac:dyDescent="0.25">
      <c r="A13" s="34" t="s">
        <v>24</v>
      </c>
      <c r="B13" s="24" t="s">
        <v>24</v>
      </c>
      <c r="C13" s="24"/>
      <c r="D13" s="22">
        <f>SUMIF(Tabla911[CODIGO DEL PRODUCTO],Tabla79[[#This Row],[CODIGO DEL PRODUCTO]],Tabla911[CANTIDAD KG])/1000</f>
        <v>0</v>
      </c>
      <c r="E13" s="22">
        <f>SUMIF(Tabla810[CODIGO DEL PRODUCTO],Tabla79[[#This Row],[CODIGO DEL PRODUCTO]],Tabla810[CANTIDAD KG])/1000</f>
        <v>3.5579999999999998</v>
      </c>
      <c r="F13" s="38">
        <f>Tabla79[[#This Row],[EXISTENCIAS INICIALES]]+Tabla79[[#This Row],[ENTRADAS]]-Tabla79[[#This Row],[SALIDAS]]</f>
        <v>-3.5579999999999998</v>
      </c>
      <c r="H13" s="34"/>
      <c r="I13" s="34" t="s">
        <v>53</v>
      </c>
      <c r="J13" s="35">
        <v>45722</v>
      </c>
      <c r="K13" s="36" t="s">
        <v>50</v>
      </c>
      <c r="L13" s="36" t="str">
        <f>VLOOKUP(Tabla810[[#This Row],[CODIGO DEL PRODUCTO]],Tabla79[],2,FALSE)</f>
        <v>MIRA SET 453 (ADITIVO)</v>
      </c>
      <c r="M13" s="37">
        <v>403.39</v>
      </c>
      <c r="O13" s="76">
        <v>22041</v>
      </c>
      <c r="P13" s="76" t="s">
        <v>235</v>
      </c>
      <c r="Q13" s="77">
        <v>45722</v>
      </c>
      <c r="R13" s="78" t="s">
        <v>42</v>
      </c>
      <c r="S13" s="36" t="str">
        <f>VLOOKUP(Tabla911[[#This Row],[CODIGO DEL PRODUCTO]],Tabla79[],2,FALSE)</f>
        <v>ARENA FINA</v>
      </c>
      <c r="T13" s="37">
        <v>38640</v>
      </c>
      <c r="U13" s="92"/>
    </row>
    <row r="14" spans="1:21" x14ac:dyDescent="0.25">
      <c r="A14" s="32" t="s">
        <v>227</v>
      </c>
      <c r="B14" s="9" t="s">
        <v>225</v>
      </c>
      <c r="C14" s="9"/>
      <c r="D14" s="22">
        <f>SUMIF(Tabla911[CODIGO DEL PRODUCTO],Tabla79[[#This Row],[CODIGO DEL PRODUCTO]],Tabla911[CANTIDAD KG])/1000</f>
        <v>0</v>
      </c>
      <c r="E14" s="22">
        <f>SUMIF(Tabla810[CODIGO DEL PRODUCTO],Tabla79[[#This Row],[CODIGO DEL PRODUCTO]],Tabla810[CANTIDAD KG])/1000</f>
        <v>0</v>
      </c>
      <c r="F14" s="33">
        <f>Tabla79[[#This Row],[EXISTENCIAS INICIALES]]+Tabla79[[#This Row],[ENTRADAS]]-Tabla79[[#This Row],[SALIDAS]]</f>
        <v>0</v>
      </c>
      <c r="H14" s="34"/>
      <c r="I14" s="34" t="s">
        <v>53</v>
      </c>
      <c r="J14" s="35">
        <v>45723</v>
      </c>
      <c r="K14" s="36" t="s">
        <v>48</v>
      </c>
      <c r="L14" s="36" t="str">
        <f>VLOOKUP(Tabla810[[#This Row],[CODIGO DEL PRODUCTO]],Tabla79[],2,FALSE)</f>
        <v>PIEDRA 6-12</v>
      </c>
      <c r="M14" s="37">
        <v>37179</v>
      </c>
      <c r="O14" s="76">
        <v>98765</v>
      </c>
      <c r="P14" s="76" t="s">
        <v>284</v>
      </c>
      <c r="Q14" s="77">
        <v>45722</v>
      </c>
      <c r="R14" s="78" t="s">
        <v>43</v>
      </c>
      <c r="S14" s="36" t="str">
        <f>VLOOKUP(Tabla911[[#This Row],[CODIGO DEL PRODUCTO]],Tabla79[],2,FALSE)</f>
        <v>PIEDRA 6-20</v>
      </c>
      <c r="T14" s="37">
        <v>34880</v>
      </c>
      <c r="U14" s="92"/>
    </row>
    <row r="15" spans="1:21" x14ac:dyDescent="0.25">
      <c r="A15" s="34" t="s">
        <v>228</v>
      </c>
      <c r="B15" s="24" t="s">
        <v>226</v>
      </c>
      <c r="C15" s="24"/>
      <c r="D15" s="22">
        <f>SUMIF(Tabla911[CODIGO DEL PRODUCTO],Tabla79[[#This Row],[CODIGO DEL PRODUCTO]],Tabla911[CANTIDAD KG])/1000</f>
        <v>0.44</v>
      </c>
      <c r="E15" s="22">
        <f>SUMIF(Tabla810[CODIGO DEL PRODUCTO],Tabla79[[#This Row],[CODIGO DEL PRODUCTO]],Tabla810[CANTIDAD KG])/1000</f>
        <v>0</v>
      </c>
      <c r="F15" s="71">
        <f>Tabla79[[#This Row],[EXISTENCIAS INICIALES]]+Tabla79[[#This Row],[ENTRADAS]]-Tabla79[[#This Row],[SALIDAS]]</f>
        <v>0.44</v>
      </c>
      <c r="H15" s="34"/>
      <c r="I15" s="34" t="s">
        <v>53</v>
      </c>
      <c r="J15" s="35">
        <v>45724</v>
      </c>
      <c r="K15" s="36" t="s">
        <v>46</v>
      </c>
      <c r="L15" s="36" t="str">
        <f>VLOOKUP(Tabla810[[#This Row],[CODIGO DEL PRODUCTO]],Tabla79[],2,FALSE)</f>
        <v>PIEDRA 10-30</v>
      </c>
      <c r="M15" s="37">
        <v>40785</v>
      </c>
      <c r="O15" s="76">
        <v>98777</v>
      </c>
      <c r="P15" s="76" t="s">
        <v>285</v>
      </c>
      <c r="Q15" s="77">
        <v>45722</v>
      </c>
      <c r="R15" s="78" t="s">
        <v>43</v>
      </c>
      <c r="S15" s="36" t="str">
        <f>VLOOKUP(Tabla911[[#This Row],[CODIGO DEL PRODUCTO]],Tabla79[],2,FALSE)</f>
        <v>PIEDRA 6-20</v>
      </c>
      <c r="T15" s="37">
        <v>34400</v>
      </c>
      <c r="U15" s="92"/>
    </row>
    <row r="16" spans="1:21" x14ac:dyDescent="0.25">
      <c r="A16" s="34" t="s">
        <v>372</v>
      </c>
      <c r="B16" s="24" t="s">
        <v>373</v>
      </c>
      <c r="C16" s="24"/>
      <c r="D16" s="22">
        <f>SUMIF(Tabla911[CODIGO DEL PRODUCTO],Tabla79[[#This Row],[CODIGO DEL PRODUCTO]],Tabla911[CANTIDAD KG])/1000</f>
        <v>0</v>
      </c>
      <c r="E16" s="22">
        <f>SUMIF(Tabla810[CODIGO DEL PRODUCTO],Tabla79[[#This Row],[CODIGO DEL PRODUCTO]],Tabla810[CANTIDAD KG])/1000</f>
        <v>1131.655</v>
      </c>
      <c r="F16" s="71">
        <f>Tabla79[[#This Row],[EXISTENCIAS INICIALES]]+Tabla79[[#This Row],[ENTRADAS]]-Tabla79[[#This Row],[SALIDAS]]</f>
        <v>-1131.655</v>
      </c>
      <c r="H16" s="34"/>
      <c r="I16" s="34" t="s">
        <v>53</v>
      </c>
      <c r="J16" s="35">
        <v>45724</v>
      </c>
      <c r="K16" s="36" t="s">
        <v>43</v>
      </c>
      <c r="L16" s="36" t="str">
        <f>VLOOKUP(Tabla810[[#This Row],[CODIGO DEL PRODUCTO]],Tabla79[],2,FALSE)</f>
        <v>PIEDRA 6-20</v>
      </c>
      <c r="M16" s="37">
        <v>139500</v>
      </c>
      <c r="O16" s="76">
        <v>98785</v>
      </c>
      <c r="P16" s="76" t="s">
        <v>151</v>
      </c>
      <c r="Q16" s="77">
        <v>45722</v>
      </c>
      <c r="R16" s="78" t="s">
        <v>43</v>
      </c>
      <c r="S16" s="36" t="str">
        <f>VLOOKUP(Tabla911[[#This Row],[CODIGO DEL PRODUCTO]],Tabla79[],2,FALSE)</f>
        <v>PIEDRA 6-20</v>
      </c>
      <c r="T16" s="37">
        <v>34800</v>
      </c>
      <c r="U16" s="92"/>
    </row>
    <row r="17" spans="1:21" x14ac:dyDescent="0.25">
      <c r="A17" s="34" t="s">
        <v>425</v>
      </c>
      <c r="B17" s="24" t="s">
        <v>424</v>
      </c>
      <c r="C17" s="24"/>
      <c r="D17" s="22">
        <f>SUMIF(Tabla911[CODIGO DEL PRODUCTO],Tabla79[[#This Row],[CODIGO DEL PRODUCTO]],Tabla911[CANTIDAD KG])/1000</f>
        <v>34</v>
      </c>
      <c r="E17" s="22">
        <f>SUMIF(Tabla810[CODIGO DEL PRODUCTO],Tabla79[[#This Row],[CODIGO DEL PRODUCTO]],Tabla810[CANTIDAD KG])/1000</f>
        <v>37.992939999999997</v>
      </c>
      <c r="F17" s="71">
        <f>Tabla79[[#This Row],[EXISTENCIAS INICIALES]]+Tabla79[[#This Row],[ENTRADAS]]-Tabla79[[#This Row],[SALIDAS]]</f>
        <v>-3.9929399999999973</v>
      </c>
      <c r="H17" s="34">
        <v>8664</v>
      </c>
      <c r="I17" s="34" t="s">
        <v>294</v>
      </c>
      <c r="J17" s="35">
        <v>45728</v>
      </c>
      <c r="K17" s="36" t="s">
        <v>42</v>
      </c>
      <c r="L17" s="39" t="str">
        <f>VLOOKUP(Tabla810[[#This Row],[CODIGO DEL PRODUCTO]],Tabla79[],2,FALSE)</f>
        <v>ARENA FINA</v>
      </c>
      <c r="M17" s="37">
        <v>2000</v>
      </c>
      <c r="O17" s="76">
        <v>98794</v>
      </c>
      <c r="P17" s="76" t="s">
        <v>234</v>
      </c>
      <c r="Q17" s="77">
        <v>45722</v>
      </c>
      <c r="R17" s="78" t="s">
        <v>43</v>
      </c>
      <c r="S17" s="36" t="str">
        <f>VLOOKUP(Tabla911[[#This Row],[CODIGO DEL PRODUCTO]],Tabla79[],2,FALSE)</f>
        <v>PIEDRA 6-20</v>
      </c>
      <c r="T17" s="37">
        <v>34620</v>
      </c>
      <c r="U17" s="92"/>
    </row>
    <row r="18" spans="1:21" x14ac:dyDescent="0.25">
      <c r="A18" s="34" t="s">
        <v>450</v>
      </c>
      <c r="B18" s="24" t="s">
        <v>451</v>
      </c>
      <c r="C18" s="24"/>
      <c r="D18" s="99">
        <f>SUMIF(Tabla911[CODIGO DEL PRODUCTO],Tabla79[[#This Row],[CODIGO DEL PRODUCTO]],Tabla911[CANTIDAD KG])/1000</f>
        <v>1.002</v>
      </c>
      <c r="E18" s="22">
        <f>SUMIF(Tabla810[CODIGO DEL PRODUCTO],Tabla79[[#This Row],[CODIGO DEL PRODUCTO]],Tabla810[CANTIDAD KG])/1000</f>
        <v>0</v>
      </c>
      <c r="F18" s="71">
        <f>Tabla79[[#This Row],[EXISTENCIAS INICIALES]]+Tabla79[[#This Row],[ENTRADAS]]-Tabla79[[#This Row],[SALIDAS]]</f>
        <v>1.002</v>
      </c>
      <c r="H18" s="34">
        <v>8679</v>
      </c>
      <c r="I18" s="34" t="s">
        <v>184</v>
      </c>
      <c r="J18" s="35">
        <v>45728</v>
      </c>
      <c r="K18" s="36" t="s">
        <v>42</v>
      </c>
      <c r="L18" s="39" t="str">
        <f>VLOOKUP(Tabla810[[#This Row],[CODIGO DEL PRODUCTO]],Tabla79[],2,FALSE)</f>
        <v>ARENA FINA</v>
      </c>
      <c r="M18" s="37">
        <v>5000</v>
      </c>
      <c r="O18" s="76">
        <v>98798</v>
      </c>
      <c r="P18" s="76" t="s">
        <v>197</v>
      </c>
      <c r="Q18" s="77">
        <v>45722</v>
      </c>
      <c r="R18" s="78" t="s">
        <v>43</v>
      </c>
      <c r="S18" s="36" t="str">
        <f>VLOOKUP(Tabla911[[#This Row],[CODIGO DEL PRODUCTO]],Tabla79[],2,FALSE)</f>
        <v>PIEDRA 6-20</v>
      </c>
      <c r="T18" s="37">
        <v>34800</v>
      </c>
      <c r="U18" s="92"/>
    </row>
    <row r="19" spans="1:21" x14ac:dyDescent="0.25">
      <c r="A19" s="32" t="s">
        <v>468</v>
      </c>
      <c r="B19" s="9" t="s">
        <v>469</v>
      </c>
      <c r="C19" s="9"/>
      <c r="D19" s="70">
        <f>SUMIF(Tabla911[CODIGO DEL PRODUCTO],Tabla79[[#This Row],[CODIGO DEL PRODUCTO]],Tabla911[CANTIDAD KG])/1000</f>
        <v>0</v>
      </c>
      <c r="E19" s="22">
        <f>SUMIF(Tabla810[CODIGO DEL PRODUCTO],Tabla79[[#This Row],[CODIGO DEL PRODUCTO]],Tabla810[CANTIDAD KG])/1000</f>
        <v>1091.52</v>
      </c>
      <c r="F19" s="107">
        <f>Tabla79[[#This Row],[EXISTENCIAS INICIALES]]+Tabla79[[#This Row],[ENTRADAS]]-Tabla79[[#This Row],[SALIDAS]]</f>
        <v>-1091.52</v>
      </c>
      <c r="H19" s="34"/>
      <c r="I19" s="34"/>
      <c r="J19" s="35">
        <v>45728</v>
      </c>
      <c r="K19" s="36" t="s">
        <v>43</v>
      </c>
      <c r="L19" s="39" t="str">
        <f>VLOOKUP(Tabla810[[#This Row],[CODIGO DEL PRODUCTO]],Tabla79[],2,FALSE)</f>
        <v>PIEDRA 6-20</v>
      </c>
      <c r="M19" s="37">
        <v>3000</v>
      </c>
      <c r="O19" s="76">
        <v>2612692</v>
      </c>
      <c r="P19" s="76" t="s">
        <v>65</v>
      </c>
      <c r="Q19" s="77">
        <v>45722</v>
      </c>
      <c r="R19" s="78" t="s">
        <v>286</v>
      </c>
      <c r="S19" s="36" t="str">
        <f>VLOOKUP(Tabla911[[#This Row],[CODIGO DEL PRODUCTO]],Tabla79[],2,FALSE)</f>
        <v>CPF 40 AVELLANEDA</v>
      </c>
      <c r="T19" s="37">
        <v>32400</v>
      </c>
      <c r="U19" s="92"/>
    </row>
    <row r="20" spans="1:21" x14ac:dyDescent="0.25">
      <c r="A20" s="32" t="s">
        <v>481</v>
      </c>
      <c r="B20" s="9" t="s">
        <v>482</v>
      </c>
      <c r="C20" s="9"/>
      <c r="D20" s="99">
        <f>SUMIF(Tabla911[CODIGO DEL PRODUCTO],Tabla79[[#This Row],[CODIGO DEL PRODUCTO]],Tabla911[CANTIDAD KG])/1000</f>
        <v>1</v>
      </c>
      <c r="E20" s="22">
        <f>SUMIF(Tabla810[CODIGO DEL PRODUCTO],Tabla79[[#This Row],[CODIGO DEL PRODUCTO]],Tabla810[CANTIDAD KG])/1000</f>
        <v>0</v>
      </c>
      <c r="F20" s="107">
        <f>Tabla79[[#This Row],[EXISTENCIAS INICIALES]]+Tabla79[[#This Row],[ENTRADAS]]-Tabla79[[#This Row],[SALIDAS]]</f>
        <v>1</v>
      </c>
      <c r="H20" s="34">
        <v>8685</v>
      </c>
      <c r="I20" s="34" t="s">
        <v>295</v>
      </c>
      <c r="J20" s="35">
        <v>45728</v>
      </c>
      <c r="K20" s="36" t="s">
        <v>42</v>
      </c>
      <c r="L20" s="39" t="str">
        <f>VLOOKUP(Tabla810[[#This Row],[CODIGO DEL PRODUCTO]],Tabla79[],2,FALSE)</f>
        <v>ARENA FINA</v>
      </c>
      <c r="M20" s="37">
        <v>8000</v>
      </c>
      <c r="O20" s="76">
        <v>99912</v>
      </c>
      <c r="P20" s="76" t="s">
        <v>235</v>
      </c>
      <c r="Q20" s="77">
        <v>45723</v>
      </c>
      <c r="R20" s="78" t="s">
        <v>42</v>
      </c>
      <c r="S20" s="36" t="str">
        <f>VLOOKUP(Tabla911[[#This Row],[CODIGO DEL PRODUCTO]],Tabla79[],2,FALSE)</f>
        <v>ARENA FINA</v>
      </c>
      <c r="T20" s="37">
        <v>38460</v>
      </c>
      <c r="U20" s="92"/>
    </row>
    <row r="21" spans="1:21" x14ac:dyDescent="0.25">
      <c r="A21" s="34" t="s">
        <v>599</v>
      </c>
      <c r="B21" s="24" t="s">
        <v>600</v>
      </c>
      <c r="C21" s="24"/>
      <c r="D21" s="70">
        <f>SUMIF(Tabla911[CODIGO DEL PRODUCTO],Tabla79[[#This Row],[CODIGO DEL PRODUCTO]],Tabla911[CANTIDAD KG])/1000</f>
        <v>1E-3</v>
      </c>
      <c r="E21" s="70">
        <f>SUMIF(Tabla810[CODIGO DEL PRODUCTO],Tabla79[[#This Row],[CODIGO DEL PRODUCTO]],Tabla810[CANTIDAD KG])/1000</f>
        <v>0</v>
      </c>
      <c r="F21" s="71">
        <f>Tabla79[[#This Row],[EXISTENCIAS INICIALES]]+Tabla79[[#This Row],[ENTRADAS]]-Tabla79[[#This Row],[SALIDAS]]</f>
        <v>1E-3</v>
      </c>
      <c r="H21" s="34">
        <v>8692</v>
      </c>
      <c r="I21" s="34" t="s">
        <v>203</v>
      </c>
      <c r="J21" s="35">
        <v>45729</v>
      </c>
      <c r="K21" s="36" t="s">
        <v>46</v>
      </c>
      <c r="L21" s="39" t="str">
        <f>VLOOKUP(Tabla810[[#This Row],[CODIGO DEL PRODUCTO]],Tabla79[],2,FALSE)</f>
        <v>PIEDRA 10-30</v>
      </c>
      <c r="M21" s="37">
        <v>10580</v>
      </c>
      <c r="O21" s="76">
        <v>99922</v>
      </c>
      <c r="P21" s="76" t="s">
        <v>235</v>
      </c>
      <c r="Q21" s="77">
        <v>45723</v>
      </c>
      <c r="R21" s="78" t="s">
        <v>42</v>
      </c>
      <c r="S21" s="36" t="str">
        <f>VLOOKUP(Tabla911[[#This Row],[CODIGO DEL PRODUCTO]],Tabla79[],2,FALSE)</f>
        <v>ARENA FINA</v>
      </c>
      <c r="T21" s="37">
        <v>37700</v>
      </c>
      <c r="U21" s="92"/>
    </row>
    <row r="22" spans="1:21" x14ac:dyDescent="0.25">
      <c r="A22" s="9"/>
      <c r="B22" s="9"/>
      <c r="C22" s="9"/>
      <c r="D22" s="9"/>
      <c r="E22" s="9"/>
      <c r="F22" s="9"/>
      <c r="H22" s="34">
        <v>8686</v>
      </c>
      <c r="I22" s="34" t="s">
        <v>295</v>
      </c>
      <c r="J22" s="35">
        <v>45729</v>
      </c>
      <c r="K22" s="36" t="s">
        <v>42</v>
      </c>
      <c r="L22" s="39" t="str">
        <f>VLOOKUP(Tabla810[[#This Row],[CODIGO DEL PRODUCTO]],Tabla79[],2,FALSE)</f>
        <v>ARENA FINA</v>
      </c>
      <c r="M22" s="37">
        <v>8000</v>
      </c>
      <c r="O22" s="76">
        <v>98829</v>
      </c>
      <c r="P22" s="76" t="s">
        <v>151</v>
      </c>
      <c r="Q22" s="77">
        <v>45723</v>
      </c>
      <c r="R22" s="78" t="s">
        <v>43</v>
      </c>
      <c r="S22" s="36" t="str">
        <f>VLOOKUP(Tabla911[[#This Row],[CODIGO DEL PRODUCTO]],Tabla79[],2,FALSE)</f>
        <v>PIEDRA 6-20</v>
      </c>
      <c r="T22" s="37">
        <v>35120</v>
      </c>
      <c r="U22" s="92"/>
    </row>
    <row r="23" spans="1:21" x14ac:dyDescent="0.25">
      <c r="A23" s="9"/>
      <c r="B23" s="9"/>
      <c r="C23" s="9"/>
      <c r="D23" s="9"/>
      <c r="E23" s="9"/>
      <c r="F23" s="9"/>
      <c r="H23" s="34">
        <v>8688</v>
      </c>
      <c r="I23" s="34" t="s">
        <v>295</v>
      </c>
      <c r="J23" s="35">
        <v>45729</v>
      </c>
      <c r="K23" s="36" t="s">
        <v>42</v>
      </c>
      <c r="L23" s="39" t="str">
        <f>VLOOKUP(Tabla810[[#This Row],[CODIGO DEL PRODUCTO]],Tabla79[],2,FALSE)</f>
        <v>ARENA FINA</v>
      </c>
      <c r="M23" s="37">
        <v>9000</v>
      </c>
      <c r="O23" s="76">
        <v>98833</v>
      </c>
      <c r="P23" s="76" t="s">
        <v>234</v>
      </c>
      <c r="Q23" s="77">
        <v>45723</v>
      </c>
      <c r="R23" s="78" t="s">
        <v>43</v>
      </c>
      <c r="S23" s="36" t="str">
        <f>VLOOKUP(Tabla911[[#This Row],[CODIGO DEL PRODUCTO]],Tabla79[],2,FALSE)</f>
        <v>PIEDRA 6-20</v>
      </c>
      <c r="T23" s="37">
        <v>35240</v>
      </c>
      <c r="U23" s="92"/>
    </row>
    <row r="24" spans="1:21" x14ac:dyDescent="0.25">
      <c r="A24" s="9"/>
      <c r="B24" s="9"/>
      <c r="C24" s="9"/>
      <c r="D24" s="9"/>
      <c r="E24" s="9"/>
      <c r="F24" s="9"/>
      <c r="H24" s="34">
        <v>8689</v>
      </c>
      <c r="I24" s="34" t="s">
        <v>297</v>
      </c>
      <c r="J24" s="35">
        <v>45729</v>
      </c>
      <c r="K24" s="36" t="s">
        <v>42</v>
      </c>
      <c r="L24" s="39" t="str">
        <f>VLOOKUP(Tabla810[[#This Row],[CODIGO DEL PRODUCTO]],Tabla79[],2,FALSE)</f>
        <v>ARENA FINA</v>
      </c>
      <c r="M24" s="37">
        <v>2000</v>
      </c>
      <c r="O24" s="76">
        <v>98837</v>
      </c>
      <c r="P24" s="76" t="s">
        <v>197</v>
      </c>
      <c r="Q24" s="77">
        <v>45723</v>
      </c>
      <c r="R24" s="78" t="s">
        <v>43</v>
      </c>
      <c r="S24" s="36" t="str">
        <f>VLOOKUP(Tabla911[[#This Row],[CODIGO DEL PRODUCTO]],Tabla79[],2,FALSE)</f>
        <v>PIEDRA 6-20</v>
      </c>
      <c r="T24" s="37">
        <v>35100</v>
      </c>
      <c r="U24" s="92"/>
    </row>
    <row r="25" spans="1:21" x14ac:dyDescent="0.25">
      <c r="A25" s="9"/>
      <c r="B25" s="9"/>
      <c r="C25" s="9"/>
      <c r="D25" s="9"/>
      <c r="E25" s="9"/>
      <c r="F25" s="9"/>
      <c r="H25" s="34">
        <v>8690</v>
      </c>
      <c r="I25" s="32" t="s">
        <v>121</v>
      </c>
      <c r="J25" s="35">
        <v>45729</v>
      </c>
      <c r="K25" s="36" t="s">
        <v>42</v>
      </c>
      <c r="L25" s="41" t="str">
        <f>VLOOKUP(Tabla810[[#This Row],[CODIGO DEL PRODUCTO]],Tabla79[],2,FALSE)</f>
        <v>ARENA FINA</v>
      </c>
      <c r="M25" s="37">
        <v>2000</v>
      </c>
      <c r="O25" s="76">
        <v>2613132</v>
      </c>
      <c r="P25" s="76" t="s">
        <v>65</v>
      </c>
      <c r="Q25" s="77">
        <v>45723</v>
      </c>
      <c r="R25" s="78" t="s">
        <v>286</v>
      </c>
      <c r="S25" s="36" t="str">
        <f>VLOOKUP(Tabla911[[#This Row],[CODIGO DEL PRODUCTO]],Tabla79[],2,FALSE)</f>
        <v>CPF 40 AVELLANEDA</v>
      </c>
      <c r="T25" s="37">
        <v>32220</v>
      </c>
      <c r="U25" s="92"/>
    </row>
    <row r="26" spans="1:21" x14ac:dyDescent="0.25">
      <c r="A26" s="9"/>
      <c r="B26" s="9"/>
      <c r="C26" s="9"/>
      <c r="D26" s="9"/>
      <c r="E26" s="9"/>
      <c r="F26" s="9"/>
      <c r="H26" s="34">
        <v>8691</v>
      </c>
      <c r="I26" s="32" t="s">
        <v>298</v>
      </c>
      <c r="J26" s="35">
        <v>45729</v>
      </c>
      <c r="K26" s="36" t="s">
        <v>43</v>
      </c>
      <c r="L26" s="41" t="str">
        <f>VLOOKUP(Tabla810[[#This Row],[CODIGO DEL PRODUCTO]],Tabla79[],2,FALSE)</f>
        <v>PIEDRA 6-20</v>
      </c>
      <c r="M26" s="37">
        <v>8000</v>
      </c>
      <c r="O26" s="76">
        <v>99927</v>
      </c>
      <c r="P26" s="76" t="s">
        <v>235</v>
      </c>
      <c r="Q26" s="77">
        <v>45726</v>
      </c>
      <c r="R26" s="78" t="s">
        <v>42</v>
      </c>
      <c r="S26" s="36" t="str">
        <f>VLOOKUP(Tabla911[[#This Row],[CODIGO DEL PRODUCTO]],Tabla79[],2,FALSE)</f>
        <v>ARENA FINA</v>
      </c>
      <c r="T26" s="37">
        <v>36780</v>
      </c>
      <c r="U26" s="92"/>
    </row>
    <row r="27" spans="1:21" x14ac:dyDescent="0.25">
      <c r="A27" s="9"/>
      <c r="B27" s="9"/>
      <c r="C27" s="9"/>
      <c r="D27" s="9"/>
      <c r="E27" s="9"/>
      <c r="F27" s="9"/>
      <c r="H27" s="34">
        <v>8724</v>
      </c>
      <c r="I27" s="32" t="s">
        <v>203</v>
      </c>
      <c r="J27" s="35">
        <v>45730</v>
      </c>
      <c r="K27" s="36" t="s">
        <v>48</v>
      </c>
      <c r="L27" s="41" t="str">
        <f>VLOOKUP(Tabla810[[#This Row],[CODIGO DEL PRODUCTO]],Tabla79[],2,FALSE)</f>
        <v>PIEDRA 6-12</v>
      </c>
      <c r="M27" s="37">
        <v>5000</v>
      </c>
      <c r="O27" s="76">
        <v>99930</v>
      </c>
      <c r="P27" s="76" t="s">
        <v>235</v>
      </c>
      <c r="Q27" s="77">
        <v>45726</v>
      </c>
      <c r="R27" s="78" t="s">
        <v>42</v>
      </c>
      <c r="S27" s="36" t="str">
        <f>VLOOKUP(Tabla911[[#This Row],[CODIGO DEL PRODUCTO]],Tabla79[],2,FALSE)</f>
        <v>ARENA FINA</v>
      </c>
      <c r="T27" s="37">
        <v>37640</v>
      </c>
      <c r="U27" s="92"/>
    </row>
    <row r="28" spans="1:21" x14ac:dyDescent="0.25">
      <c r="A28" s="9"/>
      <c r="B28" s="9"/>
      <c r="C28" s="9"/>
      <c r="D28" s="9"/>
      <c r="E28" s="9"/>
      <c r="F28" s="9"/>
      <c r="H28" s="34">
        <v>8733</v>
      </c>
      <c r="I28" s="32" t="s">
        <v>300</v>
      </c>
      <c r="J28" s="35">
        <v>45733</v>
      </c>
      <c r="K28" s="36" t="s">
        <v>43</v>
      </c>
      <c r="L28" s="41" t="str">
        <f>VLOOKUP(Tabla810[[#This Row],[CODIGO DEL PRODUCTO]],Tabla79[],2,FALSE)</f>
        <v>PIEDRA 6-20</v>
      </c>
      <c r="M28" s="37">
        <v>2000</v>
      </c>
      <c r="O28" s="76">
        <v>98852</v>
      </c>
      <c r="P28" s="76" t="s">
        <v>254</v>
      </c>
      <c r="Q28" s="77">
        <v>45726</v>
      </c>
      <c r="R28" s="78" t="s">
        <v>43</v>
      </c>
      <c r="S28" s="36" t="str">
        <f>VLOOKUP(Tabla911[[#This Row],[CODIGO DEL PRODUCTO]],Tabla79[],2,FALSE)</f>
        <v>PIEDRA 6-20</v>
      </c>
      <c r="T28" s="37">
        <v>35100</v>
      </c>
      <c r="U28" s="92"/>
    </row>
    <row r="29" spans="1:21" x14ac:dyDescent="0.25">
      <c r="A29" s="9"/>
      <c r="B29" s="9"/>
      <c r="C29" s="9"/>
      <c r="D29" s="9"/>
      <c r="E29" s="9"/>
      <c r="F29" s="9"/>
      <c r="H29" s="34"/>
      <c r="I29" s="32"/>
      <c r="J29" s="35">
        <v>45733</v>
      </c>
      <c r="K29" s="36" t="s">
        <v>42</v>
      </c>
      <c r="L29" s="41" t="str">
        <f>VLOOKUP(Tabla810[[#This Row],[CODIGO DEL PRODUCTO]],Tabla79[],2,FALSE)</f>
        <v>ARENA FINA</v>
      </c>
      <c r="M29" s="37">
        <v>2000</v>
      </c>
      <c r="O29" s="76">
        <v>98856</v>
      </c>
      <c r="P29" s="76" t="s">
        <v>197</v>
      </c>
      <c r="Q29" s="77">
        <v>45726</v>
      </c>
      <c r="R29" s="78" t="s">
        <v>43</v>
      </c>
      <c r="S29" s="36" t="str">
        <f>VLOOKUP(Tabla911[[#This Row],[CODIGO DEL PRODUCTO]],Tabla79[],2,FALSE)</f>
        <v>PIEDRA 6-20</v>
      </c>
      <c r="T29" s="37">
        <v>34880</v>
      </c>
      <c r="U29" s="92"/>
    </row>
    <row r="30" spans="1:21" x14ac:dyDescent="0.25">
      <c r="A30" s="9"/>
      <c r="B30" s="9"/>
      <c r="C30" s="9"/>
      <c r="D30" s="9"/>
      <c r="E30" s="9"/>
      <c r="F30" s="9"/>
      <c r="H30" s="34">
        <v>8738</v>
      </c>
      <c r="I30" s="32" t="s">
        <v>190</v>
      </c>
      <c r="J30" s="35">
        <v>45733</v>
      </c>
      <c r="K30" s="36" t="s">
        <v>42</v>
      </c>
      <c r="L30" s="41" t="str">
        <f>VLOOKUP(Tabla810[[#This Row],[CODIGO DEL PRODUCTO]],Tabla79[],2,FALSE)</f>
        <v>ARENA FINA</v>
      </c>
      <c r="M30" s="37">
        <v>2000</v>
      </c>
      <c r="O30" s="76">
        <v>98859</v>
      </c>
      <c r="P30" s="76" t="s">
        <v>234</v>
      </c>
      <c r="Q30" s="77">
        <v>45726</v>
      </c>
      <c r="R30" s="78" t="s">
        <v>43</v>
      </c>
      <c r="S30" s="36" t="str">
        <f>VLOOKUP(Tabla911[[#This Row],[CODIGO DEL PRODUCTO]],Tabla79[],2,FALSE)</f>
        <v>PIEDRA 6-20</v>
      </c>
      <c r="T30" s="37">
        <v>34900</v>
      </c>
      <c r="U30" s="92"/>
    </row>
    <row r="31" spans="1:21" x14ac:dyDescent="0.25">
      <c r="A31" s="9"/>
      <c r="B31" s="9"/>
      <c r="C31" s="9"/>
      <c r="D31" s="9"/>
      <c r="E31" s="9"/>
      <c r="F31" s="9"/>
      <c r="H31" s="34">
        <v>8740</v>
      </c>
      <c r="I31" s="32" t="s">
        <v>250</v>
      </c>
      <c r="J31" s="35">
        <v>45733</v>
      </c>
      <c r="K31" s="36" t="s">
        <v>42</v>
      </c>
      <c r="L31" s="41" t="str">
        <f>VLOOKUP(Tabla810[[#This Row],[CODIGO DEL PRODUCTO]],Tabla79[],2,FALSE)</f>
        <v>ARENA FINA</v>
      </c>
      <c r="M31" s="37">
        <v>10500</v>
      </c>
      <c r="O31" s="76">
        <v>99936</v>
      </c>
      <c r="P31" s="76" t="s">
        <v>235</v>
      </c>
      <c r="Q31" s="77">
        <v>45727</v>
      </c>
      <c r="R31" s="78" t="s">
        <v>42</v>
      </c>
      <c r="S31" s="36" t="str">
        <f>VLOOKUP(Tabla911[[#This Row],[CODIGO DEL PRODUCTO]],Tabla79[],2,FALSE)</f>
        <v>ARENA FINA</v>
      </c>
      <c r="T31" s="37">
        <v>37120</v>
      </c>
      <c r="U31" s="92"/>
    </row>
    <row r="32" spans="1:21" x14ac:dyDescent="0.25">
      <c r="A32" s="9"/>
      <c r="B32" s="9"/>
      <c r="C32" s="9"/>
      <c r="D32" s="9"/>
      <c r="E32" s="9"/>
      <c r="F32" s="9"/>
      <c r="H32" s="34">
        <v>8741</v>
      </c>
      <c r="I32" s="32" t="s">
        <v>250</v>
      </c>
      <c r="J32" s="35">
        <v>45733</v>
      </c>
      <c r="K32" s="36" t="s">
        <v>43</v>
      </c>
      <c r="L32" s="41" t="str">
        <f>VLOOKUP(Tabla810[[#This Row],[CODIGO DEL PRODUCTO]],Tabla79[],2,FALSE)</f>
        <v>PIEDRA 6-20</v>
      </c>
      <c r="M32" s="37">
        <v>9600</v>
      </c>
      <c r="O32" s="76">
        <v>99941</v>
      </c>
      <c r="P32" s="76" t="s">
        <v>235</v>
      </c>
      <c r="Q32" s="77">
        <v>45727</v>
      </c>
      <c r="R32" s="78" t="s">
        <v>42</v>
      </c>
      <c r="S32" s="36" t="str">
        <f>VLOOKUP(Tabla911[[#This Row],[CODIGO DEL PRODUCTO]],Tabla79[],2,FALSE)</f>
        <v>ARENA FINA</v>
      </c>
      <c r="T32" s="37">
        <v>37060</v>
      </c>
      <c r="U32" s="92"/>
    </row>
    <row r="33" spans="1:21" x14ac:dyDescent="0.25">
      <c r="A33" s="9"/>
      <c r="B33" s="9"/>
      <c r="C33" s="9"/>
      <c r="D33" s="9"/>
      <c r="E33" s="9"/>
      <c r="F33" s="9"/>
      <c r="H33" s="34">
        <v>8745</v>
      </c>
      <c r="I33" s="32" t="s">
        <v>301</v>
      </c>
      <c r="J33" s="35">
        <v>45733</v>
      </c>
      <c r="K33" s="36" t="s">
        <v>42</v>
      </c>
      <c r="L33" s="41" t="str">
        <f>VLOOKUP(Tabla810[[#This Row],[CODIGO DEL PRODUCTO]],Tabla79[],2,FALSE)</f>
        <v>ARENA FINA</v>
      </c>
      <c r="M33" s="37">
        <v>5000</v>
      </c>
      <c r="O33" s="76">
        <v>98883</v>
      </c>
      <c r="P33" s="76" t="s">
        <v>287</v>
      </c>
      <c r="Q33" s="77">
        <v>45727</v>
      </c>
      <c r="R33" s="78" t="s">
        <v>43</v>
      </c>
      <c r="S33" s="36" t="str">
        <f>VLOOKUP(Tabla911[[#This Row],[CODIGO DEL PRODUCTO]],Tabla79[],2,FALSE)</f>
        <v>PIEDRA 6-20</v>
      </c>
      <c r="T33" s="37">
        <v>34760</v>
      </c>
      <c r="U33" s="92"/>
    </row>
    <row r="34" spans="1:21" x14ac:dyDescent="0.25">
      <c r="A34" s="9"/>
      <c r="B34" s="9"/>
      <c r="C34" s="9"/>
      <c r="D34" s="9"/>
      <c r="E34" s="9"/>
      <c r="F34" s="9"/>
      <c r="H34" s="34"/>
      <c r="I34" s="32" t="s">
        <v>53</v>
      </c>
      <c r="J34" s="35">
        <v>45726</v>
      </c>
      <c r="K34" s="36" t="s">
        <v>42</v>
      </c>
      <c r="L34" s="41" t="str">
        <f>VLOOKUP(Tabla810[[#This Row],[CODIGO DEL PRODUCTO]],Tabla79[],2,FALSE)</f>
        <v>ARENA FINA</v>
      </c>
      <c r="M34" s="37">
        <v>186980</v>
      </c>
      <c r="O34" s="76">
        <v>98892</v>
      </c>
      <c r="P34" s="76" t="s">
        <v>197</v>
      </c>
      <c r="Q34" s="77">
        <v>45727</v>
      </c>
      <c r="R34" s="78" t="s">
        <v>43</v>
      </c>
      <c r="S34" s="36" t="str">
        <f>VLOOKUP(Tabla911[[#This Row],[CODIGO DEL PRODUCTO]],Tabla79[],2,FALSE)</f>
        <v>PIEDRA 6-20</v>
      </c>
      <c r="T34" s="37">
        <v>34560</v>
      </c>
      <c r="U34" s="92"/>
    </row>
    <row r="35" spans="1:21" x14ac:dyDescent="0.25">
      <c r="A35" s="9"/>
      <c r="B35" s="9"/>
      <c r="C35" s="9"/>
      <c r="D35" s="9"/>
      <c r="E35" s="9"/>
      <c r="F35" s="9"/>
      <c r="H35" s="34"/>
      <c r="I35" s="32" t="s">
        <v>53</v>
      </c>
      <c r="J35" s="35">
        <v>45727</v>
      </c>
      <c r="K35" s="36" t="s">
        <v>40</v>
      </c>
      <c r="L35" s="41" t="str">
        <f>VLOOKUP(Tabla810[[#This Row],[CODIGO DEL PRODUCTO]],Tabla79[],2,FALSE)</f>
        <v>PIEDRA 0-6</v>
      </c>
      <c r="M35" s="37">
        <v>121994</v>
      </c>
      <c r="O35" s="76">
        <v>98894</v>
      </c>
      <c r="P35" s="76" t="s">
        <v>234</v>
      </c>
      <c r="Q35" s="77">
        <v>45727</v>
      </c>
      <c r="R35" s="78" t="s">
        <v>43</v>
      </c>
      <c r="S35" s="36" t="str">
        <f>VLOOKUP(Tabla911[[#This Row],[CODIGO DEL PRODUCTO]],Tabla79[],2,FALSE)</f>
        <v>PIEDRA 6-20</v>
      </c>
      <c r="T35" s="37">
        <v>34780</v>
      </c>
      <c r="U35" s="92"/>
    </row>
    <row r="36" spans="1:21" x14ac:dyDescent="0.25">
      <c r="A36" s="9"/>
      <c r="B36" s="9"/>
      <c r="C36" s="9"/>
      <c r="D36" s="9"/>
      <c r="E36" s="9"/>
      <c r="F36" s="9"/>
      <c r="H36" s="34"/>
      <c r="I36" s="32" t="s">
        <v>53</v>
      </c>
      <c r="J36" s="35">
        <v>45728</v>
      </c>
      <c r="K36" s="36" t="s">
        <v>286</v>
      </c>
      <c r="L36" s="41" t="str">
        <f>VLOOKUP(Tabla810[[#This Row],[CODIGO DEL PRODUCTO]],Tabla79[],2,FALSE)</f>
        <v>CPF 40 AVELLANEDA</v>
      </c>
      <c r="M36" s="37">
        <v>100940</v>
      </c>
      <c r="O36" s="76">
        <v>98898</v>
      </c>
      <c r="P36" s="76" t="s">
        <v>254</v>
      </c>
      <c r="Q36" s="77">
        <v>45727</v>
      </c>
      <c r="R36" s="78" t="s">
        <v>43</v>
      </c>
      <c r="S36" s="36" t="str">
        <f>VLOOKUP(Tabla911[[#This Row],[CODIGO DEL PRODUCTO]],Tabla79[],2,FALSE)</f>
        <v>PIEDRA 6-20</v>
      </c>
      <c r="T36" s="37">
        <v>35040</v>
      </c>
      <c r="U36" s="92"/>
    </row>
    <row r="37" spans="1:21" x14ac:dyDescent="0.25">
      <c r="A37" s="9"/>
      <c r="B37" s="9"/>
      <c r="C37" s="9"/>
      <c r="D37" s="9"/>
      <c r="E37" s="9"/>
      <c r="F37" s="9"/>
      <c r="H37" s="34"/>
      <c r="I37" s="32" t="s">
        <v>53</v>
      </c>
      <c r="J37" s="35">
        <v>45729</v>
      </c>
      <c r="K37" s="36" t="s">
        <v>50</v>
      </c>
      <c r="L37" s="41" t="str">
        <f>VLOOKUP(Tabla810[[#This Row],[CODIGO DEL PRODUCTO]],Tabla79[],2,FALSE)</f>
        <v>MIRA SET 453 (ADITIVO)</v>
      </c>
      <c r="M37" s="37">
        <v>609.25</v>
      </c>
      <c r="O37" s="76">
        <v>2613452</v>
      </c>
      <c r="P37" s="76" t="s">
        <v>65</v>
      </c>
      <c r="Q37" s="77">
        <v>45727</v>
      </c>
      <c r="R37" s="78" t="s">
        <v>286</v>
      </c>
      <c r="S37" s="36" t="str">
        <f>VLOOKUP(Tabla911[[#This Row],[CODIGO DEL PRODUCTO]],Tabla79[],2,FALSE)</f>
        <v>CPF 40 AVELLANEDA</v>
      </c>
      <c r="T37" s="37">
        <v>32400</v>
      </c>
      <c r="U37" s="92"/>
    </row>
    <row r="38" spans="1:21" x14ac:dyDescent="0.25">
      <c r="A38" s="9"/>
      <c r="B38" s="9"/>
      <c r="C38" s="9"/>
      <c r="D38" s="9"/>
      <c r="E38" s="9"/>
      <c r="F38" s="9"/>
      <c r="H38" s="34"/>
      <c r="I38" s="32" t="s">
        <v>53</v>
      </c>
      <c r="J38" s="35">
        <v>45730</v>
      </c>
      <c r="K38" s="36" t="s">
        <v>48</v>
      </c>
      <c r="L38" s="41" t="str">
        <f>VLOOKUP(Tabla810[[#This Row],[CODIGO DEL PRODUCTO]],Tabla79[],2,FALSE)</f>
        <v>PIEDRA 6-12</v>
      </c>
      <c r="M38" s="37">
        <v>32356</v>
      </c>
      <c r="O38" s="76">
        <v>36193</v>
      </c>
      <c r="P38" s="76" t="s">
        <v>293</v>
      </c>
      <c r="Q38" s="77">
        <v>45727</v>
      </c>
      <c r="R38" s="78" t="s">
        <v>50</v>
      </c>
      <c r="S38" s="36" t="str">
        <f>VLOOKUP(Tabla911[[#This Row],[CODIGO DEL PRODUCTO]],Tabla79[],2,FALSE)</f>
        <v>MIRA SET 453 (ADITIVO)</v>
      </c>
      <c r="T38" s="37">
        <v>2180</v>
      </c>
      <c r="U38" s="92"/>
    </row>
    <row r="39" spans="1:21" x14ac:dyDescent="0.25">
      <c r="A39" s="9"/>
      <c r="B39" s="9"/>
      <c r="C39" s="9"/>
      <c r="D39" s="9"/>
      <c r="E39" s="9"/>
      <c r="F39" s="9"/>
      <c r="H39" s="34"/>
      <c r="I39" s="32" t="s">
        <v>53</v>
      </c>
      <c r="J39" s="35">
        <v>45731</v>
      </c>
      <c r="K39" s="36" t="s">
        <v>46</v>
      </c>
      <c r="L39" s="41" t="str">
        <f>VLOOKUP(Tabla810[[#This Row],[CODIGO DEL PRODUCTO]],Tabla79[],2,FALSE)</f>
        <v>PIEDRA 10-30</v>
      </c>
      <c r="M39" s="37">
        <v>87146</v>
      </c>
      <c r="O39" s="76">
        <v>99947</v>
      </c>
      <c r="P39" s="76" t="s">
        <v>235</v>
      </c>
      <c r="Q39" s="77">
        <v>45728</v>
      </c>
      <c r="R39" s="78" t="s">
        <v>42</v>
      </c>
      <c r="S39" s="36" t="str">
        <f>VLOOKUP(Tabla911[[#This Row],[CODIGO DEL PRODUCTO]],Tabla79[],2,FALSE)</f>
        <v>ARENA FINA</v>
      </c>
      <c r="T39" s="37">
        <v>37020</v>
      </c>
      <c r="U39" s="92"/>
    </row>
    <row r="40" spans="1:21" x14ac:dyDescent="0.25">
      <c r="A40" s="9"/>
      <c r="B40" s="9"/>
      <c r="C40" s="9"/>
      <c r="D40" s="9"/>
      <c r="E40" s="9"/>
      <c r="F40" s="9"/>
      <c r="H40" s="34"/>
      <c r="I40" s="32" t="s">
        <v>53</v>
      </c>
      <c r="J40" s="35">
        <v>45731</v>
      </c>
      <c r="K40" s="36" t="s">
        <v>43</v>
      </c>
      <c r="L40" s="41" t="str">
        <f>VLOOKUP(Tabla810[[#This Row],[CODIGO DEL PRODUCTO]],Tabla79[],2,FALSE)</f>
        <v>PIEDRA 6-20</v>
      </c>
      <c r="M40" s="37">
        <f>33875+174907</f>
        <v>208782</v>
      </c>
      <c r="O40" s="76">
        <v>99951</v>
      </c>
      <c r="P40" s="76" t="s">
        <v>235</v>
      </c>
      <c r="Q40" s="77">
        <v>45728</v>
      </c>
      <c r="R40" s="78" t="s">
        <v>42</v>
      </c>
      <c r="S40" s="36" t="str">
        <f>VLOOKUP(Tabla911[[#This Row],[CODIGO DEL PRODUCTO]],Tabla79[],2,FALSE)</f>
        <v>ARENA FINA</v>
      </c>
      <c r="T40" s="37">
        <v>37320</v>
      </c>
      <c r="U40" s="92"/>
    </row>
    <row r="41" spans="1:21" x14ac:dyDescent="0.25">
      <c r="A41" s="9"/>
      <c r="B41" s="9"/>
      <c r="C41" s="9"/>
      <c r="D41" s="9"/>
      <c r="E41" s="9"/>
      <c r="F41" s="9"/>
      <c r="H41" s="34">
        <v>8773</v>
      </c>
      <c r="I41" s="32" t="s">
        <v>303</v>
      </c>
      <c r="J41" s="35">
        <v>45734</v>
      </c>
      <c r="K41" s="36" t="s">
        <v>42</v>
      </c>
      <c r="L41" s="41" t="str">
        <f>VLOOKUP(Tabla810[[#This Row],[CODIGO DEL PRODUCTO]],Tabla79[],2,FALSE)</f>
        <v>ARENA FINA</v>
      </c>
      <c r="M41" s="37">
        <v>3000</v>
      </c>
      <c r="O41" s="76">
        <v>98919</v>
      </c>
      <c r="P41" s="76" t="s">
        <v>287</v>
      </c>
      <c r="Q41" s="77">
        <v>45728</v>
      </c>
      <c r="R41" s="78" t="s">
        <v>43</v>
      </c>
      <c r="S41" s="36" t="str">
        <f>VLOOKUP(Tabla911[[#This Row],[CODIGO DEL PRODUCTO]],Tabla79[],2,FALSE)</f>
        <v>PIEDRA 6-20</v>
      </c>
      <c r="T41" s="37">
        <v>34280</v>
      </c>
      <c r="U41" s="92"/>
    </row>
    <row r="42" spans="1:21" x14ac:dyDescent="0.25">
      <c r="A42" s="9"/>
      <c r="B42" s="9"/>
      <c r="C42" s="9"/>
      <c r="D42" s="9"/>
      <c r="E42" s="9"/>
      <c r="F42" s="9"/>
      <c r="H42" s="34"/>
      <c r="I42" s="32"/>
      <c r="J42" s="35">
        <v>45734</v>
      </c>
      <c r="K42" s="36" t="s">
        <v>43</v>
      </c>
      <c r="L42" s="41" t="str">
        <f>VLOOKUP(Tabla810[[#This Row],[CODIGO DEL PRODUCTO]],Tabla79[],2,FALSE)</f>
        <v>PIEDRA 6-20</v>
      </c>
      <c r="M42" s="37">
        <v>1000</v>
      </c>
      <c r="O42" s="76">
        <v>98920</v>
      </c>
      <c r="P42" s="76" t="s">
        <v>254</v>
      </c>
      <c r="Q42" s="77">
        <v>45728</v>
      </c>
      <c r="R42" s="78" t="s">
        <v>43</v>
      </c>
      <c r="S42" s="36" t="str">
        <f>VLOOKUP(Tabla911[[#This Row],[CODIGO DEL PRODUCTO]],Tabla79[],2,FALSE)</f>
        <v>PIEDRA 6-20</v>
      </c>
      <c r="T42" s="37">
        <v>35020</v>
      </c>
      <c r="U42" s="92"/>
    </row>
    <row r="43" spans="1:21" x14ac:dyDescent="0.25">
      <c r="A43" s="9"/>
      <c r="B43" s="9"/>
      <c r="C43" s="9"/>
      <c r="D43" s="9"/>
      <c r="E43" s="9"/>
      <c r="F43" s="9"/>
      <c r="H43" s="34">
        <v>8775</v>
      </c>
      <c r="I43" s="32" t="s">
        <v>304</v>
      </c>
      <c r="J43" s="35">
        <v>45734</v>
      </c>
      <c r="K43" s="36" t="s">
        <v>42</v>
      </c>
      <c r="L43" s="41" t="str">
        <f>VLOOKUP(Tabla810[[#This Row],[CODIGO DEL PRODUCTO]],Tabla79[],2,FALSE)</f>
        <v>ARENA FINA</v>
      </c>
      <c r="M43" s="37">
        <v>7000</v>
      </c>
      <c r="O43" s="76">
        <v>98926</v>
      </c>
      <c r="P43" s="76" t="s">
        <v>197</v>
      </c>
      <c r="Q43" s="77">
        <v>45728</v>
      </c>
      <c r="R43" s="78" t="s">
        <v>43</v>
      </c>
      <c r="S43" s="36" t="str">
        <f>VLOOKUP(Tabla911[[#This Row],[CODIGO DEL PRODUCTO]],Tabla79[],2,FALSE)</f>
        <v>PIEDRA 6-20</v>
      </c>
      <c r="T43" s="37">
        <v>34800</v>
      </c>
      <c r="U43" s="92"/>
    </row>
    <row r="44" spans="1:21" x14ac:dyDescent="0.25">
      <c r="A44" s="9"/>
      <c r="B44" s="9"/>
      <c r="C44" s="9"/>
      <c r="D44" s="9"/>
      <c r="E44" s="9"/>
      <c r="F44" s="9"/>
      <c r="H44" s="34">
        <v>8780</v>
      </c>
      <c r="I44" s="40" t="s">
        <v>297</v>
      </c>
      <c r="J44" s="35">
        <v>45734</v>
      </c>
      <c r="K44" s="36" t="s">
        <v>42</v>
      </c>
      <c r="L44" s="42" t="str">
        <f>VLOOKUP(Tabla810[[#This Row],[CODIGO DEL PRODUCTO]],Tabla79[],2,FALSE)</f>
        <v>ARENA FINA</v>
      </c>
      <c r="M44" s="37">
        <v>4000</v>
      </c>
      <c r="O44" s="76">
        <v>132954</v>
      </c>
      <c r="P44" s="76" t="s">
        <v>296</v>
      </c>
      <c r="Q44" s="77">
        <v>45728</v>
      </c>
      <c r="R44" s="78" t="s">
        <v>43</v>
      </c>
      <c r="S44" s="36" t="str">
        <f>VLOOKUP(Tabla911[[#This Row],[CODIGO DEL PRODUCTO]],Tabla79[],2,FALSE)</f>
        <v>PIEDRA 6-20</v>
      </c>
      <c r="T44" s="37">
        <v>36020</v>
      </c>
      <c r="U44" s="92"/>
    </row>
    <row r="45" spans="1:21" x14ac:dyDescent="0.25">
      <c r="A45" s="9"/>
      <c r="B45" s="9"/>
      <c r="C45" s="9"/>
      <c r="D45" s="9"/>
      <c r="E45" s="9"/>
      <c r="F45" s="9"/>
      <c r="H45" s="34">
        <v>8781</v>
      </c>
      <c r="I45" s="40" t="s">
        <v>304</v>
      </c>
      <c r="J45" s="35">
        <v>45734</v>
      </c>
      <c r="K45" s="36" t="s">
        <v>43</v>
      </c>
      <c r="L45" s="42" t="str">
        <f>VLOOKUP(Tabla810[[#This Row],[CODIGO DEL PRODUCTO]],Tabla79[],2,FALSE)</f>
        <v>PIEDRA 6-20</v>
      </c>
      <c r="M45" s="37">
        <v>7000</v>
      </c>
      <c r="O45" s="76">
        <v>2613923</v>
      </c>
      <c r="P45" s="76" t="s">
        <v>65</v>
      </c>
      <c r="Q45" s="77">
        <v>45728</v>
      </c>
      <c r="R45" s="78" t="s">
        <v>286</v>
      </c>
      <c r="S45" s="36" t="str">
        <f>VLOOKUP(Tabla911[[#This Row],[CODIGO DEL PRODUCTO]],Tabla79[],2,FALSE)</f>
        <v>CPF 40 AVELLANEDA</v>
      </c>
      <c r="T45" s="37">
        <v>31900</v>
      </c>
      <c r="U45" s="92"/>
    </row>
    <row r="46" spans="1:21" x14ac:dyDescent="0.25">
      <c r="H46" s="34">
        <v>8818</v>
      </c>
      <c r="I46" s="34" t="s">
        <v>298</v>
      </c>
      <c r="J46" s="35">
        <v>45735</v>
      </c>
      <c r="K46" s="36" t="s">
        <v>42</v>
      </c>
      <c r="L46" s="39" t="str">
        <f>VLOOKUP(Tabla810[[#This Row],[CODIGO DEL PRODUCTO]],Tabla79[],2,FALSE)</f>
        <v>ARENA FINA</v>
      </c>
      <c r="M46" s="37">
        <v>4000</v>
      </c>
      <c r="O46" s="76">
        <v>99958</v>
      </c>
      <c r="P46" s="76" t="s">
        <v>235</v>
      </c>
      <c r="Q46" s="77">
        <v>45729</v>
      </c>
      <c r="R46" s="78" t="s">
        <v>42</v>
      </c>
      <c r="S46" s="36" t="str">
        <f>VLOOKUP(Tabla911[[#This Row],[CODIGO DEL PRODUCTO]],Tabla79[],2,FALSE)</f>
        <v>ARENA FINA</v>
      </c>
      <c r="T46" s="37">
        <v>38280</v>
      </c>
      <c r="U46" s="92"/>
    </row>
    <row r="47" spans="1:21" x14ac:dyDescent="0.25">
      <c r="H47" s="34">
        <v>8859</v>
      </c>
      <c r="I47" s="44" t="s">
        <v>297</v>
      </c>
      <c r="J47" s="35">
        <v>45737</v>
      </c>
      <c r="K47" s="36" t="s">
        <v>43</v>
      </c>
      <c r="L47" s="39" t="str">
        <f>VLOOKUP(Tabla810[[#This Row],[CODIGO DEL PRODUCTO]],Tabla79[],2,FALSE)</f>
        <v>PIEDRA 6-20</v>
      </c>
      <c r="M47" s="37">
        <v>2000</v>
      </c>
      <c r="O47" s="76">
        <v>99962</v>
      </c>
      <c r="P47" s="76" t="s">
        <v>235</v>
      </c>
      <c r="Q47" s="77">
        <v>45729</v>
      </c>
      <c r="R47" s="78" t="s">
        <v>42</v>
      </c>
      <c r="S47" s="36" t="str">
        <f>VLOOKUP(Tabla911[[#This Row],[CODIGO DEL PRODUCTO]],Tabla79[],2,FALSE)</f>
        <v>ARENA FINA</v>
      </c>
      <c r="T47" s="37">
        <v>37480</v>
      </c>
      <c r="U47" s="92"/>
    </row>
    <row r="48" spans="1:21" x14ac:dyDescent="0.25">
      <c r="H48" s="34">
        <v>8860</v>
      </c>
      <c r="I48" s="34" t="s">
        <v>121</v>
      </c>
      <c r="J48" s="35">
        <v>45737</v>
      </c>
      <c r="K48" s="36" t="s">
        <v>42</v>
      </c>
      <c r="L48" s="39" t="str">
        <f>VLOOKUP(Tabla810[[#This Row],[CODIGO DEL PRODUCTO]],Tabla79[],2,FALSE)</f>
        <v>ARENA FINA</v>
      </c>
      <c r="M48" s="37">
        <v>2000</v>
      </c>
      <c r="O48" s="76">
        <v>98972</v>
      </c>
      <c r="P48" s="76" t="s">
        <v>254</v>
      </c>
      <c r="Q48" s="77">
        <v>45729</v>
      </c>
      <c r="R48" s="78" t="s">
        <v>43</v>
      </c>
      <c r="S48" s="36" t="str">
        <f>VLOOKUP(Tabla911[[#This Row],[CODIGO DEL PRODUCTO]],Tabla79[],2,FALSE)</f>
        <v>PIEDRA 6-20</v>
      </c>
      <c r="T48" s="37">
        <v>34800</v>
      </c>
      <c r="U48" s="92"/>
    </row>
    <row r="49" spans="8:21" x14ac:dyDescent="0.25">
      <c r="H49" s="34">
        <v>8872</v>
      </c>
      <c r="I49" s="34" t="s">
        <v>305</v>
      </c>
      <c r="J49" s="35">
        <v>45737</v>
      </c>
      <c r="K49" s="36" t="s">
        <v>42</v>
      </c>
      <c r="L49" s="39" t="str">
        <f>VLOOKUP(Tabla810[[#This Row],[CODIGO DEL PRODUCTO]],Tabla79[],2,FALSE)</f>
        <v>ARENA FINA</v>
      </c>
      <c r="M49" s="37">
        <v>3000</v>
      </c>
      <c r="O49" s="76">
        <v>98977</v>
      </c>
      <c r="P49" s="76" t="s">
        <v>234</v>
      </c>
      <c r="Q49" s="77">
        <v>45729</v>
      </c>
      <c r="R49" s="78" t="s">
        <v>43</v>
      </c>
      <c r="S49" s="36" t="str">
        <f>VLOOKUP(Tabla911[[#This Row],[CODIGO DEL PRODUCTO]],Tabla79[],2,FALSE)</f>
        <v>PIEDRA 6-20</v>
      </c>
      <c r="T49" s="37">
        <v>34500</v>
      </c>
      <c r="U49" s="92"/>
    </row>
    <row r="50" spans="8:21" x14ac:dyDescent="0.25">
      <c r="H50" s="34">
        <v>8889</v>
      </c>
      <c r="I50" s="34" t="s">
        <v>301</v>
      </c>
      <c r="J50" s="35">
        <v>45737</v>
      </c>
      <c r="K50" s="36" t="s">
        <v>43</v>
      </c>
      <c r="L50" s="39" t="str">
        <f>VLOOKUP(Tabla810[[#This Row],[CODIGO DEL PRODUCTO]],Tabla79[],2,FALSE)</f>
        <v>PIEDRA 6-20</v>
      </c>
      <c r="M50" s="37">
        <v>1000</v>
      </c>
      <c r="O50" s="76">
        <v>98992</v>
      </c>
      <c r="P50" s="76" t="s">
        <v>138</v>
      </c>
      <c r="Q50" s="77">
        <v>45729</v>
      </c>
      <c r="R50" s="78" t="s">
        <v>40</v>
      </c>
      <c r="S50" s="36" t="str">
        <f>VLOOKUP(Tabla911[[#This Row],[CODIGO DEL PRODUCTO]],Tabla79[],2,FALSE)</f>
        <v>PIEDRA 0-6</v>
      </c>
      <c r="T50" s="37">
        <v>34740</v>
      </c>
      <c r="U50" s="92"/>
    </row>
    <row r="51" spans="8:21" x14ac:dyDescent="0.25">
      <c r="H51" s="34"/>
      <c r="I51" s="34"/>
      <c r="J51" s="35">
        <v>45737</v>
      </c>
      <c r="K51" s="36" t="s">
        <v>42</v>
      </c>
      <c r="L51" s="39" t="str">
        <f>VLOOKUP(Tabla810[[#This Row],[CODIGO DEL PRODUCTO]],Tabla79[],2,FALSE)</f>
        <v>ARENA FINA</v>
      </c>
      <c r="M51" s="37">
        <v>1000</v>
      </c>
      <c r="O51" s="76">
        <v>133011</v>
      </c>
      <c r="P51" s="76" t="s">
        <v>119</v>
      </c>
      <c r="Q51" s="77">
        <v>45729</v>
      </c>
      <c r="R51" s="78" t="s">
        <v>43</v>
      </c>
      <c r="S51" s="36" t="str">
        <f>VLOOKUP(Tabla911[[#This Row],[CODIGO DEL PRODUCTO]],Tabla79[],2,FALSE)</f>
        <v>PIEDRA 6-20</v>
      </c>
      <c r="T51" s="37">
        <v>35560</v>
      </c>
      <c r="U51" s="92"/>
    </row>
    <row r="52" spans="8:21" x14ac:dyDescent="0.25">
      <c r="H52" s="34">
        <v>8900</v>
      </c>
      <c r="I52" s="34" t="s">
        <v>298</v>
      </c>
      <c r="J52" s="35">
        <v>45738</v>
      </c>
      <c r="K52" s="36" t="s">
        <v>42</v>
      </c>
      <c r="L52" s="39" t="str">
        <f>VLOOKUP(Tabla810[[#This Row],[CODIGO DEL PRODUCTO]],Tabla79[],2,FALSE)</f>
        <v>ARENA FINA</v>
      </c>
      <c r="M52" s="37">
        <v>4000</v>
      </c>
      <c r="O52" s="76">
        <v>2614201</v>
      </c>
      <c r="P52" s="76" t="s">
        <v>65</v>
      </c>
      <c r="Q52" s="77">
        <v>45729</v>
      </c>
      <c r="R52" s="78" t="s">
        <v>286</v>
      </c>
      <c r="S52" s="36" t="str">
        <f>VLOOKUP(Tabla911[[#This Row],[CODIGO DEL PRODUCTO]],Tabla79[],2,FALSE)</f>
        <v>CPF 40 AVELLANEDA</v>
      </c>
      <c r="T52" s="37">
        <v>32280</v>
      </c>
      <c r="U52" s="92"/>
    </row>
    <row r="53" spans="8:21" x14ac:dyDescent="0.25">
      <c r="H53" s="34"/>
      <c r="I53" s="34" t="s">
        <v>53</v>
      </c>
      <c r="J53" s="35">
        <v>45733</v>
      </c>
      <c r="K53" s="36" t="s">
        <v>42</v>
      </c>
      <c r="L53" s="39" t="str">
        <f>VLOOKUP(Tabla810[[#This Row],[CODIGO DEL PRODUCTO]],Tabla79[],2,FALSE)</f>
        <v>ARENA FINA</v>
      </c>
      <c r="M53" s="37">
        <v>360054</v>
      </c>
      <c r="O53" s="76">
        <v>99969</v>
      </c>
      <c r="P53" s="76" t="s">
        <v>235</v>
      </c>
      <c r="Q53" s="77">
        <v>45730</v>
      </c>
      <c r="R53" s="78" t="s">
        <v>42</v>
      </c>
      <c r="S53" s="36" t="str">
        <f>VLOOKUP(Tabla911[[#This Row],[CODIGO DEL PRODUCTO]],Tabla79[],2,FALSE)</f>
        <v>ARENA FINA</v>
      </c>
      <c r="T53" s="37">
        <v>37800</v>
      </c>
      <c r="U53" s="92"/>
    </row>
    <row r="54" spans="8:21" x14ac:dyDescent="0.25">
      <c r="H54" s="34"/>
      <c r="I54" s="34" t="s">
        <v>53</v>
      </c>
      <c r="J54" s="35">
        <v>45734</v>
      </c>
      <c r="K54" s="36" t="s">
        <v>40</v>
      </c>
      <c r="L54" s="39" t="str">
        <f>VLOOKUP(Tabla810[[#This Row],[CODIGO DEL PRODUCTO]],Tabla79[],2,FALSE)</f>
        <v>PIEDRA 0-6</v>
      </c>
      <c r="M54" s="37">
        <v>239514</v>
      </c>
      <c r="O54" s="76">
        <v>99976</v>
      </c>
      <c r="P54" s="76" t="s">
        <v>235</v>
      </c>
      <c r="Q54" s="77">
        <v>45730</v>
      </c>
      <c r="R54" s="78" t="s">
        <v>42</v>
      </c>
      <c r="S54" s="36" t="str">
        <f>VLOOKUP(Tabla911[[#This Row],[CODIGO DEL PRODUCTO]],Tabla79[],2,FALSE)</f>
        <v>ARENA FINA</v>
      </c>
      <c r="T54" s="37">
        <v>37280</v>
      </c>
      <c r="U54" s="92"/>
    </row>
    <row r="55" spans="8:21" x14ac:dyDescent="0.25">
      <c r="H55" s="34"/>
      <c r="I55" s="34" t="s">
        <v>53</v>
      </c>
      <c r="J55" s="35">
        <v>45735</v>
      </c>
      <c r="K55" s="36" t="s">
        <v>286</v>
      </c>
      <c r="L55" s="39" t="str">
        <f>VLOOKUP(Tabla810[[#This Row],[CODIGO DEL PRODUCTO]],Tabla79[],2,FALSE)</f>
        <v>CPF 40 AVELLANEDA</v>
      </c>
      <c r="M55" s="37">
        <v>202173</v>
      </c>
      <c r="O55" s="76">
        <v>99008</v>
      </c>
      <c r="P55" s="76" t="s">
        <v>197</v>
      </c>
      <c r="Q55" s="77">
        <v>45730</v>
      </c>
      <c r="R55" s="78" t="s">
        <v>43</v>
      </c>
      <c r="S55" s="36" t="str">
        <f>VLOOKUP(Tabla911[[#This Row],[CODIGO DEL PRODUCTO]],Tabla79[],2,FALSE)</f>
        <v>PIEDRA 6-20</v>
      </c>
      <c r="T55" s="37">
        <v>34700</v>
      </c>
      <c r="U55" s="92"/>
    </row>
    <row r="56" spans="8:21" x14ac:dyDescent="0.25">
      <c r="H56" s="34"/>
      <c r="I56" s="34" t="s">
        <v>53</v>
      </c>
      <c r="J56" s="35">
        <v>45736</v>
      </c>
      <c r="K56" s="36" t="s">
        <v>50</v>
      </c>
      <c r="L56" s="39" t="str">
        <f>VLOOKUP(Tabla810[[#This Row],[CODIGO DEL PRODUCTO]],Tabla79[],2,FALSE)</f>
        <v>MIRA SET 453 (ADITIVO)</v>
      </c>
      <c r="M56" s="37">
        <v>1192.5</v>
      </c>
      <c r="O56" s="76">
        <v>99013</v>
      </c>
      <c r="P56" s="76" t="s">
        <v>287</v>
      </c>
      <c r="Q56" s="77">
        <v>45730</v>
      </c>
      <c r="R56" s="78" t="s">
        <v>43</v>
      </c>
      <c r="S56" s="36" t="str">
        <f>VLOOKUP(Tabla911[[#This Row],[CODIGO DEL PRODUCTO]],Tabla79[],2,FALSE)</f>
        <v>PIEDRA 6-20</v>
      </c>
      <c r="T56" s="37">
        <v>34680</v>
      </c>
      <c r="U56" s="92"/>
    </row>
    <row r="57" spans="8:21" x14ac:dyDescent="0.25">
      <c r="H57" s="34"/>
      <c r="I57" s="34" t="s">
        <v>53</v>
      </c>
      <c r="J57" s="35">
        <v>45737</v>
      </c>
      <c r="K57" s="36" t="s">
        <v>48</v>
      </c>
      <c r="L57" s="39" t="str">
        <f>VLOOKUP(Tabla810[[#This Row],[CODIGO DEL PRODUCTO]],Tabla79[],2,FALSE)</f>
        <v>PIEDRA 6-12</v>
      </c>
      <c r="M57" s="37">
        <v>30134</v>
      </c>
      <c r="O57" s="76">
        <v>99014</v>
      </c>
      <c r="P57" s="76" t="s">
        <v>254</v>
      </c>
      <c r="Q57" s="77">
        <v>45730</v>
      </c>
      <c r="R57" s="78" t="s">
        <v>43</v>
      </c>
      <c r="S57" s="36" t="str">
        <f>VLOOKUP(Tabla911[[#This Row],[CODIGO DEL PRODUCTO]],Tabla79[],2,FALSE)</f>
        <v>PIEDRA 6-20</v>
      </c>
      <c r="T57" s="37">
        <v>34420</v>
      </c>
      <c r="U57" s="92"/>
    </row>
    <row r="58" spans="8:21" x14ac:dyDescent="0.25">
      <c r="H58" s="34"/>
      <c r="I58" s="34" t="s">
        <v>53</v>
      </c>
      <c r="J58" s="35">
        <v>45738</v>
      </c>
      <c r="K58" s="36" t="s">
        <v>43</v>
      </c>
      <c r="L58" s="39" t="str">
        <f>VLOOKUP(Tabla810[[#This Row],[CODIGO DEL PRODUCTO]],Tabla79[],2,FALSE)</f>
        <v>PIEDRA 6-20</v>
      </c>
      <c r="M58" s="37">
        <v>550683</v>
      </c>
      <c r="O58" s="76">
        <v>99022</v>
      </c>
      <c r="P58" s="76" t="s">
        <v>234</v>
      </c>
      <c r="Q58" s="77">
        <v>45730</v>
      </c>
      <c r="R58" s="78" t="s">
        <v>43</v>
      </c>
      <c r="S58" s="36" t="str">
        <f>VLOOKUP(Tabla911[[#This Row],[CODIGO DEL PRODUCTO]],Tabla79[],2,FALSE)</f>
        <v>PIEDRA 6-20</v>
      </c>
      <c r="T58" s="37">
        <v>34800</v>
      </c>
      <c r="U58" s="92"/>
    </row>
    <row r="59" spans="8:21" x14ac:dyDescent="0.25">
      <c r="H59" s="34"/>
      <c r="I59" s="34" t="s">
        <v>53</v>
      </c>
      <c r="J59" s="35">
        <v>45738</v>
      </c>
      <c r="K59" s="36" t="s">
        <v>46</v>
      </c>
      <c r="L59" s="39" t="str">
        <f>VLOOKUP(Tabla810[[#This Row],[CODIGO DEL PRODUCTO]],Tabla79[],2,FALSE)</f>
        <v>PIEDRA 10-30</v>
      </c>
      <c r="M59" s="37">
        <v>37986</v>
      </c>
      <c r="O59" s="76">
        <v>99032</v>
      </c>
      <c r="P59" s="76" t="s">
        <v>299</v>
      </c>
      <c r="Q59" s="77">
        <v>45730</v>
      </c>
      <c r="R59" s="78" t="s">
        <v>43</v>
      </c>
      <c r="S59" s="36" t="str">
        <f>VLOOKUP(Tabla911[[#This Row],[CODIGO DEL PRODUCTO]],Tabla79[],2,FALSE)</f>
        <v>PIEDRA 6-20</v>
      </c>
      <c r="T59" s="37">
        <v>35580</v>
      </c>
      <c r="U59" s="92"/>
    </row>
    <row r="60" spans="8:21" x14ac:dyDescent="0.25">
      <c r="H60" s="34">
        <v>8935</v>
      </c>
      <c r="I60" s="34" t="s">
        <v>310</v>
      </c>
      <c r="J60" s="35">
        <v>45741</v>
      </c>
      <c r="K60" s="36" t="s">
        <v>46</v>
      </c>
      <c r="L60" s="39" t="str">
        <f>VLOOKUP(Tabla810[[#This Row],[CODIGO DEL PRODUCTO]],Tabla79[],2,FALSE)</f>
        <v>PIEDRA 10-30</v>
      </c>
      <c r="M60" s="37">
        <v>8000</v>
      </c>
      <c r="O60" s="76">
        <v>2614489</v>
      </c>
      <c r="P60" s="76" t="s">
        <v>65</v>
      </c>
      <c r="Q60" s="77">
        <v>45730</v>
      </c>
      <c r="R60" s="78" t="s">
        <v>286</v>
      </c>
      <c r="S60" s="36" t="str">
        <f>VLOOKUP(Tabla911[[#This Row],[CODIGO DEL PRODUCTO]],Tabla79[],2,FALSE)</f>
        <v>CPF 40 AVELLANEDA</v>
      </c>
      <c r="T60" s="37">
        <v>31900</v>
      </c>
      <c r="U60" s="92"/>
    </row>
    <row r="61" spans="8:21" x14ac:dyDescent="0.25">
      <c r="H61" s="34">
        <v>8942</v>
      </c>
      <c r="I61" s="34" t="s">
        <v>301</v>
      </c>
      <c r="J61" s="35">
        <v>45741</v>
      </c>
      <c r="K61" s="36" t="s">
        <v>42</v>
      </c>
      <c r="L61" s="39" t="str">
        <f>VLOOKUP(Tabla810[[#This Row],[CODIGO DEL PRODUCTO]],Tabla79[],2,FALSE)</f>
        <v>ARENA FINA</v>
      </c>
      <c r="M61" s="37">
        <v>2000</v>
      </c>
      <c r="O61" s="76">
        <v>99981</v>
      </c>
      <c r="P61" s="76" t="s">
        <v>235</v>
      </c>
      <c r="Q61" s="77">
        <v>45731</v>
      </c>
      <c r="R61" s="78" t="s">
        <v>42</v>
      </c>
      <c r="S61" s="36" t="str">
        <f>VLOOKUP(Tabla911[[#This Row],[CODIGO DEL PRODUCTO]],Tabla79[],2,FALSE)</f>
        <v>ARENA FINA</v>
      </c>
      <c r="T61" s="37">
        <v>37000</v>
      </c>
      <c r="U61" s="92"/>
    </row>
    <row r="62" spans="8:21" x14ac:dyDescent="0.25">
      <c r="H62" s="34">
        <v>8945</v>
      </c>
      <c r="I62" s="34" t="s">
        <v>310</v>
      </c>
      <c r="J62" s="35">
        <v>45741</v>
      </c>
      <c r="K62" s="36" t="s">
        <v>46</v>
      </c>
      <c r="L62" s="39" t="str">
        <f>VLOOKUP(Tabla810[[#This Row],[CODIGO DEL PRODUCTO]],Tabla79[],2,FALSE)</f>
        <v>PIEDRA 10-30</v>
      </c>
      <c r="M62" s="37">
        <v>8000</v>
      </c>
      <c r="O62" s="76">
        <v>99044</v>
      </c>
      <c r="P62" s="76" t="s">
        <v>197</v>
      </c>
      <c r="Q62" s="77">
        <v>45731</v>
      </c>
      <c r="R62" s="78" t="s">
        <v>43</v>
      </c>
      <c r="S62" s="36" t="str">
        <f>VLOOKUP(Tabla911[[#This Row],[CODIGO DEL PRODUCTO]],Tabla79[],2,FALSE)</f>
        <v>PIEDRA 6-20</v>
      </c>
      <c r="T62" s="37">
        <v>35320</v>
      </c>
      <c r="U62" s="92"/>
    </row>
    <row r="63" spans="8:21" x14ac:dyDescent="0.25">
      <c r="H63" s="34">
        <v>8948</v>
      </c>
      <c r="I63" s="34" t="s">
        <v>310</v>
      </c>
      <c r="J63" s="35">
        <v>45741</v>
      </c>
      <c r="K63" s="36" t="s">
        <v>46</v>
      </c>
      <c r="L63" s="39" t="str">
        <f>VLOOKUP(Tabla810[[#This Row],[CODIGO DEL PRODUCTO]],Tabla79[],2,FALSE)</f>
        <v>PIEDRA 10-30</v>
      </c>
      <c r="M63" s="37">
        <v>8000</v>
      </c>
      <c r="O63" s="76">
        <v>133166</v>
      </c>
      <c r="P63" s="76" t="s">
        <v>296</v>
      </c>
      <c r="Q63" s="77">
        <v>45731</v>
      </c>
      <c r="R63" s="78" t="s">
        <v>43</v>
      </c>
      <c r="S63" s="36" t="str">
        <f>VLOOKUP(Tabla911[[#This Row],[CODIGO DEL PRODUCTO]],Tabla79[],2,FALSE)</f>
        <v>PIEDRA 6-20</v>
      </c>
      <c r="T63" s="37">
        <v>35900</v>
      </c>
      <c r="U63" s="92"/>
    </row>
    <row r="64" spans="8:21" x14ac:dyDescent="0.25">
      <c r="H64" s="34">
        <v>8949</v>
      </c>
      <c r="I64" s="34" t="s">
        <v>298</v>
      </c>
      <c r="J64" s="35">
        <v>45741</v>
      </c>
      <c r="K64" s="36" t="s">
        <v>42</v>
      </c>
      <c r="L64" s="39" t="str">
        <f>VLOOKUP(Tabla810[[#This Row],[CODIGO DEL PRODUCTO]],Tabla79[],2,FALSE)</f>
        <v>ARENA FINA</v>
      </c>
      <c r="M64" s="37">
        <v>6000</v>
      </c>
      <c r="O64" s="76">
        <v>99986</v>
      </c>
      <c r="P64" s="76" t="s">
        <v>235</v>
      </c>
      <c r="Q64" s="77">
        <v>45733</v>
      </c>
      <c r="R64" s="78" t="s">
        <v>42</v>
      </c>
      <c r="S64" s="36" t="str">
        <f>VLOOKUP(Tabla911[[#This Row],[CODIGO DEL PRODUCTO]],Tabla79[],2,FALSE)</f>
        <v>ARENA FINA</v>
      </c>
      <c r="T64" s="37">
        <v>38640</v>
      </c>
      <c r="U64" s="92"/>
    </row>
    <row r="65" spans="8:21" x14ac:dyDescent="0.25">
      <c r="H65" s="34">
        <v>8951</v>
      </c>
      <c r="I65" s="34" t="s">
        <v>250</v>
      </c>
      <c r="J65" s="35">
        <v>45741</v>
      </c>
      <c r="K65" s="36" t="s">
        <v>42</v>
      </c>
      <c r="L65" s="39" t="str">
        <f>VLOOKUP(Tabla810[[#This Row],[CODIGO DEL PRODUCTO]],Tabla79[],2,FALSE)</f>
        <v>ARENA FINA</v>
      </c>
      <c r="M65" s="37">
        <v>23800</v>
      </c>
      <c r="O65" s="76">
        <v>99991</v>
      </c>
      <c r="P65" s="76" t="s">
        <v>235</v>
      </c>
      <c r="Q65" s="77">
        <v>45733</v>
      </c>
      <c r="R65" s="78" t="s">
        <v>42</v>
      </c>
      <c r="S65" s="36" t="str">
        <f>VLOOKUP(Tabla911[[#This Row],[CODIGO DEL PRODUCTO]],Tabla79[],2,FALSE)</f>
        <v>ARENA FINA</v>
      </c>
      <c r="T65" s="37">
        <v>37100</v>
      </c>
      <c r="U65" s="92"/>
    </row>
    <row r="66" spans="8:21" x14ac:dyDescent="0.25">
      <c r="H66" s="34">
        <v>8952</v>
      </c>
      <c r="I66" s="34" t="s">
        <v>250</v>
      </c>
      <c r="J66" s="35">
        <v>45741</v>
      </c>
      <c r="K66" s="36" t="s">
        <v>43</v>
      </c>
      <c r="L66" s="39" t="str">
        <f>VLOOKUP(Tabla810[[#This Row],[CODIGO DEL PRODUCTO]],Tabla79[],2,FALSE)</f>
        <v>PIEDRA 6-20</v>
      </c>
      <c r="M66" s="37">
        <v>24500</v>
      </c>
      <c r="O66" s="76">
        <v>133203</v>
      </c>
      <c r="P66" s="76" t="s">
        <v>119</v>
      </c>
      <c r="Q66" s="77">
        <v>45733</v>
      </c>
      <c r="R66" s="78" t="s">
        <v>43</v>
      </c>
      <c r="S66" s="36" t="str">
        <f>VLOOKUP(Tabla911[[#This Row],[CODIGO DEL PRODUCTO]],Tabla79[],2,FALSE)</f>
        <v>PIEDRA 6-20</v>
      </c>
      <c r="T66" s="37">
        <v>36120</v>
      </c>
      <c r="U66" s="92"/>
    </row>
    <row r="67" spans="8:21" x14ac:dyDescent="0.25">
      <c r="H67" s="34">
        <v>8964</v>
      </c>
      <c r="I67" s="34" t="s">
        <v>312</v>
      </c>
      <c r="J67" s="35">
        <v>45742</v>
      </c>
      <c r="K67" s="36" t="s">
        <v>42</v>
      </c>
      <c r="L67" s="39" t="str">
        <f>VLOOKUP(Tabla810[[#This Row],[CODIGO DEL PRODUCTO]],Tabla79[],2,FALSE)</f>
        <v>ARENA FINA</v>
      </c>
      <c r="M67" s="37">
        <v>1000</v>
      </c>
      <c r="O67" s="76">
        <v>133219</v>
      </c>
      <c r="P67" s="76" t="s">
        <v>231</v>
      </c>
      <c r="Q67" s="77">
        <v>45733</v>
      </c>
      <c r="R67" s="78" t="s">
        <v>43</v>
      </c>
      <c r="S67" s="36" t="str">
        <f>VLOOKUP(Tabla911[[#This Row],[CODIGO DEL PRODUCTO]],Tabla79[],2,FALSE)</f>
        <v>PIEDRA 6-20</v>
      </c>
      <c r="T67" s="37">
        <v>35120</v>
      </c>
      <c r="U67" s="92"/>
    </row>
    <row r="68" spans="8:21" x14ac:dyDescent="0.25">
      <c r="H68" s="34">
        <v>8973</v>
      </c>
      <c r="I68" s="34" t="s">
        <v>310</v>
      </c>
      <c r="J68" s="35">
        <v>45742</v>
      </c>
      <c r="K68" s="36" t="s">
        <v>46</v>
      </c>
      <c r="L68" s="39" t="str">
        <f>VLOOKUP(Tabla810[[#This Row],[CODIGO DEL PRODUCTO]],Tabla79[],2,FALSE)</f>
        <v>PIEDRA 10-30</v>
      </c>
      <c r="M68" s="37">
        <v>8000</v>
      </c>
      <c r="O68" s="76">
        <v>133241</v>
      </c>
      <c r="P68" s="76" t="s">
        <v>302</v>
      </c>
      <c r="Q68" s="77">
        <v>45733</v>
      </c>
      <c r="R68" s="78" t="s">
        <v>43</v>
      </c>
      <c r="S68" s="36" t="str">
        <f>VLOOKUP(Tabla911[[#This Row],[CODIGO DEL PRODUCTO]],Tabla79[],2,FALSE)</f>
        <v>PIEDRA 6-20</v>
      </c>
      <c r="T68" s="37">
        <v>34480</v>
      </c>
      <c r="U68" s="92"/>
    </row>
    <row r="69" spans="8:21" x14ac:dyDescent="0.25">
      <c r="H69" s="34">
        <v>8982</v>
      </c>
      <c r="I69" s="34" t="s">
        <v>310</v>
      </c>
      <c r="J69" s="35">
        <v>45742</v>
      </c>
      <c r="K69" s="36" t="s">
        <v>46</v>
      </c>
      <c r="L69" s="39" t="str">
        <f>VLOOKUP(Tabla810[[#This Row],[CODIGO DEL PRODUCTO]],Tabla79[],2,FALSE)</f>
        <v>PIEDRA 10-30</v>
      </c>
      <c r="M69" s="37">
        <v>5000</v>
      </c>
      <c r="O69" s="76">
        <v>99063</v>
      </c>
      <c r="P69" s="76" t="s">
        <v>254</v>
      </c>
      <c r="Q69" s="77">
        <v>45733</v>
      </c>
      <c r="R69" s="78" t="s">
        <v>43</v>
      </c>
      <c r="S69" s="36" t="str">
        <f>VLOOKUP(Tabla911[[#This Row],[CODIGO DEL PRODUCTO]],Tabla79[],2,FALSE)</f>
        <v>PIEDRA 6-20</v>
      </c>
      <c r="T69" s="37">
        <v>34740</v>
      </c>
      <c r="U69" s="92"/>
    </row>
    <row r="70" spans="8:21" x14ac:dyDescent="0.25">
      <c r="H70" s="34">
        <v>9014</v>
      </c>
      <c r="I70" s="34" t="s">
        <v>313</v>
      </c>
      <c r="J70" s="35">
        <v>45743</v>
      </c>
      <c r="K70" s="36" t="s">
        <v>43</v>
      </c>
      <c r="L70" s="39" t="str">
        <f>VLOOKUP(Tabla810[[#This Row],[CODIGO DEL PRODUCTO]],Tabla79[],2,FALSE)</f>
        <v>PIEDRA 6-20</v>
      </c>
      <c r="M70" s="37">
        <v>8000</v>
      </c>
      <c r="O70" s="76">
        <v>99086</v>
      </c>
      <c r="P70" s="76" t="s">
        <v>234</v>
      </c>
      <c r="Q70" s="77">
        <v>45733</v>
      </c>
      <c r="R70" s="78" t="s">
        <v>43</v>
      </c>
      <c r="S70" s="36" t="str">
        <f>VLOOKUP(Tabla911[[#This Row],[CODIGO DEL PRODUCTO]],Tabla79[],2,FALSE)</f>
        <v>PIEDRA 6-20</v>
      </c>
      <c r="T70" s="37">
        <v>34600</v>
      </c>
      <c r="U70" s="92"/>
    </row>
    <row r="71" spans="8:21" x14ac:dyDescent="0.25">
      <c r="H71" s="34">
        <v>9015</v>
      </c>
      <c r="I71" s="34" t="s">
        <v>313</v>
      </c>
      <c r="J71" s="35">
        <v>45743</v>
      </c>
      <c r="K71" s="36" t="s">
        <v>43</v>
      </c>
      <c r="L71" s="39" t="str">
        <f>VLOOKUP(Tabla810[[#This Row],[CODIGO DEL PRODUCTO]],Tabla79[],2,FALSE)</f>
        <v>PIEDRA 6-20</v>
      </c>
      <c r="M71" s="37">
        <v>8000</v>
      </c>
      <c r="O71" s="76">
        <v>2614942</v>
      </c>
      <c r="P71" s="76" t="s">
        <v>65</v>
      </c>
      <c r="Q71" s="77">
        <v>45733</v>
      </c>
      <c r="R71" s="78" t="s">
        <v>286</v>
      </c>
      <c r="S71" s="36" t="str">
        <f>VLOOKUP(Tabla911[[#This Row],[CODIGO DEL PRODUCTO]],Tabla79[],2,FALSE)</f>
        <v>CPF 40 AVELLANEDA</v>
      </c>
      <c r="T71" s="37">
        <v>32100</v>
      </c>
      <c r="U71" s="92"/>
    </row>
    <row r="72" spans="8:21" x14ac:dyDescent="0.25">
      <c r="H72" s="34">
        <v>9023</v>
      </c>
      <c r="I72" s="34" t="s">
        <v>314</v>
      </c>
      <c r="J72" s="35">
        <v>45743</v>
      </c>
      <c r="K72" s="36" t="s">
        <v>42</v>
      </c>
      <c r="L72" s="39" t="str">
        <f>VLOOKUP(Tabla810[[#This Row],[CODIGO DEL PRODUCTO]],Tabla79[],2,FALSE)</f>
        <v>ARENA FINA</v>
      </c>
      <c r="M72" s="37">
        <v>20860</v>
      </c>
      <c r="O72" s="76">
        <v>99999</v>
      </c>
      <c r="P72" s="76" t="s">
        <v>235</v>
      </c>
      <c r="Q72" s="77">
        <v>45734</v>
      </c>
      <c r="R72" s="78" t="s">
        <v>42</v>
      </c>
      <c r="S72" s="36" t="str">
        <f>VLOOKUP(Tabla911[[#This Row],[CODIGO DEL PRODUCTO]],Tabla79[],2,FALSE)</f>
        <v>ARENA FINA</v>
      </c>
      <c r="T72" s="37">
        <v>33360</v>
      </c>
      <c r="U72" s="92"/>
    </row>
    <row r="73" spans="8:21" x14ac:dyDescent="0.25">
      <c r="H73" s="34"/>
      <c r="I73" s="34" t="s">
        <v>53</v>
      </c>
      <c r="J73" s="35">
        <v>45740</v>
      </c>
      <c r="K73" s="36" t="s">
        <v>42</v>
      </c>
      <c r="L73" s="39" t="str">
        <f>VLOOKUP(Tabla810[[#This Row],[CODIGO DEL PRODUCTO]],Tabla79[],2,FALSE)</f>
        <v>ARENA FINA</v>
      </c>
      <c r="M73" s="37">
        <v>300326</v>
      </c>
      <c r="O73" s="76">
        <v>100006</v>
      </c>
      <c r="P73" s="76" t="s">
        <v>235</v>
      </c>
      <c r="Q73" s="77">
        <v>45734</v>
      </c>
      <c r="R73" s="78" t="s">
        <v>42</v>
      </c>
      <c r="S73" s="36" t="str">
        <f>VLOOKUP(Tabla911[[#This Row],[CODIGO DEL PRODUCTO]],Tabla79[],2,FALSE)</f>
        <v>ARENA FINA</v>
      </c>
      <c r="T73" s="37">
        <v>38340</v>
      </c>
      <c r="U73" s="92"/>
    </row>
    <row r="74" spans="8:21" x14ac:dyDescent="0.25">
      <c r="H74" s="34"/>
      <c r="I74" s="34" t="s">
        <v>53</v>
      </c>
      <c r="J74" s="35">
        <v>45741</v>
      </c>
      <c r="K74" s="36" t="s">
        <v>40</v>
      </c>
      <c r="L74" s="39" t="str">
        <f>VLOOKUP(Tabla810[[#This Row],[CODIGO DEL PRODUCTO]],Tabla79[],2,FALSE)</f>
        <v>PIEDRA 0-6</v>
      </c>
      <c r="M74" s="37">
        <v>200699</v>
      </c>
      <c r="O74" s="76">
        <v>99098</v>
      </c>
      <c r="P74" s="76" t="s">
        <v>287</v>
      </c>
      <c r="Q74" s="77">
        <v>45734</v>
      </c>
      <c r="R74" s="78" t="s">
        <v>43</v>
      </c>
      <c r="S74" s="36" t="str">
        <f>VLOOKUP(Tabla911[[#This Row],[CODIGO DEL PRODUCTO]],Tabla79[],2,FALSE)</f>
        <v>PIEDRA 6-20</v>
      </c>
      <c r="T74" s="37">
        <v>34460</v>
      </c>
      <c r="U74" s="92"/>
    </row>
    <row r="75" spans="8:21" x14ac:dyDescent="0.25">
      <c r="H75" s="34"/>
      <c r="I75" s="34" t="s">
        <v>53</v>
      </c>
      <c r="J75" s="35">
        <v>45742</v>
      </c>
      <c r="K75" s="36" t="s">
        <v>286</v>
      </c>
      <c r="L75" s="39" t="str">
        <f>VLOOKUP(Tabla810[[#This Row],[CODIGO DEL PRODUCTO]],Tabla79[],2,FALSE)</f>
        <v>CPF 40 AVELLANEDA</v>
      </c>
      <c r="M75" s="37">
        <v>163532</v>
      </c>
      <c r="O75" s="76">
        <v>99107</v>
      </c>
      <c r="P75" s="76" t="s">
        <v>197</v>
      </c>
      <c r="Q75" s="77">
        <v>45734</v>
      </c>
      <c r="R75" s="78" t="s">
        <v>43</v>
      </c>
      <c r="S75" s="36" t="str">
        <f>VLOOKUP(Tabla911[[#This Row],[CODIGO DEL PRODUCTO]],Tabla79[],2,FALSE)</f>
        <v>PIEDRA 6-20</v>
      </c>
      <c r="T75" s="37">
        <v>34800</v>
      </c>
      <c r="U75" s="92"/>
    </row>
    <row r="76" spans="8:21" x14ac:dyDescent="0.25">
      <c r="H76" s="34"/>
      <c r="I76" s="34" t="s">
        <v>53</v>
      </c>
      <c r="J76" s="35">
        <v>45743</v>
      </c>
      <c r="K76" s="36" t="s">
        <v>50</v>
      </c>
      <c r="L76" s="39" t="str">
        <f>VLOOKUP(Tabla810[[#This Row],[CODIGO DEL PRODUCTO]],Tabla79[],2,FALSE)</f>
        <v>MIRA SET 453 (ADITIVO)</v>
      </c>
      <c r="M76" s="37">
        <v>1029.1500000000001</v>
      </c>
      <c r="O76" s="76">
        <v>99117</v>
      </c>
      <c r="P76" s="76" t="s">
        <v>254</v>
      </c>
      <c r="Q76" s="77">
        <v>45734</v>
      </c>
      <c r="R76" s="78" t="s">
        <v>43</v>
      </c>
      <c r="S76" s="36" t="str">
        <f>VLOOKUP(Tabla911[[#This Row],[CODIGO DEL PRODUCTO]],Tabla79[],2,FALSE)</f>
        <v>PIEDRA 6-20</v>
      </c>
      <c r="T76" s="37">
        <v>34960</v>
      </c>
      <c r="U76" s="92"/>
    </row>
    <row r="77" spans="8:21" x14ac:dyDescent="0.25">
      <c r="H77" s="34"/>
      <c r="I77" s="34" t="s">
        <v>53</v>
      </c>
      <c r="J77" s="35">
        <v>45744</v>
      </c>
      <c r="K77" s="36" t="s">
        <v>48</v>
      </c>
      <c r="L77" s="39" t="str">
        <f>VLOOKUP(Tabla810[[#This Row],[CODIGO DEL PRODUCTO]],Tabla79[],2,FALSE)</f>
        <v>PIEDRA 6-12</v>
      </c>
      <c r="M77" s="37">
        <v>159061</v>
      </c>
      <c r="O77" s="76">
        <v>99122</v>
      </c>
      <c r="P77" s="76" t="s">
        <v>234</v>
      </c>
      <c r="Q77" s="77">
        <v>45734</v>
      </c>
      <c r="R77" s="78" t="s">
        <v>43</v>
      </c>
      <c r="S77" s="36" t="str">
        <f>VLOOKUP(Tabla911[[#This Row],[CODIGO DEL PRODUCTO]],Tabla79[],2,FALSE)</f>
        <v>PIEDRA 6-20</v>
      </c>
      <c r="T77" s="37">
        <v>35400</v>
      </c>
      <c r="U77" s="92"/>
    </row>
    <row r="78" spans="8:21" x14ac:dyDescent="0.25">
      <c r="H78" s="34"/>
      <c r="I78" s="34" t="s">
        <v>53</v>
      </c>
      <c r="J78" s="35">
        <v>45745</v>
      </c>
      <c r="K78" s="36" t="s">
        <v>43</v>
      </c>
      <c r="L78" s="39" t="str">
        <f>VLOOKUP(Tabla810[[#This Row],[CODIGO DEL PRODUCTO]],Tabla79[],2,FALSE)</f>
        <v>PIEDRA 6-20</v>
      </c>
      <c r="M78" s="37">
        <v>255295</v>
      </c>
      <c r="O78" s="76">
        <v>100013</v>
      </c>
      <c r="P78" s="76" t="s">
        <v>235</v>
      </c>
      <c r="Q78" s="77">
        <v>45735</v>
      </c>
      <c r="R78" s="78" t="s">
        <v>42</v>
      </c>
      <c r="S78" s="36" t="str">
        <f>VLOOKUP(Tabla911[[#This Row],[CODIGO DEL PRODUCTO]],Tabla79[],2,FALSE)</f>
        <v>ARENA FINA</v>
      </c>
      <c r="T78" s="37">
        <v>39020</v>
      </c>
      <c r="U78" s="92"/>
    </row>
    <row r="79" spans="8:21" x14ac:dyDescent="0.25">
      <c r="H79" s="34"/>
      <c r="I79" s="34" t="s">
        <v>53</v>
      </c>
      <c r="J79" s="35">
        <v>45747</v>
      </c>
      <c r="K79" s="36" t="s">
        <v>46</v>
      </c>
      <c r="L79" s="39" t="str">
        <f>VLOOKUP(Tabla810[[#This Row],[CODIGO DEL PRODUCTO]],Tabla79[],2,FALSE)</f>
        <v>PIEDRA 10-30</v>
      </c>
      <c r="M79" s="37">
        <v>32140</v>
      </c>
      <c r="O79" s="76">
        <v>100016</v>
      </c>
      <c r="P79" s="76" t="s">
        <v>235</v>
      </c>
      <c r="Q79" s="77">
        <v>45735</v>
      </c>
      <c r="R79" s="78" t="s">
        <v>42</v>
      </c>
      <c r="S79" s="36" t="str">
        <f>VLOOKUP(Tabla911[[#This Row],[CODIGO DEL PRODUCTO]],Tabla79[],2,FALSE)</f>
        <v>ARENA FINA</v>
      </c>
      <c r="T79" s="37">
        <v>39160</v>
      </c>
      <c r="U79" s="92"/>
    </row>
    <row r="80" spans="8:21" x14ac:dyDescent="0.25">
      <c r="H80" s="34">
        <v>9106</v>
      </c>
      <c r="I80" s="34" t="s">
        <v>321</v>
      </c>
      <c r="J80" s="35">
        <v>45750</v>
      </c>
      <c r="K80" s="36" t="s">
        <v>42</v>
      </c>
      <c r="L80" s="39" t="str">
        <f>VLOOKUP(Tabla810[[#This Row],[CODIGO DEL PRODUCTO]],Tabla79[],2,FALSE)</f>
        <v>ARENA FINA</v>
      </c>
      <c r="M80" s="37">
        <v>3000</v>
      </c>
      <c r="O80" s="76">
        <v>99141</v>
      </c>
      <c r="P80" s="76" t="s">
        <v>197</v>
      </c>
      <c r="Q80" s="77">
        <v>45735</v>
      </c>
      <c r="R80" s="78" t="s">
        <v>40</v>
      </c>
      <c r="S80" s="36" t="str">
        <f>VLOOKUP(Tabla911[[#This Row],[CODIGO DEL PRODUCTO]],Tabla79[],2,FALSE)</f>
        <v>PIEDRA 0-6</v>
      </c>
      <c r="T80" s="37">
        <v>35020</v>
      </c>
      <c r="U80" s="92"/>
    </row>
    <row r="81" spans="5:24" x14ac:dyDescent="0.25">
      <c r="H81" s="34"/>
      <c r="I81" s="34"/>
      <c r="J81" s="35">
        <v>45750</v>
      </c>
      <c r="K81" s="36" t="s">
        <v>43</v>
      </c>
      <c r="L81" s="39" t="str">
        <f>VLOOKUP(Tabla810[[#This Row],[CODIGO DEL PRODUCTO]],Tabla79[],2,FALSE)</f>
        <v>PIEDRA 6-20</v>
      </c>
      <c r="M81" s="37">
        <v>2000</v>
      </c>
      <c r="O81" s="76">
        <v>99142</v>
      </c>
      <c r="P81" s="76" t="s">
        <v>287</v>
      </c>
      <c r="Q81" s="77">
        <v>45735</v>
      </c>
      <c r="R81" s="78" t="s">
        <v>48</v>
      </c>
      <c r="S81" s="36" t="str">
        <f>VLOOKUP(Tabla911[[#This Row],[CODIGO DEL PRODUCTO]],Tabla79[],2,FALSE)</f>
        <v>PIEDRA 6-12</v>
      </c>
      <c r="T81" s="37">
        <v>34360</v>
      </c>
      <c r="U81" s="92"/>
    </row>
    <row r="82" spans="5:24" x14ac:dyDescent="0.25">
      <c r="E82" t="s">
        <v>124</v>
      </c>
      <c r="H82" s="34">
        <v>9110</v>
      </c>
      <c r="I82" s="34" t="s">
        <v>295</v>
      </c>
      <c r="J82" s="35">
        <v>45750</v>
      </c>
      <c r="K82" s="36" t="s">
        <v>43</v>
      </c>
      <c r="L82" s="39" t="str">
        <f>VLOOKUP(Tabla810[[#This Row],[CODIGO DEL PRODUCTO]],Tabla79[],2,FALSE)</f>
        <v>PIEDRA 6-20</v>
      </c>
      <c r="M82" s="37">
        <v>2000</v>
      </c>
      <c r="O82" s="76">
        <v>99170</v>
      </c>
      <c r="P82" s="76" t="s">
        <v>234</v>
      </c>
      <c r="Q82" s="77">
        <v>45735</v>
      </c>
      <c r="R82" s="78" t="s">
        <v>40</v>
      </c>
      <c r="S82" s="36" t="str">
        <f>VLOOKUP(Tabla911[[#This Row],[CODIGO DEL PRODUCTO]],Tabla79[],2,FALSE)</f>
        <v>PIEDRA 0-6</v>
      </c>
      <c r="T82" s="37">
        <v>34900</v>
      </c>
      <c r="U82" s="92"/>
    </row>
    <row r="83" spans="5:24" x14ac:dyDescent="0.25">
      <c r="H83" s="34">
        <v>9122</v>
      </c>
      <c r="I83" s="34" t="s">
        <v>322</v>
      </c>
      <c r="J83" s="35">
        <v>45750</v>
      </c>
      <c r="K83" s="36" t="s">
        <v>42</v>
      </c>
      <c r="L83" s="39" t="str">
        <f>VLOOKUP(Tabla810[[#This Row],[CODIGO DEL PRODUCTO]],Tabla79[],2,FALSE)</f>
        <v>ARENA FINA</v>
      </c>
      <c r="M83" s="37">
        <v>4000</v>
      </c>
      <c r="O83" s="76">
        <v>2615226</v>
      </c>
      <c r="P83" s="76" t="s">
        <v>65</v>
      </c>
      <c r="Q83" s="77">
        <v>45735</v>
      </c>
      <c r="R83" s="78" t="s">
        <v>286</v>
      </c>
      <c r="S83" s="36" t="str">
        <f>VLOOKUP(Tabla911[[#This Row],[CODIGO DEL PRODUCTO]],Tabla79[],2,FALSE)</f>
        <v>CPF 40 AVELLANEDA</v>
      </c>
      <c r="T83" s="37">
        <v>32040</v>
      </c>
      <c r="U83" s="92"/>
    </row>
    <row r="84" spans="5:24" x14ac:dyDescent="0.25">
      <c r="H84" s="34">
        <v>9164</v>
      </c>
      <c r="I84" s="34" t="s">
        <v>321</v>
      </c>
      <c r="J84" s="35">
        <v>45751</v>
      </c>
      <c r="K84" s="36" t="s">
        <v>42</v>
      </c>
      <c r="L84" s="39" t="str">
        <f>VLOOKUP(Tabla810[[#This Row],[CODIGO DEL PRODUCTO]],Tabla79[],2,FALSE)</f>
        <v>ARENA FINA</v>
      </c>
      <c r="M84" s="37">
        <v>4000</v>
      </c>
      <c r="O84" s="76">
        <v>100026</v>
      </c>
      <c r="P84" s="76" t="s">
        <v>235</v>
      </c>
      <c r="Q84" s="77">
        <v>45736</v>
      </c>
      <c r="R84" s="78" t="s">
        <v>42</v>
      </c>
      <c r="S84" s="36" t="str">
        <f>VLOOKUP(Tabla911[[#This Row],[CODIGO DEL PRODUCTO]],Tabla79[],2,FALSE)</f>
        <v>ARENA FINA</v>
      </c>
      <c r="T84" s="37">
        <v>37320</v>
      </c>
      <c r="U84" s="92"/>
    </row>
    <row r="85" spans="5:24" x14ac:dyDescent="0.25">
      <c r="H85" s="34"/>
      <c r="I85" s="34"/>
      <c r="J85" s="35">
        <v>45751</v>
      </c>
      <c r="K85" s="36" t="s">
        <v>43</v>
      </c>
      <c r="L85" s="39" t="str">
        <f>VLOOKUP(Tabla810[[#This Row],[CODIGO DEL PRODUCTO]],Tabla79[],2,FALSE)</f>
        <v>PIEDRA 6-20</v>
      </c>
      <c r="M85" s="37">
        <v>4000</v>
      </c>
      <c r="O85" s="76">
        <v>100030</v>
      </c>
      <c r="P85" s="76" t="s">
        <v>235</v>
      </c>
      <c r="Q85" s="77">
        <v>45736</v>
      </c>
      <c r="R85" s="78" t="s">
        <v>42</v>
      </c>
      <c r="S85" s="36" t="str">
        <f>VLOOKUP(Tabla911[[#This Row],[CODIGO DEL PRODUCTO]],Tabla79[],2,FALSE)</f>
        <v>ARENA FINA</v>
      </c>
      <c r="T85" s="37">
        <v>38280</v>
      </c>
      <c r="U85" s="92"/>
    </row>
    <row r="86" spans="5:24" x14ac:dyDescent="0.25">
      <c r="H86" s="34">
        <v>9176</v>
      </c>
      <c r="I86" s="34" t="s">
        <v>321</v>
      </c>
      <c r="J86" s="35">
        <v>45752</v>
      </c>
      <c r="K86" s="36" t="s">
        <v>43</v>
      </c>
      <c r="L86" s="39" t="str">
        <f>VLOOKUP(Tabla810[[#This Row],[CODIGO DEL PRODUCTO]],Tabla79[],2,FALSE)</f>
        <v>PIEDRA 6-20</v>
      </c>
      <c r="M86" s="37">
        <v>3000</v>
      </c>
      <c r="O86" s="76">
        <v>99184</v>
      </c>
      <c r="P86" s="76" t="s">
        <v>287</v>
      </c>
      <c r="Q86" s="77">
        <v>45736</v>
      </c>
      <c r="R86" s="78" t="s">
        <v>48</v>
      </c>
      <c r="S86" s="36" t="str">
        <f>VLOOKUP(Tabla911[[#This Row],[CODIGO DEL PRODUCTO]],Tabla79[],2,FALSE)</f>
        <v>PIEDRA 6-12</v>
      </c>
      <c r="T86" s="37">
        <v>34860</v>
      </c>
      <c r="U86" s="92"/>
    </row>
    <row r="87" spans="5:24" x14ac:dyDescent="0.25">
      <c r="H87" s="34">
        <v>9195</v>
      </c>
      <c r="I87" s="34" t="s">
        <v>297</v>
      </c>
      <c r="J87" s="35">
        <v>45754</v>
      </c>
      <c r="K87" s="36" t="s">
        <v>42</v>
      </c>
      <c r="L87" s="39" t="str">
        <f>VLOOKUP(Tabla810[[#This Row],[CODIGO DEL PRODUCTO]],Tabla79[],2,FALSE)</f>
        <v>ARENA FINA</v>
      </c>
      <c r="M87" s="37">
        <v>2000</v>
      </c>
      <c r="O87" s="76">
        <v>99186</v>
      </c>
      <c r="P87" s="76" t="s">
        <v>197</v>
      </c>
      <c r="Q87" s="77">
        <v>45736</v>
      </c>
      <c r="R87" s="78" t="s">
        <v>40</v>
      </c>
      <c r="S87" s="36" t="str">
        <f>VLOOKUP(Tabla911[[#This Row],[CODIGO DEL PRODUCTO]],Tabla79[],2,FALSE)</f>
        <v>PIEDRA 0-6</v>
      </c>
      <c r="T87" s="37">
        <v>34920</v>
      </c>
      <c r="U87" s="92"/>
    </row>
    <row r="88" spans="5:24" x14ac:dyDescent="0.25">
      <c r="H88" s="34"/>
      <c r="I88" s="34"/>
      <c r="J88" s="35">
        <v>45754</v>
      </c>
      <c r="K88" s="36" t="s">
        <v>43</v>
      </c>
      <c r="L88" s="39" t="str">
        <f>VLOOKUP(Tabla810[[#This Row],[CODIGO DEL PRODUCTO]],Tabla79[],2,FALSE)</f>
        <v>PIEDRA 6-20</v>
      </c>
      <c r="M88" s="37">
        <v>1000</v>
      </c>
      <c r="O88" s="76">
        <v>99191</v>
      </c>
      <c r="P88" s="76" t="s">
        <v>254</v>
      </c>
      <c r="Q88" s="77">
        <v>45736</v>
      </c>
      <c r="R88" s="78" t="s">
        <v>48</v>
      </c>
      <c r="S88" s="36" t="str">
        <f>VLOOKUP(Tabla911[[#This Row],[CODIGO DEL PRODUCTO]],Tabla79[],2,FALSE)</f>
        <v>PIEDRA 6-12</v>
      </c>
      <c r="T88" s="37">
        <v>35260</v>
      </c>
      <c r="U88" s="92"/>
    </row>
    <row r="89" spans="5:24" x14ac:dyDescent="0.25">
      <c r="H89" s="34">
        <v>9210</v>
      </c>
      <c r="I89" s="34" t="s">
        <v>331</v>
      </c>
      <c r="J89" s="35">
        <v>45756</v>
      </c>
      <c r="K89" s="36" t="s">
        <v>42</v>
      </c>
      <c r="L89" s="39" t="str">
        <f>VLOOKUP(Tabla810[[#This Row],[CODIGO DEL PRODUCTO]],Tabla79[],2,FALSE)</f>
        <v>ARENA FINA</v>
      </c>
      <c r="M89" s="37">
        <v>28320</v>
      </c>
      <c r="O89" s="76">
        <v>99209</v>
      </c>
      <c r="P89" s="76" t="s">
        <v>234</v>
      </c>
      <c r="Q89" s="77">
        <v>45736</v>
      </c>
      <c r="R89" s="78" t="s">
        <v>40</v>
      </c>
      <c r="S89" s="36" t="str">
        <f>VLOOKUP(Tabla911[[#This Row],[CODIGO DEL PRODUCTO]],Tabla79[],2,FALSE)</f>
        <v>PIEDRA 0-6</v>
      </c>
      <c r="T89" s="37">
        <v>34220</v>
      </c>
      <c r="U89" s="92"/>
    </row>
    <row r="90" spans="5:24" x14ac:dyDescent="0.25">
      <c r="H90" s="34">
        <v>9225</v>
      </c>
      <c r="I90" s="34" t="s">
        <v>283</v>
      </c>
      <c r="J90" s="35">
        <v>45756</v>
      </c>
      <c r="K90" s="36" t="s">
        <v>42</v>
      </c>
      <c r="L90" s="39" t="str">
        <f>VLOOKUP(Tabla810[[#This Row],[CODIGO DEL PRODUCTO]],Tabla79[],2,FALSE)</f>
        <v>ARENA FINA</v>
      </c>
      <c r="M90" s="37">
        <v>1000</v>
      </c>
      <c r="O90" s="76">
        <v>2615827</v>
      </c>
      <c r="P90" s="76" t="s">
        <v>65</v>
      </c>
      <c r="Q90" s="77">
        <v>45736</v>
      </c>
      <c r="R90" s="78" t="s">
        <v>286</v>
      </c>
      <c r="S90" s="36" t="str">
        <f>VLOOKUP(Tabla911[[#This Row],[CODIGO DEL PRODUCTO]],Tabla79[],2,FALSE)</f>
        <v>CPF 40 AVELLANEDA</v>
      </c>
      <c r="T90" s="37">
        <v>32380</v>
      </c>
      <c r="U90" s="92"/>
    </row>
    <row r="91" spans="5:24" x14ac:dyDescent="0.25">
      <c r="H91" s="47">
        <v>9232</v>
      </c>
      <c r="I91" s="48" t="s">
        <v>332</v>
      </c>
      <c r="J91" s="73">
        <v>45756</v>
      </c>
      <c r="K91" s="74" t="s">
        <v>42</v>
      </c>
      <c r="L91" s="50" t="str">
        <f>VLOOKUP(Tabla810[[#This Row],[CODIGO DEL PRODUCTO]],Tabla79[],2,FALSE)</f>
        <v>ARENA FINA</v>
      </c>
      <c r="M91" s="51">
        <v>7000</v>
      </c>
      <c r="O91" s="79">
        <v>100041</v>
      </c>
      <c r="P91" s="79" t="s">
        <v>235</v>
      </c>
      <c r="Q91" s="80">
        <v>45737</v>
      </c>
      <c r="R91" s="81" t="s">
        <v>42</v>
      </c>
      <c r="S91" s="74" t="str">
        <f>VLOOKUP(Tabla911[[#This Row],[CODIGO DEL PRODUCTO]],Tabla79[],2,FALSE)</f>
        <v>ARENA FINA</v>
      </c>
      <c r="T91" s="51">
        <v>36940</v>
      </c>
      <c r="U91" s="92"/>
      <c r="V91" s="7">
        <v>45737</v>
      </c>
      <c r="W91" t="s">
        <v>306</v>
      </c>
      <c r="X91" t="s">
        <v>307</v>
      </c>
    </row>
    <row r="92" spans="5:24" x14ac:dyDescent="0.25">
      <c r="H92" s="34">
        <v>9236</v>
      </c>
      <c r="I92" s="34" t="s">
        <v>321</v>
      </c>
      <c r="J92" s="35">
        <v>45757</v>
      </c>
      <c r="K92" s="36" t="s">
        <v>42</v>
      </c>
      <c r="L92" s="39" t="str">
        <f>VLOOKUP(Tabla810[[#This Row],[CODIGO DEL PRODUCTO]],Tabla79[],2,FALSE)</f>
        <v>ARENA FINA</v>
      </c>
      <c r="M92" s="37">
        <v>4000</v>
      </c>
      <c r="O92" s="76">
        <v>100045</v>
      </c>
      <c r="P92" s="76" t="s">
        <v>235</v>
      </c>
      <c r="Q92" s="77">
        <v>45737</v>
      </c>
      <c r="R92" s="78" t="s">
        <v>42</v>
      </c>
      <c r="S92" s="36" t="str">
        <f>VLOOKUP(Tabla911[[#This Row],[CODIGO DEL PRODUCTO]],Tabla79[],2,FALSE)</f>
        <v>ARENA FINA</v>
      </c>
      <c r="T92" s="37">
        <v>39220</v>
      </c>
      <c r="U92" s="92"/>
      <c r="V92" s="7">
        <v>45737</v>
      </c>
      <c r="W92" t="s">
        <v>308</v>
      </c>
      <c r="X92" t="s">
        <v>309</v>
      </c>
    </row>
    <row r="93" spans="5:24" x14ac:dyDescent="0.25">
      <c r="H93" s="34">
        <v>9254</v>
      </c>
      <c r="I93" s="34" t="s">
        <v>335</v>
      </c>
      <c r="J93" s="35">
        <v>45757</v>
      </c>
      <c r="K93" s="36" t="s">
        <v>42</v>
      </c>
      <c r="L93" s="39" t="str">
        <f>VLOOKUP(Tabla810[[#This Row],[CODIGO DEL PRODUCTO]],Tabla79[],2,FALSE)</f>
        <v>ARENA FINA</v>
      </c>
      <c r="M93" s="37">
        <v>4000</v>
      </c>
      <c r="O93" s="76">
        <v>99225</v>
      </c>
      <c r="P93" s="76" t="s">
        <v>254</v>
      </c>
      <c r="Q93" s="77">
        <v>45737</v>
      </c>
      <c r="R93" s="78" t="s">
        <v>48</v>
      </c>
      <c r="S93" s="36" t="str">
        <f>VLOOKUP(Tabla911[[#This Row],[CODIGO DEL PRODUCTO]],Tabla79[],2,FALSE)</f>
        <v>PIEDRA 6-12</v>
      </c>
      <c r="T93" s="37">
        <v>34020</v>
      </c>
      <c r="U93" s="92"/>
    </row>
    <row r="94" spans="5:24" x14ac:dyDescent="0.25">
      <c r="H94" s="34"/>
      <c r="I94" s="34" t="s">
        <v>53</v>
      </c>
      <c r="J94" s="35">
        <v>45754</v>
      </c>
      <c r="K94" s="36" t="s">
        <v>42</v>
      </c>
      <c r="L94" s="39" t="str">
        <f>VLOOKUP(Tabla810[[#This Row],[CODIGO DEL PRODUCTO]],Tabla79[],2,FALSE)</f>
        <v>ARENA FINA</v>
      </c>
      <c r="M94" s="37">
        <v>311276</v>
      </c>
      <c r="O94" s="76">
        <v>99227</v>
      </c>
      <c r="P94" s="76" t="s">
        <v>197</v>
      </c>
      <c r="Q94" s="77">
        <v>45737</v>
      </c>
      <c r="R94" s="78" t="s">
        <v>40</v>
      </c>
      <c r="S94" s="36" t="str">
        <f>VLOOKUP(Tabla911[[#This Row],[CODIGO DEL PRODUCTO]],Tabla79[],2,FALSE)</f>
        <v>PIEDRA 0-6</v>
      </c>
      <c r="T94" s="37">
        <v>34860</v>
      </c>
      <c r="U94" s="92"/>
    </row>
    <row r="95" spans="5:24" x14ac:dyDescent="0.25">
      <c r="H95" s="34"/>
      <c r="I95" s="34" t="s">
        <v>53</v>
      </c>
      <c r="J95" s="35">
        <v>45755</v>
      </c>
      <c r="K95" s="36" t="s">
        <v>40</v>
      </c>
      <c r="L95" s="39" t="str">
        <f>VLOOKUP(Tabla810[[#This Row],[CODIGO DEL PRODUCTO]],Tabla79[],2,FALSE)</f>
        <v>PIEDRA 0-6</v>
      </c>
      <c r="M95" s="37">
        <v>207166</v>
      </c>
      <c r="O95" s="76">
        <v>99228</v>
      </c>
      <c r="P95" s="76" t="s">
        <v>287</v>
      </c>
      <c r="Q95" s="77">
        <v>45737</v>
      </c>
      <c r="R95" s="78" t="s">
        <v>48</v>
      </c>
      <c r="S95" s="36" t="str">
        <f>VLOOKUP(Tabla911[[#This Row],[CODIGO DEL PRODUCTO]],Tabla79[],2,FALSE)</f>
        <v>PIEDRA 6-12</v>
      </c>
      <c r="T95" s="37">
        <v>34800</v>
      </c>
      <c r="U95" s="92"/>
    </row>
    <row r="96" spans="5:24" x14ac:dyDescent="0.25">
      <c r="H96" s="34"/>
      <c r="I96" s="34" t="s">
        <v>53</v>
      </c>
      <c r="J96" s="35">
        <v>45756</v>
      </c>
      <c r="K96" s="36" t="s">
        <v>286</v>
      </c>
      <c r="L96" s="39" t="str">
        <f>VLOOKUP(Tabla810[[#This Row],[CODIGO DEL PRODUCTO]],Tabla79[],2,FALSE)</f>
        <v>CPF 40 AVELLANEDA</v>
      </c>
      <c r="M96" s="37">
        <v>176742</v>
      </c>
      <c r="O96" s="76">
        <v>99237</v>
      </c>
      <c r="P96" s="76" t="s">
        <v>285</v>
      </c>
      <c r="Q96" s="77">
        <v>45737</v>
      </c>
      <c r="R96" s="78" t="s">
        <v>48</v>
      </c>
      <c r="S96" s="36" t="str">
        <f>VLOOKUP(Tabla911[[#This Row],[CODIGO DEL PRODUCTO]],Tabla79[],2,FALSE)</f>
        <v>PIEDRA 6-12</v>
      </c>
      <c r="T96" s="37">
        <v>34440</v>
      </c>
      <c r="U96" s="92"/>
    </row>
    <row r="97" spans="8:21" x14ac:dyDescent="0.25">
      <c r="H97" s="34"/>
      <c r="I97" s="34" t="s">
        <v>53</v>
      </c>
      <c r="J97" s="35">
        <v>45757</v>
      </c>
      <c r="K97" s="36" t="s">
        <v>50</v>
      </c>
      <c r="L97" s="39" t="str">
        <f>VLOOKUP(Tabla810[[#This Row],[CODIGO DEL PRODUCTO]],Tabla79[],2,FALSE)</f>
        <v>MIRA SET 453 (ADITIVO)</v>
      </c>
      <c r="M97" s="37">
        <v>1016.08</v>
      </c>
      <c r="O97" s="76">
        <v>133499</v>
      </c>
      <c r="P97" s="76" t="s">
        <v>296</v>
      </c>
      <c r="Q97" s="77">
        <v>45737</v>
      </c>
      <c r="R97" s="78" t="s">
        <v>40</v>
      </c>
      <c r="S97" s="36" t="str">
        <f>VLOOKUP(Tabla911[[#This Row],[CODIGO DEL PRODUCTO]],Tabla79[],2,FALSE)</f>
        <v>PIEDRA 0-6</v>
      </c>
      <c r="T97" s="37">
        <v>35540</v>
      </c>
      <c r="U97" s="92"/>
    </row>
    <row r="98" spans="8:21" x14ac:dyDescent="0.25">
      <c r="H98" s="34"/>
      <c r="I98" s="34" t="s">
        <v>53</v>
      </c>
      <c r="J98" s="35">
        <v>45758</v>
      </c>
      <c r="K98" s="36" t="s">
        <v>48</v>
      </c>
      <c r="L98" s="39" t="str">
        <f>VLOOKUP(Tabla810[[#This Row],[CODIGO DEL PRODUCTO]],Tabla79[],2,FALSE)</f>
        <v>PIEDRA 6-12</v>
      </c>
      <c r="M98" s="37">
        <v>69499</v>
      </c>
      <c r="O98" s="76">
        <v>2616165</v>
      </c>
      <c r="P98" s="76" t="s">
        <v>65</v>
      </c>
      <c r="Q98" s="77">
        <v>45737</v>
      </c>
      <c r="R98" s="78" t="s">
        <v>286</v>
      </c>
      <c r="S98" s="36" t="str">
        <f>VLOOKUP(Tabla911[[#This Row],[CODIGO DEL PRODUCTO]],Tabla79[],2,FALSE)</f>
        <v>CPF 40 AVELLANEDA</v>
      </c>
      <c r="T98" s="37">
        <v>31640</v>
      </c>
      <c r="U98" s="92"/>
    </row>
    <row r="99" spans="8:21" x14ac:dyDescent="0.25">
      <c r="H99" s="34"/>
      <c r="I99" s="34" t="s">
        <v>53</v>
      </c>
      <c r="J99" s="35">
        <v>45759</v>
      </c>
      <c r="K99" s="36" t="s">
        <v>43</v>
      </c>
      <c r="L99" s="39" t="str">
        <f>VLOOKUP(Tabla810[[#This Row],[CODIGO DEL PRODUCTO]],Tabla79[],2,FALSE)</f>
        <v>PIEDRA 6-20</v>
      </c>
      <c r="M99" s="37">
        <v>461238</v>
      </c>
      <c r="O99" s="76">
        <v>100055</v>
      </c>
      <c r="P99" s="76" t="s">
        <v>235</v>
      </c>
      <c r="Q99" s="77">
        <v>45738</v>
      </c>
      <c r="R99" s="78" t="s">
        <v>42</v>
      </c>
      <c r="S99" s="36" t="str">
        <f>VLOOKUP(Tabla911[[#This Row],[CODIGO DEL PRODUCTO]],Tabla79[],2,FALSE)</f>
        <v>ARENA FINA</v>
      </c>
      <c r="T99" s="37">
        <v>37760</v>
      </c>
      <c r="U99" s="92"/>
    </row>
    <row r="100" spans="8:21" x14ac:dyDescent="0.25">
      <c r="H100" s="34">
        <v>9282</v>
      </c>
      <c r="I100" s="34" t="s">
        <v>335</v>
      </c>
      <c r="J100" s="35">
        <v>45758</v>
      </c>
      <c r="K100" s="36" t="s">
        <v>42</v>
      </c>
      <c r="L100" s="39" t="str">
        <f>VLOOKUP(Tabla810[[#This Row],[CODIGO DEL PRODUCTO]],Tabla79[],2,FALSE)</f>
        <v>ARENA FINA</v>
      </c>
      <c r="M100" s="37">
        <v>4000</v>
      </c>
      <c r="O100" s="76">
        <v>99263</v>
      </c>
      <c r="P100" s="76" t="s">
        <v>254</v>
      </c>
      <c r="Q100" s="77">
        <v>45738</v>
      </c>
      <c r="R100" s="78" t="s">
        <v>48</v>
      </c>
      <c r="S100" s="36" t="str">
        <f>VLOOKUP(Tabla911[[#This Row],[CODIGO DEL PRODUCTO]],Tabla79[],2,FALSE)</f>
        <v>PIEDRA 6-12</v>
      </c>
      <c r="T100" s="37">
        <v>34500</v>
      </c>
      <c r="U100" s="92"/>
    </row>
    <row r="101" spans="8:21" x14ac:dyDescent="0.25">
      <c r="H101" s="34">
        <v>9283</v>
      </c>
      <c r="I101" s="34" t="s">
        <v>336</v>
      </c>
      <c r="J101" s="35">
        <v>45758</v>
      </c>
      <c r="K101" s="36" t="s">
        <v>42</v>
      </c>
      <c r="L101" s="39" t="str">
        <f>VLOOKUP(Tabla810[[#This Row],[CODIGO DEL PRODUCTO]],Tabla79[],2,FALSE)</f>
        <v>ARENA FINA</v>
      </c>
      <c r="M101" s="37">
        <v>7000</v>
      </c>
      <c r="O101" s="76">
        <v>99267</v>
      </c>
      <c r="P101" s="76" t="s">
        <v>150</v>
      </c>
      <c r="Q101" s="77">
        <v>45738</v>
      </c>
      <c r="R101" s="78" t="s">
        <v>48</v>
      </c>
      <c r="S101" s="36" t="str">
        <f>VLOOKUP(Tabla911[[#This Row],[CODIGO DEL PRODUCTO]],Tabla79[],2,FALSE)</f>
        <v>PIEDRA 6-12</v>
      </c>
      <c r="T101" s="37">
        <v>36460</v>
      </c>
      <c r="U101" s="92"/>
    </row>
    <row r="102" spans="8:21" x14ac:dyDescent="0.25">
      <c r="H102" s="34">
        <v>9285</v>
      </c>
      <c r="I102" s="34" t="s">
        <v>203</v>
      </c>
      <c r="J102" s="35">
        <v>45758</v>
      </c>
      <c r="K102" s="36" t="s">
        <v>48</v>
      </c>
      <c r="L102" s="39" t="str">
        <f>VLOOKUP(Tabla810[[#This Row],[CODIGO DEL PRODUCTO]],Tabla79[],2,FALSE)</f>
        <v>PIEDRA 6-12</v>
      </c>
      <c r="M102" s="37">
        <v>2000</v>
      </c>
      <c r="O102" s="76">
        <v>133575</v>
      </c>
      <c r="P102" s="76" t="s">
        <v>296</v>
      </c>
      <c r="Q102" s="77">
        <v>45738</v>
      </c>
      <c r="R102" s="78" t="s">
        <v>40</v>
      </c>
      <c r="S102" s="36" t="str">
        <f>VLOOKUP(Tabla911[[#This Row],[CODIGO DEL PRODUCTO]],Tabla79[],2,FALSE)</f>
        <v>PIEDRA 0-6</v>
      </c>
      <c r="T102" s="37">
        <v>35260</v>
      </c>
      <c r="U102" s="92"/>
    </row>
    <row r="103" spans="8:21" x14ac:dyDescent="0.25">
      <c r="H103" s="34">
        <v>9289</v>
      </c>
      <c r="I103" s="34" t="s">
        <v>335</v>
      </c>
      <c r="J103" s="35">
        <v>45758</v>
      </c>
      <c r="K103" s="36" t="s">
        <v>43</v>
      </c>
      <c r="L103" s="39" t="str">
        <f>VLOOKUP(Tabla810[[#This Row],[CODIGO DEL PRODUCTO]],Tabla79[],2,FALSE)</f>
        <v>PIEDRA 6-20</v>
      </c>
      <c r="M103" s="37">
        <v>4000</v>
      </c>
      <c r="O103" s="76">
        <v>2616342</v>
      </c>
      <c r="P103" s="76" t="s">
        <v>65</v>
      </c>
      <c r="Q103" s="77">
        <v>45740</v>
      </c>
      <c r="R103" s="78" t="s">
        <v>286</v>
      </c>
      <c r="S103" s="36" t="str">
        <f>VLOOKUP(Tabla911[[#This Row],[CODIGO DEL PRODUCTO]],Tabla79[],2,FALSE)</f>
        <v>CPF 40 AVELLANEDA</v>
      </c>
      <c r="T103" s="37">
        <v>32140</v>
      </c>
      <c r="U103" s="92"/>
    </row>
    <row r="104" spans="8:21" x14ac:dyDescent="0.25">
      <c r="H104" s="34">
        <v>9303</v>
      </c>
      <c r="I104" s="34" t="s">
        <v>337</v>
      </c>
      <c r="J104" s="35">
        <v>45759</v>
      </c>
      <c r="K104" s="36" t="s">
        <v>43</v>
      </c>
      <c r="L104" s="39" t="str">
        <f>VLOOKUP(Tabla810[[#This Row],[CODIGO DEL PRODUCTO]],Tabla79[],2,FALSE)</f>
        <v>PIEDRA 6-20</v>
      </c>
      <c r="M104" s="37">
        <v>2000</v>
      </c>
      <c r="O104" s="76">
        <v>100066</v>
      </c>
      <c r="P104" s="76" t="s">
        <v>235</v>
      </c>
      <c r="Q104" s="77">
        <v>45741</v>
      </c>
      <c r="R104" s="78" t="s">
        <v>42</v>
      </c>
      <c r="S104" s="36" t="str">
        <f>VLOOKUP(Tabla911[[#This Row],[CODIGO DEL PRODUCTO]],Tabla79[],2,FALSE)</f>
        <v>ARENA FINA</v>
      </c>
      <c r="T104" s="37">
        <v>37560</v>
      </c>
      <c r="U104" s="92"/>
    </row>
    <row r="105" spans="8:21" x14ac:dyDescent="0.25">
      <c r="H105" s="34"/>
      <c r="I105" s="34"/>
      <c r="J105" s="35">
        <v>45759</v>
      </c>
      <c r="K105" s="36" t="s">
        <v>42</v>
      </c>
      <c r="L105" s="39" t="str">
        <f>VLOOKUP(Tabla810[[#This Row],[CODIGO DEL PRODUCTO]],Tabla79[],2,FALSE)</f>
        <v>ARENA FINA</v>
      </c>
      <c r="M105" s="37">
        <v>2000</v>
      </c>
      <c r="O105" s="76">
        <v>100068</v>
      </c>
      <c r="P105" s="76" t="s">
        <v>235</v>
      </c>
      <c r="Q105" s="77">
        <v>45741</v>
      </c>
      <c r="R105" s="78" t="s">
        <v>42</v>
      </c>
      <c r="S105" s="36" t="str">
        <f>VLOOKUP(Tabla911[[#This Row],[CODIGO DEL PRODUCTO]],Tabla79[],2,FALSE)</f>
        <v>ARENA FINA</v>
      </c>
      <c r="T105" s="37">
        <v>37240</v>
      </c>
      <c r="U105" s="92"/>
    </row>
    <row r="106" spans="8:21" x14ac:dyDescent="0.25">
      <c r="H106" s="34">
        <v>9344</v>
      </c>
      <c r="I106" s="34" t="s">
        <v>298</v>
      </c>
      <c r="J106" s="35">
        <v>45762</v>
      </c>
      <c r="K106" s="36" t="s">
        <v>42</v>
      </c>
      <c r="L106" s="39" t="str">
        <f>VLOOKUP(Tabla810[[#This Row],[CODIGO DEL PRODUCTO]],Tabla79[],2,FALSE)</f>
        <v>ARENA FINA</v>
      </c>
      <c r="M106" s="37">
        <v>3000</v>
      </c>
      <c r="O106" s="76">
        <v>99294</v>
      </c>
      <c r="P106" s="76" t="s">
        <v>287</v>
      </c>
      <c r="Q106" s="77">
        <v>45741</v>
      </c>
      <c r="R106" s="78" t="s">
        <v>48</v>
      </c>
      <c r="S106" s="36" t="str">
        <f>VLOOKUP(Tabla911[[#This Row],[CODIGO DEL PRODUCTO]],Tabla79[],2,FALSE)</f>
        <v>PIEDRA 6-12</v>
      </c>
      <c r="T106" s="37">
        <v>34960</v>
      </c>
      <c r="U106" s="92"/>
    </row>
    <row r="107" spans="8:21" x14ac:dyDescent="0.25">
      <c r="H107" s="34">
        <v>9367</v>
      </c>
      <c r="I107" s="34" t="s">
        <v>321</v>
      </c>
      <c r="J107" s="35">
        <v>45762</v>
      </c>
      <c r="K107" s="36" t="s">
        <v>43</v>
      </c>
      <c r="L107" s="39" t="str">
        <f>VLOOKUP(Tabla810[[#This Row],[CODIGO DEL PRODUCTO]],Tabla79[],2,FALSE)</f>
        <v>PIEDRA 6-20</v>
      </c>
      <c r="M107" s="37">
        <v>2000</v>
      </c>
      <c r="O107" s="76">
        <v>99308</v>
      </c>
      <c r="P107" s="76" t="s">
        <v>234</v>
      </c>
      <c r="Q107" s="77">
        <v>45741</v>
      </c>
      <c r="R107" s="78" t="s">
        <v>40</v>
      </c>
      <c r="S107" s="36" t="str">
        <f>VLOOKUP(Tabla911[[#This Row],[CODIGO DEL PRODUCTO]],Tabla79[],2,FALSE)</f>
        <v>PIEDRA 0-6</v>
      </c>
      <c r="T107" s="37">
        <v>35180</v>
      </c>
      <c r="U107" s="92"/>
    </row>
    <row r="108" spans="8:21" x14ac:dyDescent="0.25">
      <c r="H108" s="34">
        <v>9396</v>
      </c>
      <c r="I108" s="34" t="s">
        <v>229</v>
      </c>
      <c r="J108" s="35">
        <v>45763</v>
      </c>
      <c r="K108" s="36" t="s">
        <v>48</v>
      </c>
      <c r="L108" s="39" t="str">
        <f>VLOOKUP(Tabla810[[#This Row],[CODIGO DEL PRODUCTO]],Tabla79[],2,FALSE)</f>
        <v>PIEDRA 6-12</v>
      </c>
      <c r="M108" s="37">
        <v>6000</v>
      </c>
      <c r="O108" s="76">
        <v>99310</v>
      </c>
      <c r="P108" s="76" t="s">
        <v>311</v>
      </c>
      <c r="Q108" s="77">
        <v>45741</v>
      </c>
      <c r="R108" s="78" t="s">
        <v>40</v>
      </c>
      <c r="S108" s="36" t="str">
        <f>VLOOKUP(Tabla911[[#This Row],[CODIGO DEL PRODUCTO]],Tabla79[],2,FALSE)</f>
        <v>PIEDRA 0-6</v>
      </c>
      <c r="T108" s="37">
        <v>34780</v>
      </c>
      <c r="U108" s="92"/>
    </row>
    <row r="109" spans="8:21" x14ac:dyDescent="0.25">
      <c r="H109" s="34">
        <v>9399</v>
      </c>
      <c r="I109" s="34" t="s">
        <v>331</v>
      </c>
      <c r="J109" s="35">
        <v>45763</v>
      </c>
      <c r="K109" s="36" t="s">
        <v>40</v>
      </c>
      <c r="L109" s="39" t="str">
        <f>VLOOKUP(Tabla810[[#This Row],[CODIGO DEL PRODUCTO]],Tabla79[],2,FALSE)</f>
        <v>PIEDRA 0-6</v>
      </c>
      <c r="M109" s="37">
        <v>1000</v>
      </c>
      <c r="O109" s="76">
        <v>99311</v>
      </c>
      <c r="P109" s="76" t="s">
        <v>254</v>
      </c>
      <c r="Q109" s="77">
        <v>45741</v>
      </c>
      <c r="R109" s="78" t="s">
        <v>40</v>
      </c>
      <c r="S109" s="36" t="str">
        <f>VLOOKUP(Tabla911[[#This Row],[CODIGO DEL PRODUCTO]],Tabla79[],2,FALSE)</f>
        <v>PIEDRA 0-6</v>
      </c>
      <c r="T109" s="37">
        <v>35280</v>
      </c>
      <c r="U109" s="92"/>
    </row>
    <row r="110" spans="8:21" x14ac:dyDescent="0.25">
      <c r="H110" s="34">
        <v>9402</v>
      </c>
      <c r="I110" s="34" t="s">
        <v>336</v>
      </c>
      <c r="J110" s="35">
        <v>45763</v>
      </c>
      <c r="K110" s="36" t="s">
        <v>42</v>
      </c>
      <c r="L110" s="39" t="str">
        <f>VLOOKUP(Tabla810[[#This Row],[CODIGO DEL PRODUCTO]],Tabla79[],2,FALSE)</f>
        <v>ARENA FINA</v>
      </c>
      <c r="M110" s="37">
        <v>7500</v>
      </c>
      <c r="O110" s="76">
        <v>2616694</v>
      </c>
      <c r="P110" s="76" t="s">
        <v>65</v>
      </c>
      <c r="Q110" s="77">
        <v>45741</v>
      </c>
      <c r="R110" s="78" t="s">
        <v>286</v>
      </c>
      <c r="S110" s="36" t="str">
        <f>VLOOKUP(Tabla911[[#This Row],[CODIGO DEL PRODUCTO]],Tabla79[],2,FALSE)</f>
        <v>CPF 40 AVELLANEDA</v>
      </c>
      <c r="T110" s="37">
        <v>32260</v>
      </c>
      <c r="U110" s="92"/>
    </row>
    <row r="111" spans="8:21" x14ac:dyDescent="0.25">
      <c r="H111" s="34">
        <v>9423</v>
      </c>
      <c r="I111" s="34" t="s">
        <v>341</v>
      </c>
      <c r="J111" s="35">
        <v>45763</v>
      </c>
      <c r="K111" s="36" t="s">
        <v>42</v>
      </c>
      <c r="L111" s="39" t="str">
        <f>VLOOKUP(Tabla810[[#This Row],[CODIGO DEL PRODUCTO]],Tabla79[],2,FALSE)</f>
        <v>ARENA FINA</v>
      </c>
      <c r="M111" s="37">
        <v>9400</v>
      </c>
      <c r="O111" s="76">
        <v>100080</v>
      </c>
      <c r="P111" s="76" t="s">
        <v>235</v>
      </c>
      <c r="Q111" s="77">
        <v>45742</v>
      </c>
      <c r="R111" s="78" t="s">
        <v>42</v>
      </c>
      <c r="S111" s="36" t="str">
        <f>VLOOKUP(Tabla911[[#This Row],[CODIGO DEL PRODUCTO]],Tabla79[],2,FALSE)</f>
        <v>ARENA FINA</v>
      </c>
      <c r="T111" s="37">
        <v>36920</v>
      </c>
      <c r="U111" s="92"/>
    </row>
    <row r="112" spans="8:21" x14ac:dyDescent="0.25">
      <c r="H112" s="34">
        <v>9426</v>
      </c>
      <c r="I112" s="34" t="s">
        <v>336</v>
      </c>
      <c r="J112" s="35">
        <v>45764</v>
      </c>
      <c r="K112" s="36" t="s">
        <v>42</v>
      </c>
      <c r="L112" s="39" t="str">
        <f>VLOOKUP(Tabla810[[#This Row],[CODIGO DEL PRODUCTO]],Tabla79[],2,FALSE)</f>
        <v>ARENA FINA</v>
      </c>
      <c r="M112" s="37">
        <v>7500</v>
      </c>
      <c r="O112" s="76">
        <v>100083</v>
      </c>
      <c r="P112" s="76" t="s">
        <v>235</v>
      </c>
      <c r="Q112" s="77">
        <v>45742</v>
      </c>
      <c r="R112" s="78" t="s">
        <v>42</v>
      </c>
      <c r="S112" s="36" t="str">
        <f>VLOOKUP(Tabla911[[#This Row],[CODIGO DEL PRODUCTO]],Tabla79[],2,FALSE)</f>
        <v>ARENA FINA</v>
      </c>
      <c r="T112" s="37">
        <v>38340</v>
      </c>
      <c r="U112" s="92"/>
    </row>
    <row r="113" spans="8:24" x14ac:dyDescent="0.25">
      <c r="H113" s="34">
        <v>9442</v>
      </c>
      <c r="I113" s="34" t="s">
        <v>344</v>
      </c>
      <c r="J113" s="35">
        <v>45764</v>
      </c>
      <c r="K113" s="36" t="s">
        <v>42</v>
      </c>
      <c r="L113" s="39" t="str">
        <f>VLOOKUP(Tabla810[[#This Row],[CODIGO DEL PRODUCTO]],Tabla79[],2,FALSE)</f>
        <v>ARENA FINA</v>
      </c>
      <c r="M113" s="37">
        <v>4000</v>
      </c>
      <c r="O113" s="76">
        <v>99327</v>
      </c>
      <c r="P113" s="76" t="s">
        <v>150</v>
      </c>
      <c r="Q113" s="77">
        <v>45742</v>
      </c>
      <c r="R113" s="78" t="s">
        <v>48</v>
      </c>
      <c r="S113" s="36" t="str">
        <f>VLOOKUP(Tabla911[[#This Row],[CODIGO DEL PRODUCTO]],Tabla79[],2,FALSE)</f>
        <v>PIEDRA 6-12</v>
      </c>
      <c r="T113" s="37">
        <v>35740</v>
      </c>
      <c r="U113" s="92"/>
    </row>
    <row r="114" spans="8:24" x14ac:dyDescent="0.25">
      <c r="H114" s="34">
        <v>9454</v>
      </c>
      <c r="I114" s="34" t="s">
        <v>250</v>
      </c>
      <c r="J114" s="35">
        <v>45768</v>
      </c>
      <c r="K114" s="36" t="s">
        <v>42</v>
      </c>
      <c r="L114" s="39" t="str">
        <f>VLOOKUP(Tabla810[[#This Row],[CODIGO DEL PRODUCTO]],Tabla79[],2,FALSE)</f>
        <v>ARENA FINA</v>
      </c>
      <c r="M114" s="37">
        <v>8000</v>
      </c>
      <c r="O114" s="76">
        <v>99340</v>
      </c>
      <c r="P114" s="76" t="s">
        <v>287</v>
      </c>
      <c r="Q114" s="77">
        <v>45742</v>
      </c>
      <c r="R114" s="78" t="s">
        <v>48</v>
      </c>
      <c r="S114" s="36" t="str">
        <f>VLOOKUP(Tabla911[[#This Row],[CODIGO DEL PRODUCTO]],Tabla79[],2,FALSE)</f>
        <v>PIEDRA 6-12</v>
      </c>
      <c r="T114" s="37">
        <v>35180</v>
      </c>
      <c r="U114" s="92"/>
    </row>
    <row r="115" spans="8:24" x14ac:dyDescent="0.25">
      <c r="H115" s="34">
        <v>9456</v>
      </c>
      <c r="I115" s="34" t="s">
        <v>250</v>
      </c>
      <c r="J115" s="35">
        <v>45768</v>
      </c>
      <c r="K115" s="36" t="s">
        <v>42</v>
      </c>
      <c r="L115" s="39" t="str">
        <f>VLOOKUP(Tabla810[[#This Row],[CODIGO DEL PRODUCTO]],Tabla79[],2,FALSE)</f>
        <v>ARENA FINA</v>
      </c>
      <c r="M115" s="37">
        <v>8000</v>
      </c>
      <c r="O115" s="76">
        <v>99361</v>
      </c>
      <c r="P115" s="76" t="s">
        <v>254</v>
      </c>
      <c r="Q115" s="77">
        <v>45742</v>
      </c>
      <c r="R115" s="78" t="s">
        <v>40</v>
      </c>
      <c r="S115" s="36" t="str">
        <f>VLOOKUP(Tabla911[[#This Row],[CODIGO DEL PRODUCTO]],Tabla79[],2,FALSE)</f>
        <v>PIEDRA 0-6</v>
      </c>
      <c r="T115" s="37">
        <v>35120</v>
      </c>
      <c r="U115" s="92"/>
    </row>
    <row r="116" spans="8:24" x14ac:dyDescent="0.25">
      <c r="H116" s="34">
        <v>9457</v>
      </c>
      <c r="I116" s="34" t="s">
        <v>321</v>
      </c>
      <c r="J116" s="35">
        <v>45768</v>
      </c>
      <c r="K116" s="36" t="s">
        <v>42</v>
      </c>
      <c r="L116" s="39" t="str">
        <f>VLOOKUP(Tabla810[[#This Row],[CODIGO DEL PRODUCTO]],Tabla79[],2,FALSE)</f>
        <v>ARENA FINA</v>
      </c>
      <c r="M116" s="37">
        <v>4000</v>
      </c>
      <c r="O116" s="76">
        <v>133705</v>
      </c>
      <c r="P116" s="76" t="s">
        <v>296</v>
      </c>
      <c r="Q116" s="77">
        <v>45742</v>
      </c>
      <c r="R116" s="78" t="s">
        <v>40</v>
      </c>
      <c r="S116" s="36" t="str">
        <f>VLOOKUP(Tabla911[[#This Row],[CODIGO DEL PRODUCTO]],Tabla79[],2,FALSE)</f>
        <v>PIEDRA 0-6</v>
      </c>
      <c r="T116" s="37">
        <v>35500</v>
      </c>
      <c r="U116" s="92"/>
    </row>
    <row r="117" spans="8:24" x14ac:dyDescent="0.25">
      <c r="H117" s="34"/>
      <c r="I117" s="34"/>
      <c r="J117" s="35">
        <v>45768</v>
      </c>
      <c r="K117" s="36" t="s">
        <v>43</v>
      </c>
      <c r="L117" s="39" t="str">
        <f>VLOOKUP(Tabla810[[#This Row],[CODIGO DEL PRODUCTO]],Tabla79[],2,FALSE)</f>
        <v>PIEDRA 6-20</v>
      </c>
      <c r="M117" s="37">
        <v>4000</v>
      </c>
      <c r="O117" s="76">
        <v>2616991</v>
      </c>
      <c r="P117" s="76" t="s">
        <v>65</v>
      </c>
      <c r="Q117" s="77">
        <v>45742</v>
      </c>
      <c r="R117" s="78" t="s">
        <v>286</v>
      </c>
      <c r="S117" s="36" t="str">
        <f>VLOOKUP(Tabla911[[#This Row],[CODIGO DEL PRODUCTO]],Tabla79[],2,FALSE)</f>
        <v>CPF 40 AVELLANEDA</v>
      </c>
      <c r="T117" s="37">
        <v>31920</v>
      </c>
      <c r="U117" s="92"/>
    </row>
    <row r="118" spans="8:24" x14ac:dyDescent="0.25">
      <c r="H118" s="34">
        <v>9458</v>
      </c>
      <c r="I118" s="34" t="s">
        <v>341</v>
      </c>
      <c r="J118" s="35">
        <v>45768</v>
      </c>
      <c r="K118" s="36" t="s">
        <v>42</v>
      </c>
      <c r="L118" s="39" t="str">
        <f>VLOOKUP(Tabla810[[#This Row],[CODIGO DEL PRODUCTO]],Tabla79[],2,FALSE)</f>
        <v>ARENA FINA</v>
      </c>
      <c r="M118" s="37">
        <v>8000</v>
      </c>
      <c r="O118" s="76">
        <v>36278</v>
      </c>
      <c r="P118" s="76" t="s">
        <v>293</v>
      </c>
      <c r="Q118" s="77">
        <v>45742</v>
      </c>
      <c r="R118" s="78" t="s">
        <v>50</v>
      </c>
      <c r="S118" s="36" t="str">
        <f>VLOOKUP(Tabla911[[#This Row],[CODIGO DEL PRODUCTO]],Tabla79[],2,FALSE)</f>
        <v>MIRA SET 453 (ADITIVO)</v>
      </c>
      <c r="T118" s="37">
        <v>1080</v>
      </c>
      <c r="U118" s="92"/>
    </row>
    <row r="119" spans="8:24" x14ac:dyDescent="0.25">
      <c r="H119" s="34"/>
      <c r="I119" s="34" t="s">
        <v>53</v>
      </c>
      <c r="J119" s="35">
        <v>45761</v>
      </c>
      <c r="K119" s="36" t="s">
        <v>42</v>
      </c>
      <c r="L119" s="39" t="str">
        <f>VLOOKUP(Tabla810[[#This Row],[CODIGO DEL PRODUCTO]],Tabla79[],2,FALSE)</f>
        <v>ARENA FINA</v>
      </c>
      <c r="M119" s="37">
        <v>317518</v>
      </c>
      <c r="O119" s="76"/>
      <c r="P119" s="76"/>
      <c r="Q119" s="77">
        <v>45742</v>
      </c>
      <c r="R119" s="78" t="s">
        <v>228</v>
      </c>
      <c r="S119" s="36" t="str">
        <f>VLOOKUP(Tabla911[[#This Row],[CODIGO DEL PRODUCTO]],Tabla79[],2,FALSE)</f>
        <v>DARACEM 600 (ADITIVO</v>
      </c>
      <c r="T119" s="37">
        <v>220</v>
      </c>
      <c r="U119" s="92"/>
    </row>
    <row r="120" spans="8:24" x14ac:dyDescent="0.25">
      <c r="H120" s="34"/>
      <c r="I120" s="34" t="s">
        <v>53</v>
      </c>
      <c r="J120" s="35">
        <v>45762</v>
      </c>
      <c r="K120" s="36" t="s">
        <v>40</v>
      </c>
      <c r="L120" s="39" t="str">
        <f>VLOOKUP(Tabla810[[#This Row],[CODIGO DEL PRODUCTO]],Tabla79[],2,FALSE)</f>
        <v>PIEDRA 0-6</v>
      </c>
      <c r="M120" s="37">
        <v>206033</v>
      </c>
      <c r="O120" s="76">
        <v>100090</v>
      </c>
      <c r="P120" s="76" t="s">
        <v>235</v>
      </c>
      <c r="Q120" s="77">
        <v>45743</v>
      </c>
      <c r="R120" s="78" t="s">
        <v>42</v>
      </c>
      <c r="S120" s="36" t="str">
        <f>VLOOKUP(Tabla911[[#This Row],[CODIGO DEL PRODUCTO]],Tabla79[],2,FALSE)</f>
        <v>ARENA FINA</v>
      </c>
      <c r="T120" s="37">
        <v>38320</v>
      </c>
      <c r="U120" s="92"/>
    </row>
    <row r="121" spans="8:24" x14ac:dyDescent="0.25">
      <c r="H121" s="34"/>
      <c r="I121" s="34" t="s">
        <v>53</v>
      </c>
      <c r="J121" s="35">
        <v>45763</v>
      </c>
      <c r="K121" s="36" t="s">
        <v>24</v>
      </c>
      <c r="L121" s="39" t="str">
        <f>VLOOKUP(Tabla810[[#This Row],[CODIGO DEL PRODUCTO]],Tabla79[],2,FALSE)</f>
        <v>ARS</v>
      </c>
      <c r="M121" s="37">
        <v>2358</v>
      </c>
      <c r="O121" s="76">
        <v>100097</v>
      </c>
      <c r="P121" s="76" t="s">
        <v>235</v>
      </c>
      <c r="Q121" s="77">
        <v>45743</v>
      </c>
      <c r="R121" s="78" t="s">
        <v>42</v>
      </c>
      <c r="S121" s="36" t="str">
        <f>VLOOKUP(Tabla911[[#This Row],[CODIGO DEL PRODUCTO]],Tabla79[],2,FALSE)</f>
        <v>ARENA FINA</v>
      </c>
      <c r="T121" s="37">
        <v>39220</v>
      </c>
      <c r="U121" s="92"/>
    </row>
    <row r="122" spans="8:24" x14ac:dyDescent="0.25">
      <c r="H122" s="34"/>
      <c r="I122" s="34" t="s">
        <v>53</v>
      </c>
      <c r="J122" s="35">
        <v>45764</v>
      </c>
      <c r="K122" s="36" t="s">
        <v>286</v>
      </c>
      <c r="L122" s="39" t="str">
        <f>VLOOKUP(Tabla810[[#This Row],[CODIGO DEL PRODUCTO]],Tabla79[],2,FALSE)</f>
        <v>CPF 40 AVELLANEDA</v>
      </c>
      <c r="M122" s="37">
        <v>174033</v>
      </c>
      <c r="O122" s="76">
        <v>99364</v>
      </c>
      <c r="P122" s="76" t="s">
        <v>150</v>
      </c>
      <c r="Q122" s="77">
        <v>45743</v>
      </c>
      <c r="R122" s="78" t="s">
        <v>48</v>
      </c>
      <c r="S122" s="36" t="str">
        <f>VLOOKUP(Tabla911[[#This Row],[CODIGO DEL PRODUCTO]],Tabla79[],2,FALSE)</f>
        <v>PIEDRA 6-12</v>
      </c>
      <c r="T122" s="37">
        <v>35540</v>
      </c>
      <c r="U122" s="92"/>
    </row>
    <row r="123" spans="8:24" x14ac:dyDescent="0.25">
      <c r="H123" s="34"/>
      <c r="I123" s="34" t="s">
        <v>53</v>
      </c>
      <c r="J123" s="35">
        <v>45765</v>
      </c>
      <c r="K123" s="36" t="s">
        <v>50</v>
      </c>
      <c r="L123" s="39" t="str">
        <f>VLOOKUP(Tabla810[[#This Row],[CODIGO DEL PRODUCTO]],Tabla79[],2,FALSE)</f>
        <v>MIRA SET 453 (ADITIVO)</v>
      </c>
      <c r="M123" s="37">
        <v>1056.78</v>
      </c>
      <c r="O123" s="76">
        <v>99397</v>
      </c>
      <c r="P123" s="76" t="s">
        <v>254</v>
      </c>
      <c r="Q123" s="77">
        <v>45743</v>
      </c>
      <c r="R123" s="78" t="s">
        <v>40</v>
      </c>
      <c r="S123" s="36" t="str">
        <f>VLOOKUP(Tabla911[[#This Row],[CODIGO DEL PRODUCTO]],Tabla79[],2,FALSE)</f>
        <v>PIEDRA 0-6</v>
      </c>
      <c r="T123" s="37">
        <v>34780</v>
      </c>
      <c r="U123" s="92"/>
    </row>
    <row r="124" spans="8:24" x14ac:dyDescent="0.25">
      <c r="H124" s="34"/>
      <c r="I124" s="34" t="s">
        <v>53</v>
      </c>
      <c r="J124" s="35">
        <v>45766</v>
      </c>
      <c r="K124" s="36" t="s">
        <v>48</v>
      </c>
      <c r="L124" s="39" t="str">
        <f>VLOOKUP(Tabla810[[#This Row],[CODIGO DEL PRODUCTO]],Tabla79[],2,FALSE)</f>
        <v>PIEDRA 6-12</v>
      </c>
      <c r="M124" s="37">
        <v>117382</v>
      </c>
      <c r="O124" s="76">
        <v>2617322</v>
      </c>
      <c r="P124" s="76" t="s">
        <v>65</v>
      </c>
      <c r="Q124" s="77">
        <v>45743</v>
      </c>
      <c r="R124" s="78" t="s">
        <v>286</v>
      </c>
      <c r="S124" s="36" t="str">
        <f>VLOOKUP(Tabla911[[#This Row],[CODIGO DEL PRODUCTO]],Tabla79[],2,FALSE)</f>
        <v>CPF 40 AVELLANEDA</v>
      </c>
      <c r="T124" s="37">
        <v>32140</v>
      </c>
      <c r="U124" s="92"/>
    </row>
    <row r="125" spans="8:24" x14ac:dyDescent="0.25">
      <c r="H125" s="34"/>
      <c r="I125" s="34" t="s">
        <v>53</v>
      </c>
      <c r="J125" s="35">
        <v>45766</v>
      </c>
      <c r="K125" s="36" t="s">
        <v>43</v>
      </c>
      <c r="L125" s="39" t="str">
        <f>VLOOKUP(Tabla810[[#This Row],[CODIGO DEL PRODUCTO]],Tabla79[],2,FALSE)</f>
        <v>PIEDRA 6-20</v>
      </c>
      <c r="M125" s="37">
        <v>357533</v>
      </c>
      <c r="O125" s="76">
        <v>100110</v>
      </c>
      <c r="P125" s="76" t="s">
        <v>235</v>
      </c>
      <c r="Q125" s="77">
        <v>45744</v>
      </c>
      <c r="R125" s="78" t="s">
        <v>42</v>
      </c>
      <c r="S125" s="36" t="str">
        <f>VLOOKUP(Tabla911[[#This Row],[CODIGO DEL PRODUCTO]],Tabla79[],2,FALSE)</f>
        <v>ARENA FINA</v>
      </c>
      <c r="T125" s="37">
        <v>38600</v>
      </c>
      <c r="U125" s="92"/>
      <c r="V125" s="7">
        <v>45744</v>
      </c>
      <c r="W125" t="s">
        <v>315</v>
      </c>
      <c r="X125" t="s">
        <v>316</v>
      </c>
    </row>
    <row r="126" spans="8:24" x14ac:dyDescent="0.25">
      <c r="H126" s="34"/>
      <c r="I126" s="34" t="s">
        <v>53</v>
      </c>
      <c r="J126" s="35">
        <v>45766</v>
      </c>
      <c r="K126" s="36" t="s">
        <v>46</v>
      </c>
      <c r="L126" s="39" t="str">
        <f>VLOOKUP(Tabla810[[#This Row],[CODIGO DEL PRODUCTO]],Tabla79[],2,FALSE)</f>
        <v>PIEDRA 10-30</v>
      </c>
      <c r="M126" s="37">
        <v>41913</v>
      </c>
      <c r="O126" s="76">
        <v>100112</v>
      </c>
      <c r="P126" s="76" t="s">
        <v>235</v>
      </c>
      <c r="Q126" s="77">
        <v>45744</v>
      </c>
      <c r="R126" s="78" t="s">
        <v>42</v>
      </c>
      <c r="S126" s="36" t="str">
        <f>VLOOKUP(Tabla911[[#This Row],[CODIGO DEL PRODUCTO]],Tabla79[],2,FALSE)</f>
        <v>ARENA FINA</v>
      </c>
      <c r="T126" s="37">
        <v>37460</v>
      </c>
      <c r="U126" s="92"/>
    </row>
    <row r="127" spans="8:24" x14ac:dyDescent="0.25">
      <c r="H127" s="34">
        <v>9473</v>
      </c>
      <c r="I127" s="34" t="s">
        <v>298</v>
      </c>
      <c r="J127" s="35">
        <v>45769</v>
      </c>
      <c r="K127" s="36" t="s">
        <v>42</v>
      </c>
      <c r="L127" s="39" t="str">
        <f>VLOOKUP(Tabla810[[#This Row],[CODIGO DEL PRODUCTO]],Tabla79[],2,FALSE)</f>
        <v>ARENA FINA</v>
      </c>
      <c r="M127" s="37">
        <v>4000</v>
      </c>
      <c r="O127" s="76">
        <v>99395</v>
      </c>
      <c r="P127" s="76" t="s">
        <v>234</v>
      </c>
      <c r="Q127" s="77">
        <v>45744</v>
      </c>
      <c r="R127" s="78" t="s">
        <v>40</v>
      </c>
      <c r="S127" s="36" t="str">
        <f>VLOOKUP(Tabla911[[#This Row],[CODIGO DEL PRODUCTO]],Tabla79[],2,FALSE)</f>
        <v>PIEDRA 0-6</v>
      </c>
      <c r="T127" s="37">
        <v>35020</v>
      </c>
      <c r="U127" s="92"/>
    </row>
    <row r="128" spans="8:24" x14ac:dyDescent="0.25">
      <c r="H128" s="34">
        <v>9475</v>
      </c>
      <c r="I128" s="34" t="s">
        <v>305</v>
      </c>
      <c r="J128" s="35">
        <v>45769</v>
      </c>
      <c r="K128" s="36" t="s">
        <v>42</v>
      </c>
      <c r="L128" s="39" t="str">
        <f>VLOOKUP(Tabla810[[#This Row],[CODIGO DEL PRODUCTO]],Tabla79[],2,FALSE)</f>
        <v>ARENA FINA</v>
      </c>
      <c r="M128" s="37">
        <v>3000</v>
      </c>
      <c r="O128" s="76">
        <v>99413</v>
      </c>
      <c r="P128" s="76" t="s">
        <v>150</v>
      </c>
      <c r="Q128" s="77">
        <v>45744</v>
      </c>
      <c r="R128" s="78" t="s">
        <v>48</v>
      </c>
      <c r="S128" s="36" t="str">
        <f>VLOOKUP(Tabla911[[#This Row],[CODIGO DEL PRODUCTO]],Tabla79[],2,FALSE)</f>
        <v>PIEDRA 6-12</v>
      </c>
      <c r="T128" s="37">
        <v>35340</v>
      </c>
      <c r="U128" s="92"/>
    </row>
    <row r="129" spans="8:24" x14ac:dyDescent="0.25">
      <c r="H129" s="34">
        <v>9477</v>
      </c>
      <c r="I129" s="34" t="s">
        <v>321</v>
      </c>
      <c r="J129" s="35">
        <v>45769</v>
      </c>
      <c r="K129" s="36" t="s">
        <v>42</v>
      </c>
      <c r="L129" s="39" t="str">
        <f>VLOOKUP(Tabla810[[#This Row],[CODIGO DEL PRODUCTO]],Tabla79[],2,FALSE)</f>
        <v>ARENA FINA</v>
      </c>
      <c r="M129" s="37">
        <v>2000</v>
      </c>
      <c r="O129" s="76">
        <v>99423</v>
      </c>
      <c r="P129" s="76" t="s">
        <v>287</v>
      </c>
      <c r="Q129" s="77">
        <v>45744</v>
      </c>
      <c r="R129" s="78" t="s">
        <v>48</v>
      </c>
      <c r="S129" s="36" t="str">
        <f>VLOOKUP(Tabla911[[#This Row],[CODIGO DEL PRODUCTO]],Tabla79[],2,FALSE)</f>
        <v>PIEDRA 6-12</v>
      </c>
      <c r="T129" s="37">
        <v>33920</v>
      </c>
      <c r="U129" s="92"/>
    </row>
    <row r="130" spans="8:24" x14ac:dyDescent="0.25">
      <c r="H130" s="34">
        <v>9508</v>
      </c>
      <c r="I130" s="34" t="s">
        <v>350</v>
      </c>
      <c r="J130" s="35">
        <v>45770</v>
      </c>
      <c r="K130" s="36" t="s">
        <v>42</v>
      </c>
      <c r="L130" s="39" t="str">
        <f>VLOOKUP(Tabla810[[#This Row],[CODIGO DEL PRODUCTO]],Tabla79[],2,FALSE)</f>
        <v>ARENA FINA</v>
      </c>
      <c r="M130" s="37">
        <v>7000</v>
      </c>
      <c r="O130" s="76">
        <v>99426</v>
      </c>
      <c r="P130" s="76" t="s">
        <v>254</v>
      </c>
      <c r="Q130" s="77">
        <v>45744</v>
      </c>
      <c r="R130" s="78" t="s">
        <v>40</v>
      </c>
      <c r="S130" s="36" t="str">
        <f>VLOOKUP(Tabla911[[#This Row],[CODIGO DEL PRODUCTO]],Tabla79[],2,FALSE)</f>
        <v>PIEDRA 0-6</v>
      </c>
      <c r="T130" s="37">
        <v>34000</v>
      </c>
      <c r="U130" s="92"/>
    </row>
    <row r="131" spans="8:24" x14ac:dyDescent="0.25">
      <c r="H131" s="34">
        <v>9517</v>
      </c>
      <c r="I131" s="34" t="s">
        <v>351</v>
      </c>
      <c r="J131" s="35">
        <v>45770</v>
      </c>
      <c r="K131" s="36" t="s">
        <v>42</v>
      </c>
      <c r="L131" s="39" t="str">
        <f>VLOOKUP(Tabla810[[#This Row],[CODIGO DEL PRODUCTO]],Tabla79[],2,FALSE)</f>
        <v>ARENA FINA</v>
      </c>
      <c r="M131" s="37">
        <v>500</v>
      </c>
      <c r="O131" s="76">
        <v>133889</v>
      </c>
      <c r="P131" s="76" t="s">
        <v>219</v>
      </c>
      <c r="Q131" s="77">
        <v>45744</v>
      </c>
      <c r="R131" s="78" t="s">
        <v>40</v>
      </c>
      <c r="S131" s="36" t="str">
        <f>VLOOKUP(Tabla911[[#This Row],[CODIGO DEL PRODUCTO]],Tabla79[],2,FALSE)</f>
        <v>PIEDRA 0-6</v>
      </c>
      <c r="T131" s="37">
        <v>34860</v>
      </c>
      <c r="U131" s="92"/>
    </row>
    <row r="132" spans="8:24" x14ac:dyDescent="0.25">
      <c r="H132" s="34">
        <v>9518</v>
      </c>
      <c r="I132" s="34" t="s">
        <v>352</v>
      </c>
      <c r="J132" s="35">
        <v>45770</v>
      </c>
      <c r="K132" s="36" t="s">
        <v>42</v>
      </c>
      <c r="L132" s="39" t="str">
        <f>VLOOKUP(Tabla810[[#This Row],[CODIGO DEL PRODUCTO]],Tabla79[],2,FALSE)</f>
        <v>ARENA FINA</v>
      </c>
      <c r="M132" s="37">
        <v>6000</v>
      </c>
      <c r="O132" s="76">
        <v>2617620</v>
      </c>
      <c r="P132" s="76" t="s">
        <v>65</v>
      </c>
      <c r="Q132" s="77">
        <v>45744</v>
      </c>
      <c r="R132" s="78" t="s">
        <v>286</v>
      </c>
      <c r="S132" s="36" t="str">
        <f>VLOOKUP(Tabla911[[#This Row],[CODIGO DEL PRODUCTO]],Tabla79[],2,FALSE)</f>
        <v>CPF 40 AVELLANEDA</v>
      </c>
      <c r="T132" s="37">
        <v>32400</v>
      </c>
      <c r="U132" s="92"/>
    </row>
    <row r="133" spans="8:24" x14ac:dyDescent="0.25">
      <c r="H133" s="34">
        <v>9520</v>
      </c>
      <c r="I133" s="34" t="s">
        <v>352</v>
      </c>
      <c r="J133" s="35">
        <v>45771</v>
      </c>
      <c r="K133" s="36" t="s">
        <v>43</v>
      </c>
      <c r="L133" s="39" t="str">
        <f>VLOOKUP(Tabla810[[#This Row],[CODIGO DEL PRODUCTO]],Tabla79[],2,FALSE)</f>
        <v>PIEDRA 6-20</v>
      </c>
      <c r="M133" s="37">
        <v>6000</v>
      </c>
      <c r="O133" s="76">
        <v>100118</v>
      </c>
      <c r="P133" s="76" t="s">
        <v>235</v>
      </c>
      <c r="Q133" s="77">
        <v>45744</v>
      </c>
      <c r="R133" s="78" t="s">
        <v>42</v>
      </c>
      <c r="S133" s="36" t="str">
        <f>VLOOKUP(Tabla911[[#This Row],[CODIGO DEL PRODUCTO]],Tabla79[],2,FALSE)</f>
        <v>ARENA FINA</v>
      </c>
      <c r="T133" s="37">
        <v>38360</v>
      </c>
      <c r="U133" s="92"/>
    </row>
    <row r="134" spans="8:24" x14ac:dyDescent="0.25">
      <c r="H134" s="34">
        <v>9529</v>
      </c>
      <c r="I134" s="34" t="s">
        <v>353</v>
      </c>
      <c r="J134" s="35">
        <v>45771</v>
      </c>
      <c r="K134" s="36" t="s">
        <v>42</v>
      </c>
      <c r="L134" s="39" t="str">
        <f>VLOOKUP(Tabla810[[#This Row],[CODIGO DEL PRODUCTO]],Tabla79[],2,FALSE)</f>
        <v>ARENA FINA</v>
      </c>
      <c r="M134" s="37">
        <v>4000</v>
      </c>
      <c r="O134" s="76">
        <v>99448</v>
      </c>
      <c r="P134" s="76" t="s">
        <v>234</v>
      </c>
      <c r="Q134" s="77">
        <v>45745</v>
      </c>
      <c r="R134" s="78" t="s">
        <v>40</v>
      </c>
      <c r="S134" s="36" t="str">
        <f>VLOOKUP(Tabla911[[#This Row],[CODIGO DEL PRODUCTO]],Tabla79[],2,FALSE)</f>
        <v>PIEDRA 0-6</v>
      </c>
      <c r="T134" s="37">
        <v>34200</v>
      </c>
      <c r="U134" s="92"/>
    </row>
    <row r="135" spans="8:24" x14ac:dyDescent="0.25">
      <c r="H135" s="34">
        <v>9536</v>
      </c>
      <c r="I135" s="34" t="s">
        <v>354</v>
      </c>
      <c r="J135" s="35">
        <v>45771</v>
      </c>
      <c r="K135" s="36" t="s">
        <v>42</v>
      </c>
      <c r="L135" s="39" t="str">
        <f>VLOOKUP(Tabla810[[#This Row],[CODIGO DEL PRODUCTO]],Tabla79[],2,FALSE)</f>
        <v>ARENA FINA</v>
      </c>
      <c r="M135" s="37">
        <v>4000</v>
      </c>
      <c r="O135" s="76">
        <v>99455</v>
      </c>
      <c r="P135" s="76" t="s">
        <v>287</v>
      </c>
      <c r="Q135" s="77">
        <v>45745</v>
      </c>
      <c r="R135" s="78" t="s">
        <v>48</v>
      </c>
      <c r="S135" s="36" t="str">
        <f>VLOOKUP(Tabla911[[#This Row],[CODIGO DEL PRODUCTO]],Tabla79[],2,FALSE)</f>
        <v>PIEDRA 6-12</v>
      </c>
      <c r="T135" s="37">
        <v>34740</v>
      </c>
      <c r="U135" s="92"/>
    </row>
    <row r="136" spans="8:24" x14ac:dyDescent="0.25">
      <c r="H136" s="34">
        <v>9550</v>
      </c>
      <c r="I136" s="34" t="s">
        <v>341</v>
      </c>
      <c r="J136" s="35">
        <v>45772</v>
      </c>
      <c r="K136" s="36" t="s">
        <v>42</v>
      </c>
      <c r="L136" s="39" t="str">
        <f>VLOOKUP(Tabla810[[#This Row],[CODIGO DEL PRODUCTO]],Tabla79[],2,FALSE)</f>
        <v>ARENA FINA</v>
      </c>
      <c r="M136" s="37">
        <v>11200</v>
      </c>
      <c r="O136" s="76">
        <v>133917</v>
      </c>
      <c r="P136" s="76" t="s">
        <v>317</v>
      </c>
      <c r="Q136" s="77">
        <v>45745</v>
      </c>
      <c r="R136" s="78" t="s">
        <v>40</v>
      </c>
      <c r="S136" s="36" t="str">
        <f>VLOOKUP(Tabla911[[#This Row],[CODIGO DEL PRODUCTO]],Tabla79[],2,FALSE)</f>
        <v>PIEDRA 0-6</v>
      </c>
      <c r="T136" s="37">
        <v>34980</v>
      </c>
      <c r="U136" s="92"/>
    </row>
    <row r="137" spans="8:24" x14ac:dyDescent="0.25">
      <c r="H137" s="34">
        <v>9572</v>
      </c>
      <c r="I137" s="34" t="s">
        <v>312</v>
      </c>
      <c r="J137" s="35">
        <v>45772</v>
      </c>
      <c r="K137" s="36" t="s">
        <v>40</v>
      </c>
      <c r="L137" s="39" t="str">
        <f>VLOOKUP(Tabla810[[#This Row],[CODIGO DEL PRODUCTO]],Tabla79[],2,FALSE)</f>
        <v>PIEDRA 0-6</v>
      </c>
      <c r="M137" s="37">
        <v>500</v>
      </c>
      <c r="O137" s="76">
        <v>2617826</v>
      </c>
      <c r="P137" s="76" t="s">
        <v>65</v>
      </c>
      <c r="Q137" s="77">
        <v>45745</v>
      </c>
      <c r="R137" s="78" t="s">
        <v>286</v>
      </c>
      <c r="S137" s="36" t="str">
        <f>VLOOKUP(Tabla911[[#This Row],[CODIGO DEL PRODUCTO]],Tabla79[],2,FALSE)</f>
        <v>CPF 40 AVELLANEDA</v>
      </c>
      <c r="T137" s="37">
        <v>32220</v>
      </c>
      <c r="U137" s="92"/>
    </row>
    <row r="138" spans="8:24" x14ac:dyDescent="0.25">
      <c r="H138" s="34">
        <v>9575</v>
      </c>
      <c r="I138" s="34" t="s">
        <v>250</v>
      </c>
      <c r="J138" s="35">
        <v>45775</v>
      </c>
      <c r="K138" s="36" t="s">
        <v>43</v>
      </c>
      <c r="L138" s="39" t="str">
        <f>VLOOKUP(Tabla810[[#This Row],[CODIGO DEL PRODUCTO]],Tabla79[],2,FALSE)</f>
        <v>PIEDRA 6-20</v>
      </c>
      <c r="M138" s="37">
        <v>23640</v>
      </c>
      <c r="O138" s="76">
        <v>22265</v>
      </c>
      <c r="P138" s="76" t="s">
        <v>235</v>
      </c>
      <c r="Q138" s="77">
        <v>45747</v>
      </c>
      <c r="R138" s="78" t="s">
        <v>42</v>
      </c>
      <c r="S138" s="36" t="str">
        <f>VLOOKUP(Tabla911[[#This Row],[CODIGO DEL PRODUCTO]],Tabla79[],2,FALSE)</f>
        <v>ARENA FINA</v>
      </c>
      <c r="T138" s="37">
        <v>37540</v>
      </c>
      <c r="U138" s="92"/>
    </row>
    <row r="139" spans="8:24" x14ac:dyDescent="0.25">
      <c r="H139" s="34">
        <v>9577</v>
      </c>
      <c r="I139" s="34" t="s">
        <v>250</v>
      </c>
      <c r="J139" s="35">
        <v>45775</v>
      </c>
      <c r="K139" s="36" t="s">
        <v>42</v>
      </c>
      <c r="L139" s="39" t="str">
        <f>VLOOKUP(Tabla810[[#This Row],[CODIGO DEL PRODUCTO]],Tabla79[],2,FALSE)</f>
        <v>ARENA FINA</v>
      </c>
      <c r="M139" s="37">
        <v>21460</v>
      </c>
      <c r="O139" s="76">
        <v>22266</v>
      </c>
      <c r="P139" s="76" t="s">
        <v>235</v>
      </c>
      <c r="Q139" s="77">
        <v>45747</v>
      </c>
      <c r="R139" s="78" t="s">
        <v>42</v>
      </c>
      <c r="S139" s="36" t="str">
        <f>VLOOKUP(Tabla911[[#This Row],[CODIGO DEL PRODUCTO]],Tabla79[],2,FALSE)</f>
        <v>ARENA FINA</v>
      </c>
      <c r="T139" s="37">
        <v>37600</v>
      </c>
      <c r="U139" s="92"/>
    </row>
    <row r="140" spans="8:24" x14ac:dyDescent="0.25">
      <c r="H140" s="34">
        <v>9581</v>
      </c>
      <c r="I140" s="34" t="s">
        <v>250</v>
      </c>
      <c r="J140" s="35">
        <v>45775</v>
      </c>
      <c r="K140" s="36" t="s">
        <v>42</v>
      </c>
      <c r="L140" s="39" t="str">
        <f>VLOOKUP(Tabla810[[#This Row],[CODIGO DEL PRODUCTO]],Tabla79[],2,FALSE)</f>
        <v>ARENA FINA</v>
      </c>
      <c r="M140" s="37">
        <v>21320</v>
      </c>
      <c r="O140" s="76">
        <v>99480</v>
      </c>
      <c r="P140" s="76" t="s">
        <v>218</v>
      </c>
      <c r="Q140" s="77">
        <v>45747</v>
      </c>
      <c r="R140" s="78" t="s">
        <v>48</v>
      </c>
      <c r="S140" s="36" t="str">
        <f>VLOOKUP(Tabla911[[#This Row],[CODIGO DEL PRODUCTO]],Tabla79[],2,FALSE)</f>
        <v>PIEDRA 6-12</v>
      </c>
      <c r="T140" s="37">
        <v>35960</v>
      </c>
      <c r="U140" s="92"/>
    </row>
    <row r="141" spans="8:24" x14ac:dyDescent="0.25">
      <c r="H141" s="34">
        <v>9586</v>
      </c>
      <c r="I141" s="34" t="s">
        <v>358</v>
      </c>
      <c r="J141" s="35">
        <v>45775</v>
      </c>
      <c r="K141" s="36" t="s">
        <v>42</v>
      </c>
      <c r="L141" s="39" t="str">
        <f>VLOOKUP(Tabla810[[#This Row],[CODIGO DEL PRODUCTO]],Tabla79[],2,FALSE)</f>
        <v>ARENA FINA</v>
      </c>
      <c r="M141" s="37">
        <v>1000</v>
      </c>
      <c r="O141" s="76">
        <v>99481</v>
      </c>
      <c r="P141" s="76" t="s">
        <v>234</v>
      </c>
      <c r="Q141" s="77">
        <v>45747</v>
      </c>
      <c r="R141" s="78" t="s">
        <v>40</v>
      </c>
      <c r="S141" s="36" t="str">
        <f>VLOOKUP(Tabla911[[#This Row],[CODIGO DEL PRODUCTO]],Tabla79[],2,FALSE)</f>
        <v>PIEDRA 0-6</v>
      </c>
      <c r="T141" s="37">
        <v>35120</v>
      </c>
      <c r="U141" s="92"/>
    </row>
    <row r="142" spans="8:24" x14ac:dyDescent="0.25">
      <c r="H142" s="34"/>
      <c r="I142" s="34"/>
      <c r="J142" s="35">
        <v>45775</v>
      </c>
      <c r="K142" s="36" t="s">
        <v>43</v>
      </c>
      <c r="L142" s="39" t="str">
        <f>VLOOKUP(Tabla810[[#This Row],[CODIGO DEL PRODUCTO]],Tabla79[],2,FALSE)</f>
        <v>PIEDRA 6-20</v>
      </c>
      <c r="M142" s="37">
        <v>1000</v>
      </c>
      <c r="O142" s="76">
        <v>99498</v>
      </c>
      <c r="P142" s="76" t="s">
        <v>318</v>
      </c>
      <c r="Q142" s="77">
        <v>45747</v>
      </c>
      <c r="R142" s="78" t="s">
        <v>40</v>
      </c>
      <c r="S142" s="36" t="str">
        <f>VLOOKUP(Tabla911[[#This Row],[CODIGO DEL PRODUCTO]],Tabla79[],2,FALSE)</f>
        <v>PIEDRA 0-6</v>
      </c>
      <c r="T142" s="37">
        <v>34620</v>
      </c>
      <c r="U142" s="92"/>
    </row>
    <row r="143" spans="8:24" x14ac:dyDescent="0.25">
      <c r="H143" s="34">
        <v>9601</v>
      </c>
      <c r="I143" s="34" t="s">
        <v>190</v>
      </c>
      <c r="J143" s="35">
        <v>45776</v>
      </c>
      <c r="K143" s="36" t="s">
        <v>42</v>
      </c>
      <c r="L143" s="39" t="str">
        <f>VLOOKUP(Tabla810[[#This Row],[CODIGO DEL PRODUCTO]],Tabla79[],2,FALSE)</f>
        <v>ARENA FINA</v>
      </c>
      <c r="M143" s="37">
        <v>1000</v>
      </c>
      <c r="O143" s="76">
        <v>2618203</v>
      </c>
      <c r="P143" s="76" t="s">
        <v>65</v>
      </c>
      <c r="Q143" s="77">
        <v>45747</v>
      </c>
      <c r="R143" s="78" t="s">
        <v>286</v>
      </c>
      <c r="S143" s="36" t="str">
        <f>VLOOKUP(Tabla911[[#This Row],[CODIGO DEL PRODUCTO]],Tabla79[],2,FALSE)</f>
        <v>CPF 40 AVELLANEDA</v>
      </c>
      <c r="T143" s="37">
        <v>32200</v>
      </c>
      <c r="U143" s="92"/>
    </row>
    <row r="144" spans="8:24" x14ac:dyDescent="0.25">
      <c r="H144" s="34">
        <v>9607</v>
      </c>
      <c r="I144" s="34" t="s">
        <v>335</v>
      </c>
      <c r="J144" s="35">
        <v>45776</v>
      </c>
      <c r="K144" s="36" t="s">
        <v>42</v>
      </c>
      <c r="L144" s="39" t="str">
        <f>VLOOKUP(Tabla810[[#This Row],[CODIGO DEL PRODUCTO]],Tabla79[],2,FALSE)</f>
        <v>ARENA FINA</v>
      </c>
      <c r="M144" s="37">
        <v>3000</v>
      </c>
      <c r="O144" s="76">
        <v>100149</v>
      </c>
      <c r="P144" s="76" t="s">
        <v>235</v>
      </c>
      <c r="Q144" s="77">
        <v>45748</v>
      </c>
      <c r="R144" s="78" t="s">
        <v>42</v>
      </c>
      <c r="S144" s="36" t="str">
        <f>VLOOKUP(Tabla911[[#This Row],[CODIGO DEL PRODUCTO]],Tabla79[],2,FALSE)</f>
        <v>ARENA FINA</v>
      </c>
      <c r="T144" s="37">
        <v>37800</v>
      </c>
      <c r="U144" s="92"/>
      <c r="V144" s="7">
        <v>45748</v>
      </c>
      <c r="W144" t="s">
        <v>323</v>
      </c>
      <c r="X144" t="s">
        <v>324</v>
      </c>
    </row>
    <row r="145" spans="8:21" x14ac:dyDescent="0.25">
      <c r="H145" s="34">
        <v>9609</v>
      </c>
      <c r="I145" s="34" t="s">
        <v>341</v>
      </c>
      <c r="J145" s="35">
        <v>45776</v>
      </c>
      <c r="K145" s="36" t="s">
        <v>42</v>
      </c>
      <c r="L145" s="39" t="str">
        <f>VLOOKUP(Tabla810[[#This Row],[CODIGO DEL PRODUCTO]],Tabla79[],2,FALSE)</f>
        <v>ARENA FINA</v>
      </c>
      <c r="M145" s="37">
        <v>31940</v>
      </c>
      <c r="O145" s="76">
        <v>100159</v>
      </c>
      <c r="P145" s="76" t="s">
        <v>235</v>
      </c>
      <c r="Q145" s="77">
        <v>45748</v>
      </c>
      <c r="R145" s="78" t="s">
        <v>42</v>
      </c>
      <c r="S145" s="36" t="str">
        <f>VLOOKUP(Tabla911[[#This Row],[CODIGO DEL PRODUCTO]],Tabla79[],2,FALSE)</f>
        <v>ARENA FINA</v>
      </c>
      <c r="T145" s="37">
        <v>37880</v>
      </c>
      <c r="U145" s="92"/>
    </row>
    <row r="146" spans="8:21" x14ac:dyDescent="0.25">
      <c r="H146" s="34">
        <v>9656</v>
      </c>
      <c r="I146" s="34" t="s">
        <v>365</v>
      </c>
      <c r="J146" s="35">
        <v>45779</v>
      </c>
      <c r="K146" s="36" t="s">
        <v>42</v>
      </c>
      <c r="L146" s="39" t="str">
        <f>VLOOKUP(Tabla810[[#This Row],[CODIGO DEL PRODUCTO]],Tabla79[],2,FALSE)</f>
        <v>ARENA FINA</v>
      </c>
      <c r="M146" s="37">
        <v>8000</v>
      </c>
      <c r="O146" s="76">
        <v>99522</v>
      </c>
      <c r="P146" s="76" t="s">
        <v>218</v>
      </c>
      <c r="Q146" s="77">
        <v>45748</v>
      </c>
      <c r="R146" s="78" t="s">
        <v>48</v>
      </c>
      <c r="S146" s="36" t="str">
        <f>VLOOKUP(Tabla911[[#This Row],[CODIGO DEL PRODUCTO]],Tabla79[],2,FALSE)</f>
        <v>PIEDRA 6-12</v>
      </c>
      <c r="T146" s="37">
        <v>35520</v>
      </c>
      <c r="U146" s="92"/>
    </row>
    <row r="147" spans="8:21" x14ac:dyDescent="0.25">
      <c r="H147" s="34">
        <v>9662</v>
      </c>
      <c r="I147" s="34" t="s">
        <v>365</v>
      </c>
      <c r="J147" s="35">
        <v>45779</v>
      </c>
      <c r="K147" s="36" t="s">
        <v>43</v>
      </c>
      <c r="L147" s="39" t="str">
        <f>VLOOKUP(Tabla810[[#This Row],[CODIGO DEL PRODUCTO]],Tabla79[],2,FALSE)</f>
        <v>PIEDRA 6-20</v>
      </c>
      <c r="M147" s="37">
        <v>6000</v>
      </c>
      <c r="O147" s="76">
        <v>99525</v>
      </c>
      <c r="P147" s="76" t="s">
        <v>318</v>
      </c>
      <c r="Q147" s="77">
        <v>45748</v>
      </c>
      <c r="R147" s="78" t="s">
        <v>40</v>
      </c>
      <c r="S147" s="36" t="str">
        <f>VLOOKUP(Tabla911[[#This Row],[CODIGO DEL PRODUCTO]],Tabla79[],2,FALSE)</f>
        <v>PIEDRA 0-6</v>
      </c>
      <c r="T147" s="37">
        <v>34140</v>
      </c>
      <c r="U147" s="92"/>
    </row>
    <row r="148" spans="8:21" x14ac:dyDescent="0.25">
      <c r="H148" s="34">
        <v>9669</v>
      </c>
      <c r="I148" s="34" t="s">
        <v>283</v>
      </c>
      <c r="J148" s="35">
        <v>45779</v>
      </c>
      <c r="K148" s="36" t="s">
        <v>42</v>
      </c>
      <c r="L148" s="39" t="str">
        <f>VLOOKUP(Tabla810[[#This Row],[CODIGO DEL PRODUCTO]],Tabla79[],2,FALSE)</f>
        <v>ARENA FINA</v>
      </c>
      <c r="M148" s="37">
        <v>1000</v>
      </c>
      <c r="O148" s="76">
        <v>99537</v>
      </c>
      <c r="P148" s="76" t="s">
        <v>234</v>
      </c>
      <c r="Q148" s="77">
        <v>45748</v>
      </c>
      <c r="R148" s="78" t="s">
        <v>40</v>
      </c>
      <c r="S148" s="36" t="str">
        <f>VLOOKUP(Tabla911[[#This Row],[CODIGO DEL PRODUCTO]],Tabla79[],2,FALSE)</f>
        <v>PIEDRA 0-6</v>
      </c>
      <c r="T148" s="37">
        <v>35640</v>
      </c>
      <c r="U148" s="92"/>
    </row>
    <row r="149" spans="8:21" x14ac:dyDescent="0.25">
      <c r="H149" s="34">
        <v>9670</v>
      </c>
      <c r="I149" s="34" t="s">
        <v>298</v>
      </c>
      <c r="J149" s="35">
        <v>45779</v>
      </c>
      <c r="K149" s="36" t="s">
        <v>42</v>
      </c>
      <c r="L149" s="39" t="str">
        <f>VLOOKUP(Tabla810[[#This Row],[CODIGO DEL PRODUCTO]],Tabla79[],2,FALSE)</f>
        <v>ARENA FINA</v>
      </c>
      <c r="M149" s="37">
        <v>5000</v>
      </c>
      <c r="O149" s="76">
        <v>2618509</v>
      </c>
      <c r="P149" s="76" t="s">
        <v>65</v>
      </c>
      <c r="Q149" s="77">
        <v>45748</v>
      </c>
      <c r="R149" s="78" t="s">
        <v>286</v>
      </c>
      <c r="S149" s="36" t="str">
        <f>VLOOKUP(Tabla911[[#This Row],[CODIGO DEL PRODUCTO]],Tabla79[],2,FALSE)</f>
        <v>CPF 40 AVELLANEDA</v>
      </c>
      <c r="T149" s="37">
        <v>32340</v>
      </c>
      <c r="U149" s="92"/>
    </row>
    <row r="150" spans="8:21" x14ac:dyDescent="0.25">
      <c r="H150" s="34">
        <v>9674</v>
      </c>
      <c r="I150" s="34" t="s">
        <v>203</v>
      </c>
      <c r="J150" s="35">
        <v>45779</v>
      </c>
      <c r="K150" s="36" t="s">
        <v>42</v>
      </c>
      <c r="L150" s="39" t="str">
        <f>VLOOKUP(Tabla810[[#This Row],[CODIGO DEL PRODUCTO]],Tabla79[],2,FALSE)</f>
        <v>ARENA FINA</v>
      </c>
      <c r="M150" s="37">
        <v>3000</v>
      </c>
      <c r="O150" s="76">
        <v>100173</v>
      </c>
      <c r="P150" s="76" t="s">
        <v>235</v>
      </c>
      <c r="Q150" s="77">
        <v>45750</v>
      </c>
      <c r="R150" s="78" t="s">
        <v>42</v>
      </c>
      <c r="S150" s="36" t="str">
        <f>VLOOKUP(Tabla911[[#This Row],[CODIGO DEL PRODUCTO]],Tabla79[],2,FALSE)</f>
        <v>ARENA FINA</v>
      </c>
      <c r="T150" s="37">
        <v>37880</v>
      </c>
      <c r="U150" s="92"/>
    </row>
    <row r="151" spans="8:21" x14ac:dyDescent="0.25">
      <c r="H151" s="34">
        <v>9705</v>
      </c>
      <c r="I151" s="34" t="s">
        <v>313</v>
      </c>
      <c r="J151" s="35">
        <v>45783</v>
      </c>
      <c r="K151" s="36" t="s">
        <v>43</v>
      </c>
      <c r="L151" s="39" t="str">
        <f>VLOOKUP(Tabla810[[#This Row],[CODIGO DEL PRODUCTO]],Tabla79[],2,FALSE)</f>
        <v>PIEDRA 6-20</v>
      </c>
      <c r="M151" s="37">
        <v>6000</v>
      </c>
      <c r="O151" s="76">
        <v>100175</v>
      </c>
      <c r="P151" s="76" t="s">
        <v>235</v>
      </c>
      <c r="Q151" s="77">
        <v>45750</v>
      </c>
      <c r="R151" s="78" t="s">
        <v>42</v>
      </c>
      <c r="S151" s="36" t="str">
        <f>VLOOKUP(Tabla911[[#This Row],[CODIGO DEL PRODUCTO]],Tabla79[],2,FALSE)</f>
        <v>ARENA FINA</v>
      </c>
      <c r="T151" s="37">
        <v>37280</v>
      </c>
      <c r="U151" s="92"/>
    </row>
    <row r="152" spans="8:21" x14ac:dyDescent="0.25">
      <c r="H152" s="34">
        <v>9714</v>
      </c>
      <c r="I152" s="34" t="s">
        <v>313</v>
      </c>
      <c r="J152" s="35">
        <v>45783</v>
      </c>
      <c r="K152" s="36" t="s">
        <v>43</v>
      </c>
      <c r="L152" s="39" t="str">
        <f>VLOOKUP(Tabla810[[#This Row],[CODIGO DEL PRODUCTO]],Tabla79[],2,FALSE)</f>
        <v>PIEDRA 6-20</v>
      </c>
      <c r="M152" s="37">
        <v>5000</v>
      </c>
      <c r="O152" s="76">
        <v>99586</v>
      </c>
      <c r="P152" s="76" t="s">
        <v>218</v>
      </c>
      <c r="Q152" s="77">
        <v>45750</v>
      </c>
      <c r="R152" s="78" t="s">
        <v>48</v>
      </c>
      <c r="S152" s="36" t="str">
        <f>VLOOKUP(Tabla911[[#This Row],[CODIGO DEL PRODUCTO]],Tabla79[],2,FALSE)</f>
        <v>PIEDRA 6-12</v>
      </c>
      <c r="T152" s="37">
        <v>36240</v>
      </c>
      <c r="U152" s="92"/>
    </row>
    <row r="153" spans="8:21" x14ac:dyDescent="0.25">
      <c r="H153" s="34">
        <v>9720</v>
      </c>
      <c r="I153" s="34" t="s">
        <v>366</v>
      </c>
      <c r="J153" s="35">
        <v>45784</v>
      </c>
      <c r="K153" s="36" t="s">
        <v>42</v>
      </c>
      <c r="L153" s="39" t="str">
        <f>VLOOKUP(Tabla810[[#This Row],[CODIGO DEL PRODUCTO]],Tabla79[],2,FALSE)</f>
        <v>ARENA FINA</v>
      </c>
      <c r="M153" s="37">
        <v>5500</v>
      </c>
      <c r="O153" s="76">
        <v>99593</v>
      </c>
      <c r="P153" s="76" t="s">
        <v>318</v>
      </c>
      <c r="Q153" s="77">
        <v>45750</v>
      </c>
      <c r="R153" s="78" t="s">
        <v>40</v>
      </c>
      <c r="S153" s="36" t="str">
        <f>VLOOKUP(Tabla911[[#This Row],[CODIGO DEL PRODUCTO]],Tabla79[],2,FALSE)</f>
        <v>PIEDRA 0-6</v>
      </c>
      <c r="T153" s="37">
        <v>33660</v>
      </c>
      <c r="U153" s="92"/>
    </row>
    <row r="154" spans="8:21" x14ac:dyDescent="0.25">
      <c r="H154" s="34">
        <v>9741</v>
      </c>
      <c r="I154" s="34" t="s">
        <v>371</v>
      </c>
      <c r="J154" s="35">
        <v>45786</v>
      </c>
      <c r="K154" s="36" t="s">
        <v>372</v>
      </c>
      <c r="L154" s="39" t="str">
        <f>VLOOKUP(Tabla810[[#This Row],[CODIGO DEL PRODUCTO]],Tabla79[],2,FALSE)</f>
        <v xml:space="preserve">ESTABILIZADO GRANULOMETRICO 0/20 </v>
      </c>
      <c r="M154" s="37">
        <v>28420</v>
      </c>
      <c r="O154" s="76">
        <v>99601</v>
      </c>
      <c r="P154" s="76" t="s">
        <v>234</v>
      </c>
      <c r="Q154" s="77">
        <v>45750</v>
      </c>
      <c r="R154" s="78" t="s">
        <v>40</v>
      </c>
      <c r="S154" s="36" t="str">
        <f>VLOOKUP(Tabla911[[#This Row],[CODIGO DEL PRODUCTO]],Tabla79[],2,FALSE)</f>
        <v>PIEDRA 0-6</v>
      </c>
      <c r="T154" s="37">
        <v>35560</v>
      </c>
      <c r="U154" s="92"/>
    </row>
    <row r="155" spans="8:21" x14ac:dyDescent="0.25">
      <c r="H155" s="34">
        <v>9747</v>
      </c>
      <c r="I155" s="34" t="s">
        <v>335</v>
      </c>
      <c r="J155" s="35">
        <v>45786</v>
      </c>
      <c r="K155" s="36" t="s">
        <v>42</v>
      </c>
      <c r="L155" s="39" t="str">
        <f>VLOOKUP(Tabla810[[#This Row],[CODIGO DEL PRODUCTO]],Tabla79[],2,FALSE)</f>
        <v>ARENA FINA</v>
      </c>
      <c r="M155" s="37">
        <v>2000</v>
      </c>
      <c r="O155" s="76">
        <v>2618812</v>
      </c>
      <c r="P155" s="76" t="s">
        <v>65</v>
      </c>
      <c r="Q155" s="77">
        <v>45750</v>
      </c>
      <c r="R155" s="78" t="s">
        <v>286</v>
      </c>
      <c r="S155" s="36" t="str">
        <f>VLOOKUP(Tabla911[[#This Row],[CODIGO DEL PRODUCTO]],Tabla79[],2,FALSE)</f>
        <v>CPF 40 AVELLANEDA</v>
      </c>
      <c r="T155" s="37">
        <v>32180</v>
      </c>
      <c r="U155" s="92"/>
    </row>
    <row r="156" spans="8:21" x14ac:dyDescent="0.25">
      <c r="H156" s="34">
        <v>9755</v>
      </c>
      <c r="I156" s="34" t="s">
        <v>242</v>
      </c>
      <c r="J156" s="35">
        <v>45789</v>
      </c>
      <c r="K156" s="36" t="s">
        <v>42</v>
      </c>
      <c r="L156" s="39" t="str">
        <f>VLOOKUP(Tabla810[[#This Row],[CODIGO DEL PRODUCTO]],Tabla79[],2,FALSE)</f>
        <v>ARENA FINA</v>
      </c>
      <c r="M156" s="37">
        <v>4000</v>
      </c>
      <c r="O156" s="76">
        <v>100188</v>
      </c>
      <c r="P156" s="76" t="s">
        <v>235</v>
      </c>
      <c r="Q156" s="77">
        <v>45751</v>
      </c>
      <c r="R156" s="78" t="s">
        <v>42</v>
      </c>
      <c r="S156" s="36" t="str">
        <f>VLOOKUP(Tabla911[[#This Row],[CODIGO DEL PRODUCTO]],Tabla79[],2,FALSE)</f>
        <v>ARENA FINA</v>
      </c>
      <c r="T156" s="37">
        <v>37880</v>
      </c>
      <c r="U156" s="92"/>
    </row>
    <row r="157" spans="8:21" x14ac:dyDescent="0.25">
      <c r="H157" s="34">
        <v>9773</v>
      </c>
      <c r="I157" s="34" t="s">
        <v>321</v>
      </c>
      <c r="J157" s="35">
        <v>45789</v>
      </c>
      <c r="K157" s="36" t="s">
        <v>42</v>
      </c>
      <c r="L157" s="39" t="str">
        <f>VLOOKUP(Tabla810[[#This Row],[CODIGO DEL PRODUCTO]],Tabla79[],2,FALSE)</f>
        <v>ARENA FINA</v>
      </c>
      <c r="M157" s="37">
        <v>3000</v>
      </c>
      <c r="O157" s="76">
        <v>99622</v>
      </c>
      <c r="P157" s="76" t="s">
        <v>218</v>
      </c>
      <c r="Q157" s="77">
        <v>45751</v>
      </c>
      <c r="R157" s="78" t="s">
        <v>48</v>
      </c>
      <c r="S157" s="36" t="str">
        <f>VLOOKUP(Tabla911[[#This Row],[CODIGO DEL PRODUCTO]],Tabla79[],2,FALSE)</f>
        <v>PIEDRA 6-12</v>
      </c>
      <c r="T157" s="37">
        <v>35700</v>
      </c>
      <c r="U157" s="92"/>
    </row>
    <row r="158" spans="8:21" x14ac:dyDescent="0.25">
      <c r="H158" s="34">
        <v>9777</v>
      </c>
      <c r="I158" s="34" t="s">
        <v>313</v>
      </c>
      <c r="J158" s="35">
        <v>45789</v>
      </c>
      <c r="K158" s="36" t="s">
        <v>43</v>
      </c>
      <c r="L158" s="39" t="str">
        <f>VLOOKUP(Tabla810[[#This Row],[CODIGO DEL PRODUCTO]],Tabla79[],2,FALSE)</f>
        <v>PIEDRA 6-20</v>
      </c>
      <c r="M158" s="37">
        <v>5000</v>
      </c>
      <c r="O158" s="76">
        <v>99626</v>
      </c>
      <c r="P158" s="76" t="s">
        <v>318</v>
      </c>
      <c r="Q158" s="77">
        <v>45751</v>
      </c>
      <c r="R158" s="78" t="s">
        <v>40</v>
      </c>
      <c r="S158" s="36" t="str">
        <f>VLOOKUP(Tabla911[[#This Row],[CODIGO DEL PRODUCTO]],Tabla79[],2,FALSE)</f>
        <v>PIEDRA 0-6</v>
      </c>
      <c r="T158" s="37">
        <v>33800</v>
      </c>
      <c r="U158" s="92"/>
    </row>
    <row r="159" spans="8:21" x14ac:dyDescent="0.25">
      <c r="H159" s="34">
        <v>9823</v>
      </c>
      <c r="I159" s="34" t="s">
        <v>374</v>
      </c>
      <c r="J159" s="35">
        <v>45790</v>
      </c>
      <c r="K159" s="36" t="s">
        <v>42</v>
      </c>
      <c r="L159" s="39" t="str">
        <f>VLOOKUP(Tabla810[[#This Row],[CODIGO DEL PRODUCTO]],Tabla79[],2,FALSE)</f>
        <v>ARENA FINA</v>
      </c>
      <c r="M159" s="37">
        <v>32000</v>
      </c>
      <c r="O159" s="76">
        <v>99639</v>
      </c>
      <c r="P159" s="76" t="s">
        <v>234</v>
      </c>
      <c r="Q159" s="77">
        <v>45751</v>
      </c>
      <c r="R159" s="78" t="s">
        <v>40</v>
      </c>
      <c r="S159" s="36" t="str">
        <f>VLOOKUP(Tabla911[[#This Row],[CODIGO DEL PRODUCTO]],Tabla79[],2,FALSE)</f>
        <v>PIEDRA 0-6</v>
      </c>
      <c r="T159" s="37">
        <v>34500</v>
      </c>
      <c r="U159" s="92"/>
    </row>
    <row r="160" spans="8:21" x14ac:dyDescent="0.25">
      <c r="H160" s="34">
        <v>9816</v>
      </c>
      <c r="I160" s="34" t="s">
        <v>335</v>
      </c>
      <c r="J160" s="35">
        <v>45790</v>
      </c>
      <c r="K160" s="36" t="s">
        <v>42</v>
      </c>
      <c r="L160" s="39" t="str">
        <f>VLOOKUP(Tabla810[[#This Row],[CODIGO DEL PRODUCTO]],Tabla79[],2,FALSE)</f>
        <v>ARENA FINA</v>
      </c>
      <c r="M160" s="37">
        <v>2000</v>
      </c>
      <c r="O160" s="76">
        <v>2619086</v>
      </c>
      <c r="P160" s="76" t="s">
        <v>65</v>
      </c>
      <c r="Q160" s="77">
        <v>45751</v>
      </c>
      <c r="R160" s="78" t="s">
        <v>286</v>
      </c>
      <c r="S160" s="36" t="str">
        <f>VLOOKUP(Tabla911[[#This Row],[CODIGO DEL PRODUCTO]],Tabla79[],2,FALSE)</f>
        <v>CPF 40 AVELLANEDA</v>
      </c>
      <c r="T160" s="37">
        <v>32120</v>
      </c>
      <c r="U160" s="92"/>
    </row>
    <row r="161" spans="8:21" x14ac:dyDescent="0.25">
      <c r="H161" s="34">
        <v>9841</v>
      </c>
      <c r="I161" s="34" t="s">
        <v>313</v>
      </c>
      <c r="J161" s="35">
        <v>45791</v>
      </c>
      <c r="K161" s="36" t="s">
        <v>48</v>
      </c>
      <c r="L161" s="39" t="str">
        <f>VLOOKUP(Tabla810[[#This Row],[CODIGO DEL PRODUCTO]],Tabla79[],2,FALSE)</f>
        <v>PIEDRA 6-12</v>
      </c>
      <c r="M161" s="37">
        <v>4000</v>
      </c>
      <c r="O161" s="76">
        <v>99657</v>
      </c>
      <c r="P161" s="76" t="s">
        <v>197</v>
      </c>
      <c r="Q161" s="77">
        <v>45752</v>
      </c>
      <c r="R161" s="78" t="s">
        <v>40</v>
      </c>
      <c r="S161" s="36" t="str">
        <f>VLOOKUP(Tabla911[[#This Row],[CODIGO DEL PRODUCTO]],Tabla79[],2,FALSE)</f>
        <v>PIEDRA 0-6</v>
      </c>
      <c r="T161" s="37">
        <v>34880</v>
      </c>
      <c r="U161" s="92"/>
    </row>
    <row r="162" spans="8:21" x14ac:dyDescent="0.25">
      <c r="H162" s="34">
        <v>9842</v>
      </c>
      <c r="I162" s="34" t="s">
        <v>313</v>
      </c>
      <c r="J162" s="35">
        <v>45791</v>
      </c>
      <c r="K162" s="36" t="s">
        <v>48</v>
      </c>
      <c r="L162" s="39" t="str">
        <f>VLOOKUP(Tabla810[[#This Row],[CODIGO DEL PRODUCTO]],Tabla79[],2,FALSE)</f>
        <v>PIEDRA 6-12</v>
      </c>
      <c r="M162" s="37">
        <v>4000</v>
      </c>
      <c r="O162" s="76">
        <v>99659</v>
      </c>
      <c r="P162" s="76" t="s">
        <v>287</v>
      </c>
      <c r="Q162" s="77">
        <v>45752</v>
      </c>
      <c r="R162" s="78" t="s">
        <v>40</v>
      </c>
      <c r="S162" s="36" t="str">
        <f>VLOOKUP(Tabla911[[#This Row],[CODIGO DEL PRODUCTO]],Tabla79[],2,FALSE)</f>
        <v>PIEDRA 0-6</v>
      </c>
      <c r="T162" s="37">
        <v>35640</v>
      </c>
      <c r="U162" s="92"/>
    </row>
    <row r="163" spans="8:21" x14ac:dyDescent="0.25">
      <c r="H163" s="34">
        <v>9877</v>
      </c>
      <c r="I163" s="34" t="s">
        <v>283</v>
      </c>
      <c r="J163" s="35">
        <v>45792</v>
      </c>
      <c r="K163" s="36" t="s">
        <v>42</v>
      </c>
      <c r="L163" s="39" t="str">
        <f>VLOOKUP(Tabla810[[#This Row],[CODIGO DEL PRODUCTO]],Tabla79[],2,FALSE)</f>
        <v>ARENA FINA</v>
      </c>
      <c r="M163" s="37">
        <v>4000</v>
      </c>
      <c r="O163" s="76">
        <v>134286</v>
      </c>
      <c r="P163" s="76" t="s">
        <v>296</v>
      </c>
      <c r="Q163" s="77">
        <v>45752</v>
      </c>
      <c r="R163" s="78" t="s">
        <v>40</v>
      </c>
      <c r="S163" s="36" t="str">
        <f>VLOOKUP(Tabla911[[#This Row],[CODIGO DEL PRODUCTO]],Tabla79[],2,FALSE)</f>
        <v>PIEDRA 0-6</v>
      </c>
      <c r="T163" s="37">
        <v>35940</v>
      </c>
      <c r="U163" s="92"/>
    </row>
    <row r="164" spans="8:21" x14ac:dyDescent="0.25">
      <c r="H164" s="34">
        <v>9890</v>
      </c>
      <c r="I164" s="34" t="s">
        <v>374</v>
      </c>
      <c r="J164" s="35">
        <v>45792</v>
      </c>
      <c r="K164" s="36" t="s">
        <v>43</v>
      </c>
      <c r="L164" s="39" t="str">
        <f>VLOOKUP(Tabla810[[#This Row],[CODIGO DEL PRODUCTO]],Tabla79[],2,FALSE)</f>
        <v>PIEDRA 6-20</v>
      </c>
      <c r="M164" s="37">
        <v>33000</v>
      </c>
      <c r="O164" s="76">
        <v>134287</v>
      </c>
      <c r="P164" s="76" t="s">
        <v>330</v>
      </c>
      <c r="Q164" s="77">
        <v>45752</v>
      </c>
      <c r="R164" s="78" t="s">
        <v>43</v>
      </c>
      <c r="S164" s="36" t="str">
        <f>VLOOKUP(Tabla911[[#This Row],[CODIGO DEL PRODUCTO]],Tabla79[],2,FALSE)</f>
        <v>PIEDRA 6-20</v>
      </c>
      <c r="T164" s="37">
        <v>35400</v>
      </c>
      <c r="U164" s="92"/>
    </row>
    <row r="165" spans="8:21" x14ac:dyDescent="0.25">
      <c r="H165" s="34">
        <v>9892</v>
      </c>
      <c r="I165" s="34" t="s">
        <v>381</v>
      </c>
      <c r="J165" s="35">
        <v>45792</v>
      </c>
      <c r="K165" s="36" t="s">
        <v>42</v>
      </c>
      <c r="L165" s="39" t="str">
        <f>VLOOKUP(Tabla810[[#This Row],[CODIGO DEL PRODUCTO]],Tabla79[],2,FALSE)</f>
        <v>ARENA FINA</v>
      </c>
      <c r="M165" s="37">
        <v>1000</v>
      </c>
      <c r="O165" s="76">
        <v>2619268</v>
      </c>
      <c r="P165" s="76" t="s">
        <v>65</v>
      </c>
      <c r="Q165" s="77">
        <v>45752</v>
      </c>
      <c r="R165" s="78" t="s">
        <v>286</v>
      </c>
      <c r="S165" s="36" t="str">
        <f>VLOOKUP(Tabla911[[#This Row],[CODIGO DEL PRODUCTO]],Tabla79[],2,FALSE)</f>
        <v>CPF 40 AVELLANEDA</v>
      </c>
      <c r="T165" s="37">
        <v>32400</v>
      </c>
      <c r="U165" s="92"/>
    </row>
    <row r="166" spans="8:21" x14ac:dyDescent="0.25">
      <c r="H166" s="34">
        <v>9894</v>
      </c>
      <c r="I166" s="34" t="s">
        <v>382</v>
      </c>
      <c r="J166" s="35">
        <v>45792</v>
      </c>
      <c r="K166" s="36" t="s">
        <v>43</v>
      </c>
      <c r="L166" s="39" t="str">
        <f>VLOOKUP(Tabla810[[#This Row],[CODIGO DEL PRODUCTO]],Tabla79[],2,FALSE)</f>
        <v>PIEDRA 6-20</v>
      </c>
      <c r="M166" s="37">
        <v>6000</v>
      </c>
      <c r="O166" s="76">
        <v>100199</v>
      </c>
      <c r="P166" s="76" t="s">
        <v>235</v>
      </c>
      <c r="Q166" s="77">
        <v>45754</v>
      </c>
      <c r="R166" s="78" t="s">
        <v>42</v>
      </c>
      <c r="S166" s="36" t="str">
        <f>VLOOKUP(Tabla911[[#This Row],[CODIGO DEL PRODUCTO]],Tabla79[],2,FALSE)</f>
        <v>ARENA FINA</v>
      </c>
      <c r="T166" s="37">
        <v>36100</v>
      </c>
      <c r="U166" s="92"/>
    </row>
    <row r="167" spans="8:21" x14ac:dyDescent="0.25">
      <c r="H167" s="34">
        <v>9902</v>
      </c>
      <c r="I167" s="34" t="s">
        <v>383</v>
      </c>
      <c r="J167" s="35">
        <v>45792</v>
      </c>
      <c r="K167" s="36" t="s">
        <v>372</v>
      </c>
      <c r="L167" s="39" t="str">
        <f>VLOOKUP(Tabla810[[#This Row],[CODIGO DEL PRODUCTO]],Tabla79[],2,FALSE)</f>
        <v xml:space="preserve">ESTABILIZADO GRANULOMETRICO 0/20 </v>
      </c>
      <c r="M167" s="37">
        <v>9800</v>
      </c>
      <c r="O167" s="76">
        <v>99680</v>
      </c>
      <c r="P167" s="76" t="s">
        <v>244</v>
      </c>
      <c r="Q167" s="77">
        <v>45754</v>
      </c>
      <c r="R167" s="78" t="s">
        <v>48</v>
      </c>
      <c r="S167" s="36" t="str">
        <f>VLOOKUP(Tabla911[[#This Row],[CODIGO DEL PRODUCTO]],Tabla79[],2,FALSE)</f>
        <v>PIEDRA 6-12</v>
      </c>
      <c r="T167" s="37">
        <v>33800</v>
      </c>
      <c r="U167" s="92"/>
    </row>
    <row r="168" spans="8:21" x14ac:dyDescent="0.25">
      <c r="H168" s="34"/>
      <c r="I168" s="34" t="s">
        <v>53</v>
      </c>
      <c r="J168" s="35">
        <v>45768</v>
      </c>
      <c r="K168" s="36" t="s">
        <v>42</v>
      </c>
      <c r="L168" s="39" t="str">
        <f>VLOOKUP(Tabla810[[#This Row],[CODIGO DEL PRODUCTO]],Tabla79[],2,FALSE)</f>
        <v>ARENA FINA</v>
      </c>
      <c r="M168" s="37">
        <v>431152</v>
      </c>
      <c r="O168" s="76">
        <v>99688</v>
      </c>
      <c r="P168" s="76" t="s">
        <v>287</v>
      </c>
      <c r="Q168" s="77">
        <v>45754</v>
      </c>
      <c r="R168" s="78" t="s">
        <v>43</v>
      </c>
      <c r="S168" s="36" t="str">
        <f>VLOOKUP(Tabla911[[#This Row],[CODIGO DEL PRODUCTO]],Tabla79[],2,FALSE)</f>
        <v>PIEDRA 6-20</v>
      </c>
      <c r="T168" s="37">
        <v>35160</v>
      </c>
      <c r="U168" s="92"/>
    </row>
    <row r="169" spans="8:21" x14ac:dyDescent="0.25">
      <c r="H169" s="34"/>
      <c r="I169" s="34" t="s">
        <v>53</v>
      </c>
      <c r="J169" s="35">
        <v>45769</v>
      </c>
      <c r="K169" s="36" t="s">
        <v>40</v>
      </c>
      <c r="L169" s="39" t="str">
        <f>VLOOKUP(Tabla810[[#This Row],[CODIGO DEL PRODUCTO]],Tabla79[],2,FALSE)</f>
        <v>PIEDRA 0-6</v>
      </c>
      <c r="M169" s="37">
        <v>278750</v>
      </c>
      <c r="O169" s="76">
        <v>99697</v>
      </c>
      <c r="P169" s="76" t="s">
        <v>234</v>
      </c>
      <c r="Q169" s="77">
        <v>45754</v>
      </c>
      <c r="R169" s="78" t="s">
        <v>40</v>
      </c>
      <c r="S169" s="36" t="str">
        <f>VLOOKUP(Tabla911[[#This Row],[CODIGO DEL PRODUCTO]],Tabla79[],2,FALSE)</f>
        <v>PIEDRA 0-6</v>
      </c>
      <c r="T169" s="37">
        <v>34840</v>
      </c>
      <c r="U169" s="92"/>
    </row>
    <row r="170" spans="8:21" x14ac:dyDescent="0.25">
      <c r="H170" s="34"/>
      <c r="I170" s="34" t="s">
        <v>53</v>
      </c>
      <c r="J170" s="35">
        <v>45770</v>
      </c>
      <c r="K170" s="36" t="s">
        <v>24</v>
      </c>
      <c r="L170" s="39" t="str">
        <f>VLOOKUP(Tabla810[[#This Row],[CODIGO DEL PRODUCTO]],Tabla79[],2,FALSE)</f>
        <v>ARS</v>
      </c>
      <c r="M170" s="37">
        <v>1200</v>
      </c>
      <c r="O170" s="76">
        <v>2619728</v>
      </c>
      <c r="P170" s="76" t="s">
        <v>65</v>
      </c>
      <c r="Q170" s="77">
        <v>45754</v>
      </c>
      <c r="R170" s="78" t="s">
        <v>286</v>
      </c>
      <c r="S170" s="36" t="str">
        <f>VLOOKUP(Tabla911[[#This Row],[CODIGO DEL PRODUCTO]],Tabla79[],2,FALSE)</f>
        <v>CPF 40 AVELLANEDA</v>
      </c>
      <c r="T170" s="37">
        <v>32380</v>
      </c>
      <c r="U170" s="92"/>
    </row>
    <row r="171" spans="8:21" x14ac:dyDescent="0.25">
      <c r="H171" s="34"/>
      <c r="I171" s="34" t="s">
        <v>53</v>
      </c>
      <c r="J171" s="35">
        <v>45771</v>
      </c>
      <c r="K171" s="36" t="s">
        <v>286</v>
      </c>
      <c r="L171" s="39" t="str">
        <f>VLOOKUP(Tabla810[[#This Row],[CODIGO DEL PRODUCTO]],Tabla79[],2,FALSE)</f>
        <v>CPF 40 AVELLANEDA</v>
      </c>
      <c r="M171" s="37">
        <v>230396</v>
      </c>
      <c r="O171" s="76">
        <v>100207</v>
      </c>
      <c r="P171" s="76" t="s">
        <v>235</v>
      </c>
      <c r="Q171" s="77">
        <v>45755</v>
      </c>
      <c r="R171" s="78" t="s">
        <v>42</v>
      </c>
      <c r="S171" s="36" t="str">
        <f>VLOOKUP(Tabla911[[#This Row],[CODIGO DEL PRODUCTO]],Tabla79[],2,FALSE)</f>
        <v>ARENA FINA</v>
      </c>
      <c r="T171" s="37">
        <v>39220</v>
      </c>
      <c r="U171" s="92"/>
    </row>
    <row r="172" spans="8:21" x14ac:dyDescent="0.25">
      <c r="H172" s="34"/>
      <c r="I172" s="34" t="s">
        <v>53</v>
      </c>
      <c r="J172" s="35">
        <v>45772</v>
      </c>
      <c r="K172" s="36" t="s">
        <v>50</v>
      </c>
      <c r="L172" s="39" t="str">
        <f>VLOOKUP(Tabla810[[#This Row],[CODIGO DEL PRODUCTO]],Tabla79[],2,FALSE)</f>
        <v>MIRA SET 453 (ADITIVO)</v>
      </c>
      <c r="M172" s="37">
        <v>1371.63</v>
      </c>
      <c r="O172" s="76">
        <v>99709</v>
      </c>
      <c r="P172" s="76" t="s">
        <v>244</v>
      </c>
      <c r="Q172" s="77">
        <v>45755</v>
      </c>
      <c r="R172" s="78" t="s">
        <v>43</v>
      </c>
      <c r="S172" s="36" t="str">
        <f>VLOOKUP(Tabla911[[#This Row],[CODIGO DEL PRODUCTO]],Tabla79[],2,FALSE)</f>
        <v>PIEDRA 6-20</v>
      </c>
      <c r="T172" s="37">
        <v>34200</v>
      </c>
      <c r="U172" s="92"/>
    </row>
    <row r="173" spans="8:21" x14ac:dyDescent="0.25">
      <c r="H173" s="34"/>
      <c r="I173" s="34" t="s">
        <v>53</v>
      </c>
      <c r="J173" s="35">
        <v>45773</v>
      </c>
      <c r="K173" s="36" t="s">
        <v>48</v>
      </c>
      <c r="L173" s="39" t="str">
        <f>VLOOKUP(Tabla810[[#This Row],[CODIGO DEL PRODUCTO]],Tabla79[],2,FALSE)</f>
        <v>PIEDRA 6-12</v>
      </c>
      <c r="M173" s="37">
        <v>78840</v>
      </c>
      <c r="O173" s="76">
        <v>99712</v>
      </c>
      <c r="P173" s="76" t="s">
        <v>151</v>
      </c>
      <c r="Q173" s="77">
        <v>45755</v>
      </c>
      <c r="R173" s="78" t="s">
        <v>43</v>
      </c>
      <c r="S173" s="36" t="str">
        <f>VLOOKUP(Tabla911[[#This Row],[CODIGO DEL PRODUCTO]],Tabla79[],2,FALSE)</f>
        <v>PIEDRA 6-20</v>
      </c>
      <c r="T173" s="37">
        <v>35040</v>
      </c>
      <c r="U173" s="92"/>
    </row>
    <row r="174" spans="8:21" x14ac:dyDescent="0.25">
      <c r="H174" s="34"/>
      <c r="I174" s="34" t="s">
        <v>53</v>
      </c>
      <c r="J174" s="35">
        <v>45775</v>
      </c>
      <c r="K174" s="36" t="s">
        <v>43</v>
      </c>
      <c r="L174" s="39" t="str">
        <f>VLOOKUP(Tabla810[[#This Row],[CODIGO DEL PRODUCTO]],Tabla79[],2,FALSE)</f>
        <v>PIEDRA 6-20</v>
      </c>
      <c r="M174" s="37">
        <v>639642</v>
      </c>
      <c r="O174" s="76">
        <v>99721</v>
      </c>
      <c r="P174" s="76" t="s">
        <v>287</v>
      </c>
      <c r="Q174" s="77">
        <v>45755</v>
      </c>
      <c r="R174" s="78" t="s">
        <v>43</v>
      </c>
      <c r="S174" s="36" t="str">
        <f>VLOOKUP(Tabla911[[#This Row],[CODIGO DEL PRODUCTO]],Tabla79[],2,FALSE)</f>
        <v>PIEDRA 6-20</v>
      </c>
      <c r="T174" s="37">
        <v>35320</v>
      </c>
      <c r="U174" s="92"/>
    </row>
    <row r="175" spans="8:21" x14ac:dyDescent="0.25">
      <c r="H175" s="34"/>
      <c r="I175" s="34" t="s">
        <v>53</v>
      </c>
      <c r="J175" s="35">
        <v>45777</v>
      </c>
      <c r="K175" s="36" t="s">
        <v>46</v>
      </c>
      <c r="L175" s="39" t="str">
        <f>VLOOKUP(Tabla810[[#This Row],[CODIGO DEL PRODUCTO]],Tabla79[],2,FALSE)</f>
        <v>PIEDRA 10-30</v>
      </c>
      <c r="M175" s="37">
        <v>10391</v>
      </c>
      <c r="O175" s="76">
        <v>99729</v>
      </c>
      <c r="P175" s="76" t="s">
        <v>218</v>
      </c>
      <c r="Q175" s="77">
        <v>45755</v>
      </c>
      <c r="R175" s="78" t="s">
        <v>40</v>
      </c>
      <c r="S175" s="36" t="str">
        <f>VLOOKUP(Tabla911[[#This Row],[CODIGO DEL PRODUCTO]],Tabla79[],2,FALSE)</f>
        <v>PIEDRA 0-6</v>
      </c>
      <c r="T175" s="37">
        <v>35840</v>
      </c>
      <c r="U175" s="92"/>
    </row>
    <row r="176" spans="8:21" x14ac:dyDescent="0.25">
      <c r="H176" s="34"/>
      <c r="I176" s="34" t="s">
        <v>53</v>
      </c>
      <c r="J176" s="35">
        <v>45748</v>
      </c>
      <c r="K176" s="36" t="s">
        <v>42</v>
      </c>
      <c r="L176" s="39" t="str">
        <f>VLOOKUP(Tabla810[[#This Row],[CODIGO DEL PRODUCTO]],Tabla79[],2,FALSE)</f>
        <v>ARENA FINA</v>
      </c>
      <c r="M176" s="37">
        <v>279070</v>
      </c>
      <c r="O176" s="76">
        <v>99739</v>
      </c>
      <c r="P176" s="76" t="s">
        <v>234</v>
      </c>
      <c r="Q176" s="77">
        <v>45755</v>
      </c>
      <c r="R176" s="78" t="s">
        <v>40</v>
      </c>
      <c r="S176" s="36" t="str">
        <f>VLOOKUP(Tabla911[[#This Row],[CODIGO DEL PRODUCTO]],Tabla79[],2,FALSE)</f>
        <v>PIEDRA 0-6</v>
      </c>
      <c r="T176" s="37">
        <v>35560</v>
      </c>
      <c r="U176" s="92"/>
    </row>
    <row r="177" spans="8:24" x14ac:dyDescent="0.25">
      <c r="H177" s="34"/>
      <c r="I177" s="34" t="s">
        <v>53</v>
      </c>
      <c r="J177" s="35">
        <v>45749</v>
      </c>
      <c r="K177" s="36" t="s">
        <v>40</v>
      </c>
      <c r="L177" s="39" t="str">
        <f>VLOOKUP(Tabla810[[#This Row],[CODIGO DEL PRODUCTO]],Tabla79[],2,FALSE)</f>
        <v>PIEDRA 0-6</v>
      </c>
      <c r="M177" s="37">
        <v>186723</v>
      </c>
      <c r="O177" s="76">
        <v>134364</v>
      </c>
      <c r="P177" s="76" t="s">
        <v>317</v>
      </c>
      <c r="Q177" s="77">
        <v>45755</v>
      </c>
      <c r="R177" s="78" t="s">
        <v>43</v>
      </c>
      <c r="S177" s="36" t="str">
        <f>VLOOKUP(Tabla911[[#This Row],[CODIGO DEL PRODUCTO]],Tabla79[],2,FALSE)</f>
        <v>PIEDRA 6-20</v>
      </c>
      <c r="T177" s="37">
        <v>34520</v>
      </c>
      <c r="U177" s="92"/>
    </row>
    <row r="178" spans="8:24" x14ac:dyDescent="0.25">
      <c r="H178" s="34"/>
      <c r="I178" s="34" t="s">
        <v>53</v>
      </c>
      <c r="J178" s="35">
        <v>45750</v>
      </c>
      <c r="K178" s="36" t="s">
        <v>286</v>
      </c>
      <c r="L178" s="39" t="str">
        <f>VLOOKUP(Tabla810[[#This Row],[CODIGO DEL PRODUCTO]],Tabla79[],2,FALSE)</f>
        <v>CPF 40 AVELLANEDA</v>
      </c>
      <c r="M178" s="37">
        <v>161943</v>
      </c>
      <c r="O178" s="76">
        <v>2619973</v>
      </c>
      <c r="P178" s="76" t="s">
        <v>65</v>
      </c>
      <c r="Q178" s="77">
        <v>45755</v>
      </c>
      <c r="R178" s="78" t="s">
        <v>286</v>
      </c>
      <c r="S178" s="36" t="str">
        <f>VLOOKUP(Tabla911[[#This Row],[CODIGO DEL PRODUCTO]],Tabla79[],2,FALSE)</f>
        <v>CPF 40 AVELLANEDA</v>
      </c>
      <c r="T178" s="37">
        <v>32200</v>
      </c>
      <c r="U178" s="92"/>
    </row>
    <row r="179" spans="8:24" x14ac:dyDescent="0.25">
      <c r="H179" s="34"/>
      <c r="I179" s="34" t="s">
        <v>53</v>
      </c>
      <c r="J179" s="35">
        <v>45751</v>
      </c>
      <c r="K179" s="36" t="s">
        <v>50</v>
      </c>
      <c r="L179" s="39" t="str">
        <f>VLOOKUP(Tabla810[[#This Row],[CODIGO DEL PRODUCTO]],Tabla79[],2,FALSE)</f>
        <v>MIRA SET 453 (ADITIVO)</v>
      </c>
      <c r="M179" s="37">
        <v>956.32</v>
      </c>
      <c r="O179" s="76">
        <v>100215</v>
      </c>
      <c r="P179" s="76" t="s">
        <v>235</v>
      </c>
      <c r="Q179" s="77">
        <v>45756</v>
      </c>
      <c r="R179" s="78" t="s">
        <v>42</v>
      </c>
      <c r="S179" s="36" t="str">
        <f>VLOOKUP(Tabla911[[#This Row],[CODIGO DEL PRODUCTO]],Tabla79[],2,FALSE)</f>
        <v>ARENA FINA</v>
      </c>
      <c r="T179" s="37">
        <v>36920</v>
      </c>
      <c r="U179" s="92"/>
    </row>
    <row r="180" spans="8:24" x14ac:dyDescent="0.25">
      <c r="H180" s="34"/>
      <c r="I180" s="34" t="s">
        <v>53</v>
      </c>
      <c r="J180" s="35">
        <v>45752</v>
      </c>
      <c r="K180" s="36" t="s">
        <v>48</v>
      </c>
      <c r="L180" s="39" t="str">
        <f>VLOOKUP(Tabla810[[#This Row],[CODIGO DEL PRODUCTO]],Tabla79[],2,FALSE)</f>
        <v>PIEDRA 6-12</v>
      </c>
      <c r="M180" s="37">
        <v>32272</v>
      </c>
      <c r="O180" s="76">
        <v>100220</v>
      </c>
      <c r="P180" s="76" t="s">
        <v>235</v>
      </c>
      <c r="Q180" s="77">
        <v>45756</v>
      </c>
      <c r="R180" s="78" t="s">
        <v>42</v>
      </c>
      <c r="S180" s="36" t="str">
        <f>VLOOKUP(Tabla911[[#This Row],[CODIGO DEL PRODUCTO]],Tabla79[],2,FALSE)</f>
        <v>ARENA FINA</v>
      </c>
      <c r="T180" s="37">
        <v>38740</v>
      </c>
      <c r="U180" s="92"/>
    </row>
    <row r="181" spans="8:24" x14ac:dyDescent="0.25">
      <c r="H181" s="34"/>
      <c r="I181" s="34" t="s">
        <v>53</v>
      </c>
      <c r="J181" s="35">
        <v>45752</v>
      </c>
      <c r="K181" s="36" t="s">
        <v>43</v>
      </c>
      <c r="L181" s="39" t="str">
        <f>VLOOKUP(Tabla810[[#This Row],[CODIGO DEL PRODUCTO]],Tabla79[],2,FALSE)</f>
        <v>PIEDRA 6-20</v>
      </c>
      <c r="M181" s="37">
        <v>448911</v>
      </c>
      <c r="O181" s="76">
        <v>99763</v>
      </c>
      <c r="P181" s="76" t="s">
        <v>151</v>
      </c>
      <c r="Q181" s="77">
        <v>45756</v>
      </c>
      <c r="R181" s="78" t="s">
        <v>43</v>
      </c>
      <c r="S181" s="36" t="str">
        <f>VLOOKUP(Tabla911[[#This Row],[CODIGO DEL PRODUCTO]],Tabla79[],2,FALSE)</f>
        <v>PIEDRA 6-20</v>
      </c>
      <c r="T181" s="37">
        <v>34920</v>
      </c>
      <c r="U181" s="92"/>
    </row>
    <row r="182" spans="8:24" x14ac:dyDescent="0.25">
      <c r="H182" s="34"/>
      <c r="I182" s="34" t="s">
        <v>53</v>
      </c>
      <c r="J182" s="35">
        <v>45752</v>
      </c>
      <c r="K182" s="36" t="s">
        <v>46</v>
      </c>
      <c r="L182" s="39" t="str">
        <f>VLOOKUP(Tabla810[[#This Row],[CODIGO DEL PRODUCTO]],Tabla79[],2,FALSE)</f>
        <v>PIEDRA 10-30</v>
      </c>
      <c r="M182" s="37">
        <v>2901</v>
      </c>
      <c r="O182" s="76">
        <v>99769</v>
      </c>
      <c r="P182" s="76" t="s">
        <v>244</v>
      </c>
      <c r="Q182" s="77">
        <v>45756</v>
      </c>
      <c r="R182" s="78" t="s">
        <v>43</v>
      </c>
      <c r="S182" s="36" t="str">
        <f>VLOOKUP(Tabla911[[#This Row],[CODIGO DEL PRODUCTO]],Tabla79[],2,FALSE)</f>
        <v>PIEDRA 6-20</v>
      </c>
      <c r="T182" s="37">
        <v>33660</v>
      </c>
      <c r="U182" s="92"/>
    </row>
    <row r="183" spans="8:24" x14ac:dyDescent="0.25">
      <c r="H183" s="34"/>
      <c r="I183" s="34" t="s">
        <v>53</v>
      </c>
      <c r="J183" s="35">
        <v>45778</v>
      </c>
      <c r="K183" s="36" t="s">
        <v>42</v>
      </c>
      <c r="L183" s="39" t="str">
        <f>VLOOKUP(Tabla810[[#This Row],[CODIGO DEL PRODUCTO]],Tabla79[],2,FALSE)</f>
        <v>ARENA FINA</v>
      </c>
      <c r="M183" s="37">
        <v>288991</v>
      </c>
      <c r="O183" s="76">
        <v>99772</v>
      </c>
      <c r="P183" s="76" t="s">
        <v>285</v>
      </c>
      <c r="Q183" s="77">
        <v>45756</v>
      </c>
      <c r="R183" s="78" t="s">
        <v>43</v>
      </c>
      <c r="S183" s="36" t="str">
        <f>VLOOKUP(Tabla911[[#This Row],[CODIGO DEL PRODUCTO]],Tabla79[],2,FALSE)</f>
        <v>PIEDRA 6-20</v>
      </c>
      <c r="T183" s="37">
        <v>34380</v>
      </c>
      <c r="U183" s="92"/>
    </row>
    <row r="184" spans="8:24" x14ac:dyDescent="0.25">
      <c r="H184" s="34"/>
      <c r="I184" s="34" t="s">
        <v>53</v>
      </c>
      <c r="J184" s="35">
        <v>45779</v>
      </c>
      <c r="K184" s="36" t="s">
        <v>40</v>
      </c>
      <c r="L184" s="39" t="str">
        <f>VLOOKUP(Tabla810[[#This Row],[CODIGO DEL PRODUCTO]],Tabla79[],2,FALSE)</f>
        <v>PIEDRA 0-6</v>
      </c>
      <c r="M184" s="37">
        <v>201617</v>
      </c>
      <c r="O184" s="76">
        <v>99784</v>
      </c>
      <c r="P184" s="76" t="s">
        <v>287</v>
      </c>
      <c r="Q184" s="77">
        <v>45756</v>
      </c>
      <c r="R184" s="78" t="s">
        <v>43</v>
      </c>
      <c r="S184" s="36" t="str">
        <f>VLOOKUP(Tabla911[[#This Row],[CODIGO DEL PRODUCTO]],Tabla79[],2,FALSE)</f>
        <v>PIEDRA 6-20</v>
      </c>
      <c r="T184" s="37">
        <v>35060</v>
      </c>
      <c r="U184" s="92"/>
    </row>
    <row r="185" spans="8:24" x14ac:dyDescent="0.25">
      <c r="H185" s="34"/>
      <c r="I185" s="34" t="s">
        <v>53</v>
      </c>
      <c r="J185" s="35">
        <v>45780</v>
      </c>
      <c r="K185" s="36" t="s">
        <v>286</v>
      </c>
      <c r="L185" s="39" t="str">
        <f>VLOOKUP(Tabla810[[#This Row],[CODIGO DEL PRODUCTO]],Tabla79[],2,FALSE)</f>
        <v>CPF 40 AVELLANEDA</v>
      </c>
      <c r="M185" s="37">
        <v>151349</v>
      </c>
      <c r="O185" s="76">
        <v>99786</v>
      </c>
      <c r="P185" s="76" t="s">
        <v>234</v>
      </c>
      <c r="Q185" s="77">
        <v>45756</v>
      </c>
      <c r="R185" s="78" t="s">
        <v>40</v>
      </c>
      <c r="S185" s="36" t="str">
        <f>VLOOKUP(Tabla911[[#This Row],[CODIGO DEL PRODUCTO]],Tabla79[],2,FALSE)</f>
        <v>PIEDRA 0-6</v>
      </c>
      <c r="T185" s="37">
        <v>34480</v>
      </c>
      <c r="U185" s="92"/>
    </row>
    <row r="186" spans="8:24" x14ac:dyDescent="0.25">
      <c r="H186" s="34"/>
      <c r="I186" s="34" t="s">
        <v>53</v>
      </c>
      <c r="J186" s="35">
        <v>45781</v>
      </c>
      <c r="K186" s="36" t="s">
        <v>50</v>
      </c>
      <c r="L186" s="39" t="str">
        <f>VLOOKUP(Tabla810[[#This Row],[CODIGO DEL PRODUCTO]],Tabla79[],2,FALSE)</f>
        <v>MIRA SET 453 (ADITIVO)</v>
      </c>
      <c r="M186" s="37">
        <v>933.04</v>
      </c>
      <c r="O186" s="76">
        <v>2620246</v>
      </c>
      <c r="P186" s="76" t="s">
        <v>65</v>
      </c>
      <c r="Q186" s="77">
        <v>45756</v>
      </c>
      <c r="R186" s="78" t="s">
        <v>286</v>
      </c>
      <c r="S186" s="36" t="str">
        <f>VLOOKUP(Tabla911[[#This Row],[CODIGO DEL PRODUCTO]],Tabla79[],2,FALSE)</f>
        <v>CPF 40 AVELLANEDA</v>
      </c>
      <c r="T186" s="37">
        <v>32200</v>
      </c>
      <c r="U186" s="92"/>
    </row>
    <row r="187" spans="8:24" x14ac:dyDescent="0.25">
      <c r="H187" s="34"/>
      <c r="I187" s="34" t="s">
        <v>53</v>
      </c>
      <c r="J187" s="35">
        <v>45782</v>
      </c>
      <c r="K187" s="36" t="s">
        <v>48</v>
      </c>
      <c r="L187" s="39" t="str">
        <f>VLOOKUP(Tabla810[[#This Row],[CODIGO DEL PRODUCTO]],Tabla79[],2,FALSE)</f>
        <v>PIEDRA 6-12</v>
      </c>
      <c r="M187" s="37">
        <v>114335</v>
      </c>
      <c r="O187" s="76">
        <v>100234</v>
      </c>
      <c r="P187" s="76" t="s">
        <v>235</v>
      </c>
      <c r="Q187" s="77">
        <v>45758</v>
      </c>
      <c r="R187" s="78" t="s">
        <v>42</v>
      </c>
      <c r="S187" s="36" t="str">
        <f>VLOOKUP(Tabla911[[#This Row],[CODIGO DEL PRODUCTO]],Tabla79[],2,FALSE)</f>
        <v>ARENA FINA</v>
      </c>
      <c r="T187" s="37">
        <v>39040</v>
      </c>
      <c r="U187" s="92"/>
      <c r="V187" s="7">
        <v>45757</v>
      </c>
      <c r="W187" t="s">
        <v>333</v>
      </c>
      <c r="X187" t="s">
        <v>334</v>
      </c>
    </row>
    <row r="188" spans="8:24" x14ac:dyDescent="0.25">
      <c r="H188" s="34"/>
      <c r="I188" s="34" t="s">
        <v>53</v>
      </c>
      <c r="J188" s="35">
        <v>45787</v>
      </c>
      <c r="K188" s="36" t="s">
        <v>43</v>
      </c>
      <c r="L188" s="39" t="str">
        <f>VLOOKUP(Tabla810[[#This Row],[CODIGO DEL PRODUCTO]],Tabla79[],2,FALSE)</f>
        <v>PIEDRA 6-20</v>
      </c>
      <c r="M188" s="37">
        <v>327691</v>
      </c>
      <c r="O188" s="76">
        <v>100240</v>
      </c>
      <c r="P188" s="76" t="s">
        <v>235</v>
      </c>
      <c r="Q188" s="77">
        <v>45758</v>
      </c>
      <c r="R188" s="78" t="s">
        <v>42</v>
      </c>
      <c r="S188" s="36" t="str">
        <f>VLOOKUP(Tabla911[[#This Row],[CODIGO DEL PRODUCTO]],Tabla79[],2,FALSE)</f>
        <v>ARENA FINA</v>
      </c>
      <c r="T188" s="37">
        <v>37520</v>
      </c>
      <c r="U188" s="92"/>
    </row>
    <row r="189" spans="8:24" x14ac:dyDescent="0.25">
      <c r="H189" s="34"/>
      <c r="I189" s="34" t="s">
        <v>53</v>
      </c>
      <c r="J189" s="35">
        <v>45789</v>
      </c>
      <c r="K189" s="36" t="s">
        <v>42</v>
      </c>
      <c r="L189" s="39" t="str">
        <f>VLOOKUP(Tabla810[[#This Row],[CODIGO DEL PRODUCTO]],Tabla79[],2,FALSE)</f>
        <v>ARENA FINA</v>
      </c>
      <c r="M189" s="37">
        <v>382625</v>
      </c>
      <c r="O189" s="76">
        <v>99808</v>
      </c>
      <c r="P189" s="76" t="s">
        <v>244</v>
      </c>
      <c r="Q189" s="77">
        <v>45758</v>
      </c>
      <c r="R189" s="78" t="s">
        <v>43</v>
      </c>
      <c r="S189" s="36" t="str">
        <f>VLOOKUP(Tabla911[[#This Row],[CODIGO DEL PRODUCTO]],Tabla79[],2,FALSE)</f>
        <v>PIEDRA 6-20</v>
      </c>
      <c r="T189" s="37">
        <v>34340</v>
      </c>
      <c r="U189" s="92"/>
    </row>
    <row r="190" spans="8:24" x14ac:dyDescent="0.25">
      <c r="H190" s="34"/>
      <c r="I190" s="34" t="s">
        <v>53</v>
      </c>
      <c r="J190" s="35">
        <v>45790</v>
      </c>
      <c r="K190" s="36" t="s">
        <v>40</v>
      </c>
      <c r="L190" s="39" t="str">
        <f>VLOOKUP(Tabla810[[#This Row],[CODIGO DEL PRODUCTO]],Tabla79[],2,FALSE)</f>
        <v>PIEDRA 0-6</v>
      </c>
      <c r="M190" s="37">
        <v>278016</v>
      </c>
      <c r="O190" s="76">
        <v>99823</v>
      </c>
      <c r="P190" s="76" t="s">
        <v>287</v>
      </c>
      <c r="Q190" s="77">
        <v>45758</v>
      </c>
      <c r="R190" s="78" t="s">
        <v>43</v>
      </c>
      <c r="S190" s="36" t="str">
        <f>VLOOKUP(Tabla911[[#This Row],[CODIGO DEL PRODUCTO]],Tabla79[],2,FALSE)</f>
        <v>PIEDRA 6-20</v>
      </c>
      <c r="T190" s="37">
        <v>34960</v>
      </c>
      <c r="U190" s="92"/>
    </row>
    <row r="191" spans="8:24" x14ac:dyDescent="0.25">
      <c r="H191" s="34"/>
      <c r="I191" s="34" t="s">
        <v>53</v>
      </c>
      <c r="J191" s="35">
        <v>45791</v>
      </c>
      <c r="K191" s="36" t="s">
        <v>286</v>
      </c>
      <c r="L191" s="39" t="str">
        <f>VLOOKUP(Tabla810[[#This Row],[CODIGO DEL PRODUCTO]],Tabla79[],2,FALSE)</f>
        <v>CPF 40 AVELLANEDA</v>
      </c>
      <c r="M191" s="37">
        <v>207190</v>
      </c>
      <c r="O191" s="76">
        <v>99841</v>
      </c>
      <c r="P191" s="76" t="s">
        <v>151</v>
      </c>
      <c r="Q191" s="77">
        <v>45758</v>
      </c>
      <c r="R191" s="78" t="s">
        <v>43</v>
      </c>
      <c r="S191" s="36" t="str">
        <f>VLOOKUP(Tabla911[[#This Row],[CODIGO DEL PRODUCTO]],Tabla79[],2,FALSE)</f>
        <v>PIEDRA 6-20</v>
      </c>
      <c r="T191" s="37">
        <v>34180</v>
      </c>
      <c r="U191" s="92"/>
    </row>
    <row r="192" spans="8:24" x14ac:dyDescent="0.25">
      <c r="H192" s="34"/>
      <c r="I192" s="34" t="s">
        <v>53</v>
      </c>
      <c r="J192" s="35">
        <v>45792</v>
      </c>
      <c r="K192" s="36" t="s">
        <v>50</v>
      </c>
      <c r="L192" s="39" t="str">
        <f>VLOOKUP(Tabla810[[#This Row],[CODIGO DEL PRODUCTO]],Tabla79[],2,FALSE)</f>
        <v>MIRA SET 453 (ADITIVO)</v>
      </c>
      <c r="M192" s="37">
        <v>1215.1099999999999</v>
      </c>
      <c r="O192" s="76">
        <v>134499</v>
      </c>
      <c r="P192" s="76" t="s">
        <v>296</v>
      </c>
      <c r="Q192" s="77">
        <v>45758</v>
      </c>
      <c r="R192" s="78" t="s">
        <v>40</v>
      </c>
      <c r="S192" s="36" t="str">
        <f>VLOOKUP(Tabla911[[#This Row],[CODIGO DEL PRODUCTO]],Tabla79[],2,FALSE)</f>
        <v>PIEDRA 0-6</v>
      </c>
      <c r="T192" s="37">
        <v>35140</v>
      </c>
      <c r="U192" s="92"/>
    </row>
    <row r="193" spans="8:24" x14ac:dyDescent="0.25">
      <c r="H193" s="34"/>
      <c r="I193" s="34" t="s">
        <v>53</v>
      </c>
      <c r="J193" s="35">
        <v>45793</v>
      </c>
      <c r="K193" s="36" t="s">
        <v>48</v>
      </c>
      <c r="L193" s="39" t="str">
        <f>VLOOKUP(Tabla810[[#This Row],[CODIGO DEL PRODUCTO]],Tabla79[],2,FALSE)</f>
        <v>PIEDRA 6-12</v>
      </c>
      <c r="M193" s="37">
        <v>58131</v>
      </c>
      <c r="O193" s="76">
        <v>2620702</v>
      </c>
      <c r="P193" s="76" t="s">
        <v>65</v>
      </c>
      <c r="Q193" s="77">
        <v>45758</v>
      </c>
      <c r="R193" s="78" t="s">
        <v>286</v>
      </c>
      <c r="S193" s="36" t="str">
        <f>VLOOKUP(Tabla911[[#This Row],[CODIGO DEL PRODUCTO]],Tabla79[],2,FALSE)</f>
        <v>CPF 40 AVELLANEDA</v>
      </c>
      <c r="T193" s="37">
        <v>32280</v>
      </c>
      <c r="U193" s="92"/>
    </row>
    <row r="194" spans="8:24" x14ac:dyDescent="0.25">
      <c r="H194" s="34"/>
      <c r="I194" s="34" t="s">
        <v>53</v>
      </c>
      <c r="J194" s="35">
        <v>45794</v>
      </c>
      <c r="K194" s="36" t="s">
        <v>43</v>
      </c>
      <c r="L194" s="39" t="str">
        <f>VLOOKUP(Tabla810[[#This Row],[CODIGO DEL PRODUCTO]],Tabla79[],2,FALSE)</f>
        <v>PIEDRA 6-20</v>
      </c>
      <c r="M194" s="37">
        <v>576576</v>
      </c>
      <c r="O194" s="76">
        <v>99847</v>
      </c>
      <c r="P194" s="76" t="s">
        <v>150</v>
      </c>
      <c r="Q194" s="77">
        <v>45759</v>
      </c>
      <c r="R194" s="78" t="s">
        <v>43</v>
      </c>
      <c r="S194" s="36" t="str">
        <f>VLOOKUP(Tabla911[[#This Row],[CODIGO DEL PRODUCTO]],Tabla79[],2,FALSE)</f>
        <v>PIEDRA 6-20</v>
      </c>
      <c r="T194" s="37">
        <v>35240</v>
      </c>
      <c r="U194" s="92"/>
    </row>
    <row r="195" spans="8:24" x14ac:dyDescent="0.25">
      <c r="H195" s="34">
        <v>9932</v>
      </c>
      <c r="I195" s="34" t="s">
        <v>385</v>
      </c>
      <c r="J195" s="35">
        <v>45797</v>
      </c>
      <c r="K195" s="36" t="s">
        <v>42</v>
      </c>
      <c r="L195" s="39" t="str">
        <f>VLOOKUP(Tabla810[[#This Row],[CODIGO DEL PRODUCTO]],Tabla79[],2,FALSE)</f>
        <v>ARENA FINA</v>
      </c>
      <c r="M195" s="37">
        <v>5000</v>
      </c>
      <c r="O195" s="76">
        <v>134625</v>
      </c>
      <c r="P195" s="76" t="s">
        <v>338</v>
      </c>
      <c r="Q195" s="77">
        <v>45759</v>
      </c>
      <c r="R195" s="78" t="s">
        <v>43</v>
      </c>
      <c r="S195" s="36" t="str">
        <f>VLOOKUP(Tabla911[[#This Row],[CODIGO DEL PRODUCTO]],Tabla79[],2,FALSE)</f>
        <v>PIEDRA 6-20</v>
      </c>
      <c r="T195" s="37">
        <v>34330</v>
      </c>
      <c r="U195" s="92"/>
    </row>
    <row r="196" spans="8:24" x14ac:dyDescent="0.25">
      <c r="H196" s="34">
        <v>9933</v>
      </c>
      <c r="I196" s="34" t="s">
        <v>385</v>
      </c>
      <c r="J196" s="35">
        <v>45797</v>
      </c>
      <c r="K196" s="36" t="s">
        <v>42</v>
      </c>
      <c r="L196" s="39" t="str">
        <f>VLOOKUP(Tabla810[[#This Row],[CODIGO DEL PRODUCTO]],Tabla79[],2,FALSE)</f>
        <v>ARENA FINA</v>
      </c>
      <c r="M196" s="37">
        <v>3000</v>
      </c>
      <c r="O196" s="76">
        <v>134659</v>
      </c>
      <c r="P196" s="76" t="s">
        <v>296</v>
      </c>
      <c r="Q196" s="77">
        <v>45759</v>
      </c>
      <c r="R196" s="78" t="s">
        <v>40</v>
      </c>
      <c r="S196" s="36" t="str">
        <f>VLOOKUP(Tabla911[[#This Row],[CODIGO DEL PRODUCTO]],Tabla79[],2,FALSE)</f>
        <v>PIEDRA 0-6</v>
      </c>
      <c r="T196" s="37">
        <v>34940</v>
      </c>
      <c r="U196" s="92"/>
    </row>
    <row r="197" spans="8:24" x14ac:dyDescent="0.25">
      <c r="H197" s="34">
        <v>9939</v>
      </c>
      <c r="I197" s="34" t="s">
        <v>190</v>
      </c>
      <c r="J197" s="35">
        <v>45798</v>
      </c>
      <c r="K197" s="36" t="s">
        <v>42</v>
      </c>
      <c r="L197" s="39" t="str">
        <f>VLOOKUP(Tabla810[[#This Row],[CODIGO DEL PRODUCTO]],Tabla79[],2,FALSE)</f>
        <v>ARENA FINA</v>
      </c>
      <c r="M197" s="37">
        <v>3000</v>
      </c>
      <c r="O197" s="76">
        <v>2620838</v>
      </c>
      <c r="P197" s="76" t="s">
        <v>65</v>
      </c>
      <c r="Q197" s="77">
        <v>45759</v>
      </c>
      <c r="R197" s="78" t="s">
        <v>286</v>
      </c>
      <c r="S197" s="36" t="str">
        <f>VLOOKUP(Tabla911[[#This Row],[CODIGO DEL PRODUCTO]],Tabla79[],2,FALSE)</f>
        <v>CPF 40 AVELLANEDA</v>
      </c>
      <c r="T197" s="37">
        <v>32380</v>
      </c>
      <c r="U197" s="92"/>
    </row>
    <row r="198" spans="8:24" x14ac:dyDescent="0.25">
      <c r="H198" s="34">
        <v>9940</v>
      </c>
      <c r="I198" s="34" t="s">
        <v>386</v>
      </c>
      <c r="J198" s="35">
        <v>45798</v>
      </c>
      <c r="K198" s="36" t="s">
        <v>43</v>
      </c>
      <c r="L198" s="39" t="str">
        <f>VLOOKUP(Tabla810[[#This Row],[CODIGO DEL PRODUCTO]],Tabla79[],2,FALSE)</f>
        <v>PIEDRA 6-20</v>
      </c>
      <c r="M198" s="37">
        <v>6000</v>
      </c>
      <c r="O198" s="76">
        <v>999912</v>
      </c>
      <c r="P198" s="76" t="s">
        <v>197</v>
      </c>
      <c r="Q198" s="77">
        <v>45761</v>
      </c>
      <c r="R198" s="78" t="s">
        <v>43</v>
      </c>
      <c r="S198" s="36" t="str">
        <f>VLOOKUP(Tabla911[[#This Row],[CODIGO DEL PRODUCTO]],Tabla79[],2,FALSE)</f>
        <v>PIEDRA 6-20</v>
      </c>
      <c r="T198" s="37">
        <v>34940</v>
      </c>
      <c r="U198" s="92"/>
    </row>
    <row r="199" spans="8:24" x14ac:dyDescent="0.25">
      <c r="H199" s="34">
        <v>9942</v>
      </c>
      <c r="I199" s="34" t="s">
        <v>387</v>
      </c>
      <c r="J199" s="35">
        <v>45798</v>
      </c>
      <c r="K199" s="36" t="s">
        <v>43</v>
      </c>
      <c r="L199" s="39" t="str">
        <f>VLOOKUP(Tabla810[[#This Row],[CODIGO DEL PRODUCTO]],Tabla79[],2,FALSE)</f>
        <v>PIEDRA 6-20</v>
      </c>
      <c r="M199" s="37">
        <v>1000</v>
      </c>
      <c r="O199" s="76">
        <v>99919</v>
      </c>
      <c r="P199" s="76" t="s">
        <v>234</v>
      </c>
      <c r="Q199" s="77">
        <v>45761</v>
      </c>
      <c r="R199" s="78" t="s">
        <v>40</v>
      </c>
      <c r="S199" s="36" t="str">
        <f>VLOOKUP(Tabla911[[#This Row],[CODIGO DEL PRODUCTO]],Tabla79[],2,FALSE)</f>
        <v>PIEDRA 0-6</v>
      </c>
      <c r="T199" s="37">
        <v>34940</v>
      </c>
      <c r="U199" s="92"/>
    </row>
    <row r="200" spans="8:24" x14ac:dyDescent="0.25">
      <c r="H200" s="34">
        <v>9945</v>
      </c>
      <c r="I200" s="34" t="s">
        <v>388</v>
      </c>
      <c r="J200" s="35">
        <v>45798</v>
      </c>
      <c r="K200" s="36" t="s">
        <v>43</v>
      </c>
      <c r="L200" s="39" t="str">
        <f>VLOOKUP(Tabla810[[#This Row],[CODIGO DEL PRODUCTO]],Tabla79[],2,FALSE)</f>
        <v>PIEDRA 6-20</v>
      </c>
      <c r="M200" s="37">
        <v>6000</v>
      </c>
      <c r="O200" s="76">
        <v>134704</v>
      </c>
      <c r="P200" s="76" t="s">
        <v>118</v>
      </c>
      <c r="Q200" s="77">
        <v>45761</v>
      </c>
      <c r="R200" s="78" t="s">
        <v>43</v>
      </c>
      <c r="S200" s="36" t="str">
        <f>VLOOKUP(Tabla911[[#This Row],[CODIGO DEL PRODUCTO]],Tabla79[],2,FALSE)</f>
        <v>PIEDRA 6-20</v>
      </c>
      <c r="T200" s="37">
        <v>35500</v>
      </c>
      <c r="U200" s="92"/>
    </row>
    <row r="201" spans="8:24" x14ac:dyDescent="0.25">
      <c r="H201" s="34">
        <v>9949</v>
      </c>
      <c r="I201" s="34" t="s">
        <v>389</v>
      </c>
      <c r="J201" s="35">
        <v>45798</v>
      </c>
      <c r="K201" s="36" t="s">
        <v>43</v>
      </c>
      <c r="L201" s="39" t="str">
        <f>VLOOKUP(Tabla810[[#This Row],[CODIGO DEL PRODUCTO]],Tabla79[],2,FALSE)</f>
        <v>PIEDRA 6-20</v>
      </c>
      <c r="M201" s="37">
        <v>6000</v>
      </c>
      <c r="O201" s="76">
        <v>2621247</v>
      </c>
      <c r="P201" s="76" t="s">
        <v>65</v>
      </c>
      <c r="Q201" s="77">
        <v>45761</v>
      </c>
      <c r="R201" s="78" t="s">
        <v>286</v>
      </c>
      <c r="S201" s="36" t="str">
        <f>VLOOKUP(Tabla911[[#This Row],[CODIGO DEL PRODUCTO]],Tabla79[],2,FALSE)</f>
        <v>CPF 40 AVELLANEDA</v>
      </c>
      <c r="T201" s="37">
        <v>32480</v>
      </c>
      <c r="U201" s="92"/>
    </row>
    <row r="202" spans="8:24" x14ac:dyDescent="0.25">
      <c r="H202" s="34">
        <v>9956</v>
      </c>
      <c r="I202" s="34" t="s">
        <v>354</v>
      </c>
      <c r="J202" s="35">
        <v>45799</v>
      </c>
      <c r="K202" s="36" t="s">
        <v>42</v>
      </c>
      <c r="L202" s="39" t="str">
        <f>VLOOKUP(Tabla810[[#This Row],[CODIGO DEL PRODUCTO]],Tabla79[],2,FALSE)</f>
        <v>ARENA FINA</v>
      </c>
      <c r="M202" s="37">
        <v>4000</v>
      </c>
      <c r="O202" s="76">
        <v>36346</v>
      </c>
      <c r="P202" s="76" t="s">
        <v>293</v>
      </c>
      <c r="Q202" s="77">
        <v>45761</v>
      </c>
      <c r="R202" s="78" t="s">
        <v>50</v>
      </c>
      <c r="S202" s="36" t="str">
        <f>VLOOKUP(Tabla911[[#This Row],[CODIGO DEL PRODUCTO]],Tabla79[],2,FALSE)</f>
        <v>MIRA SET 453 (ADITIVO)</v>
      </c>
      <c r="T202" s="37">
        <v>2160</v>
      </c>
      <c r="U202" s="92"/>
    </row>
    <row r="203" spans="8:24" x14ac:dyDescent="0.25">
      <c r="H203" s="34">
        <v>9962</v>
      </c>
      <c r="I203" s="34" t="s">
        <v>386</v>
      </c>
      <c r="J203" s="35">
        <v>45799</v>
      </c>
      <c r="K203" s="36" t="s">
        <v>42</v>
      </c>
      <c r="L203" s="39" t="str">
        <f>VLOOKUP(Tabla810[[#This Row],[CODIGO DEL PRODUCTO]],Tabla79[],2,FALSE)</f>
        <v>ARENA FINA</v>
      </c>
      <c r="M203" s="37">
        <v>4000</v>
      </c>
      <c r="O203" s="76">
        <v>99927</v>
      </c>
      <c r="P203" s="76" t="s">
        <v>237</v>
      </c>
      <c r="Q203" s="77">
        <v>45762</v>
      </c>
      <c r="R203" s="78" t="s">
        <v>43</v>
      </c>
      <c r="S203" s="36" t="str">
        <f>VLOOKUP(Tabla911[[#This Row],[CODIGO DEL PRODUCTO]],Tabla79[],2,FALSE)</f>
        <v>PIEDRA 6-20</v>
      </c>
      <c r="T203" s="37">
        <v>34560</v>
      </c>
      <c r="U203" s="92"/>
      <c r="V203" s="7">
        <v>45762</v>
      </c>
      <c r="W203" t="s">
        <v>339</v>
      </c>
      <c r="X203" t="s">
        <v>340</v>
      </c>
    </row>
    <row r="204" spans="8:24" x14ac:dyDescent="0.25">
      <c r="H204" s="34">
        <v>9964</v>
      </c>
      <c r="I204" s="34" t="s">
        <v>250</v>
      </c>
      <c r="J204" s="35">
        <v>45799</v>
      </c>
      <c r="K204" s="36" t="s">
        <v>42</v>
      </c>
      <c r="L204" s="39" t="str">
        <f>VLOOKUP(Tabla810[[#This Row],[CODIGO DEL PRODUCTO]],Tabla79[],2,FALSE)</f>
        <v>ARENA FINA</v>
      </c>
      <c r="M204" s="37">
        <v>28000</v>
      </c>
      <c r="O204" s="76">
        <v>99929</v>
      </c>
      <c r="P204" s="76" t="s">
        <v>150</v>
      </c>
      <c r="Q204" s="77">
        <v>45762</v>
      </c>
      <c r="R204" s="78" t="s">
        <v>43</v>
      </c>
      <c r="S204" s="36" t="str">
        <f>VLOOKUP(Tabla911[[#This Row],[CODIGO DEL PRODUCTO]],Tabla79[],2,FALSE)</f>
        <v>PIEDRA 6-20</v>
      </c>
      <c r="T204" s="37">
        <v>35020</v>
      </c>
      <c r="U204" s="92"/>
    </row>
    <row r="205" spans="8:24" x14ac:dyDescent="0.25">
      <c r="H205" s="34">
        <v>9966</v>
      </c>
      <c r="I205" s="34" t="s">
        <v>250</v>
      </c>
      <c r="J205" s="35">
        <v>45799</v>
      </c>
      <c r="K205" s="36" t="s">
        <v>43</v>
      </c>
      <c r="L205" s="39" t="str">
        <f>VLOOKUP(Tabla810[[#This Row],[CODIGO DEL PRODUCTO]],Tabla79[],2,FALSE)</f>
        <v>PIEDRA 6-20</v>
      </c>
      <c r="M205" s="37">
        <v>32000</v>
      </c>
      <c r="O205" s="76">
        <v>99953</v>
      </c>
      <c r="P205" s="76" t="s">
        <v>197</v>
      </c>
      <c r="Q205" s="77">
        <v>45762</v>
      </c>
      <c r="R205" s="78" t="s">
        <v>43</v>
      </c>
      <c r="S205" s="36" t="str">
        <f>VLOOKUP(Tabla911[[#This Row],[CODIGO DEL PRODUCTO]],Tabla79[],2,FALSE)</f>
        <v>PIEDRA 6-20</v>
      </c>
      <c r="T205" s="37">
        <v>34740</v>
      </c>
      <c r="U205" s="92"/>
    </row>
    <row r="206" spans="8:24" x14ac:dyDescent="0.25">
      <c r="H206" s="34">
        <v>9969</v>
      </c>
      <c r="I206" s="34" t="s">
        <v>390</v>
      </c>
      <c r="J206" s="35">
        <v>45799</v>
      </c>
      <c r="K206" s="36" t="s">
        <v>43</v>
      </c>
      <c r="L206" s="39" t="str">
        <f>VLOOKUP(Tabla810[[#This Row],[CODIGO DEL PRODUCTO]],Tabla79[],2,FALSE)</f>
        <v>PIEDRA 6-20</v>
      </c>
      <c r="M206" s="37">
        <v>2000</v>
      </c>
      <c r="O206" s="76">
        <v>2621536</v>
      </c>
      <c r="P206" s="76" t="s">
        <v>65</v>
      </c>
      <c r="Q206" s="77">
        <v>45762</v>
      </c>
      <c r="R206" s="78" t="s">
        <v>286</v>
      </c>
      <c r="S206" s="36" t="str">
        <f>VLOOKUP(Tabla911[[#This Row],[CODIGO DEL PRODUCTO]],Tabla79[],2,FALSE)</f>
        <v>CPF 40 AVELLANEDA</v>
      </c>
      <c r="T206" s="37">
        <v>32360</v>
      </c>
      <c r="U206" s="92"/>
    </row>
    <row r="207" spans="8:24" x14ac:dyDescent="0.25">
      <c r="H207" s="34"/>
      <c r="I207" s="34"/>
      <c r="J207" s="35">
        <v>45799</v>
      </c>
      <c r="K207" s="36" t="s">
        <v>42</v>
      </c>
      <c r="L207" s="39" t="str">
        <f>VLOOKUP(Tabla810[[#This Row],[CODIGO DEL PRODUCTO]],Tabla79[],2,FALSE)</f>
        <v>ARENA FINA</v>
      </c>
      <c r="M207" s="37">
        <v>1000</v>
      </c>
      <c r="O207" s="76">
        <v>99988</v>
      </c>
      <c r="P207" s="76" t="s">
        <v>150</v>
      </c>
      <c r="Q207" s="77">
        <v>45763</v>
      </c>
      <c r="R207" s="78" t="s">
        <v>43</v>
      </c>
      <c r="S207" s="36" t="str">
        <f>VLOOKUP(Tabla911[[#This Row],[CODIGO DEL PRODUCTO]],Tabla79[],2,FALSE)</f>
        <v>PIEDRA 6-20</v>
      </c>
      <c r="T207" s="37">
        <v>34960</v>
      </c>
      <c r="U207" s="92"/>
    </row>
    <row r="208" spans="8:24" x14ac:dyDescent="0.25">
      <c r="H208" s="34">
        <v>9972</v>
      </c>
      <c r="I208" s="34" t="s">
        <v>391</v>
      </c>
      <c r="J208" s="35">
        <v>45799</v>
      </c>
      <c r="K208" s="36" t="s">
        <v>372</v>
      </c>
      <c r="L208" s="39" t="str">
        <f>VLOOKUP(Tabla810[[#This Row],[CODIGO DEL PRODUCTO]],Tabla79[],2,FALSE)</f>
        <v xml:space="preserve">ESTABILIZADO GRANULOMETRICO 0/20 </v>
      </c>
      <c r="M208" s="37">
        <v>2000</v>
      </c>
      <c r="O208" s="76">
        <v>100005</v>
      </c>
      <c r="P208" s="76" t="s">
        <v>197</v>
      </c>
      <c r="Q208" s="77">
        <v>45763</v>
      </c>
      <c r="R208" s="78" t="s">
        <v>43</v>
      </c>
      <c r="S208" s="36" t="str">
        <f>VLOOKUP(Tabla911[[#This Row],[CODIGO DEL PRODUCTO]],Tabla79[],2,FALSE)</f>
        <v>PIEDRA 6-20</v>
      </c>
      <c r="T208" s="37">
        <v>34900</v>
      </c>
      <c r="U208" s="92"/>
    </row>
    <row r="209" spans="8:21" x14ac:dyDescent="0.25">
      <c r="H209" s="34">
        <v>10010</v>
      </c>
      <c r="I209" s="34" t="s">
        <v>392</v>
      </c>
      <c r="J209" s="35">
        <v>45800</v>
      </c>
      <c r="K209" s="36" t="s">
        <v>42</v>
      </c>
      <c r="L209" s="39" t="str">
        <f>VLOOKUP(Tabla810[[#This Row],[CODIGO DEL PRODUCTO]],Tabla79[],2,FALSE)</f>
        <v>ARENA FINA</v>
      </c>
      <c r="M209" s="37">
        <v>4000</v>
      </c>
      <c r="O209" s="76">
        <v>134809</v>
      </c>
      <c r="P209" s="76" t="s">
        <v>296</v>
      </c>
      <c r="Q209" s="77">
        <v>45763</v>
      </c>
      <c r="R209" s="78" t="s">
        <v>40</v>
      </c>
      <c r="S209" s="36" t="str">
        <f>VLOOKUP(Tabla911[[#This Row],[CODIGO DEL PRODUCTO]],Tabla79[],2,FALSE)</f>
        <v>PIEDRA 0-6</v>
      </c>
      <c r="T209" s="37">
        <v>35660</v>
      </c>
      <c r="U209" s="92"/>
    </row>
    <row r="210" spans="8:21" x14ac:dyDescent="0.25">
      <c r="H210" s="34">
        <v>10023</v>
      </c>
      <c r="I210" s="34" t="s">
        <v>190</v>
      </c>
      <c r="J210" s="35">
        <v>45800</v>
      </c>
      <c r="K210" s="36" t="s">
        <v>42</v>
      </c>
      <c r="L210" s="39" t="str">
        <f>VLOOKUP(Tabla810[[#This Row],[CODIGO DEL PRODUCTO]],Tabla79[],2,FALSE)</f>
        <v>ARENA FINA</v>
      </c>
      <c r="M210" s="37">
        <v>3000</v>
      </c>
      <c r="O210" s="76">
        <v>134839</v>
      </c>
      <c r="P210" s="76" t="s">
        <v>338</v>
      </c>
      <c r="Q210" s="77">
        <v>45763</v>
      </c>
      <c r="R210" s="78" t="s">
        <v>43</v>
      </c>
      <c r="S210" s="36" t="str">
        <f>VLOOKUP(Tabla911[[#This Row],[CODIGO DEL PRODUCTO]],Tabla79[],2,FALSE)</f>
        <v>PIEDRA 6-20</v>
      </c>
      <c r="T210" s="37">
        <v>34280</v>
      </c>
      <c r="U210" s="92"/>
    </row>
    <row r="211" spans="8:21" x14ac:dyDescent="0.25">
      <c r="H211" s="34">
        <v>10037</v>
      </c>
      <c r="I211" s="34" t="s">
        <v>374</v>
      </c>
      <c r="J211" s="35">
        <v>45803</v>
      </c>
      <c r="K211" s="36" t="s">
        <v>42</v>
      </c>
      <c r="L211" s="39" t="str">
        <f>VLOOKUP(Tabla810[[#This Row],[CODIGO DEL PRODUCTO]],Tabla79[],2,FALSE)</f>
        <v>ARENA FINA</v>
      </c>
      <c r="M211" s="37">
        <v>2500</v>
      </c>
      <c r="O211" s="76">
        <v>134864</v>
      </c>
      <c r="P211" s="76" t="s">
        <v>118</v>
      </c>
      <c r="Q211" s="77">
        <v>45763</v>
      </c>
      <c r="R211" s="78" t="s">
        <v>43</v>
      </c>
      <c r="S211" s="36" t="str">
        <f>VLOOKUP(Tabla911[[#This Row],[CODIGO DEL PRODUCTO]],Tabla79[],2,FALSE)</f>
        <v>PIEDRA 6-20</v>
      </c>
      <c r="T211" s="37">
        <v>35160</v>
      </c>
      <c r="U211" s="92"/>
    </row>
    <row r="212" spans="8:21" x14ac:dyDescent="0.25">
      <c r="H212" s="34"/>
      <c r="I212" s="34" t="s">
        <v>53</v>
      </c>
      <c r="J212" s="35">
        <v>45796</v>
      </c>
      <c r="K212" s="36" t="s">
        <v>42</v>
      </c>
      <c r="L212" s="39" t="str">
        <f>VLOOKUP(Tabla810[[#This Row],[CODIGO DEL PRODUCTO]],Tabla79[],2,FALSE)</f>
        <v>ARENA FINA</v>
      </c>
      <c r="M212" s="37">
        <v>271250</v>
      </c>
      <c r="O212" s="76">
        <v>2621835</v>
      </c>
      <c r="P212" s="76" t="s">
        <v>65</v>
      </c>
      <c r="Q212" s="77">
        <v>45763</v>
      </c>
      <c r="R212" s="78" t="s">
        <v>286</v>
      </c>
      <c r="S212" s="36" t="str">
        <f>VLOOKUP(Tabla911[[#This Row],[CODIGO DEL PRODUCTO]],Tabla79[],2,FALSE)</f>
        <v>CPF 40 AVELLANEDA</v>
      </c>
      <c r="T212" s="37">
        <v>32060</v>
      </c>
      <c r="U212" s="92"/>
    </row>
    <row r="213" spans="8:21" x14ac:dyDescent="0.25">
      <c r="H213" s="34"/>
      <c r="I213" s="34" t="s">
        <v>53</v>
      </c>
      <c r="J213" s="35">
        <v>45796</v>
      </c>
      <c r="K213" s="36" t="s">
        <v>40</v>
      </c>
      <c r="L213" s="39" t="str">
        <f>VLOOKUP(Tabla810[[#This Row],[CODIGO DEL PRODUCTO]],Tabla79[],2,FALSE)</f>
        <v>PIEDRA 0-6</v>
      </c>
      <c r="M213" s="37">
        <v>195722</v>
      </c>
      <c r="O213" s="76">
        <v>100019</v>
      </c>
      <c r="P213" s="76" t="s">
        <v>237</v>
      </c>
      <c r="Q213" s="77">
        <v>45764</v>
      </c>
      <c r="R213" s="78" t="s">
        <v>43</v>
      </c>
      <c r="S213" s="36" t="str">
        <f>VLOOKUP(Tabla911[[#This Row],[CODIGO DEL PRODUCTO]],Tabla79[],2,FALSE)</f>
        <v>PIEDRA 6-20</v>
      </c>
      <c r="T213" s="37">
        <v>34480</v>
      </c>
      <c r="U213" s="92"/>
    </row>
    <row r="214" spans="8:21" x14ac:dyDescent="0.25">
      <c r="H214" s="34"/>
      <c r="I214" s="34" t="s">
        <v>53</v>
      </c>
      <c r="J214" s="35">
        <v>45797</v>
      </c>
      <c r="K214" s="36" t="s">
        <v>286</v>
      </c>
      <c r="L214" s="39" t="str">
        <f>VLOOKUP(Tabla810[[#This Row],[CODIGO DEL PRODUCTO]],Tabla79[],2,FALSE)</f>
        <v>CPF 40 AVELLANEDA</v>
      </c>
      <c r="M214" s="37">
        <v>148884</v>
      </c>
      <c r="O214" s="76">
        <v>100018</v>
      </c>
      <c r="P214" s="76" t="s">
        <v>150</v>
      </c>
      <c r="Q214" s="77">
        <v>45764</v>
      </c>
      <c r="R214" s="78" t="s">
        <v>43</v>
      </c>
      <c r="S214" s="36" t="str">
        <f>VLOOKUP(Tabla911[[#This Row],[CODIGO DEL PRODUCTO]],Tabla79[],2,FALSE)</f>
        <v>PIEDRA 6-20</v>
      </c>
      <c r="T214" s="37">
        <v>35040</v>
      </c>
      <c r="U214" s="92"/>
    </row>
    <row r="215" spans="8:21" x14ac:dyDescent="0.25">
      <c r="H215" s="34"/>
      <c r="I215" s="34" t="s">
        <v>53</v>
      </c>
      <c r="J215" s="35">
        <v>45798</v>
      </c>
      <c r="K215" s="36" t="s">
        <v>50</v>
      </c>
      <c r="L215" s="39" t="str">
        <f>VLOOKUP(Tabla810[[#This Row],[CODIGO DEL PRODUCTO]],Tabla79[],2,FALSE)</f>
        <v>MIRA SET 453 (ADITIVO)</v>
      </c>
      <c r="M215" s="37">
        <v>850.52</v>
      </c>
      <c r="O215" s="76">
        <v>100020</v>
      </c>
      <c r="P215" s="76" t="s">
        <v>234</v>
      </c>
      <c r="Q215" s="77">
        <v>45764</v>
      </c>
      <c r="R215" s="78" t="s">
        <v>40</v>
      </c>
      <c r="S215" s="36" t="str">
        <f>VLOOKUP(Tabla911[[#This Row],[CODIGO DEL PRODUCTO]],Tabla79[],2,FALSE)</f>
        <v>PIEDRA 0-6</v>
      </c>
      <c r="T215" s="37">
        <v>35040</v>
      </c>
      <c r="U215" s="92"/>
    </row>
    <row r="216" spans="8:21" x14ac:dyDescent="0.25">
      <c r="H216" s="34"/>
      <c r="I216" s="34" t="s">
        <v>53</v>
      </c>
      <c r="J216" s="35">
        <v>45799</v>
      </c>
      <c r="K216" s="36" t="s">
        <v>48</v>
      </c>
      <c r="L216" s="39" t="str">
        <f>VLOOKUP(Tabla810[[#This Row],[CODIGO DEL PRODUCTO]],Tabla79[],2,FALSE)</f>
        <v>PIEDRA 6-12</v>
      </c>
      <c r="M216" s="37">
        <v>72368</v>
      </c>
      <c r="O216" s="76">
        <v>134956</v>
      </c>
      <c r="P216" s="76" t="s">
        <v>119</v>
      </c>
      <c r="Q216" s="77">
        <v>45764</v>
      </c>
      <c r="R216" s="78" t="s">
        <v>43</v>
      </c>
      <c r="S216" s="36" t="str">
        <f>VLOOKUP(Tabla911[[#This Row],[CODIGO DEL PRODUCTO]],Tabla79[],2,FALSE)</f>
        <v>PIEDRA 6-20</v>
      </c>
      <c r="T216" s="37">
        <v>35880</v>
      </c>
      <c r="U216" s="92"/>
    </row>
    <row r="217" spans="8:21" x14ac:dyDescent="0.25">
      <c r="H217" s="34"/>
      <c r="I217" s="34" t="s">
        <v>53</v>
      </c>
      <c r="J217" s="35">
        <v>45800</v>
      </c>
      <c r="K217" s="36" t="s">
        <v>43</v>
      </c>
      <c r="L217" s="39" t="str">
        <f>VLOOKUP(Tabla810[[#This Row],[CODIGO DEL PRODUCTO]],Tabla79[],2,FALSE)</f>
        <v>PIEDRA 6-20</v>
      </c>
      <c r="M217" s="37">
        <v>354695</v>
      </c>
      <c r="O217" s="76">
        <v>2622101</v>
      </c>
      <c r="P217" s="76" t="s">
        <v>65</v>
      </c>
      <c r="Q217" s="77">
        <v>45764</v>
      </c>
      <c r="R217" s="78" t="s">
        <v>286</v>
      </c>
      <c r="S217" s="36" t="str">
        <f>VLOOKUP(Tabla911[[#This Row],[CODIGO DEL PRODUCTO]],Tabla79[],2,FALSE)</f>
        <v>CPF 40 AVELLANEDA</v>
      </c>
      <c r="T217" s="37">
        <v>31960</v>
      </c>
      <c r="U217" s="92"/>
    </row>
    <row r="218" spans="8:21" x14ac:dyDescent="0.25">
      <c r="H218" s="34"/>
      <c r="I218" s="34" t="s">
        <v>53</v>
      </c>
      <c r="J218" s="35">
        <v>45801</v>
      </c>
      <c r="K218" s="36" t="s">
        <v>46</v>
      </c>
      <c r="L218" s="39" t="str">
        <f>VLOOKUP(Tabla810[[#This Row],[CODIGO DEL PRODUCTO]],Tabla79[],2,FALSE)</f>
        <v>PIEDRA 10-30</v>
      </c>
      <c r="M218" s="37">
        <v>3151</v>
      </c>
      <c r="O218" s="76">
        <v>135061</v>
      </c>
      <c r="P218" s="76" t="s">
        <v>342</v>
      </c>
      <c r="Q218" s="77">
        <v>45765</v>
      </c>
      <c r="R218" s="78" t="s">
        <v>43</v>
      </c>
      <c r="S218" s="36" t="str">
        <f>VLOOKUP(Tabla911[[#This Row],[CODIGO DEL PRODUCTO]],Tabla79[],2,FALSE)</f>
        <v>PIEDRA 6-20</v>
      </c>
      <c r="T218" s="37">
        <v>35420</v>
      </c>
      <c r="U218" s="92"/>
    </row>
    <row r="219" spans="8:21" x14ac:dyDescent="0.25">
      <c r="H219" s="34">
        <v>10040</v>
      </c>
      <c r="I219" s="34" t="s">
        <v>393</v>
      </c>
      <c r="J219" s="35">
        <v>45803</v>
      </c>
      <c r="K219" s="36" t="s">
        <v>42</v>
      </c>
      <c r="L219" s="39" t="str">
        <f>VLOOKUP(Tabla810[[#This Row],[CODIGO DEL PRODUCTO]],Tabla79[],2,FALSE)</f>
        <v>ARENA FINA</v>
      </c>
      <c r="M219" s="37">
        <v>3000</v>
      </c>
      <c r="O219" s="76">
        <v>100063</v>
      </c>
      <c r="P219" s="76" t="s">
        <v>237</v>
      </c>
      <c r="Q219" s="77">
        <v>45766</v>
      </c>
      <c r="R219" s="78" t="s">
        <v>43</v>
      </c>
      <c r="S219" s="36" t="str">
        <f>VLOOKUP(Tabla911[[#This Row],[CODIGO DEL PRODUCTO]],Tabla79[],2,FALSE)</f>
        <v>PIEDRA 6-20</v>
      </c>
      <c r="T219" s="37">
        <v>34500</v>
      </c>
      <c r="U219" s="92"/>
    </row>
    <row r="220" spans="8:21" x14ac:dyDescent="0.25">
      <c r="H220" s="34"/>
      <c r="I220" s="34"/>
      <c r="J220" s="35">
        <v>45803</v>
      </c>
      <c r="K220" s="36" t="s">
        <v>43</v>
      </c>
      <c r="L220" s="39" t="str">
        <f>VLOOKUP(Tabla810[[#This Row],[CODIGO DEL PRODUCTO]],Tabla79[],2,FALSE)</f>
        <v>PIEDRA 6-20</v>
      </c>
      <c r="M220" s="37">
        <v>3000</v>
      </c>
      <c r="O220" s="76">
        <v>100068</v>
      </c>
      <c r="P220" s="76" t="s">
        <v>234</v>
      </c>
      <c r="Q220" s="77">
        <v>45766</v>
      </c>
      <c r="R220" s="78" t="s">
        <v>40</v>
      </c>
      <c r="S220" s="36" t="str">
        <f>VLOOKUP(Tabla911[[#This Row],[CODIGO DEL PRODUCTO]],Tabla79[],2,FALSE)</f>
        <v>PIEDRA 0-6</v>
      </c>
      <c r="T220" s="37">
        <v>34700</v>
      </c>
      <c r="U220" s="92"/>
    </row>
    <row r="221" spans="8:21" x14ac:dyDescent="0.25">
      <c r="H221" s="34">
        <v>10043</v>
      </c>
      <c r="I221" s="34" t="s">
        <v>385</v>
      </c>
      <c r="J221" s="35">
        <v>45804</v>
      </c>
      <c r="K221" s="36" t="s">
        <v>42</v>
      </c>
      <c r="L221" s="39" t="str">
        <f>VLOOKUP(Tabla810[[#This Row],[CODIGO DEL PRODUCTO]],Tabla79[],2,FALSE)</f>
        <v>ARENA FINA</v>
      </c>
      <c r="M221" s="37">
        <v>7000</v>
      </c>
      <c r="O221" s="76">
        <v>135049</v>
      </c>
      <c r="P221" s="76" t="s">
        <v>317</v>
      </c>
      <c r="Q221" s="77">
        <v>45766</v>
      </c>
      <c r="R221" s="78" t="s">
        <v>43</v>
      </c>
      <c r="S221" s="36" t="str">
        <f>VLOOKUP(Tabla911[[#This Row],[CODIGO DEL PRODUCTO]],Tabla79[],2,FALSE)</f>
        <v>PIEDRA 6-20</v>
      </c>
      <c r="T221" s="37">
        <v>34960</v>
      </c>
      <c r="U221" s="92"/>
    </row>
    <row r="222" spans="8:21" x14ac:dyDescent="0.25">
      <c r="H222" s="34">
        <v>10047</v>
      </c>
      <c r="I222" s="34" t="s">
        <v>398</v>
      </c>
      <c r="J222" s="35">
        <v>45805</v>
      </c>
      <c r="K222" s="36" t="s">
        <v>42</v>
      </c>
      <c r="L222" s="39" t="str">
        <f>VLOOKUP(Tabla810[[#This Row],[CODIGO DEL PRODUCTO]],Tabla79[],2,FALSE)</f>
        <v>ARENA FINA</v>
      </c>
      <c r="M222" s="37">
        <v>4000</v>
      </c>
      <c r="O222" s="76">
        <v>135050</v>
      </c>
      <c r="P222" s="76" t="s">
        <v>231</v>
      </c>
      <c r="Q222" s="77">
        <v>45766</v>
      </c>
      <c r="R222" s="78" t="s">
        <v>43</v>
      </c>
      <c r="S222" s="36" t="str">
        <f>VLOOKUP(Tabla911[[#This Row],[CODIGO DEL PRODUCTO]],Tabla79[],2,FALSE)</f>
        <v>PIEDRA 6-20</v>
      </c>
      <c r="T222" s="37">
        <v>35600</v>
      </c>
      <c r="U222" s="92"/>
    </row>
    <row r="223" spans="8:21" x14ac:dyDescent="0.25">
      <c r="H223" s="34">
        <v>10063</v>
      </c>
      <c r="I223" s="34" t="s">
        <v>203</v>
      </c>
      <c r="J223" s="35">
        <v>45805</v>
      </c>
      <c r="K223" s="36" t="s">
        <v>46</v>
      </c>
      <c r="L223" s="39" t="str">
        <f>VLOOKUP(Tabla810[[#This Row],[CODIGO DEL PRODUCTO]],Tabla79[],2,FALSE)</f>
        <v>PIEDRA 10-30</v>
      </c>
      <c r="M223" s="37">
        <v>20000</v>
      </c>
      <c r="O223" s="76">
        <v>135057</v>
      </c>
      <c r="P223" s="76" t="s">
        <v>134</v>
      </c>
      <c r="Q223" s="77">
        <v>45766</v>
      </c>
      <c r="R223" s="78" t="s">
        <v>43</v>
      </c>
      <c r="S223" s="36" t="str">
        <f>VLOOKUP(Tabla911[[#This Row],[CODIGO DEL PRODUCTO]],Tabla79[],2,FALSE)</f>
        <v>PIEDRA 6-20</v>
      </c>
      <c r="T223" s="37">
        <v>35560</v>
      </c>
      <c r="U223" s="92"/>
    </row>
    <row r="224" spans="8:21" x14ac:dyDescent="0.25">
      <c r="H224" s="34">
        <v>10078</v>
      </c>
      <c r="I224" s="34" t="s">
        <v>386</v>
      </c>
      <c r="J224" s="35">
        <v>45806</v>
      </c>
      <c r="K224" s="36" t="s">
        <v>43</v>
      </c>
      <c r="L224" s="39" t="str">
        <f>VLOOKUP(Tabla810[[#This Row],[CODIGO DEL PRODUCTO]],Tabla79[],2,FALSE)</f>
        <v>PIEDRA 6-20</v>
      </c>
      <c r="M224" s="37">
        <v>8000</v>
      </c>
      <c r="O224" s="76">
        <v>135062</v>
      </c>
      <c r="P224" s="76" t="s">
        <v>343</v>
      </c>
      <c r="Q224" s="77">
        <v>45766</v>
      </c>
      <c r="R224" s="78" t="s">
        <v>43</v>
      </c>
      <c r="S224" s="36" t="str">
        <f>VLOOKUP(Tabla911[[#This Row],[CODIGO DEL PRODUCTO]],Tabla79[],2,FALSE)</f>
        <v>PIEDRA 6-20</v>
      </c>
      <c r="T224" s="37">
        <v>35560</v>
      </c>
      <c r="U224" s="92"/>
    </row>
    <row r="225" spans="8:24" x14ac:dyDescent="0.25">
      <c r="H225" s="34">
        <v>10089</v>
      </c>
      <c r="I225" s="34" t="s">
        <v>386</v>
      </c>
      <c r="J225" s="35">
        <v>45806</v>
      </c>
      <c r="K225" s="36" t="s">
        <v>43</v>
      </c>
      <c r="L225" s="39" t="str">
        <f>VLOOKUP(Tabla810[[#This Row],[CODIGO DEL PRODUCTO]],Tabla79[],2,FALSE)</f>
        <v>PIEDRA 6-20</v>
      </c>
      <c r="M225" s="37">
        <v>7000</v>
      </c>
      <c r="O225" s="76">
        <v>135066</v>
      </c>
      <c r="P225" s="76" t="s">
        <v>119</v>
      </c>
      <c r="Q225" s="77">
        <v>45766</v>
      </c>
      <c r="R225" s="78" t="s">
        <v>40</v>
      </c>
      <c r="S225" s="36" t="str">
        <f>VLOOKUP(Tabla911[[#This Row],[CODIGO DEL PRODUCTO]],Tabla79[],2,FALSE)</f>
        <v>PIEDRA 0-6</v>
      </c>
      <c r="T225" s="37">
        <v>35580</v>
      </c>
      <c r="U225" s="92"/>
    </row>
    <row r="226" spans="8:24" x14ac:dyDescent="0.25">
      <c r="H226" s="34">
        <v>10143</v>
      </c>
      <c r="I226" s="34" t="s">
        <v>399</v>
      </c>
      <c r="J226" s="35">
        <v>45810</v>
      </c>
      <c r="K226" s="36" t="s">
        <v>42</v>
      </c>
      <c r="L226" s="39" t="str">
        <f>VLOOKUP(Tabla810[[#This Row],[CODIGO DEL PRODUCTO]],Tabla79[],2,FALSE)</f>
        <v>ARENA FINA</v>
      </c>
      <c r="M226" s="37">
        <v>4000</v>
      </c>
      <c r="O226" s="76">
        <v>135072</v>
      </c>
      <c r="P226" s="76" t="s">
        <v>133</v>
      </c>
      <c r="Q226" s="77">
        <v>45766</v>
      </c>
      <c r="R226" s="78" t="s">
        <v>40</v>
      </c>
      <c r="S226" s="36" t="str">
        <f>VLOOKUP(Tabla911[[#This Row],[CODIGO DEL PRODUCTO]],Tabla79[],2,FALSE)</f>
        <v>PIEDRA 0-6</v>
      </c>
      <c r="T226" s="37">
        <v>33340</v>
      </c>
      <c r="U226" s="92"/>
    </row>
    <row r="227" spans="8:24" x14ac:dyDescent="0.25">
      <c r="H227" s="34"/>
      <c r="I227" s="34"/>
      <c r="J227" s="35">
        <v>45810</v>
      </c>
      <c r="K227" s="36" t="s">
        <v>43</v>
      </c>
      <c r="L227" s="39" t="str">
        <f>VLOOKUP(Tabla810[[#This Row],[CODIGO DEL PRODUCTO]],Tabla79[],2,FALSE)</f>
        <v>PIEDRA 6-20</v>
      </c>
      <c r="M227" s="37">
        <v>4000</v>
      </c>
      <c r="O227" s="76">
        <v>2622262</v>
      </c>
      <c r="P227" s="76" t="s">
        <v>65</v>
      </c>
      <c r="Q227" s="77">
        <v>45766</v>
      </c>
      <c r="R227" s="78" t="s">
        <v>286</v>
      </c>
      <c r="S227" s="36" t="str">
        <f>VLOOKUP(Tabla911[[#This Row],[CODIGO DEL PRODUCTO]],Tabla79[],2,FALSE)</f>
        <v>CPF 40 AVELLANEDA</v>
      </c>
      <c r="T227" s="37">
        <v>32360</v>
      </c>
      <c r="U227" s="92"/>
    </row>
    <row r="228" spans="8:24" x14ac:dyDescent="0.25">
      <c r="H228" s="34">
        <v>10156</v>
      </c>
      <c r="I228" s="34" t="s">
        <v>400</v>
      </c>
      <c r="J228" s="35">
        <v>45810</v>
      </c>
      <c r="K228" s="36" t="s">
        <v>43</v>
      </c>
      <c r="L228" s="39" t="str">
        <f>VLOOKUP(Tabla810[[#This Row],[CODIGO DEL PRODUCTO]],Tabla79[],2,FALSE)</f>
        <v>PIEDRA 6-20</v>
      </c>
      <c r="M228" s="37">
        <v>1000</v>
      </c>
      <c r="O228" s="76">
        <v>100297</v>
      </c>
      <c r="P228" s="76" t="s">
        <v>235</v>
      </c>
      <c r="Q228" s="77">
        <v>45768</v>
      </c>
      <c r="R228" s="78" t="s">
        <v>42</v>
      </c>
      <c r="S228" s="36" t="str">
        <f>VLOOKUP(Tabla911[[#This Row],[CODIGO DEL PRODUCTO]],Tabla79[],2,FALSE)</f>
        <v>ARENA FINA</v>
      </c>
      <c r="T228" s="37">
        <v>38060</v>
      </c>
      <c r="U228" s="92"/>
      <c r="V228" s="7">
        <v>45768</v>
      </c>
      <c r="W228" t="s">
        <v>345</v>
      </c>
      <c r="X228" t="s">
        <v>346</v>
      </c>
    </row>
    <row r="229" spans="8:24" x14ac:dyDescent="0.25">
      <c r="H229" s="34"/>
      <c r="I229" s="34"/>
      <c r="J229" s="35">
        <v>45810</v>
      </c>
      <c r="K229" s="36" t="s">
        <v>42</v>
      </c>
      <c r="L229" s="39" t="str">
        <f>VLOOKUP(Tabla810[[#This Row],[CODIGO DEL PRODUCTO]],Tabla79[],2,FALSE)</f>
        <v>ARENA FINA</v>
      </c>
      <c r="M229" s="37">
        <v>1000</v>
      </c>
      <c r="O229" s="76">
        <v>100302</v>
      </c>
      <c r="P229" s="76" t="s">
        <v>235</v>
      </c>
      <c r="Q229" s="77">
        <v>45768</v>
      </c>
      <c r="R229" s="78" t="s">
        <v>42</v>
      </c>
      <c r="S229" s="36" t="str">
        <f>VLOOKUP(Tabla911[[#This Row],[CODIGO DEL PRODUCTO]],Tabla79[],2,FALSE)</f>
        <v>ARENA FINA</v>
      </c>
      <c r="T229" s="37">
        <v>37920</v>
      </c>
      <c r="U229" s="92"/>
    </row>
    <row r="230" spans="8:24" x14ac:dyDescent="0.25">
      <c r="H230" s="34">
        <v>10161</v>
      </c>
      <c r="I230" s="34" t="s">
        <v>401</v>
      </c>
      <c r="J230" s="35">
        <v>45811</v>
      </c>
      <c r="K230" s="36" t="s">
        <v>42</v>
      </c>
      <c r="L230" s="39" t="str">
        <f>VLOOKUP(Tabla810[[#This Row],[CODIGO DEL PRODUCTO]],Tabla79[],2,FALSE)</f>
        <v>ARENA FINA</v>
      </c>
      <c r="M230" s="37">
        <v>1000</v>
      </c>
      <c r="O230" s="76">
        <v>1000064</v>
      </c>
      <c r="P230" s="76" t="s">
        <v>150</v>
      </c>
      <c r="Q230" s="77">
        <v>45768</v>
      </c>
      <c r="R230" s="78" t="s">
        <v>43</v>
      </c>
      <c r="S230" s="36" t="str">
        <f>VLOOKUP(Tabla911[[#This Row],[CODIGO DEL PRODUCTO]],Tabla79[],2,FALSE)</f>
        <v>PIEDRA 6-20</v>
      </c>
      <c r="T230" s="37">
        <v>35020</v>
      </c>
      <c r="U230" s="92"/>
    </row>
    <row r="231" spans="8:24" x14ac:dyDescent="0.25">
      <c r="H231" s="34"/>
      <c r="I231" s="34"/>
      <c r="J231" s="35">
        <v>45811</v>
      </c>
      <c r="K231" s="36" t="s">
        <v>40</v>
      </c>
      <c r="L231" s="39" t="str">
        <f>VLOOKUP(Tabla810[[#This Row],[CODIGO DEL PRODUCTO]],Tabla79[],2,FALSE)</f>
        <v>PIEDRA 0-6</v>
      </c>
      <c r="M231" s="37">
        <v>1000</v>
      </c>
      <c r="O231" s="76">
        <v>100086</v>
      </c>
      <c r="P231" s="76" t="s">
        <v>218</v>
      </c>
      <c r="Q231" s="77">
        <v>45768</v>
      </c>
      <c r="R231" s="78" t="s">
        <v>40</v>
      </c>
      <c r="S231" s="36" t="str">
        <f>VLOOKUP(Tabla911[[#This Row],[CODIGO DEL PRODUCTO]],Tabla79[],2,FALSE)</f>
        <v>PIEDRA 0-6</v>
      </c>
      <c r="T231" s="37">
        <v>35820</v>
      </c>
      <c r="U231" s="92"/>
    </row>
    <row r="232" spans="8:24" x14ac:dyDescent="0.25">
      <c r="H232" s="34">
        <v>10193</v>
      </c>
      <c r="I232" s="34" t="s">
        <v>401</v>
      </c>
      <c r="J232" s="35">
        <v>45811</v>
      </c>
      <c r="K232" s="36" t="s">
        <v>42</v>
      </c>
      <c r="L232" s="39" t="str">
        <f>VLOOKUP(Tabla810[[#This Row],[CODIGO DEL PRODUCTO]],Tabla79[],2,FALSE)</f>
        <v>ARENA FINA</v>
      </c>
      <c r="M232" s="37">
        <v>1000</v>
      </c>
      <c r="O232" s="76">
        <v>100090</v>
      </c>
      <c r="P232" s="76" t="s">
        <v>234</v>
      </c>
      <c r="Q232" s="77">
        <v>45768</v>
      </c>
      <c r="R232" s="78" t="s">
        <v>40</v>
      </c>
      <c r="S232" s="36" t="str">
        <f>VLOOKUP(Tabla911[[#This Row],[CODIGO DEL PRODUCTO]],Tabla79[],2,FALSE)</f>
        <v>PIEDRA 0-6</v>
      </c>
      <c r="T232" s="37">
        <v>35400</v>
      </c>
      <c r="U232" s="92"/>
    </row>
    <row r="233" spans="8:24" x14ac:dyDescent="0.25">
      <c r="H233" s="34">
        <v>10194</v>
      </c>
      <c r="I233" s="34" t="s">
        <v>402</v>
      </c>
      <c r="J233" s="35">
        <v>45811</v>
      </c>
      <c r="K233" s="36" t="s">
        <v>43</v>
      </c>
      <c r="L233" s="39" t="str">
        <f>VLOOKUP(Tabla810[[#This Row],[CODIGO DEL PRODUCTO]],Tabla79[],2,FALSE)</f>
        <v>PIEDRA 6-20</v>
      </c>
      <c r="M233" s="37">
        <v>6000</v>
      </c>
      <c r="O233" s="76">
        <v>100094</v>
      </c>
      <c r="P233" s="76" t="s">
        <v>160</v>
      </c>
      <c r="Q233" s="77">
        <v>45768</v>
      </c>
      <c r="R233" s="78" t="s">
        <v>43</v>
      </c>
      <c r="S233" s="36" t="str">
        <f>VLOOKUP(Tabla911[[#This Row],[CODIGO DEL PRODUCTO]],Tabla79[],2,FALSE)</f>
        <v>PIEDRA 6-20</v>
      </c>
      <c r="T233" s="37">
        <v>34260</v>
      </c>
      <c r="U233" s="92"/>
    </row>
    <row r="234" spans="8:24" x14ac:dyDescent="0.25">
      <c r="H234" s="34">
        <v>10195</v>
      </c>
      <c r="I234" s="34" t="s">
        <v>403</v>
      </c>
      <c r="J234" s="35">
        <v>45811</v>
      </c>
      <c r="K234" s="36" t="s">
        <v>43</v>
      </c>
      <c r="L234" s="39" t="str">
        <f>VLOOKUP(Tabla810[[#This Row],[CODIGO DEL PRODUCTO]],Tabla79[],2,FALSE)</f>
        <v>PIEDRA 6-20</v>
      </c>
      <c r="M234" s="37">
        <v>1000</v>
      </c>
      <c r="O234" s="76">
        <v>100104</v>
      </c>
      <c r="P234" s="76" t="s">
        <v>252</v>
      </c>
      <c r="Q234" s="77">
        <v>45768</v>
      </c>
      <c r="R234" s="78" t="s">
        <v>43</v>
      </c>
      <c r="S234" s="36" t="str">
        <f>VLOOKUP(Tabla911[[#This Row],[CODIGO DEL PRODUCTO]],Tabla79[],2,FALSE)</f>
        <v>PIEDRA 6-20</v>
      </c>
      <c r="T234" s="37">
        <v>35780</v>
      </c>
      <c r="U234" s="92"/>
    </row>
    <row r="235" spans="8:24" x14ac:dyDescent="0.25">
      <c r="H235" s="34">
        <v>10198</v>
      </c>
      <c r="I235" s="34" t="s">
        <v>250</v>
      </c>
      <c r="J235" s="35">
        <v>45811</v>
      </c>
      <c r="K235" s="36" t="s">
        <v>42</v>
      </c>
      <c r="L235" s="39" t="str">
        <f>VLOOKUP(Tabla810[[#This Row],[CODIGO DEL PRODUCTO]],Tabla79[],2,FALSE)</f>
        <v>ARENA FINA</v>
      </c>
      <c r="M235" s="37">
        <v>25000</v>
      </c>
      <c r="O235" s="76">
        <v>134998</v>
      </c>
      <c r="P235" s="76" t="s">
        <v>213</v>
      </c>
      <c r="Q235" s="77">
        <v>45768</v>
      </c>
      <c r="R235" s="78" t="s">
        <v>43</v>
      </c>
      <c r="S235" s="36" t="str">
        <f>VLOOKUP(Tabla911[[#This Row],[CODIGO DEL PRODUCTO]],Tabla79[],2,FALSE)</f>
        <v>PIEDRA 6-20</v>
      </c>
      <c r="T235" s="37">
        <v>34920</v>
      </c>
      <c r="U235" s="92"/>
    </row>
    <row r="236" spans="8:24" x14ac:dyDescent="0.25">
      <c r="H236" s="34"/>
      <c r="I236" s="34" t="s">
        <v>53</v>
      </c>
      <c r="J236" s="35">
        <v>45803</v>
      </c>
      <c r="K236" s="36" t="s">
        <v>42</v>
      </c>
      <c r="L236" s="39" t="str">
        <f>VLOOKUP(Tabla810[[#This Row],[CODIGO DEL PRODUCTO]],Tabla79[],2,FALSE)</f>
        <v>ARENA FINA</v>
      </c>
      <c r="M236" s="37">
        <v>167326</v>
      </c>
      <c r="O236" s="76">
        <v>2622566</v>
      </c>
      <c r="P236" s="76" t="s">
        <v>65</v>
      </c>
      <c r="Q236" s="77">
        <v>45768</v>
      </c>
      <c r="R236" s="78" t="s">
        <v>286</v>
      </c>
      <c r="S236" s="36" t="str">
        <f>VLOOKUP(Tabla911[[#This Row],[CODIGO DEL PRODUCTO]],Tabla79[],2,FALSE)</f>
        <v>CPF 40 AVELLANEDA</v>
      </c>
      <c r="T236" s="37">
        <v>32480</v>
      </c>
      <c r="U236" s="92"/>
    </row>
    <row r="237" spans="8:24" x14ac:dyDescent="0.25">
      <c r="H237" s="34"/>
      <c r="I237" s="34" t="s">
        <v>53</v>
      </c>
      <c r="J237" s="35">
        <v>45804</v>
      </c>
      <c r="K237" s="36" t="s">
        <v>40</v>
      </c>
      <c r="L237" s="39" t="str">
        <f>VLOOKUP(Tabla810[[#This Row],[CODIGO DEL PRODUCTO]],Tabla79[],2,FALSE)</f>
        <v>PIEDRA 0-6</v>
      </c>
      <c r="M237" s="37">
        <v>123101</v>
      </c>
      <c r="O237" s="76">
        <v>100310</v>
      </c>
      <c r="P237" s="76" t="s">
        <v>235</v>
      </c>
      <c r="Q237" s="77">
        <v>45769</v>
      </c>
      <c r="R237" s="78" t="s">
        <v>42</v>
      </c>
      <c r="S237" s="36" t="str">
        <f>VLOOKUP(Tabla911[[#This Row],[CODIGO DEL PRODUCTO]],Tabla79[],2,FALSE)</f>
        <v>ARENA FINA</v>
      </c>
      <c r="T237" s="37">
        <v>38960</v>
      </c>
      <c r="U237" s="92"/>
      <c r="V237" s="7">
        <v>45769</v>
      </c>
      <c r="W237" t="s">
        <v>347</v>
      </c>
      <c r="X237" t="s">
        <v>348</v>
      </c>
    </row>
    <row r="238" spans="8:24" x14ac:dyDescent="0.25">
      <c r="H238" s="34"/>
      <c r="I238" s="34" t="s">
        <v>53</v>
      </c>
      <c r="J238" s="35">
        <v>45805</v>
      </c>
      <c r="K238" s="36" t="s">
        <v>286</v>
      </c>
      <c r="L238" s="39" t="str">
        <f>VLOOKUP(Tabla810[[#This Row],[CODIGO DEL PRODUCTO]],Tabla79[],2,FALSE)</f>
        <v>CPF 40 AVELLANEDA</v>
      </c>
      <c r="M238" s="37">
        <v>92088</v>
      </c>
      <c r="O238" s="76">
        <v>100315</v>
      </c>
      <c r="P238" s="76" t="s">
        <v>235</v>
      </c>
      <c r="Q238" s="77">
        <v>45769</v>
      </c>
      <c r="R238" s="78" t="s">
        <v>42</v>
      </c>
      <c r="S238" s="36" t="str">
        <f>VLOOKUP(Tabla911[[#This Row],[CODIGO DEL PRODUCTO]],Tabla79[],2,FALSE)</f>
        <v>ARENA FINA</v>
      </c>
      <c r="T238" s="37">
        <v>37140</v>
      </c>
      <c r="U238" s="92"/>
    </row>
    <row r="239" spans="8:24" x14ac:dyDescent="0.25">
      <c r="H239" s="34"/>
      <c r="I239" s="34" t="s">
        <v>53</v>
      </c>
      <c r="J239" s="35">
        <v>45806</v>
      </c>
      <c r="K239" s="36" t="s">
        <v>50</v>
      </c>
      <c r="L239" s="39" t="str">
        <f>VLOOKUP(Tabla810[[#This Row],[CODIGO DEL PRODUCTO]],Tabla79[],2,FALSE)</f>
        <v>MIRA SET 453 (ADITIVO)</v>
      </c>
      <c r="M239" s="37">
        <v>583.36</v>
      </c>
      <c r="O239" s="76">
        <v>100122</v>
      </c>
      <c r="P239" s="76" t="s">
        <v>150</v>
      </c>
      <c r="Q239" s="77">
        <v>45769</v>
      </c>
      <c r="R239" s="78" t="s">
        <v>43</v>
      </c>
      <c r="S239" s="36" t="str">
        <f>VLOOKUP(Tabla911[[#This Row],[CODIGO DEL PRODUCTO]],Tabla79[],2,FALSE)</f>
        <v>PIEDRA 6-20</v>
      </c>
      <c r="T239" s="37">
        <v>35400</v>
      </c>
      <c r="U239" s="92"/>
    </row>
    <row r="240" spans="8:24" x14ac:dyDescent="0.25">
      <c r="H240" s="34"/>
      <c r="I240" s="34" t="s">
        <v>53</v>
      </c>
      <c r="J240" s="35">
        <v>45807</v>
      </c>
      <c r="K240" s="36" t="s">
        <v>48</v>
      </c>
      <c r="L240" s="39" t="str">
        <f>VLOOKUP(Tabla810[[#This Row],[CODIGO DEL PRODUCTO]],Tabla79[],2,FALSE)</f>
        <v>PIEDRA 6-12</v>
      </c>
      <c r="M240" s="37">
        <v>56673</v>
      </c>
      <c r="O240" s="76">
        <v>100138</v>
      </c>
      <c r="P240" s="76" t="s">
        <v>234</v>
      </c>
      <c r="Q240" s="77">
        <v>45769</v>
      </c>
      <c r="R240" s="78" t="s">
        <v>40</v>
      </c>
      <c r="S240" s="36" t="str">
        <f>VLOOKUP(Tabla911[[#This Row],[CODIGO DEL PRODUCTO]],Tabla79[],2,FALSE)</f>
        <v>PIEDRA 0-6</v>
      </c>
      <c r="T240" s="37">
        <v>34740</v>
      </c>
      <c r="U240" s="92"/>
    </row>
    <row r="241" spans="8:21" x14ac:dyDescent="0.25">
      <c r="H241" s="34"/>
      <c r="I241" s="34" t="s">
        <v>53</v>
      </c>
      <c r="J241" s="35">
        <v>45808</v>
      </c>
      <c r="K241" s="36" t="s">
        <v>43</v>
      </c>
      <c r="L241" s="39" t="str">
        <f>VLOOKUP(Tabla810[[#This Row],[CODIGO DEL PRODUCTO]],Tabla79[],2,FALSE)</f>
        <v>PIEDRA 6-20</v>
      </c>
      <c r="M241" s="37">
        <v>195635</v>
      </c>
      <c r="O241" s="76">
        <v>100143</v>
      </c>
      <c r="P241" s="76" t="s">
        <v>160</v>
      </c>
      <c r="Q241" s="77">
        <v>45769</v>
      </c>
      <c r="R241" s="78" t="s">
        <v>43</v>
      </c>
      <c r="S241" s="36" t="str">
        <f>VLOOKUP(Tabla911[[#This Row],[CODIGO DEL PRODUCTO]],Tabla79[],2,FALSE)</f>
        <v>PIEDRA 6-20</v>
      </c>
      <c r="T241" s="37">
        <v>34240</v>
      </c>
      <c r="U241" s="92"/>
    </row>
    <row r="242" spans="8:21" x14ac:dyDescent="0.25">
      <c r="H242" s="34">
        <v>10213</v>
      </c>
      <c r="I242" s="34" t="s">
        <v>412</v>
      </c>
      <c r="J242" s="35">
        <v>45812</v>
      </c>
      <c r="K242" s="36" t="s">
        <v>42</v>
      </c>
      <c r="L242" s="39" t="str">
        <f>VLOOKUP(Tabla810[[#This Row],[CODIGO DEL PRODUCTO]],Tabla79[],2,FALSE)</f>
        <v>ARENA FINA</v>
      </c>
      <c r="M242" s="37">
        <v>300</v>
      </c>
      <c r="O242" s="76">
        <v>100148</v>
      </c>
      <c r="P242" s="76" t="s">
        <v>252</v>
      </c>
      <c r="Q242" s="77">
        <v>45769</v>
      </c>
      <c r="R242" s="78" t="s">
        <v>43</v>
      </c>
      <c r="S242" s="36" t="str">
        <f>VLOOKUP(Tabla911[[#This Row],[CODIGO DEL PRODUCTO]],Tabla79[],2,FALSE)</f>
        <v>PIEDRA 6-20</v>
      </c>
      <c r="T242" s="37">
        <v>35680</v>
      </c>
      <c r="U242" s="92"/>
    </row>
    <row r="243" spans="8:21" x14ac:dyDescent="0.25">
      <c r="H243" s="34">
        <v>10215</v>
      </c>
      <c r="I243" s="34" t="s">
        <v>413</v>
      </c>
      <c r="J243" s="35">
        <v>45812</v>
      </c>
      <c r="K243" s="36" t="s">
        <v>42</v>
      </c>
      <c r="L243" s="39" t="str">
        <f>VLOOKUP(Tabla810[[#This Row],[CODIGO DEL PRODUCTO]],Tabla79[],2,FALSE)</f>
        <v>ARENA FINA</v>
      </c>
      <c r="M243" s="37">
        <v>3000</v>
      </c>
      <c r="O243" s="76">
        <v>100151</v>
      </c>
      <c r="P243" s="76" t="s">
        <v>173</v>
      </c>
      <c r="Q243" s="77">
        <v>45769</v>
      </c>
      <c r="R243" s="78" t="s">
        <v>40</v>
      </c>
      <c r="S243" s="36" t="str">
        <f>VLOOKUP(Tabla911[[#This Row],[CODIGO DEL PRODUCTO]],Tabla79[],2,FALSE)</f>
        <v>PIEDRA 0-6</v>
      </c>
      <c r="T243" s="37">
        <v>35200</v>
      </c>
      <c r="U243" s="92"/>
    </row>
    <row r="244" spans="8:21" x14ac:dyDescent="0.25">
      <c r="H244" s="34">
        <v>10223</v>
      </c>
      <c r="I244" s="34" t="s">
        <v>401</v>
      </c>
      <c r="J244" s="35">
        <v>45813</v>
      </c>
      <c r="K244" s="36" t="s">
        <v>43</v>
      </c>
      <c r="L244" s="39" t="str">
        <f>VLOOKUP(Tabla810[[#This Row],[CODIGO DEL PRODUCTO]],Tabla79[],2,FALSE)</f>
        <v>PIEDRA 6-20</v>
      </c>
      <c r="M244" s="37">
        <v>1000</v>
      </c>
      <c r="O244" s="76">
        <v>135095</v>
      </c>
      <c r="P244" s="76" t="s">
        <v>317</v>
      </c>
      <c r="Q244" s="77">
        <v>45769</v>
      </c>
      <c r="R244" s="78" t="s">
        <v>40</v>
      </c>
      <c r="S244" s="36" t="str">
        <f>VLOOKUP(Tabla911[[#This Row],[CODIGO DEL PRODUCTO]],Tabla79[],2,FALSE)</f>
        <v>PIEDRA 0-6</v>
      </c>
      <c r="T244" s="37">
        <v>34200</v>
      </c>
      <c r="U244" s="92"/>
    </row>
    <row r="245" spans="8:21" x14ac:dyDescent="0.25">
      <c r="H245" s="34">
        <v>10246</v>
      </c>
      <c r="I245" s="34" t="s">
        <v>414</v>
      </c>
      <c r="J245" s="35">
        <v>45813</v>
      </c>
      <c r="K245" s="36" t="s">
        <v>42</v>
      </c>
      <c r="L245" s="39" t="str">
        <f>VLOOKUP(Tabla810[[#This Row],[CODIGO DEL PRODUCTO]],Tabla79[],2,FALSE)</f>
        <v>ARENA FINA</v>
      </c>
      <c r="M245" s="37">
        <v>5000</v>
      </c>
      <c r="O245" s="76">
        <v>2622834</v>
      </c>
      <c r="P245" s="76" t="s">
        <v>65</v>
      </c>
      <c r="Q245" s="77">
        <v>45769</v>
      </c>
      <c r="R245" s="78" t="s">
        <v>286</v>
      </c>
      <c r="S245" s="36" t="str">
        <f>VLOOKUP(Tabla911[[#This Row],[CODIGO DEL PRODUCTO]],Tabla79[],2,FALSE)</f>
        <v>CPF 40 AVELLANEDA</v>
      </c>
      <c r="T245" s="37">
        <v>32220</v>
      </c>
      <c r="U245" s="92"/>
    </row>
    <row r="246" spans="8:21" x14ac:dyDescent="0.25">
      <c r="H246" s="34">
        <v>10252</v>
      </c>
      <c r="I246" s="34" t="s">
        <v>354</v>
      </c>
      <c r="J246" s="35">
        <v>45813</v>
      </c>
      <c r="K246" s="36" t="s">
        <v>42</v>
      </c>
      <c r="L246" s="39" t="str">
        <f>VLOOKUP(Tabla810[[#This Row],[CODIGO DEL PRODUCTO]],Tabla79[],2,FALSE)</f>
        <v>ARENA FINA</v>
      </c>
      <c r="M246" s="37">
        <v>2000</v>
      </c>
      <c r="O246" s="76">
        <v>100324</v>
      </c>
      <c r="P246" s="76" t="s">
        <v>235</v>
      </c>
      <c r="Q246" s="77">
        <v>45770</v>
      </c>
      <c r="R246" s="78" t="s">
        <v>42</v>
      </c>
      <c r="S246" s="36" t="str">
        <f>VLOOKUP(Tabla911[[#This Row],[CODIGO DEL PRODUCTO]],Tabla79[],2,FALSE)</f>
        <v>ARENA FINA</v>
      </c>
      <c r="T246" s="37">
        <v>38580</v>
      </c>
      <c r="U246" s="92"/>
    </row>
    <row r="247" spans="8:21" x14ac:dyDescent="0.25">
      <c r="H247" s="34">
        <v>10259</v>
      </c>
      <c r="I247" s="34" t="s">
        <v>335</v>
      </c>
      <c r="J247" s="35">
        <v>45813</v>
      </c>
      <c r="K247" s="36" t="s">
        <v>42</v>
      </c>
      <c r="L247" s="39" t="str">
        <f>VLOOKUP(Tabla810[[#This Row],[CODIGO DEL PRODUCTO]],Tabla79[],2,FALSE)</f>
        <v>ARENA FINA</v>
      </c>
      <c r="M247" s="37">
        <v>4000</v>
      </c>
      <c r="O247" s="76">
        <v>100329</v>
      </c>
      <c r="P247" s="76" t="s">
        <v>235</v>
      </c>
      <c r="Q247" s="77">
        <v>45770</v>
      </c>
      <c r="R247" s="78" t="s">
        <v>42</v>
      </c>
      <c r="S247" s="36" t="str">
        <f>VLOOKUP(Tabla911[[#This Row],[CODIGO DEL PRODUCTO]],Tabla79[],2,FALSE)</f>
        <v>ARENA FINA</v>
      </c>
      <c r="T247" s="37">
        <v>36660</v>
      </c>
      <c r="U247" s="92"/>
    </row>
    <row r="248" spans="8:21" x14ac:dyDescent="0.25">
      <c r="H248" s="34">
        <v>10261</v>
      </c>
      <c r="I248" s="34" t="s">
        <v>250</v>
      </c>
      <c r="J248" s="35">
        <v>45814</v>
      </c>
      <c r="K248" s="36" t="s">
        <v>42</v>
      </c>
      <c r="L248" s="39" t="str">
        <f>VLOOKUP(Tabla810[[#This Row],[CODIGO DEL PRODUCTO]],Tabla79[],2,FALSE)</f>
        <v>ARENA FINA</v>
      </c>
      <c r="M248" s="37">
        <v>35000</v>
      </c>
      <c r="O248" s="76">
        <v>100154</v>
      </c>
      <c r="P248" s="76" t="s">
        <v>150</v>
      </c>
      <c r="Q248" s="77">
        <v>45770</v>
      </c>
      <c r="R248" s="78" t="s">
        <v>43</v>
      </c>
      <c r="S248" s="36" t="str">
        <f>VLOOKUP(Tabla911[[#This Row],[CODIGO DEL PRODUCTO]],Tabla79[],2,FALSE)</f>
        <v>PIEDRA 6-20</v>
      </c>
      <c r="T248" s="37">
        <v>35220</v>
      </c>
      <c r="U248" s="92"/>
    </row>
    <row r="249" spans="8:21" x14ac:dyDescent="0.25">
      <c r="H249" s="34">
        <v>10283</v>
      </c>
      <c r="I249" s="34" t="s">
        <v>385</v>
      </c>
      <c r="J249" s="35">
        <v>45814</v>
      </c>
      <c r="K249" s="36" t="s">
        <v>42</v>
      </c>
      <c r="L249" s="39" t="str">
        <f>VLOOKUP(Tabla810[[#This Row],[CODIGO DEL PRODUCTO]],Tabla79[],2,FALSE)</f>
        <v>ARENA FINA</v>
      </c>
      <c r="M249" s="37">
        <v>4000</v>
      </c>
      <c r="O249" s="76">
        <v>100180</v>
      </c>
      <c r="P249" s="76" t="s">
        <v>349</v>
      </c>
      <c r="Q249" s="77">
        <v>45770</v>
      </c>
      <c r="R249" s="78" t="s">
        <v>43</v>
      </c>
      <c r="S249" s="36" t="str">
        <f>VLOOKUP(Tabla911[[#This Row],[CODIGO DEL PRODUCTO]],Tabla79[],2,FALSE)</f>
        <v>PIEDRA 6-20</v>
      </c>
      <c r="T249" s="37">
        <v>35340</v>
      </c>
      <c r="U249" s="92"/>
    </row>
    <row r="250" spans="8:21" x14ac:dyDescent="0.25">
      <c r="H250" s="34">
        <v>10287</v>
      </c>
      <c r="I250" s="34" t="s">
        <v>202</v>
      </c>
      <c r="J250" s="35">
        <v>45815</v>
      </c>
      <c r="K250" s="36" t="s">
        <v>42</v>
      </c>
      <c r="L250" s="39" t="str">
        <f>VLOOKUP(Tabla810[[#This Row],[CODIGO DEL PRODUCTO]],Tabla79[],2,FALSE)</f>
        <v>ARENA FINA</v>
      </c>
      <c r="M250" s="37">
        <v>4000</v>
      </c>
      <c r="O250" s="76">
        <v>100187</v>
      </c>
      <c r="P250" s="76" t="s">
        <v>234</v>
      </c>
      <c r="Q250" s="77">
        <v>45770</v>
      </c>
      <c r="R250" s="78" t="s">
        <v>40</v>
      </c>
      <c r="S250" s="36" t="str">
        <f>VLOOKUP(Tabla911[[#This Row],[CODIGO DEL PRODUCTO]],Tabla79[],2,FALSE)</f>
        <v>PIEDRA 0-6</v>
      </c>
      <c r="T250" s="37">
        <v>34780</v>
      </c>
      <c r="U250" s="92"/>
    </row>
    <row r="251" spans="8:21" x14ac:dyDescent="0.25">
      <c r="H251" s="34">
        <v>10289</v>
      </c>
      <c r="I251" s="34" t="s">
        <v>385</v>
      </c>
      <c r="J251" s="35">
        <v>45815</v>
      </c>
      <c r="K251" s="36" t="s">
        <v>43</v>
      </c>
      <c r="L251" s="39" t="str">
        <f>VLOOKUP(Tabla810[[#This Row],[CODIGO DEL PRODUCTO]],Tabla79[],2,FALSE)</f>
        <v>PIEDRA 6-20</v>
      </c>
      <c r="M251" s="37">
        <v>2000</v>
      </c>
      <c r="O251" s="76">
        <v>100188</v>
      </c>
      <c r="P251" s="76" t="s">
        <v>160</v>
      </c>
      <c r="Q251" s="77">
        <v>45770</v>
      </c>
      <c r="R251" s="78" t="s">
        <v>43</v>
      </c>
      <c r="S251" s="36" t="str">
        <f>VLOOKUP(Tabla911[[#This Row],[CODIGO DEL PRODUCTO]],Tabla79[],2,FALSE)</f>
        <v>PIEDRA 6-20</v>
      </c>
      <c r="T251" s="37">
        <v>34300</v>
      </c>
      <c r="U251" s="92"/>
    </row>
    <row r="252" spans="8:21" x14ac:dyDescent="0.25">
      <c r="H252" s="34"/>
      <c r="I252" s="34" t="s">
        <v>53</v>
      </c>
      <c r="J252" s="35">
        <v>45809</v>
      </c>
      <c r="K252" s="36" t="s">
        <v>42</v>
      </c>
      <c r="L252" s="39" t="str">
        <f>VLOOKUP(Tabla810[[#This Row],[CODIGO DEL PRODUCTO]],Tabla79[],2,FALSE)</f>
        <v>ARENA FINA</v>
      </c>
      <c r="M252" s="37">
        <v>347389</v>
      </c>
      <c r="O252" s="76">
        <v>100195</v>
      </c>
      <c r="P252" s="76" t="s">
        <v>252</v>
      </c>
      <c r="Q252" s="77">
        <v>45770</v>
      </c>
      <c r="R252" s="78" t="s">
        <v>43</v>
      </c>
      <c r="S252" s="36" t="str">
        <f>VLOOKUP(Tabla911[[#This Row],[CODIGO DEL PRODUCTO]],Tabla79[],2,FALSE)</f>
        <v>PIEDRA 6-20</v>
      </c>
      <c r="T252" s="37">
        <v>35120</v>
      </c>
      <c r="U252" s="92"/>
    </row>
    <row r="253" spans="8:21" x14ac:dyDescent="0.25">
      <c r="H253" s="34"/>
      <c r="I253" s="34" t="s">
        <v>53</v>
      </c>
      <c r="J253" s="35">
        <v>45810</v>
      </c>
      <c r="K253" s="36" t="s">
        <v>40</v>
      </c>
      <c r="L253" s="39" t="str">
        <f>VLOOKUP(Tabla810[[#This Row],[CODIGO DEL PRODUCTO]],Tabla79[],2,FALSE)</f>
        <v>PIEDRA 0-6</v>
      </c>
      <c r="M253" s="37">
        <v>249696</v>
      </c>
      <c r="O253" s="76">
        <v>2623143</v>
      </c>
      <c r="P253" s="76" t="s">
        <v>65</v>
      </c>
      <c r="Q253" s="77">
        <v>45770</v>
      </c>
      <c r="R253" s="78" t="s">
        <v>286</v>
      </c>
      <c r="S253" s="36" t="str">
        <f>VLOOKUP(Tabla911[[#This Row],[CODIGO DEL PRODUCTO]],Tabla79[],2,FALSE)</f>
        <v>CPF 40 AVELLANEDA</v>
      </c>
      <c r="T253" s="37">
        <v>32040</v>
      </c>
      <c r="U253" s="92"/>
    </row>
    <row r="254" spans="8:21" x14ac:dyDescent="0.25">
      <c r="H254" s="34"/>
      <c r="I254" s="34" t="s">
        <v>53</v>
      </c>
      <c r="J254" s="35">
        <v>45811</v>
      </c>
      <c r="K254" s="36" t="s">
        <v>286</v>
      </c>
      <c r="L254" s="39" t="str">
        <f>VLOOKUP(Tabla810[[#This Row],[CODIGO DEL PRODUCTO]],Tabla79[],2,FALSE)</f>
        <v>CPF 40 AVELLANEDA</v>
      </c>
      <c r="M254" s="37">
        <v>193345</v>
      </c>
      <c r="O254" s="76">
        <v>100337</v>
      </c>
      <c r="P254" s="76" t="s">
        <v>235</v>
      </c>
      <c r="Q254" s="77">
        <v>45771</v>
      </c>
      <c r="R254" s="78" t="s">
        <v>42</v>
      </c>
      <c r="S254" s="36" t="str">
        <f>VLOOKUP(Tabla911[[#This Row],[CODIGO DEL PRODUCTO]],Tabla79[],2,FALSE)</f>
        <v>ARENA FINA</v>
      </c>
      <c r="T254" s="37">
        <v>36080</v>
      </c>
      <c r="U254" s="92"/>
    </row>
    <row r="255" spans="8:21" x14ac:dyDescent="0.25">
      <c r="H255" s="34"/>
      <c r="I255" s="34" t="s">
        <v>53</v>
      </c>
      <c r="J255" s="35">
        <v>45812</v>
      </c>
      <c r="K255" s="36" t="s">
        <v>50</v>
      </c>
      <c r="L255" s="39" t="str">
        <f>VLOOKUP(Tabla810[[#This Row],[CODIGO DEL PRODUCTO]],Tabla79[],2,FALSE)</f>
        <v>MIRA SET 453 (ADITIVO)</v>
      </c>
      <c r="M255" s="37">
        <v>1114.54</v>
      </c>
      <c r="O255" s="76">
        <v>100344</v>
      </c>
      <c r="P255" s="76" t="s">
        <v>235</v>
      </c>
      <c r="Q255" s="77">
        <v>45771</v>
      </c>
      <c r="R255" s="78" t="s">
        <v>42</v>
      </c>
      <c r="S255" s="36" t="str">
        <f>VLOOKUP(Tabla911[[#This Row],[CODIGO DEL PRODUCTO]],Tabla79[],2,FALSE)</f>
        <v>ARENA FINA</v>
      </c>
      <c r="T255" s="37">
        <v>37920</v>
      </c>
      <c r="U255" s="92"/>
    </row>
    <row r="256" spans="8:21" x14ac:dyDescent="0.25">
      <c r="H256" s="34"/>
      <c r="I256" s="34" t="s">
        <v>53</v>
      </c>
      <c r="J256" s="35">
        <v>45813</v>
      </c>
      <c r="K256" s="36" t="s">
        <v>48</v>
      </c>
      <c r="L256" s="39" t="str">
        <f>VLOOKUP(Tabla810[[#This Row],[CODIGO DEL PRODUCTO]],Tabla79[],2,FALSE)</f>
        <v>PIEDRA 6-12</v>
      </c>
      <c r="M256" s="37">
        <v>48957</v>
      </c>
      <c r="O256" s="76">
        <v>100202</v>
      </c>
      <c r="P256" s="76" t="s">
        <v>150</v>
      </c>
      <c r="Q256" s="77">
        <v>45771</v>
      </c>
      <c r="R256" s="78" t="s">
        <v>43</v>
      </c>
      <c r="S256" s="36" t="str">
        <f>VLOOKUP(Tabla911[[#This Row],[CODIGO DEL PRODUCTO]],Tabla79[],2,FALSE)</f>
        <v>PIEDRA 6-20</v>
      </c>
      <c r="T256" s="37">
        <v>35100</v>
      </c>
      <c r="U256" s="92"/>
    </row>
    <row r="257" spans="8:24" x14ac:dyDescent="0.25">
      <c r="H257" s="34"/>
      <c r="I257" s="34" t="s">
        <v>53</v>
      </c>
      <c r="J257" s="35">
        <v>45815</v>
      </c>
      <c r="K257" s="36" t="s">
        <v>43</v>
      </c>
      <c r="L257" s="39" t="str">
        <f>VLOOKUP(Tabla810[[#This Row],[CODIGO DEL PRODUCTO]],Tabla79[],2,FALSE)</f>
        <v>PIEDRA 6-20</v>
      </c>
      <c r="M257" s="37">
        <v>535275</v>
      </c>
      <c r="O257" s="76">
        <v>100227</v>
      </c>
      <c r="P257" s="76" t="s">
        <v>355</v>
      </c>
      <c r="Q257" s="77">
        <v>45771</v>
      </c>
      <c r="R257" s="78" t="s">
        <v>40</v>
      </c>
      <c r="S257" s="36" t="str">
        <f>VLOOKUP(Tabla911[[#This Row],[CODIGO DEL PRODUCTO]],Tabla79[],2,FALSE)</f>
        <v>PIEDRA 0-6</v>
      </c>
      <c r="T257" s="37">
        <v>34800</v>
      </c>
      <c r="U257" s="92"/>
    </row>
    <row r="258" spans="8:24" x14ac:dyDescent="0.25">
      <c r="H258" s="34">
        <v>10304</v>
      </c>
      <c r="I258" s="34" t="s">
        <v>401</v>
      </c>
      <c r="J258" s="35">
        <v>45817</v>
      </c>
      <c r="K258" s="36" t="s">
        <v>40</v>
      </c>
      <c r="L258" s="39" t="str">
        <f>VLOOKUP(Tabla810[[#This Row],[CODIGO DEL PRODUCTO]],Tabla79[],2,FALSE)</f>
        <v>PIEDRA 0-6</v>
      </c>
      <c r="M258" s="37">
        <v>2000</v>
      </c>
      <c r="O258" s="76">
        <v>100230</v>
      </c>
      <c r="P258" s="76" t="s">
        <v>234</v>
      </c>
      <c r="Q258" s="77">
        <v>45771</v>
      </c>
      <c r="R258" s="78" t="s">
        <v>40</v>
      </c>
      <c r="S258" s="36" t="str">
        <f>VLOOKUP(Tabla911[[#This Row],[CODIGO DEL PRODUCTO]],Tabla79[],2,FALSE)</f>
        <v>PIEDRA 0-6</v>
      </c>
      <c r="T258" s="37">
        <v>34860</v>
      </c>
      <c r="U258" s="92"/>
    </row>
    <row r="259" spans="8:24" x14ac:dyDescent="0.25">
      <c r="H259" s="34">
        <v>10308</v>
      </c>
      <c r="I259" s="34" t="s">
        <v>245</v>
      </c>
      <c r="J259" s="35">
        <v>45817</v>
      </c>
      <c r="K259" s="36" t="s">
        <v>42</v>
      </c>
      <c r="L259" s="39" t="str">
        <f>VLOOKUP(Tabla810[[#This Row],[CODIGO DEL PRODUCTO]],Tabla79[],2,FALSE)</f>
        <v>ARENA FINA</v>
      </c>
      <c r="M259" s="37">
        <v>6000</v>
      </c>
      <c r="O259" s="76">
        <v>100233</v>
      </c>
      <c r="P259" s="76" t="s">
        <v>160</v>
      </c>
      <c r="Q259" s="77">
        <v>45771</v>
      </c>
      <c r="R259" s="78" t="s">
        <v>43</v>
      </c>
      <c r="S259" s="36" t="str">
        <f>VLOOKUP(Tabla911[[#This Row],[CODIGO DEL PRODUCTO]],Tabla79[],2,FALSE)</f>
        <v>PIEDRA 6-20</v>
      </c>
      <c r="T259" s="37">
        <v>34380</v>
      </c>
      <c r="U259" s="92"/>
    </row>
    <row r="260" spans="8:24" x14ac:dyDescent="0.25">
      <c r="H260" s="34">
        <v>10312</v>
      </c>
      <c r="I260" s="34" t="s">
        <v>245</v>
      </c>
      <c r="J260" s="35">
        <v>45817</v>
      </c>
      <c r="K260" s="36" t="s">
        <v>42</v>
      </c>
      <c r="L260" s="39" t="str">
        <f>VLOOKUP(Tabla810[[#This Row],[CODIGO DEL PRODUCTO]],Tabla79[],2,FALSE)</f>
        <v>ARENA FINA</v>
      </c>
      <c r="M260" s="37">
        <v>4000</v>
      </c>
      <c r="O260" s="76">
        <v>100234</v>
      </c>
      <c r="P260" s="76" t="s">
        <v>252</v>
      </c>
      <c r="Q260" s="77">
        <v>45771</v>
      </c>
      <c r="R260" s="78" t="s">
        <v>43</v>
      </c>
      <c r="S260" s="36" t="str">
        <f>VLOOKUP(Tabla911[[#This Row],[CODIGO DEL PRODUCTO]],Tabla79[],2,FALSE)</f>
        <v>PIEDRA 6-20</v>
      </c>
      <c r="T260" s="37">
        <v>35400</v>
      </c>
      <c r="U260" s="92"/>
    </row>
    <row r="261" spans="8:24" x14ac:dyDescent="0.25">
      <c r="H261" s="34">
        <v>10333</v>
      </c>
      <c r="I261" s="34" t="s">
        <v>419</v>
      </c>
      <c r="J261" s="35">
        <v>45818</v>
      </c>
      <c r="K261" s="36" t="s">
        <v>43</v>
      </c>
      <c r="L261" s="39" t="str">
        <f>VLOOKUP(Tabla810[[#This Row],[CODIGO DEL PRODUCTO]],Tabla79[],2,FALSE)</f>
        <v>PIEDRA 6-20</v>
      </c>
      <c r="M261" s="37">
        <v>2000</v>
      </c>
      <c r="O261" s="76">
        <v>2623465</v>
      </c>
      <c r="P261" s="76" t="s">
        <v>65</v>
      </c>
      <c r="Q261" s="77">
        <v>45771</v>
      </c>
      <c r="R261" s="78" t="s">
        <v>286</v>
      </c>
      <c r="S261" s="36" t="str">
        <f>VLOOKUP(Tabla911[[#This Row],[CODIGO DEL PRODUCTO]],Tabla79[],2,FALSE)</f>
        <v>CPF 40 AVELLANEDA</v>
      </c>
      <c r="T261" s="37">
        <v>32560</v>
      </c>
      <c r="U261" s="92"/>
    </row>
    <row r="262" spans="8:24" x14ac:dyDescent="0.25">
      <c r="H262" s="34">
        <v>10341</v>
      </c>
      <c r="I262" s="34" t="s">
        <v>250</v>
      </c>
      <c r="J262" s="35">
        <v>45818</v>
      </c>
      <c r="K262" s="36" t="s">
        <v>42</v>
      </c>
      <c r="L262" s="39" t="str">
        <f>VLOOKUP(Tabla810[[#This Row],[CODIGO DEL PRODUCTO]],Tabla79[],2,FALSE)</f>
        <v>ARENA FINA</v>
      </c>
      <c r="M262" s="37">
        <v>20000</v>
      </c>
      <c r="O262" s="76">
        <v>36391</v>
      </c>
      <c r="P262" s="76" t="s">
        <v>293</v>
      </c>
      <c r="Q262" s="77">
        <v>45771</v>
      </c>
      <c r="R262" s="78" t="s">
        <v>50</v>
      </c>
      <c r="S262" s="36" t="str">
        <f>VLOOKUP(Tabla911[[#This Row],[CODIGO DEL PRODUCTO]],Tabla79[],2,FALSE)</f>
        <v>MIRA SET 453 (ADITIVO)</v>
      </c>
      <c r="T262" s="37">
        <v>2160</v>
      </c>
      <c r="U262" s="92"/>
    </row>
    <row r="263" spans="8:24" x14ac:dyDescent="0.25">
      <c r="H263" s="34">
        <v>10345</v>
      </c>
      <c r="I263" s="34" t="s">
        <v>420</v>
      </c>
      <c r="J263" s="35">
        <v>45818</v>
      </c>
      <c r="K263" s="36" t="s">
        <v>46</v>
      </c>
      <c r="L263" s="39" t="str">
        <f>VLOOKUP(Tabla810[[#This Row],[CODIGO DEL PRODUCTO]],Tabla79[],2,FALSE)</f>
        <v>PIEDRA 10-30</v>
      </c>
      <c r="M263" s="37">
        <v>18000</v>
      </c>
      <c r="O263" s="76">
        <v>100354</v>
      </c>
      <c r="P263" s="76" t="s">
        <v>235</v>
      </c>
      <c r="Q263" s="77">
        <v>45772</v>
      </c>
      <c r="R263" s="78" t="s">
        <v>42</v>
      </c>
      <c r="S263" s="36" t="str">
        <f>VLOOKUP(Tabla911[[#This Row],[CODIGO DEL PRODUCTO]],Tabla79[],2,FALSE)</f>
        <v>ARENA FINA</v>
      </c>
      <c r="T263" s="37">
        <v>38760</v>
      </c>
      <c r="U263" s="92"/>
      <c r="V263" s="7">
        <v>45772</v>
      </c>
      <c r="W263" t="s">
        <v>356</v>
      </c>
      <c r="X263" t="s">
        <v>357</v>
      </c>
    </row>
    <row r="264" spans="8:24" x14ac:dyDescent="0.25">
      <c r="H264" s="34">
        <v>10349</v>
      </c>
      <c r="I264" s="34" t="s">
        <v>401</v>
      </c>
      <c r="J264" s="35">
        <v>45819</v>
      </c>
      <c r="K264" s="36" t="s">
        <v>43</v>
      </c>
      <c r="L264" s="39" t="str">
        <f>VLOOKUP(Tabla810[[#This Row],[CODIGO DEL PRODUCTO]],Tabla79[],2,FALSE)</f>
        <v>PIEDRA 6-20</v>
      </c>
      <c r="M264" s="37">
        <v>1000</v>
      </c>
      <c r="O264" s="76">
        <v>100362</v>
      </c>
      <c r="P264" s="76" t="s">
        <v>235</v>
      </c>
      <c r="Q264" s="77">
        <v>45772</v>
      </c>
      <c r="R264" s="78" t="s">
        <v>42</v>
      </c>
      <c r="S264" s="36" t="str">
        <f>VLOOKUP(Tabla911[[#This Row],[CODIGO DEL PRODUCTO]],Tabla79[],2,FALSE)</f>
        <v>ARENA FINA</v>
      </c>
      <c r="T264" s="37">
        <v>37200</v>
      </c>
      <c r="U264" s="92"/>
    </row>
    <row r="265" spans="8:24" x14ac:dyDescent="0.25">
      <c r="H265" s="34"/>
      <c r="I265" s="34"/>
      <c r="J265" s="35">
        <v>45819</v>
      </c>
      <c r="K265" s="36" t="s">
        <v>40</v>
      </c>
      <c r="L265" s="39" t="str">
        <f>VLOOKUP(Tabla810[[#This Row],[CODIGO DEL PRODUCTO]],Tabla79[],2,FALSE)</f>
        <v>PIEDRA 0-6</v>
      </c>
      <c r="M265" s="37">
        <v>1</v>
      </c>
      <c r="O265" s="76">
        <v>100265</v>
      </c>
      <c r="P265" s="76" t="s">
        <v>150</v>
      </c>
      <c r="Q265" s="77">
        <v>45772</v>
      </c>
      <c r="R265" s="78" t="s">
        <v>43</v>
      </c>
      <c r="S265" s="36" t="str">
        <f>VLOOKUP(Tabla911[[#This Row],[CODIGO DEL PRODUCTO]],Tabla79[],2,FALSE)</f>
        <v>PIEDRA 6-20</v>
      </c>
      <c r="T265" s="37">
        <v>34560</v>
      </c>
      <c r="U265" s="92"/>
    </row>
    <row r="266" spans="8:24" x14ac:dyDescent="0.25">
      <c r="H266" s="34">
        <v>10372</v>
      </c>
      <c r="I266" s="34" t="s">
        <v>385</v>
      </c>
      <c r="J266" s="35">
        <v>45820</v>
      </c>
      <c r="K266" s="36" t="s">
        <v>42</v>
      </c>
      <c r="L266" s="39" t="str">
        <f>VLOOKUP(Tabla810[[#This Row],[CODIGO DEL PRODUCTO]],Tabla79[],2,FALSE)</f>
        <v>ARENA FINA</v>
      </c>
      <c r="M266" s="37">
        <v>2000</v>
      </c>
      <c r="O266" s="76">
        <v>100281</v>
      </c>
      <c r="P266" s="76" t="s">
        <v>160</v>
      </c>
      <c r="Q266" s="77">
        <v>45772</v>
      </c>
      <c r="R266" s="78" t="s">
        <v>43</v>
      </c>
      <c r="S266" s="36" t="str">
        <f>VLOOKUP(Tabla911[[#This Row],[CODIGO DEL PRODUCTO]],Tabla79[],2,FALSE)</f>
        <v>PIEDRA 6-20</v>
      </c>
      <c r="T266" s="37">
        <v>35220</v>
      </c>
      <c r="U266" s="92"/>
    </row>
    <row r="267" spans="8:24" x14ac:dyDescent="0.25">
      <c r="H267" s="34">
        <v>10380</v>
      </c>
      <c r="I267" s="34" t="s">
        <v>250</v>
      </c>
      <c r="J267" s="35">
        <v>45820</v>
      </c>
      <c r="K267" s="36" t="s">
        <v>42</v>
      </c>
      <c r="L267" s="39" t="str">
        <f>VLOOKUP(Tabla810[[#This Row],[CODIGO DEL PRODUCTO]],Tabla79[],2,FALSE)</f>
        <v>ARENA FINA</v>
      </c>
      <c r="M267" s="37">
        <v>4000</v>
      </c>
      <c r="O267" s="76">
        <v>100287</v>
      </c>
      <c r="P267" s="76" t="s">
        <v>252</v>
      </c>
      <c r="Q267" s="77">
        <v>45772</v>
      </c>
      <c r="R267" s="78" t="s">
        <v>43</v>
      </c>
      <c r="S267" s="36" t="str">
        <f>VLOOKUP(Tabla911[[#This Row],[CODIGO DEL PRODUCTO]],Tabla79[],2,FALSE)</f>
        <v>PIEDRA 6-20</v>
      </c>
      <c r="T267" s="37">
        <v>35440</v>
      </c>
      <c r="U267" s="92"/>
    </row>
    <row r="268" spans="8:24" x14ac:dyDescent="0.25">
      <c r="H268" s="34">
        <v>10393</v>
      </c>
      <c r="I268" s="34" t="s">
        <v>420</v>
      </c>
      <c r="J268" s="35">
        <v>45820</v>
      </c>
      <c r="K268" s="36" t="s">
        <v>43</v>
      </c>
      <c r="L268" s="39" t="str">
        <f>VLOOKUP(Tabla810[[#This Row],[CODIGO DEL PRODUCTO]],Tabla79[],2,FALSE)</f>
        <v>PIEDRA 6-20</v>
      </c>
      <c r="M268" s="37">
        <v>6000</v>
      </c>
      <c r="O268" s="76">
        <v>135332</v>
      </c>
      <c r="P268" s="76" t="s">
        <v>296</v>
      </c>
      <c r="Q268" s="77">
        <v>45772</v>
      </c>
      <c r="R268" s="78" t="s">
        <v>40</v>
      </c>
      <c r="S268" s="36" t="str">
        <f>VLOOKUP(Tabla911[[#This Row],[CODIGO DEL PRODUCTO]],Tabla79[],2,FALSE)</f>
        <v>PIEDRA 0-6</v>
      </c>
      <c r="T268" s="37">
        <v>36080</v>
      </c>
      <c r="U268" s="92"/>
    </row>
    <row r="269" spans="8:24" x14ac:dyDescent="0.25">
      <c r="H269" s="34">
        <v>10398</v>
      </c>
      <c r="I269" s="34" t="s">
        <v>420</v>
      </c>
      <c r="J269" s="35">
        <v>45820</v>
      </c>
      <c r="K269" s="36" t="s">
        <v>46</v>
      </c>
      <c r="L269" s="39" t="str">
        <f>VLOOKUP(Tabla810[[#This Row],[CODIGO DEL PRODUCTO]],Tabla79[],2,FALSE)</f>
        <v>PIEDRA 10-30</v>
      </c>
      <c r="M269" s="37">
        <v>8000</v>
      </c>
      <c r="O269" s="76">
        <v>2623752</v>
      </c>
      <c r="P269" s="76" t="s">
        <v>65</v>
      </c>
      <c r="Q269" s="77">
        <v>45772</v>
      </c>
      <c r="R269" s="78" t="s">
        <v>286</v>
      </c>
      <c r="S269" s="36" t="str">
        <f>VLOOKUP(Tabla911[[#This Row],[CODIGO DEL PRODUCTO]],Tabla79[],2,FALSE)</f>
        <v>CPF 40 AVELLANEDA</v>
      </c>
      <c r="T269" s="37">
        <v>32420</v>
      </c>
      <c r="U269" s="92"/>
    </row>
    <row r="270" spans="8:24" x14ac:dyDescent="0.25">
      <c r="H270" s="34">
        <v>10407</v>
      </c>
      <c r="I270" s="34" t="s">
        <v>420</v>
      </c>
      <c r="J270" s="35">
        <v>45820</v>
      </c>
      <c r="K270" s="36" t="s">
        <v>42</v>
      </c>
      <c r="L270" s="39" t="str">
        <f>VLOOKUP(Tabla810[[#This Row],[CODIGO DEL PRODUCTO]],Tabla79[],2,FALSE)</f>
        <v>ARENA FINA</v>
      </c>
      <c r="M270" s="37">
        <v>8000</v>
      </c>
      <c r="O270" s="76">
        <v>100368</v>
      </c>
      <c r="P270" s="76" t="s">
        <v>235</v>
      </c>
      <c r="Q270" s="77">
        <v>45773</v>
      </c>
      <c r="R270" s="78" t="s">
        <v>42</v>
      </c>
      <c r="S270" s="36" t="str">
        <f>VLOOKUP(Tabla911[[#This Row],[CODIGO DEL PRODUCTO]],Tabla79[],2,FALSE)</f>
        <v>ARENA FINA</v>
      </c>
      <c r="T270" s="37">
        <v>36800</v>
      </c>
      <c r="U270" s="92"/>
    </row>
    <row r="271" spans="8:24" x14ac:dyDescent="0.25">
      <c r="H271" s="34">
        <v>10401</v>
      </c>
      <c r="I271" s="34" t="s">
        <v>401</v>
      </c>
      <c r="J271" s="35">
        <v>45821</v>
      </c>
      <c r="K271" s="36" t="s">
        <v>43</v>
      </c>
      <c r="L271" s="39" t="str">
        <f>VLOOKUP(Tabla810[[#This Row],[CODIGO DEL PRODUCTO]],Tabla79[],2,FALSE)</f>
        <v>PIEDRA 6-20</v>
      </c>
      <c r="M271" s="37">
        <v>2000</v>
      </c>
      <c r="O271" s="76">
        <v>100295</v>
      </c>
      <c r="P271" s="76" t="s">
        <v>150</v>
      </c>
      <c r="Q271" s="77">
        <v>45773</v>
      </c>
      <c r="R271" s="78" t="s">
        <v>40</v>
      </c>
      <c r="S271" s="36" t="str">
        <f>VLOOKUP(Tabla911[[#This Row],[CODIGO DEL PRODUCTO]],Tabla79[],2,FALSE)</f>
        <v>PIEDRA 0-6</v>
      </c>
      <c r="T271" s="37">
        <v>35400</v>
      </c>
      <c r="U271" s="92"/>
    </row>
    <row r="272" spans="8:24" x14ac:dyDescent="0.25">
      <c r="H272" s="34"/>
      <c r="I272" s="34"/>
      <c r="J272" s="35">
        <v>45821</v>
      </c>
      <c r="K272" s="36" t="s">
        <v>40</v>
      </c>
      <c r="L272" s="39" t="str">
        <f>VLOOKUP(Tabla810[[#This Row],[CODIGO DEL PRODUCTO]],Tabla79[],2,FALSE)</f>
        <v>PIEDRA 0-6</v>
      </c>
      <c r="M272" s="37">
        <v>1000</v>
      </c>
      <c r="O272" s="76">
        <v>135373</v>
      </c>
      <c r="P272" s="76" t="s">
        <v>119</v>
      </c>
      <c r="Q272" s="77">
        <v>45773</v>
      </c>
      <c r="R272" s="78" t="s">
        <v>40</v>
      </c>
      <c r="S272" s="36" t="str">
        <f>VLOOKUP(Tabla911[[#This Row],[CODIGO DEL PRODUCTO]],Tabla79[],2,FALSE)</f>
        <v>PIEDRA 0-6</v>
      </c>
      <c r="T272" s="37">
        <v>35360</v>
      </c>
      <c r="U272" s="92"/>
    </row>
    <row r="273" spans="8:24" x14ac:dyDescent="0.25">
      <c r="H273" s="34">
        <v>10408</v>
      </c>
      <c r="I273" s="34" t="s">
        <v>385</v>
      </c>
      <c r="J273" s="35">
        <v>45821</v>
      </c>
      <c r="K273" s="36" t="s">
        <v>42</v>
      </c>
      <c r="L273" s="39" t="str">
        <f>VLOOKUP(Tabla810[[#This Row],[CODIGO DEL PRODUCTO]],Tabla79[],2,FALSE)</f>
        <v>ARENA FINA</v>
      </c>
      <c r="M273" s="37">
        <v>3000</v>
      </c>
      <c r="O273" s="76">
        <v>2623905</v>
      </c>
      <c r="P273" s="76" t="s">
        <v>65</v>
      </c>
      <c r="Q273" s="77">
        <v>45773</v>
      </c>
      <c r="R273" s="78" t="s">
        <v>286</v>
      </c>
      <c r="S273" s="36" t="str">
        <f>VLOOKUP(Tabla911[[#This Row],[CODIGO DEL PRODUCTO]],Tabla79[],2,FALSE)</f>
        <v>CPF 40 AVELLANEDA</v>
      </c>
      <c r="T273" s="37">
        <v>32440</v>
      </c>
      <c r="U273" s="92"/>
    </row>
    <row r="274" spans="8:24" x14ac:dyDescent="0.25">
      <c r="H274" s="34"/>
      <c r="I274" s="34" t="s">
        <v>53</v>
      </c>
      <c r="J274" s="35">
        <v>45817</v>
      </c>
      <c r="K274" s="36" t="s">
        <v>42</v>
      </c>
      <c r="L274" s="39" t="str">
        <f>VLOOKUP(Tabla810[[#This Row],[CODIGO DEL PRODUCTO]],Tabla79[],2,FALSE)</f>
        <v>ARENA FINA</v>
      </c>
      <c r="M274" s="37">
        <v>295065</v>
      </c>
      <c r="O274" s="76">
        <v>100376</v>
      </c>
      <c r="P274" s="76" t="s">
        <v>235</v>
      </c>
      <c r="Q274" s="77">
        <v>45775</v>
      </c>
      <c r="R274" s="78" t="s">
        <v>42</v>
      </c>
      <c r="S274" s="36" t="str">
        <f>VLOOKUP(Tabla911[[#This Row],[CODIGO DEL PRODUCTO]],Tabla79[],2,FALSE)</f>
        <v>ARENA FINA</v>
      </c>
      <c r="T274" s="37">
        <v>35600</v>
      </c>
      <c r="U274" s="92"/>
    </row>
    <row r="275" spans="8:24" x14ac:dyDescent="0.25">
      <c r="H275" s="34"/>
      <c r="I275" s="34" t="s">
        <v>53</v>
      </c>
      <c r="J275" s="35">
        <v>45818</v>
      </c>
      <c r="K275" s="36" t="s">
        <v>40</v>
      </c>
      <c r="L275" s="39" t="str">
        <f>VLOOKUP(Tabla810[[#This Row],[CODIGO DEL PRODUCTO]],Tabla79[],2,FALSE)</f>
        <v>PIEDRA 0-6</v>
      </c>
      <c r="M275" s="37">
        <v>213614</v>
      </c>
      <c r="O275" s="76">
        <v>100380</v>
      </c>
      <c r="P275" s="76" t="s">
        <v>235</v>
      </c>
      <c r="Q275" s="77">
        <v>45775</v>
      </c>
      <c r="R275" s="78" t="s">
        <v>42</v>
      </c>
      <c r="S275" s="36" t="str">
        <f>VLOOKUP(Tabla911[[#This Row],[CODIGO DEL PRODUCTO]],Tabla79[],2,FALSE)</f>
        <v>ARENA FINA</v>
      </c>
      <c r="T275" s="37">
        <v>36980</v>
      </c>
      <c r="U275" s="92"/>
    </row>
    <row r="276" spans="8:24" x14ac:dyDescent="0.25">
      <c r="H276" s="34"/>
      <c r="I276" s="34" t="s">
        <v>53</v>
      </c>
      <c r="J276" s="35">
        <v>45819</v>
      </c>
      <c r="K276" s="36" t="s">
        <v>286</v>
      </c>
      <c r="L276" s="39" t="str">
        <f>VLOOKUP(Tabla810[[#This Row],[CODIGO DEL PRODUCTO]],Tabla79[],2,FALSE)</f>
        <v>CPF 40 AVELLANEDA</v>
      </c>
      <c r="M276" s="37">
        <v>158090</v>
      </c>
      <c r="O276" s="76">
        <v>100328</v>
      </c>
      <c r="P276" s="76" t="s">
        <v>155</v>
      </c>
      <c r="Q276" s="77">
        <v>45775</v>
      </c>
      <c r="R276" s="78" t="s">
        <v>48</v>
      </c>
      <c r="S276" s="36" t="str">
        <f>VLOOKUP(Tabla911[[#This Row],[CODIGO DEL PRODUCTO]],Tabla79[],2,FALSE)</f>
        <v>PIEDRA 6-12</v>
      </c>
      <c r="T276" s="37">
        <v>34300</v>
      </c>
      <c r="U276" s="92"/>
    </row>
    <row r="277" spans="8:24" x14ac:dyDescent="0.25">
      <c r="H277" s="34"/>
      <c r="I277" s="34" t="s">
        <v>53</v>
      </c>
      <c r="J277" s="35">
        <v>45820</v>
      </c>
      <c r="K277" s="36" t="s">
        <v>50</v>
      </c>
      <c r="L277" s="39" t="str">
        <f>VLOOKUP(Tabla810[[#This Row],[CODIGO DEL PRODUCTO]],Tabla79[],2,FALSE)</f>
        <v>MIRA SET 453 (ADITIVO)</v>
      </c>
      <c r="M277" s="37">
        <v>971.22</v>
      </c>
      <c r="O277" s="76">
        <v>100336</v>
      </c>
      <c r="P277" s="76" t="s">
        <v>197</v>
      </c>
      <c r="Q277" s="77">
        <v>45775</v>
      </c>
      <c r="R277" s="78" t="s">
        <v>43</v>
      </c>
      <c r="S277" s="36" t="str">
        <f>VLOOKUP(Tabla911[[#This Row],[CODIGO DEL PRODUCTO]],Tabla79[],2,FALSE)</f>
        <v>PIEDRA 6-20</v>
      </c>
      <c r="T277" s="37">
        <v>34360</v>
      </c>
      <c r="U277" s="92"/>
    </row>
    <row r="278" spans="8:24" x14ac:dyDescent="0.25">
      <c r="H278" s="34"/>
      <c r="I278" s="34" t="s">
        <v>53</v>
      </c>
      <c r="J278" s="35">
        <v>45821</v>
      </c>
      <c r="K278" s="36" t="s">
        <v>48</v>
      </c>
      <c r="L278" s="39" t="str">
        <f>VLOOKUP(Tabla810[[#This Row],[CODIGO DEL PRODUCTO]],Tabla79[],2,FALSE)</f>
        <v>PIEDRA 6-12</v>
      </c>
      <c r="M278" s="37">
        <v>112284</v>
      </c>
      <c r="O278" s="76">
        <v>100340</v>
      </c>
      <c r="P278" s="76" t="s">
        <v>234</v>
      </c>
      <c r="Q278" s="77">
        <v>45775</v>
      </c>
      <c r="R278" s="78" t="s">
        <v>40</v>
      </c>
      <c r="S278" s="36" t="str">
        <f>VLOOKUP(Tabla911[[#This Row],[CODIGO DEL PRODUCTO]],Tabla79[],2,FALSE)</f>
        <v>PIEDRA 0-6</v>
      </c>
      <c r="T278" s="37">
        <v>34380</v>
      </c>
      <c r="U278" s="92"/>
    </row>
    <row r="279" spans="8:24" x14ac:dyDescent="0.25">
      <c r="H279" s="34"/>
      <c r="I279" s="34" t="s">
        <v>53</v>
      </c>
      <c r="J279" s="35">
        <v>45822</v>
      </c>
      <c r="K279" s="36" t="s">
        <v>43</v>
      </c>
      <c r="L279" s="39" t="str">
        <f>VLOOKUP(Tabla810[[#This Row],[CODIGO DEL PRODUCTO]],Tabla79[],2,FALSE)</f>
        <v>PIEDRA 6-20</v>
      </c>
      <c r="M279" s="37">
        <v>333247</v>
      </c>
      <c r="O279" s="76">
        <v>100347</v>
      </c>
      <c r="P279" s="76" t="s">
        <v>151</v>
      </c>
      <c r="Q279" s="77">
        <v>45775</v>
      </c>
      <c r="R279" s="78" t="s">
        <v>40</v>
      </c>
      <c r="S279" s="36" t="str">
        <f>VLOOKUP(Tabla911[[#This Row],[CODIGO DEL PRODUCTO]],Tabla79[],2,FALSE)</f>
        <v>PIEDRA 0-6</v>
      </c>
      <c r="T279" s="37">
        <v>34480</v>
      </c>
      <c r="U279" s="92"/>
    </row>
    <row r="280" spans="8:24" x14ac:dyDescent="0.25">
      <c r="H280" s="34">
        <v>10410</v>
      </c>
      <c r="I280" s="34" t="s">
        <v>423</v>
      </c>
      <c r="J280" s="35">
        <v>45825</v>
      </c>
      <c r="K280" s="36" t="s">
        <v>42</v>
      </c>
      <c r="L280" s="39" t="str">
        <f>VLOOKUP(Tabla810[[#This Row],[CODIGO DEL PRODUCTO]],Tabla79[],2,FALSE)</f>
        <v>ARENA FINA</v>
      </c>
      <c r="M280" s="37">
        <v>2000</v>
      </c>
      <c r="O280" s="76">
        <v>100350</v>
      </c>
      <c r="P280" s="76" t="s">
        <v>252</v>
      </c>
      <c r="Q280" s="77">
        <v>45775</v>
      </c>
      <c r="R280" s="78" t="s">
        <v>43</v>
      </c>
      <c r="S280" s="36" t="str">
        <f>VLOOKUP(Tabla911[[#This Row],[CODIGO DEL PRODUCTO]],Tabla79[],2,FALSE)</f>
        <v>PIEDRA 6-20</v>
      </c>
      <c r="T280" s="37">
        <v>34800</v>
      </c>
      <c r="U280" s="92"/>
    </row>
    <row r="281" spans="8:24" x14ac:dyDescent="0.25">
      <c r="H281" s="34">
        <v>10425</v>
      </c>
      <c r="I281" s="34" t="s">
        <v>354</v>
      </c>
      <c r="J281" s="35">
        <v>45826</v>
      </c>
      <c r="K281" s="36" t="s">
        <v>42</v>
      </c>
      <c r="L281" s="39" t="str">
        <f>VLOOKUP(Tabla810[[#This Row],[CODIGO DEL PRODUCTO]],Tabla79[],2,FALSE)</f>
        <v>ARENA FINA</v>
      </c>
      <c r="M281" s="37">
        <v>2000</v>
      </c>
      <c r="O281" s="76">
        <v>135454</v>
      </c>
      <c r="P281" s="76" t="s">
        <v>338</v>
      </c>
      <c r="Q281" s="77">
        <v>45775</v>
      </c>
      <c r="R281" s="78" t="s">
        <v>43</v>
      </c>
      <c r="S281" s="36" t="str">
        <f>VLOOKUP(Tabla911[[#This Row],[CODIGO DEL PRODUCTO]],Tabla79[],2,FALSE)</f>
        <v>PIEDRA 6-20</v>
      </c>
      <c r="T281" s="37">
        <v>34980</v>
      </c>
      <c r="U281" s="92"/>
    </row>
    <row r="282" spans="8:24" x14ac:dyDescent="0.25">
      <c r="H282" s="34"/>
      <c r="I282" s="34" t="s">
        <v>413</v>
      </c>
      <c r="J282" s="35">
        <v>45826</v>
      </c>
      <c r="K282" s="36" t="s">
        <v>43</v>
      </c>
      <c r="L282" s="39" t="str">
        <f>VLOOKUP(Tabla810[[#This Row],[CODIGO DEL PRODUCTO]],Tabla79[],2,FALSE)</f>
        <v>PIEDRA 6-20</v>
      </c>
      <c r="M282" s="37">
        <v>1000</v>
      </c>
      <c r="O282" s="76">
        <v>2624362</v>
      </c>
      <c r="P282" s="76" t="s">
        <v>65</v>
      </c>
      <c r="Q282" s="77">
        <v>45775</v>
      </c>
      <c r="R282" s="78" t="s">
        <v>286</v>
      </c>
      <c r="S282" s="36" t="str">
        <f>VLOOKUP(Tabla911[[#This Row],[CODIGO DEL PRODUCTO]],Tabla79[],2,FALSE)</f>
        <v>CPF 40 AVELLANEDA</v>
      </c>
      <c r="T282" s="37">
        <v>32280</v>
      </c>
      <c r="U282" s="92"/>
    </row>
    <row r="283" spans="8:24" x14ac:dyDescent="0.25">
      <c r="H283" s="34"/>
      <c r="I283" s="34"/>
      <c r="J283" s="35">
        <v>45826</v>
      </c>
      <c r="K283" s="36" t="s">
        <v>42</v>
      </c>
      <c r="L283" s="39" t="str">
        <f>VLOOKUP(Tabla810[[#This Row],[CODIGO DEL PRODUCTO]],Tabla79[],2,FALSE)</f>
        <v>ARENA FINA</v>
      </c>
      <c r="M283" s="37">
        <v>3000</v>
      </c>
      <c r="O283" s="76">
        <v>100390</v>
      </c>
      <c r="P283" s="76" t="s">
        <v>235</v>
      </c>
      <c r="Q283" s="77">
        <v>45776</v>
      </c>
      <c r="R283" s="78" t="s">
        <v>42</v>
      </c>
      <c r="S283" s="36" t="str">
        <f>VLOOKUP(Tabla911[[#This Row],[CODIGO DEL PRODUCTO]],Tabla79[],2,FALSE)</f>
        <v>ARENA FINA</v>
      </c>
      <c r="T283" s="37">
        <v>29280</v>
      </c>
      <c r="U283" s="92"/>
      <c r="V283" s="7">
        <v>45776</v>
      </c>
      <c r="W283" t="s">
        <v>359</v>
      </c>
      <c r="X283" t="s">
        <v>360</v>
      </c>
    </row>
    <row r="284" spans="8:24" x14ac:dyDescent="0.25">
      <c r="H284" s="34"/>
      <c r="I284" s="34" t="s">
        <v>413</v>
      </c>
      <c r="J284" s="35">
        <v>45826</v>
      </c>
      <c r="K284" s="36" t="s">
        <v>43</v>
      </c>
      <c r="L284" s="39" t="str">
        <f>VLOOKUP(Tabla810[[#This Row],[CODIGO DEL PRODUCTO]],Tabla79[],2,FALSE)</f>
        <v>PIEDRA 6-20</v>
      </c>
      <c r="M284" s="37">
        <v>2000</v>
      </c>
      <c r="O284" s="76">
        <v>100396</v>
      </c>
      <c r="P284" s="76" t="s">
        <v>235</v>
      </c>
      <c r="Q284" s="77">
        <v>45776</v>
      </c>
      <c r="R284" s="78" t="s">
        <v>42</v>
      </c>
      <c r="S284" s="36" t="str">
        <f>VLOOKUP(Tabla911[[#This Row],[CODIGO DEL PRODUCTO]],Tabla79[],2,FALSE)</f>
        <v>ARENA FINA</v>
      </c>
      <c r="T284" s="37">
        <v>35800</v>
      </c>
      <c r="U284" s="92"/>
    </row>
    <row r="285" spans="8:24" x14ac:dyDescent="0.25">
      <c r="H285" s="34">
        <v>10452</v>
      </c>
      <c r="I285" s="34" t="s">
        <v>283</v>
      </c>
      <c r="J285" s="35">
        <v>45826</v>
      </c>
      <c r="K285" s="36" t="s">
        <v>42</v>
      </c>
      <c r="L285" s="39" t="str">
        <f>VLOOKUP(Tabla810[[#This Row],[CODIGO DEL PRODUCTO]],Tabla79[],2,FALSE)</f>
        <v>ARENA FINA</v>
      </c>
      <c r="M285" s="37">
        <v>2000</v>
      </c>
      <c r="O285" s="76">
        <v>100372</v>
      </c>
      <c r="P285" s="76" t="s">
        <v>155</v>
      </c>
      <c r="Q285" s="77">
        <v>45776</v>
      </c>
      <c r="R285" s="78" t="s">
        <v>48</v>
      </c>
      <c r="S285" s="36" t="str">
        <f>VLOOKUP(Tabla911[[#This Row],[CODIGO DEL PRODUCTO]],Tabla79[],2,FALSE)</f>
        <v>PIEDRA 6-12</v>
      </c>
      <c r="T285" s="37">
        <v>34360</v>
      </c>
      <c r="U285" s="92"/>
    </row>
    <row r="286" spans="8:24" x14ac:dyDescent="0.25">
      <c r="H286" s="34"/>
      <c r="I286" s="34" t="s">
        <v>53</v>
      </c>
      <c r="J286" s="35">
        <v>45824</v>
      </c>
      <c r="K286" s="36" t="s">
        <v>42</v>
      </c>
      <c r="L286" s="39" t="str">
        <f>VLOOKUP(Tabla810[[#This Row],[CODIGO DEL PRODUCTO]],Tabla79[],2,FALSE)</f>
        <v>ARENA FINA</v>
      </c>
      <c r="M286" s="37">
        <v>333311</v>
      </c>
      <c r="O286" s="76">
        <v>100376</v>
      </c>
      <c r="P286" s="76" t="s">
        <v>244</v>
      </c>
      <c r="Q286" s="77">
        <v>45776</v>
      </c>
      <c r="R286" s="78" t="s">
        <v>43</v>
      </c>
      <c r="S286" s="36" t="str">
        <f>VLOOKUP(Tabla911[[#This Row],[CODIGO DEL PRODUCTO]],Tabla79[],2,FALSE)</f>
        <v>PIEDRA 6-20</v>
      </c>
      <c r="T286" s="37">
        <v>33940</v>
      </c>
      <c r="U286" s="92"/>
    </row>
    <row r="287" spans="8:24" x14ac:dyDescent="0.25">
      <c r="H287" s="34"/>
      <c r="I287" s="34" t="s">
        <v>53</v>
      </c>
      <c r="J287" s="35">
        <v>45825</v>
      </c>
      <c r="K287" s="36" t="s">
        <v>40</v>
      </c>
      <c r="L287" s="39" t="str">
        <f>VLOOKUP(Tabla810[[#This Row],[CODIGO DEL PRODUCTO]],Tabla79[],2,FALSE)</f>
        <v>PIEDRA 0-6</v>
      </c>
      <c r="M287" s="37">
        <v>230455</v>
      </c>
      <c r="O287" s="76">
        <v>100383</v>
      </c>
      <c r="P287" s="76" t="s">
        <v>197</v>
      </c>
      <c r="Q287" s="77">
        <v>45776</v>
      </c>
      <c r="R287" s="78" t="s">
        <v>43</v>
      </c>
      <c r="S287" s="36" t="str">
        <f>VLOOKUP(Tabla911[[#This Row],[CODIGO DEL PRODUCTO]],Tabla79[],2,FALSE)</f>
        <v>PIEDRA 6-20</v>
      </c>
      <c r="T287" s="37">
        <v>35860</v>
      </c>
      <c r="U287" s="92"/>
    </row>
    <row r="288" spans="8:24" x14ac:dyDescent="0.25">
      <c r="H288" s="34"/>
      <c r="I288" s="34" t="s">
        <v>53</v>
      </c>
      <c r="J288" s="35">
        <v>45826</v>
      </c>
      <c r="K288" s="36" t="s">
        <v>286</v>
      </c>
      <c r="L288" s="39" t="str">
        <f>VLOOKUP(Tabla810[[#This Row],[CODIGO DEL PRODUCTO]],Tabla79[],2,FALSE)</f>
        <v>CPF 40 AVELLANEDA</v>
      </c>
      <c r="M288" s="37">
        <v>167120</v>
      </c>
      <c r="O288" s="76">
        <v>100396</v>
      </c>
      <c r="P288" s="76" t="s">
        <v>234</v>
      </c>
      <c r="Q288" s="77">
        <v>45776</v>
      </c>
      <c r="R288" s="78" t="s">
        <v>40</v>
      </c>
      <c r="S288" s="36" t="str">
        <f>VLOOKUP(Tabla911[[#This Row],[CODIGO DEL PRODUCTO]],Tabla79[],2,FALSE)</f>
        <v>PIEDRA 0-6</v>
      </c>
      <c r="T288" s="37">
        <v>34400</v>
      </c>
      <c r="U288" s="92"/>
    </row>
    <row r="289" spans="8:24" x14ac:dyDescent="0.25">
      <c r="H289" s="34"/>
      <c r="I289" s="34" t="s">
        <v>53</v>
      </c>
      <c r="J289" s="35">
        <v>45827</v>
      </c>
      <c r="K289" s="36" t="s">
        <v>50</v>
      </c>
      <c r="L289" s="39" t="str">
        <f>VLOOKUP(Tabla810[[#This Row],[CODIGO DEL PRODUCTO]],Tabla79[],2,FALSE)</f>
        <v>MIRA SET 453 (ADITIVO)</v>
      </c>
      <c r="M289" s="37">
        <v>15.69</v>
      </c>
      <c r="O289" s="76">
        <v>2624657</v>
      </c>
      <c r="P289" s="76" t="s">
        <v>65</v>
      </c>
      <c r="Q289" s="77">
        <v>45776</v>
      </c>
      <c r="R289" s="78" t="s">
        <v>286</v>
      </c>
      <c r="S289" s="36" t="str">
        <f>VLOOKUP(Tabla911[[#This Row],[CODIGO DEL PRODUCTO]],Tabla79[],2,FALSE)</f>
        <v>CPF 40 AVELLANEDA</v>
      </c>
      <c r="T289" s="37">
        <v>32080</v>
      </c>
      <c r="U289" s="92"/>
    </row>
    <row r="290" spans="8:24" x14ac:dyDescent="0.25">
      <c r="H290" s="34"/>
      <c r="I290" s="34" t="s">
        <v>53</v>
      </c>
      <c r="J290" s="35">
        <v>45828</v>
      </c>
      <c r="K290" s="36" t="s">
        <v>48</v>
      </c>
      <c r="L290" s="39" t="str">
        <f>VLOOKUP(Tabla810[[#This Row],[CODIGO DEL PRODUCTO]],Tabla79[],2,FALSE)</f>
        <v>PIEDRA 6-12</v>
      </c>
      <c r="M290" s="37">
        <v>70266</v>
      </c>
      <c r="O290" s="76">
        <v>100402</v>
      </c>
      <c r="P290" s="76" t="s">
        <v>235</v>
      </c>
      <c r="Q290" s="77">
        <v>45777</v>
      </c>
      <c r="R290" s="78" t="s">
        <v>42</v>
      </c>
      <c r="S290" s="36" t="str">
        <f>VLOOKUP(Tabla911[[#This Row],[CODIGO DEL PRODUCTO]],Tabla79[],2,FALSE)</f>
        <v>ARENA FINA</v>
      </c>
      <c r="T290" s="37">
        <v>36340</v>
      </c>
      <c r="U290" s="92"/>
    </row>
    <row r="291" spans="8:24" x14ac:dyDescent="0.25">
      <c r="H291" s="34"/>
      <c r="I291" s="34" t="s">
        <v>53</v>
      </c>
      <c r="J291" s="35">
        <v>45829</v>
      </c>
      <c r="K291" s="36" t="s">
        <v>43</v>
      </c>
      <c r="L291" s="39" t="str">
        <f>VLOOKUP(Tabla810[[#This Row],[CODIGO DEL PRODUCTO]],Tabla79[],2,FALSE)</f>
        <v>PIEDRA 6-20</v>
      </c>
      <c r="M291" s="37">
        <v>442452</v>
      </c>
      <c r="O291" s="76">
        <v>100411</v>
      </c>
      <c r="P291" s="76" t="s">
        <v>235</v>
      </c>
      <c r="Q291" s="77">
        <v>45777</v>
      </c>
      <c r="R291" s="78" t="s">
        <v>42</v>
      </c>
      <c r="S291" s="36" t="str">
        <f>VLOOKUP(Tabla911[[#This Row],[CODIGO DEL PRODUCTO]],Tabla79[],2,FALSE)</f>
        <v>ARENA FINA</v>
      </c>
      <c r="T291" s="37">
        <v>35440</v>
      </c>
      <c r="U291" s="92"/>
    </row>
    <row r="292" spans="8:24" x14ac:dyDescent="0.25">
      <c r="H292" s="34"/>
      <c r="I292" s="34" t="s">
        <v>53</v>
      </c>
      <c r="J292" s="35">
        <v>45829</v>
      </c>
      <c r="K292" s="36" t="s">
        <v>425</v>
      </c>
      <c r="L292" s="39" t="str">
        <f>VLOOKUP(Tabla810[[#This Row],[CODIGO DEL PRODUCTO]],Tabla79[],2,FALSE)</f>
        <v>W351R</v>
      </c>
      <c r="M292" s="37">
        <v>736.93</v>
      </c>
      <c r="O292" s="76">
        <v>100417</v>
      </c>
      <c r="P292" s="76" t="s">
        <v>155</v>
      </c>
      <c r="Q292" s="77">
        <v>45777</v>
      </c>
      <c r="R292" s="78" t="s">
        <v>48</v>
      </c>
      <c r="S292" s="36" t="str">
        <f>VLOOKUP(Tabla911[[#This Row],[CODIGO DEL PRODUCTO]],Tabla79[],2,FALSE)</f>
        <v>PIEDRA 6-12</v>
      </c>
      <c r="T292" s="37">
        <v>34000</v>
      </c>
      <c r="U292" s="92"/>
    </row>
    <row r="293" spans="8:24" x14ac:dyDescent="0.25">
      <c r="H293" s="34">
        <v>41</v>
      </c>
      <c r="I293" s="34" t="s">
        <v>413</v>
      </c>
      <c r="J293" s="35">
        <v>45826</v>
      </c>
      <c r="K293" s="36" t="s">
        <v>43</v>
      </c>
      <c r="L293" s="39" t="str">
        <f>VLOOKUP(Tabla810[[#This Row],[CODIGO DEL PRODUCTO]],Tabla79[],2,FALSE)</f>
        <v>PIEDRA 6-20</v>
      </c>
      <c r="M293" s="37">
        <v>2000</v>
      </c>
      <c r="O293" s="76">
        <v>135608</v>
      </c>
      <c r="P293" s="76" t="s">
        <v>119</v>
      </c>
      <c r="Q293" s="77">
        <v>45777</v>
      </c>
      <c r="R293" s="78" t="s">
        <v>43</v>
      </c>
      <c r="S293" s="36" t="str">
        <f>VLOOKUP(Tabla911[[#This Row],[CODIGO DEL PRODUCTO]],Tabla79[],2,FALSE)</f>
        <v>PIEDRA 6-20</v>
      </c>
      <c r="T293" s="37">
        <v>36300</v>
      </c>
      <c r="U293" s="92"/>
    </row>
    <row r="294" spans="8:24" x14ac:dyDescent="0.25">
      <c r="H294" s="34">
        <v>43</v>
      </c>
      <c r="I294" s="34" t="s">
        <v>413</v>
      </c>
      <c r="J294" s="35">
        <v>45826</v>
      </c>
      <c r="K294" s="36" t="s">
        <v>43</v>
      </c>
      <c r="L294" s="39" t="str">
        <f>VLOOKUP(Tabla810[[#This Row],[CODIGO DEL PRODUCTO]],Tabla79[],2,FALSE)</f>
        <v>PIEDRA 6-20</v>
      </c>
      <c r="M294" s="37">
        <v>1000</v>
      </c>
      <c r="O294" s="76">
        <v>135614</v>
      </c>
      <c r="P294" s="76" t="s">
        <v>296</v>
      </c>
      <c r="Q294" s="77">
        <v>45777</v>
      </c>
      <c r="R294" s="78" t="s">
        <v>40</v>
      </c>
      <c r="S294" s="36" t="str">
        <f>VLOOKUP(Tabla911[[#This Row],[CODIGO DEL PRODUCTO]],Tabla79[],2,FALSE)</f>
        <v>PIEDRA 0-6</v>
      </c>
      <c r="T294" s="37">
        <v>35440</v>
      </c>
      <c r="U294" s="92"/>
    </row>
    <row r="295" spans="8:24" x14ac:dyDescent="0.25">
      <c r="H295" s="34"/>
      <c r="I295" s="34"/>
      <c r="J295" s="35">
        <v>45826</v>
      </c>
      <c r="K295" s="36" t="s">
        <v>42</v>
      </c>
      <c r="L295" s="39" t="str">
        <f>VLOOKUP(Tabla810[[#This Row],[CODIGO DEL PRODUCTO]],Tabla79[],2,FALSE)</f>
        <v>ARENA FINA</v>
      </c>
      <c r="M295" s="37">
        <v>3000</v>
      </c>
      <c r="O295" s="76">
        <v>135644</v>
      </c>
      <c r="P295" s="76" t="s">
        <v>338</v>
      </c>
      <c r="Q295" s="77">
        <v>45777</v>
      </c>
      <c r="R295" s="78" t="s">
        <v>43</v>
      </c>
      <c r="S295" s="36" t="str">
        <f>VLOOKUP(Tabla911[[#This Row],[CODIGO DEL PRODUCTO]],Tabla79[],2,FALSE)</f>
        <v>PIEDRA 6-20</v>
      </c>
      <c r="T295" s="37">
        <v>34760</v>
      </c>
      <c r="U295" s="92"/>
    </row>
    <row r="296" spans="8:24" x14ac:dyDescent="0.25">
      <c r="H296" s="34">
        <v>47</v>
      </c>
      <c r="I296" s="34" t="s">
        <v>365</v>
      </c>
      <c r="J296" s="35">
        <v>45827</v>
      </c>
      <c r="K296" s="36" t="s">
        <v>43</v>
      </c>
      <c r="L296" s="39" t="str">
        <f>VLOOKUP(Tabla810[[#This Row],[CODIGO DEL PRODUCTO]],Tabla79[],2,FALSE)</f>
        <v>PIEDRA 6-20</v>
      </c>
      <c r="M296" s="37">
        <v>3000</v>
      </c>
      <c r="O296" s="76">
        <v>2624938</v>
      </c>
      <c r="P296" s="76" t="s">
        <v>65</v>
      </c>
      <c r="Q296" s="77">
        <v>45777</v>
      </c>
      <c r="R296" s="78" t="s">
        <v>286</v>
      </c>
      <c r="S296" s="36" t="str">
        <f>VLOOKUP(Tabla911[[#This Row],[CODIGO DEL PRODUCTO]],Tabla79[],2,FALSE)</f>
        <v>CPF 40 AVELLANEDA</v>
      </c>
      <c r="T296" s="37">
        <v>32160</v>
      </c>
      <c r="U296" s="92"/>
    </row>
    <row r="297" spans="8:24" x14ac:dyDescent="0.25">
      <c r="H297" s="34">
        <v>50</v>
      </c>
      <c r="I297" s="34" t="s">
        <v>365</v>
      </c>
      <c r="J297" s="35">
        <v>45827</v>
      </c>
      <c r="K297" s="36" t="s">
        <v>42</v>
      </c>
      <c r="L297" s="39" t="str">
        <f>VLOOKUP(Tabla810[[#This Row],[CODIGO DEL PRODUCTO]],Tabla79[],2,FALSE)</f>
        <v>ARENA FINA</v>
      </c>
      <c r="M297" s="37">
        <v>5000</v>
      </c>
      <c r="O297" s="76">
        <v>100430</v>
      </c>
      <c r="P297" s="76" t="s">
        <v>173</v>
      </c>
      <c r="Q297" s="77">
        <v>45777</v>
      </c>
      <c r="R297" s="78" t="s">
        <v>43</v>
      </c>
      <c r="S297" s="36" t="str">
        <f>VLOOKUP(Tabla911[[#This Row],[CODIGO DEL PRODUCTO]],Tabla79[],2,FALSE)</f>
        <v>PIEDRA 6-20</v>
      </c>
      <c r="T297" s="37">
        <v>35840</v>
      </c>
      <c r="U297" s="92"/>
    </row>
    <row r="298" spans="8:24" x14ac:dyDescent="0.25">
      <c r="H298" s="34">
        <v>75</v>
      </c>
      <c r="I298" s="34" t="s">
        <v>413</v>
      </c>
      <c r="J298" s="35">
        <v>45833</v>
      </c>
      <c r="K298" s="36" t="s">
        <v>42</v>
      </c>
      <c r="L298" s="39" t="str">
        <f>VLOOKUP(Tabla810[[#This Row],[CODIGO DEL PRODUCTO]],Tabla79[],2,FALSE)</f>
        <v>ARENA FINA</v>
      </c>
      <c r="M298" s="37">
        <v>4000</v>
      </c>
      <c r="O298" s="76">
        <v>100426</v>
      </c>
      <c r="P298" s="76" t="s">
        <v>235</v>
      </c>
      <c r="Q298" s="77">
        <v>45779</v>
      </c>
      <c r="R298" s="78" t="s">
        <v>42</v>
      </c>
      <c r="S298" s="36" t="str">
        <f>VLOOKUP(Tabla911[[#This Row],[CODIGO DEL PRODUCTO]],Tabla79[],2,FALSE)</f>
        <v>ARENA FINA</v>
      </c>
      <c r="T298" s="37">
        <v>35920</v>
      </c>
      <c r="U298" s="92"/>
      <c r="V298" s="7">
        <v>45779</v>
      </c>
      <c r="W298" t="s">
        <v>361</v>
      </c>
      <c r="X298" t="s">
        <v>362</v>
      </c>
    </row>
    <row r="299" spans="8:24" x14ac:dyDescent="0.25">
      <c r="H299" s="34">
        <v>10453</v>
      </c>
      <c r="I299" s="34" t="s">
        <v>283</v>
      </c>
      <c r="J299" s="35">
        <v>45827</v>
      </c>
      <c r="K299" s="36" t="s">
        <v>42</v>
      </c>
      <c r="L299" s="39" t="str">
        <f>VLOOKUP(Tabla810[[#This Row],[CODIGO DEL PRODUCTO]],Tabla79[],2,FALSE)</f>
        <v>ARENA FINA</v>
      </c>
      <c r="M299" s="37">
        <v>3000</v>
      </c>
      <c r="O299" s="76">
        <v>100422</v>
      </c>
      <c r="P299" s="76" t="s">
        <v>235</v>
      </c>
      <c r="Q299" s="77">
        <v>45779</v>
      </c>
      <c r="R299" s="78" t="s">
        <v>42</v>
      </c>
      <c r="S299" s="36" t="str">
        <f>VLOOKUP(Tabla911[[#This Row],[CODIGO DEL PRODUCTO]],Tabla79[],2,FALSE)</f>
        <v>ARENA FINA</v>
      </c>
      <c r="T299" s="37">
        <v>35840</v>
      </c>
      <c r="U299" s="92"/>
    </row>
    <row r="300" spans="8:24" x14ac:dyDescent="0.25">
      <c r="H300" s="34">
        <v>10475</v>
      </c>
      <c r="I300" s="34" t="s">
        <v>426</v>
      </c>
      <c r="J300" s="35">
        <v>45827</v>
      </c>
      <c r="K300" s="36" t="s">
        <v>42</v>
      </c>
      <c r="L300" s="39" t="str">
        <f>VLOOKUP(Tabla810[[#This Row],[CODIGO DEL PRODUCTO]],Tabla79[],2,FALSE)</f>
        <v>ARENA FINA</v>
      </c>
      <c r="M300" s="37">
        <v>4000</v>
      </c>
      <c r="O300" s="76">
        <v>100427</v>
      </c>
      <c r="P300" s="76" t="s">
        <v>235</v>
      </c>
      <c r="Q300" s="77">
        <v>45779</v>
      </c>
      <c r="R300" s="78" t="s">
        <v>42</v>
      </c>
      <c r="S300" s="36" t="str">
        <f>VLOOKUP(Tabla911[[#This Row],[CODIGO DEL PRODUCTO]],Tabla79[],2,FALSE)</f>
        <v>ARENA FINA</v>
      </c>
      <c r="T300" s="37">
        <v>35260</v>
      </c>
      <c r="U300" s="92"/>
    </row>
    <row r="301" spans="8:24" x14ac:dyDescent="0.25">
      <c r="H301" s="34">
        <v>10492</v>
      </c>
      <c r="I301" s="34" t="s">
        <v>426</v>
      </c>
      <c r="J301" s="35">
        <v>45829</v>
      </c>
      <c r="K301" s="36" t="s">
        <v>42</v>
      </c>
      <c r="L301" s="39" t="str">
        <f>VLOOKUP(Tabla810[[#This Row],[CODIGO DEL PRODUCTO]],Tabla79[],2,FALSE)</f>
        <v>ARENA FINA</v>
      </c>
      <c r="M301" s="37">
        <v>6500</v>
      </c>
      <c r="O301" s="76">
        <v>100462</v>
      </c>
      <c r="P301" s="76" t="s">
        <v>155</v>
      </c>
      <c r="Q301" s="77">
        <v>45779</v>
      </c>
      <c r="R301" s="78" t="s">
        <v>48</v>
      </c>
      <c r="S301" s="36" t="str">
        <f>VLOOKUP(Tabla911[[#This Row],[CODIGO DEL PRODUCTO]],Tabla79[],2,FALSE)</f>
        <v>PIEDRA 6-12</v>
      </c>
      <c r="T301" s="37">
        <v>34060</v>
      </c>
      <c r="U301" s="92"/>
    </row>
    <row r="302" spans="8:24" x14ac:dyDescent="0.25">
      <c r="H302" s="34">
        <v>10498</v>
      </c>
      <c r="I302" s="34" t="s">
        <v>426</v>
      </c>
      <c r="J302" s="35">
        <v>45829</v>
      </c>
      <c r="K302" s="36" t="s">
        <v>42</v>
      </c>
      <c r="L302" s="39" t="str">
        <f>VLOOKUP(Tabla810[[#This Row],[CODIGO DEL PRODUCTO]],Tabla79[],2,FALSE)</f>
        <v>ARENA FINA</v>
      </c>
      <c r="M302" s="37">
        <v>6000</v>
      </c>
      <c r="O302" s="76">
        <v>100468</v>
      </c>
      <c r="P302" s="76" t="s">
        <v>197</v>
      </c>
      <c r="Q302" s="77">
        <v>45779</v>
      </c>
      <c r="R302" s="78" t="s">
        <v>43</v>
      </c>
      <c r="S302" s="36" t="str">
        <f>VLOOKUP(Tabla911[[#This Row],[CODIGO DEL PRODUCTO]],Tabla79[],2,FALSE)</f>
        <v>PIEDRA 6-20</v>
      </c>
      <c r="T302" s="37">
        <v>34520</v>
      </c>
      <c r="U302" s="92"/>
    </row>
    <row r="303" spans="8:24" x14ac:dyDescent="0.25">
      <c r="H303" s="34">
        <v>10514</v>
      </c>
      <c r="I303" s="34" t="s">
        <v>427</v>
      </c>
      <c r="J303" s="35">
        <v>45831</v>
      </c>
      <c r="K303" s="36" t="s">
        <v>42</v>
      </c>
      <c r="L303" s="39" t="str">
        <f>VLOOKUP(Tabla810[[#This Row],[CODIGO DEL PRODUCTO]],Tabla79[],2,FALSE)</f>
        <v>ARENA FINA</v>
      </c>
      <c r="M303" s="37">
        <v>6000</v>
      </c>
      <c r="O303" s="76">
        <v>100472</v>
      </c>
      <c r="P303" s="76" t="s">
        <v>234</v>
      </c>
      <c r="Q303" s="77">
        <v>45779</v>
      </c>
      <c r="R303" s="78" t="s">
        <v>40</v>
      </c>
      <c r="S303" s="36" t="str">
        <f>VLOOKUP(Tabla911[[#This Row],[CODIGO DEL PRODUCTO]],Tabla79[],2,FALSE)</f>
        <v>PIEDRA 0-6</v>
      </c>
      <c r="T303" s="37">
        <v>34700</v>
      </c>
      <c r="U303" s="92"/>
    </row>
    <row r="304" spans="8:24" x14ac:dyDescent="0.25">
      <c r="H304" s="34">
        <v>10531</v>
      </c>
      <c r="I304" s="34" t="s">
        <v>428</v>
      </c>
      <c r="J304" s="35">
        <v>45828</v>
      </c>
      <c r="K304" s="36" t="s">
        <v>42</v>
      </c>
      <c r="L304" s="39" t="str">
        <f>VLOOKUP(Tabla810[[#This Row],[CODIGO DEL PRODUCTO]],Tabla79[],2,FALSE)</f>
        <v>ARENA FINA</v>
      </c>
      <c r="M304" s="37">
        <v>6000</v>
      </c>
      <c r="O304" s="76">
        <v>100474</v>
      </c>
      <c r="P304" s="76" t="s">
        <v>299</v>
      </c>
      <c r="Q304" s="77">
        <v>45779</v>
      </c>
      <c r="R304" s="78" t="s">
        <v>40</v>
      </c>
      <c r="S304" s="36" t="str">
        <f>VLOOKUP(Tabla911[[#This Row],[CODIGO DEL PRODUCTO]],Tabla79[],2,FALSE)</f>
        <v>PIEDRA 0-6</v>
      </c>
      <c r="T304" s="37">
        <v>35360</v>
      </c>
      <c r="U304" s="92"/>
    </row>
    <row r="305" spans="8:21" x14ac:dyDescent="0.25">
      <c r="H305" s="34">
        <v>10540</v>
      </c>
      <c r="I305" s="34" t="s">
        <v>383</v>
      </c>
      <c r="J305" s="35">
        <v>45832</v>
      </c>
      <c r="K305" s="36" t="s">
        <v>372</v>
      </c>
      <c r="L305" s="39" t="str">
        <f>VLOOKUP(Tabla810[[#This Row],[CODIGO DEL PRODUCTO]],Tabla79[],2,FALSE)</f>
        <v xml:space="preserve">ESTABILIZADO GRANULOMETRICO 0/20 </v>
      </c>
      <c r="M305" s="72">
        <v>8400</v>
      </c>
      <c r="O305" s="76">
        <v>100482</v>
      </c>
      <c r="P305" s="76" t="s">
        <v>218</v>
      </c>
      <c r="Q305" s="77">
        <v>45779</v>
      </c>
      <c r="R305" s="78" t="s">
        <v>40</v>
      </c>
      <c r="S305" s="36" t="str">
        <f>VLOOKUP(Tabla911[[#This Row],[CODIGO DEL PRODUCTO]],Tabla79[],2,FALSE)</f>
        <v>PIEDRA 0-6</v>
      </c>
      <c r="T305" s="37">
        <v>35680</v>
      </c>
      <c r="U305" s="92"/>
    </row>
    <row r="306" spans="8:21" x14ac:dyDescent="0.25">
      <c r="H306" s="34">
        <v>10541</v>
      </c>
      <c r="I306" s="34" t="s">
        <v>429</v>
      </c>
      <c r="J306" s="35">
        <v>45832</v>
      </c>
      <c r="K306" s="36" t="s">
        <v>372</v>
      </c>
      <c r="L306" s="39" t="str">
        <f>VLOOKUP(Tabla810[[#This Row],[CODIGO DEL PRODUCTO]],Tabla79[],2,FALSE)</f>
        <v xml:space="preserve">ESTABILIZADO GRANULOMETRICO 0/20 </v>
      </c>
      <c r="M306" s="72">
        <v>30000</v>
      </c>
      <c r="O306" s="76">
        <v>100485</v>
      </c>
      <c r="P306" s="76" t="s">
        <v>252</v>
      </c>
      <c r="Q306" s="77">
        <v>45779</v>
      </c>
      <c r="R306" s="78" t="s">
        <v>43</v>
      </c>
      <c r="S306" s="36" t="str">
        <f>VLOOKUP(Tabla911[[#This Row],[CODIGO DEL PRODUCTO]],Tabla79[],2,FALSE)</f>
        <v>PIEDRA 6-20</v>
      </c>
      <c r="T306" s="37">
        <v>35400</v>
      </c>
      <c r="U306" s="92"/>
    </row>
    <row r="307" spans="8:21" x14ac:dyDescent="0.25">
      <c r="H307" s="34">
        <v>10552</v>
      </c>
      <c r="I307" s="34" t="s">
        <v>383</v>
      </c>
      <c r="J307" s="35">
        <v>45832</v>
      </c>
      <c r="K307" s="36" t="s">
        <v>42</v>
      </c>
      <c r="L307" s="39" t="str">
        <f>VLOOKUP(Tabla810[[#This Row],[CODIGO DEL PRODUCTO]],Tabla79[],2,FALSE)</f>
        <v>ARENA FINA</v>
      </c>
      <c r="M307" s="37">
        <v>4000</v>
      </c>
      <c r="O307" s="76">
        <v>100486</v>
      </c>
      <c r="P307" s="76" t="s">
        <v>151</v>
      </c>
      <c r="Q307" s="77">
        <v>45779</v>
      </c>
      <c r="R307" s="78" t="s">
        <v>40</v>
      </c>
      <c r="S307" s="36" t="str">
        <f>VLOOKUP(Tabla911[[#This Row],[CODIGO DEL PRODUCTO]],Tabla79[],2,FALSE)</f>
        <v>PIEDRA 0-6</v>
      </c>
      <c r="T307" s="37">
        <v>33880</v>
      </c>
      <c r="U307" s="92"/>
    </row>
    <row r="308" spans="8:21" x14ac:dyDescent="0.25">
      <c r="H308" s="34">
        <v>10561</v>
      </c>
      <c r="I308" s="34" t="s">
        <v>426</v>
      </c>
      <c r="J308" s="35">
        <v>45833</v>
      </c>
      <c r="K308" s="36" t="s">
        <v>42</v>
      </c>
      <c r="L308" s="39" t="str">
        <f>VLOOKUP(Tabla810[[#This Row],[CODIGO DEL PRODUCTO]],Tabla79[],2,FALSE)</f>
        <v>ARENA FINA</v>
      </c>
      <c r="M308" s="37">
        <v>2000</v>
      </c>
      <c r="O308" s="76">
        <v>100487</v>
      </c>
      <c r="P308" s="76" t="s">
        <v>318</v>
      </c>
      <c r="Q308" s="77">
        <v>45779</v>
      </c>
      <c r="R308" s="78" t="s">
        <v>43</v>
      </c>
      <c r="S308" s="36" t="str">
        <f>VLOOKUP(Tabla911[[#This Row],[CODIGO DEL PRODUCTO]],Tabla79[],2,FALSE)</f>
        <v>PIEDRA 6-20</v>
      </c>
      <c r="T308" s="37">
        <v>35300</v>
      </c>
      <c r="U308" s="92"/>
    </row>
    <row r="309" spans="8:21" x14ac:dyDescent="0.25">
      <c r="H309" s="34"/>
      <c r="I309" s="34"/>
      <c r="J309" s="35">
        <v>45833</v>
      </c>
      <c r="K309" s="36" t="s">
        <v>43</v>
      </c>
      <c r="L309" s="39" t="str">
        <f>VLOOKUP(Tabla810[[#This Row],[CODIGO DEL PRODUCTO]],Tabla79[],2,FALSE)</f>
        <v>PIEDRA 6-20</v>
      </c>
      <c r="M309" s="37">
        <v>2000</v>
      </c>
      <c r="O309" s="76">
        <v>100493</v>
      </c>
      <c r="P309" s="76" t="s">
        <v>156</v>
      </c>
      <c r="Q309" s="77">
        <v>45779</v>
      </c>
      <c r="R309" s="78" t="s">
        <v>40</v>
      </c>
      <c r="S309" s="36" t="str">
        <f>VLOOKUP(Tabla911[[#This Row],[CODIGO DEL PRODUCTO]],Tabla79[],2,FALSE)</f>
        <v>PIEDRA 0-6</v>
      </c>
      <c r="T309" s="37">
        <v>35400</v>
      </c>
      <c r="U309" s="92"/>
    </row>
    <row r="310" spans="8:21" x14ac:dyDescent="0.25">
      <c r="H310" s="34">
        <v>10566</v>
      </c>
      <c r="I310" s="34" t="s">
        <v>429</v>
      </c>
      <c r="J310" s="35">
        <v>45833</v>
      </c>
      <c r="K310" s="36" t="s">
        <v>372</v>
      </c>
      <c r="L310" s="39" t="str">
        <f>VLOOKUP(Tabla810[[#This Row],[CODIGO DEL PRODUCTO]],Tabla79[],2,FALSE)</f>
        <v xml:space="preserve">ESTABILIZADO GRANULOMETRICO 0/20 </v>
      </c>
      <c r="M310" s="37">
        <v>30000</v>
      </c>
      <c r="O310" s="76">
        <v>100494</v>
      </c>
      <c r="P310" s="76" t="s">
        <v>238</v>
      </c>
      <c r="Q310" s="77">
        <v>45779</v>
      </c>
      <c r="R310" s="78" t="s">
        <v>43</v>
      </c>
      <c r="S310" s="36" t="str">
        <f>VLOOKUP(Tabla911[[#This Row],[CODIGO DEL PRODUCTO]],Tabla79[],2,FALSE)</f>
        <v>PIEDRA 6-20</v>
      </c>
      <c r="T310" s="37">
        <v>34440</v>
      </c>
      <c r="U310" s="92"/>
    </row>
    <row r="311" spans="8:21" x14ac:dyDescent="0.25">
      <c r="H311" s="34">
        <v>10567</v>
      </c>
      <c r="I311" s="34" t="s">
        <v>426</v>
      </c>
      <c r="J311" s="35">
        <v>45833</v>
      </c>
      <c r="K311" s="36" t="s">
        <v>42</v>
      </c>
      <c r="L311" s="39" t="str">
        <f>VLOOKUP(Tabla810[[#This Row],[CODIGO DEL PRODUCTO]],Tabla79[],2,FALSE)</f>
        <v>ARENA FINA</v>
      </c>
      <c r="M311" s="37">
        <v>4000</v>
      </c>
      <c r="O311" s="76">
        <v>100497</v>
      </c>
      <c r="P311" s="76" t="s">
        <v>363</v>
      </c>
      <c r="Q311" s="77">
        <v>45779</v>
      </c>
      <c r="R311" s="78" t="s">
        <v>48</v>
      </c>
      <c r="S311" s="36" t="str">
        <f>VLOOKUP(Tabla911[[#This Row],[CODIGO DEL PRODUCTO]],Tabla79[],2,FALSE)</f>
        <v>PIEDRA 6-12</v>
      </c>
      <c r="T311" s="37">
        <v>34400</v>
      </c>
      <c r="U311" s="92"/>
    </row>
    <row r="312" spans="8:21" x14ac:dyDescent="0.25">
      <c r="H312" s="34">
        <v>10574</v>
      </c>
      <c r="I312" s="34" t="s">
        <v>429</v>
      </c>
      <c r="J312" s="35">
        <v>45833</v>
      </c>
      <c r="K312" s="36" t="s">
        <v>372</v>
      </c>
      <c r="L312" s="39" t="str">
        <f>VLOOKUP(Tabla810[[#This Row],[CODIGO DEL PRODUCTO]],Tabla79[],2,FALSE)</f>
        <v xml:space="preserve">ESTABILIZADO GRANULOMETRICO 0/20 </v>
      </c>
      <c r="M312" s="37">
        <v>30000</v>
      </c>
      <c r="O312" s="76">
        <v>100498</v>
      </c>
      <c r="P312" s="76" t="s">
        <v>254</v>
      </c>
      <c r="Q312" s="77">
        <v>45779</v>
      </c>
      <c r="R312" s="78" t="s">
        <v>40</v>
      </c>
      <c r="S312" s="36" t="str">
        <f>VLOOKUP(Tabla911[[#This Row],[CODIGO DEL PRODUCTO]],Tabla79[],2,FALSE)</f>
        <v>PIEDRA 0-6</v>
      </c>
      <c r="T312" s="37">
        <v>34540</v>
      </c>
      <c r="U312" s="92"/>
    </row>
    <row r="313" spans="8:21" x14ac:dyDescent="0.25">
      <c r="H313" s="34">
        <v>10582</v>
      </c>
      <c r="I313" s="34" t="s">
        <v>426</v>
      </c>
      <c r="J313" s="35">
        <v>45833</v>
      </c>
      <c r="K313" s="36" t="s">
        <v>42</v>
      </c>
      <c r="L313" s="39" t="str">
        <f>VLOOKUP(Tabla810[[#This Row],[CODIGO DEL PRODUCTO]],Tabla79[],2,FALSE)</f>
        <v>ARENA FINA</v>
      </c>
      <c r="M313" s="37">
        <v>4000</v>
      </c>
      <c r="O313" s="76">
        <v>135694</v>
      </c>
      <c r="P313" s="76" t="s">
        <v>317</v>
      </c>
      <c r="Q313" s="77">
        <v>45779</v>
      </c>
      <c r="R313" s="78" t="s">
        <v>40</v>
      </c>
      <c r="S313" s="36" t="str">
        <f>VLOOKUP(Tabla911[[#This Row],[CODIGO DEL PRODUCTO]],Tabla79[],2,FALSE)</f>
        <v>PIEDRA 0-6</v>
      </c>
      <c r="T313" s="37">
        <v>35400</v>
      </c>
      <c r="U313" s="92"/>
    </row>
    <row r="314" spans="8:21" x14ac:dyDescent="0.25">
      <c r="H314" s="34">
        <v>10585</v>
      </c>
      <c r="I314" s="34" t="s">
        <v>426</v>
      </c>
      <c r="J314" s="35">
        <v>45833</v>
      </c>
      <c r="K314" s="36" t="s">
        <v>42</v>
      </c>
      <c r="L314" s="39" t="str">
        <f>VLOOKUP(Tabla810[[#This Row],[CODIGO DEL PRODUCTO]],Tabla79[],2,FALSE)</f>
        <v>ARENA FINA</v>
      </c>
      <c r="M314" s="37">
        <v>2000</v>
      </c>
      <c r="O314" s="76">
        <v>135701</v>
      </c>
      <c r="P314" s="76" t="s">
        <v>338</v>
      </c>
      <c r="Q314" s="77">
        <v>45779</v>
      </c>
      <c r="R314" s="78" t="s">
        <v>43</v>
      </c>
      <c r="S314" s="36" t="str">
        <f>VLOOKUP(Tabla911[[#This Row],[CODIGO DEL PRODUCTO]],Tabla79[],2,FALSE)</f>
        <v>PIEDRA 6-20</v>
      </c>
      <c r="T314" s="37">
        <v>34200</v>
      </c>
      <c r="U314" s="92"/>
    </row>
    <row r="315" spans="8:21" x14ac:dyDescent="0.25">
      <c r="H315" s="34">
        <v>10507</v>
      </c>
      <c r="I315" s="34" t="s">
        <v>429</v>
      </c>
      <c r="J315" s="35">
        <v>45831</v>
      </c>
      <c r="K315" s="36" t="s">
        <v>372</v>
      </c>
      <c r="L315" s="39" t="str">
        <f>VLOOKUP(Tabla810[[#This Row],[CODIGO DEL PRODUCTO]],Tabla79[],2,FALSE)</f>
        <v xml:space="preserve">ESTABILIZADO GRANULOMETRICO 0/20 </v>
      </c>
      <c r="M315" s="37">
        <v>30000</v>
      </c>
      <c r="O315" s="76">
        <v>2625090</v>
      </c>
      <c r="P315" s="76" t="s">
        <v>65</v>
      </c>
      <c r="Q315" s="77">
        <v>45779</v>
      </c>
      <c r="R315" s="78" t="s">
        <v>286</v>
      </c>
      <c r="S315" s="36" t="str">
        <f>VLOOKUP(Tabla911[[#This Row],[CODIGO DEL PRODUCTO]],Tabla79[],2,FALSE)</f>
        <v>CPF 40 AVELLANEDA</v>
      </c>
      <c r="T315" s="37">
        <v>32340</v>
      </c>
      <c r="U315" s="92"/>
    </row>
    <row r="316" spans="8:21" x14ac:dyDescent="0.25">
      <c r="H316" s="34">
        <v>77</v>
      </c>
      <c r="I316" s="34" t="s">
        <v>413</v>
      </c>
      <c r="J316" s="35">
        <v>45834</v>
      </c>
      <c r="K316" s="36" t="s">
        <v>42</v>
      </c>
      <c r="L316" s="39" t="str">
        <f>VLOOKUP(Tabla810[[#This Row],[CODIGO DEL PRODUCTO]],Tabla79[],2,FALSE)</f>
        <v>ARENA FINA</v>
      </c>
      <c r="M316" s="37">
        <v>6000</v>
      </c>
      <c r="O316" s="76">
        <v>100432</v>
      </c>
      <c r="P316" s="76" t="s">
        <v>235</v>
      </c>
      <c r="Q316" s="77">
        <v>45780</v>
      </c>
      <c r="R316" s="78" t="s">
        <v>42</v>
      </c>
      <c r="S316" s="36" t="str">
        <f>VLOOKUP(Tabla911[[#This Row],[CODIGO DEL PRODUCTO]],Tabla79[],2,FALSE)</f>
        <v>ARENA FINA</v>
      </c>
      <c r="T316" s="37">
        <v>36120</v>
      </c>
      <c r="U316" s="92"/>
    </row>
    <row r="317" spans="8:21" x14ac:dyDescent="0.25">
      <c r="H317" s="34">
        <v>10591</v>
      </c>
      <c r="I317" s="34" t="s">
        <v>426</v>
      </c>
      <c r="J317" s="35">
        <v>45834</v>
      </c>
      <c r="K317" s="36" t="s">
        <v>46</v>
      </c>
      <c r="L317" s="39" t="str">
        <f>VLOOKUP(Tabla810[[#This Row],[CODIGO DEL PRODUCTO]],Tabla79[],2,FALSE)</f>
        <v>PIEDRA 10-30</v>
      </c>
      <c r="M317" s="37">
        <v>14400</v>
      </c>
      <c r="O317" s="76">
        <v>100433</v>
      </c>
      <c r="P317" s="76" t="s">
        <v>235</v>
      </c>
      <c r="Q317" s="77">
        <v>45780</v>
      </c>
      <c r="R317" s="78" t="s">
        <v>42</v>
      </c>
      <c r="S317" s="36" t="str">
        <f>VLOOKUP(Tabla911[[#This Row],[CODIGO DEL PRODUCTO]],Tabla79[],2,FALSE)</f>
        <v>ARENA FINA</v>
      </c>
      <c r="T317" s="37">
        <v>35700</v>
      </c>
      <c r="U317" s="92"/>
    </row>
    <row r="318" spans="8:21" x14ac:dyDescent="0.25">
      <c r="H318" s="34">
        <v>10609</v>
      </c>
      <c r="I318" s="34" t="s">
        <v>426</v>
      </c>
      <c r="J318" s="35">
        <v>45834</v>
      </c>
      <c r="K318" s="36" t="s">
        <v>42</v>
      </c>
      <c r="L318" s="39" t="str">
        <f>VLOOKUP(Tabla810[[#This Row],[CODIGO DEL PRODUCTO]],Tabla79[],2,FALSE)</f>
        <v>ARENA FINA</v>
      </c>
      <c r="M318" s="37">
        <v>4000</v>
      </c>
      <c r="O318" s="76">
        <v>100501</v>
      </c>
      <c r="P318" s="76" t="s">
        <v>150</v>
      </c>
      <c r="Q318" s="77">
        <v>45780</v>
      </c>
      <c r="R318" s="78" t="s">
        <v>48</v>
      </c>
      <c r="S318" s="36" t="str">
        <f>VLOOKUP(Tabla911[[#This Row],[CODIGO DEL PRODUCTO]],Tabla79[],2,FALSE)</f>
        <v>PIEDRA 6-12</v>
      </c>
      <c r="T318" s="37">
        <v>35520</v>
      </c>
      <c r="U318" s="92"/>
    </row>
    <row r="319" spans="8:21" x14ac:dyDescent="0.25">
      <c r="H319" s="34"/>
      <c r="I319" s="34" t="s">
        <v>53</v>
      </c>
      <c r="J319" s="35">
        <v>45831</v>
      </c>
      <c r="K319" s="36" t="s">
        <v>42</v>
      </c>
      <c r="L319" s="39" t="str">
        <f>VLOOKUP(Tabla810[[#This Row],[CODIGO DEL PRODUCTO]],Tabla79[],2,FALSE)</f>
        <v>ARENA FINA</v>
      </c>
      <c r="M319" s="37">
        <v>427819</v>
      </c>
      <c r="O319" s="76">
        <v>100503</v>
      </c>
      <c r="P319" s="76" t="s">
        <v>197</v>
      </c>
      <c r="Q319" s="77">
        <v>45780</v>
      </c>
      <c r="R319" s="78" t="s">
        <v>43</v>
      </c>
      <c r="S319" s="36" t="str">
        <f>VLOOKUP(Tabla911[[#This Row],[CODIGO DEL PRODUCTO]],Tabla79[],2,FALSE)</f>
        <v>PIEDRA 6-20</v>
      </c>
      <c r="T319" s="37">
        <v>34300</v>
      </c>
      <c r="U319" s="92"/>
    </row>
    <row r="320" spans="8:21" x14ac:dyDescent="0.25">
      <c r="H320" s="34"/>
      <c r="I320" s="34" t="s">
        <v>53</v>
      </c>
      <c r="J320" s="35">
        <v>45832</v>
      </c>
      <c r="K320" s="36" t="s">
        <v>40</v>
      </c>
      <c r="L320" s="39" t="str">
        <f>VLOOKUP(Tabla810[[#This Row],[CODIGO DEL PRODUCTO]],Tabla79[],2,FALSE)</f>
        <v>PIEDRA 0-6</v>
      </c>
      <c r="M320" s="37">
        <v>321651</v>
      </c>
      <c r="O320" s="76">
        <v>100508</v>
      </c>
      <c r="P320" s="76" t="s">
        <v>160</v>
      </c>
      <c r="Q320" s="77">
        <v>45780</v>
      </c>
      <c r="R320" s="78" t="s">
        <v>43</v>
      </c>
      <c r="S320" s="36" t="str">
        <f>VLOOKUP(Tabla911[[#This Row],[CODIGO DEL PRODUCTO]],Tabla79[],2,FALSE)</f>
        <v>PIEDRA 6-20</v>
      </c>
      <c r="T320" s="37">
        <v>34620</v>
      </c>
      <c r="U320" s="92"/>
    </row>
    <row r="321" spans="8:24" x14ac:dyDescent="0.25">
      <c r="H321" s="34"/>
      <c r="I321" s="34" t="s">
        <v>53</v>
      </c>
      <c r="J321" s="35">
        <v>45833</v>
      </c>
      <c r="K321" s="36" t="s">
        <v>286</v>
      </c>
      <c r="L321" s="39" t="str">
        <f>VLOOKUP(Tabla810[[#This Row],[CODIGO DEL PRODUCTO]],Tabla79[],2,FALSE)</f>
        <v>CPF 40 AVELLANEDA</v>
      </c>
      <c r="M321" s="37">
        <v>229722</v>
      </c>
      <c r="O321" s="76">
        <v>100512</v>
      </c>
      <c r="P321" s="76" t="s">
        <v>254</v>
      </c>
      <c r="Q321" s="77">
        <v>45780</v>
      </c>
      <c r="R321" s="78" t="s">
        <v>48</v>
      </c>
      <c r="S321" s="36" t="str">
        <f>VLOOKUP(Tabla911[[#This Row],[CODIGO DEL PRODUCTO]],Tabla79[],2,FALSE)</f>
        <v>PIEDRA 6-12</v>
      </c>
      <c r="T321" s="37">
        <v>34600</v>
      </c>
      <c r="U321" s="92"/>
    </row>
    <row r="322" spans="8:24" x14ac:dyDescent="0.25">
      <c r="H322" s="34"/>
      <c r="I322" s="34" t="s">
        <v>53</v>
      </c>
      <c r="J322" s="35">
        <v>45834</v>
      </c>
      <c r="K322" s="36" t="s">
        <v>48</v>
      </c>
      <c r="L322" s="39" t="str">
        <f>VLOOKUP(Tabla810[[#This Row],[CODIGO DEL PRODUCTO]],Tabla79[],2,FALSE)</f>
        <v>PIEDRA 6-12</v>
      </c>
      <c r="M322" s="37">
        <v>78097</v>
      </c>
      <c r="O322" s="76">
        <v>135744</v>
      </c>
      <c r="P322" s="76" t="s">
        <v>296</v>
      </c>
      <c r="Q322" s="77">
        <v>45780</v>
      </c>
      <c r="R322" s="78" t="s">
        <v>40</v>
      </c>
      <c r="S322" s="36" t="str">
        <f>VLOOKUP(Tabla911[[#This Row],[CODIGO DEL PRODUCTO]],Tabla79[],2,FALSE)</f>
        <v>PIEDRA 0-6</v>
      </c>
      <c r="T322" s="37">
        <v>35120</v>
      </c>
      <c r="U322" s="92"/>
    </row>
    <row r="323" spans="8:24" x14ac:dyDescent="0.25">
      <c r="H323" s="34"/>
      <c r="I323" s="34" t="s">
        <v>53</v>
      </c>
      <c r="J323" s="35">
        <v>45835</v>
      </c>
      <c r="K323" s="36" t="s">
        <v>43</v>
      </c>
      <c r="L323" s="39" t="str">
        <f>VLOOKUP(Tabla810[[#This Row],[CODIGO DEL PRODUCTO]],Tabla79[],2,FALSE)</f>
        <v>PIEDRA 6-20</v>
      </c>
      <c r="M323" s="37">
        <v>601151</v>
      </c>
      <c r="O323" s="76">
        <v>2625429</v>
      </c>
      <c r="P323" s="76" t="s">
        <v>65</v>
      </c>
      <c r="Q323" s="77">
        <v>45780</v>
      </c>
      <c r="R323" s="78" t="s">
        <v>286</v>
      </c>
      <c r="S323" s="36" t="str">
        <f>VLOOKUP(Tabla911[[#This Row],[CODIGO DEL PRODUCTO]],Tabla79[],2,FALSE)</f>
        <v>CPF 40 AVELLANEDA</v>
      </c>
      <c r="T323" s="37">
        <v>32100</v>
      </c>
      <c r="U323" s="92"/>
    </row>
    <row r="324" spans="8:24" x14ac:dyDescent="0.25">
      <c r="H324" s="34"/>
      <c r="I324" s="34" t="s">
        <v>53</v>
      </c>
      <c r="J324" s="35">
        <v>45836</v>
      </c>
      <c r="K324" s="36" t="s">
        <v>425</v>
      </c>
      <c r="L324" s="39" t="str">
        <f>VLOOKUP(Tabla810[[#This Row],[CODIGO DEL PRODUCTO]],Tabla79[],2,FALSE)</f>
        <v>W351R</v>
      </c>
      <c r="M324" s="37">
        <v>731.07</v>
      </c>
      <c r="O324" s="76">
        <v>100447</v>
      </c>
      <c r="P324" s="76" t="s">
        <v>235</v>
      </c>
      <c r="Q324" s="77">
        <v>45782</v>
      </c>
      <c r="R324" s="78" t="s">
        <v>42</v>
      </c>
      <c r="S324" s="36" t="str">
        <f>VLOOKUP(Tabla911[[#This Row],[CODIGO DEL PRODUCTO]],Tabla79[],2,FALSE)</f>
        <v>ARENA FINA</v>
      </c>
      <c r="T324" s="37">
        <v>36480</v>
      </c>
      <c r="U324" s="92"/>
    </row>
    <row r="325" spans="8:24" x14ac:dyDescent="0.25">
      <c r="H325" s="34">
        <v>10616</v>
      </c>
      <c r="I325" s="34" t="s">
        <v>426</v>
      </c>
      <c r="J325" s="35">
        <v>45835</v>
      </c>
      <c r="K325" s="36" t="s">
        <v>42</v>
      </c>
      <c r="L325" s="39" t="str">
        <f>VLOOKUP(Tabla810[[#This Row],[CODIGO DEL PRODUCTO]],Tabla79[],2,FALSE)</f>
        <v>ARENA FINA</v>
      </c>
      <c r="M325" s="37">
        <v>1000</v>
      </c>
      <c r="O325" s="76">
        <v>100438</v>
      </c>
      <c r="P325" s="76" t="s">
        <v>235</v>
      </c>
      <c r="Q325" s="77">
        <v>45782</v>
      </c>
      <c r="R325" s="78" t="s">
        <v>42</v>
      </c>
      <c r="S325" s="36" t="str">
        <f>VLOOKUP(Tabla911[[#This Row],[CODIGO DEL PRODUCTO]],Tabla79[],2,FALSE)</f>
        <v>ARENA FINA</v>
      </c>
      <c r="T325" s="37">
        <v>36480</v>
      </c>
      <c r="U325" s="92"/>
    </row>
    <row r="326" spans="8:24" x14ac:dyDescent="0.25">
      <c r="H326" s="34"/>
      <c r="I326" s="34" t="s">
        <v>426</v>
      </c>
      <c r="J326" s="35">
        <v>45835</v>
      </c>
      <c r="K326" s="36" t="s">
        <v>43</v>
      </c>
      <c r="L326" s="39" t="str">
        <f>VLOOKUP(Tabla810[[#This Row],[CODIGO DEL PRODUCTO]],Tabla79[],2,FALSE)</f>
        <v>PIEDRA 6-20</v>
      </c>
      <c r="M326" s="37">
        <v>1000</v>
      </c>
      <c r="O326" s="76">
        <v>100444</v>
      </c>
      <c r="P326" s="76" t="s">
        <v>235</v>
      </c>
      <c r="Q326" s="77">
        <v>45782</v>
      </c>
      <c r="R326" s="78" t="s">
        <v>42</v>
      </c>
      <c r="S326" s="36" t="str">
        <f>VLOOKUP(Tabla911[[#This Row],[CODIGO DEL PRODUCTO]],Tabla79[],2,FALSE)</f>
        <v>ARENA FINA</v>
      </c>
      <c r="T326" s="37">
        <v>35980</v>
      </c>
      <c r="U326" s="92"/>
    </row>
    <row r="327" spans="8:24" x14ac:dyDescent="0.25">
      <c r="H327" s="34">
        <v>10656</v>
      </c>
      <c r="I327" s="34" t="s">
        <v>426</v>
      </c>
      <c r="J327" s="35">
        <v>45836</v>
      </c>
      <c r="K327" s="36" t="s">
        <v>42</v>
      </c>
      <c r="L327" s="39" t="str">
        <f>VLOOKUP(Tabla810[[#This Row],[CODIGO DEL PRODUCTO]],Tabla79[],2,FALSE)</f>
        <v>ARENA FINA</v>
      </c>
      <c r="M327" s="37">
        <v>4000</v>
      </c>
      <c r="O327" s="76">
        <v>100522</v>
      </c>
      <c r="P327" s="76" t="s">
        <v>234</v>
      </c>
      <c r="Q327" s="77">
        <v>45782</v>
      </c>
      <c r="R327" s="78" t="s">
        <v>40</v>
      </c>
      <c r="S327" s="36" t="str">
        <f>VLOOKUP(Tabla911[[#This Row],[CODIGO DEL PRODUCTO]],Tabla79[],2,FALSE)</f>
        <v>PIEDRA 0-6</v>
      </c>
      <c r="T327" s="37">
        <v>34520</v>
      </c>
      <c r="U327" s="92"/>
    </row>
    <row r="328" spans="8:24" x14ac:dyDescent="0.25">
      <c r="H328" s="34">
        <v>10680</v>
      </c>
      <c r="I328" s="34" t="s">
        <v>426</v>
      </c>
      <c r="J328" s="35">
        <v>45838</v>
      </c>
      <c r="K328" s="36" t="s">
        <v>42</v>
      </c>
      <c r="L328" s="39" t="str">
        <f>VLOOKUP(Tabla810[[#This Row],[CODIGO DEL PRODUCTO]],Tabla79[],2,FALSE)</f>
        <v>ARENA FINA</v>
      </c>
      <c r="M328" s="37">
        <v>2000</v>
      </c>
      <c r="O328" s="76">
        <v>100527</v>
      </c>
      <c r="P328" s="76" t="s">
        <v>197</v>
      </c>
      <c r="Q328" s="77">
        <v>45782</v>
      </c>
      <c r="R328" s="78" t="s">
        <v>43</v>
      </c>
      <c r="S328" s="36" t="str">
        <f>VLOOKUP(Tabla911[[#This Row],[CODIGO DEL PRODUCTO]],Tabla79[],2,FALSE)</f>
        <v>PIEDRA 6-20</v>
      </c>
      <c r="T328" s="37">
        <v>35300</v>
      </c>
      <c r="U328" s="92"/>
    </row>
    <row r="329" spans="8:24" x14ac:dyDescent="0.25">
      <c r="H329" s="34">
        <v>10689</v>
      </c>
      <c r="I329" s="34" t="s">
        <v>426</v>
      </c>
      <c r="J329" s="35">
        <v>45838</v>
      </c>
      <c r="K329" s="36" t="s">
        <v>42</v>
      </c>
      <c r="L329" s="39" t="str">
        <f>VLOOKUP(Tabla810[[#This Row],[CODIGO DEL PRODUCTO]],Tabla79[],2,FALSE)</f>
        <v>ARENA FINA</v>
      </c>
      <c r="M329" s="37">
        <v>6000</v>
      </c>
      <c r="O329" s="76">
        <v>100530</v>
      </c>
      <c r="P329" s="76" t="s">
        <v>570</v>
      </c>
      <c r="Q329" s="77">
        <v>45782</v>
      </c>
      <c r="R329" s="78" t="s">
        <v>40</v>
      </c>
      <c r="S329" s="36" t="str">
        <f>VLOOKUP(Tabla911[[#This Row],[CODIGO DEL PRODUCTO]],Tabla79[],2,FALSE)</f>
        <v>PIEDRA 0-6</v>
      </c>
      <c r="T329" s="37">
        <v>34680</v>
      </c>
      <c r="U329" s="92"/>
    </row>
    <row r="330" spans="8:24" x14ac:dyDescent="0.25">
      <c r="H330" s="34">
        <v>10698</v>
      </c>
      <c r="I330" s="34" t="s">
        <v>429</v>
      </c>
      <c r="J330" s="35">
        <v>45839</v>
      </c>
      <c r="K330" s="36" t="s">
        <v>372</v>
      </c>
      <c r="L330" s="39" t="str">
        <f>VLOOKUP(Tabla810[[#This Row],[CODIGO DEL PRODUCTO]],Tabla79[],2,FALSE)</f>
        <v xml:space="preserve">ESTABILIZADO GRANULOMETRICO 0/20 </v>
      </c>
      <c r="M330" s="37">
        <v>30000</v>
      </c>
      <c r="O330" s="76">
        <v>135817</v>
      </c>
      <c r="P330" s="76" t="s">
        <v>364</v>
      </c>
      <c r="Q330" s="77">
        <v>45782</v>
      </c>
      <c r="R330" s="78" t="s">
        <v>43</v>
      </c>
      <c r="S330" s="36" t="str">
        <f>VLOOKUP(Tabla911[[#This Row],[CODIGO DEL PRODUCTO]],Tabla79[],2,FALSE)</f>
        <v>PIEDRA 6-20</v>
      </c>
      <c r="T330" s="37">
        <v>34640</v>
      </c>
      <c r="U330" s="92"/>
    </row>
    <row r="331" spans="8:24" x14ac:dyDescent="0.25">
      <c r="H331" s="34">
        <v>10701</v>
      </c>
      <c r="I331" s="34" t="s">
        <v>298</v>
      </c>
      <c r="J331" s="35">
        <v>45839</v>
      </c>
      <c r="K331" s="36" t="s">
        <v>42</v>
      </c>
      <c r="L331" s="39" t="str">
        <f>VLOOKUP(Tabla810[[#This Row],[CODIGO DEL PRODUCTO]],Tabla79[],2,FALSE)</f>
        <v>ARENA FINA</v>
      </c>
      <c r="M331" s="37">
        <v>4000</v>
      </c>
      <c r="O331" s="76">
        <v>2625794</v>
      </c>
      <c r="P331" s="76" t="s">
        <v>65</v>
      </c>
      <c r="Q331" s="77">
        <v>45782</v>
      </c>
      <c r="R331" s="78" t="s">
        <v>286</v>
      </c>
      <c r="S331" s="36" t="str">
        <f>VLOOKUP(Tabla911[[#This Row],[CODIGO DEL PRODUCTO]],Tabla79[],2,FALSE)</f>
        <v>CPF 40 AVELLANEDA</v>
      </c>
      <c r="T331" s="37">
        <v>32180</v>
      </c>
      <c r="U331" s="92"/>
    </row>
    <row r="332" spans="8:24" x14ac:dyDescent="0.25">
      <c r="H332" s="34">
        <v>10712</v>
      </c>
      <c r="I332" s="34" t="s">
        <v>434</v>
      </c>
      <c r="J332" s="35">
        <v>45839</v>
      </c>
      <c r="K332" s="36" t="s">
        <v>42</v>
      </c>
      <c r="L332" s="39" t="str">
        <f>VLOOKUP(Tabla810[[#This Row],[CODIGO DEL PRODUCTO]],Tabla79[],2,FALSE)</f>
        <v>ARENA FINA</v>
      </c>
      <c r="M332" s="37">
        <v>2000</v>
      </c>
      <c r="O332" s="76">
        <v>100450</v>
      </c>
      <c r="P332" s="76" t="s">
        <v>235</v>
      </c>
      <c r="Q332" s="77">
        <v>45783</v>
      </c>
      <c r="R332" s="78" t="s">
        <v>42</v>
      </c>
      <c r="S332" s="36" t="str">
        <f>VLOOKUP(Tabla911[[#This Row],[CODIGO DEL PRODUCTO]],Tabla79[],2,FALSE)</f>
        <v>ARENA FINA</v>
      </c>
      <c r="T332" s="37">
        <v>35860</v>
      </c>
      <c r="U332" s="92"/>
      <c r="V332" s="7">
        <v>45783</v>
      </c>
      <c r="W332" t="s">
        <v>367</v>
      </c>
      <c r="X332" t="s">
        <v>368</v>
      </c>
    </row>
    <row r="333" spans="8:24" x14ac:dyDescent="0.25">
      <c r="H333" s="34"/>
      <c r="I333" s="34"/>
      <c r="J333" s="35">
        <v>45839</v>
      </c>
      <c r="K333" s="36" t="s">
        <v>43</v>
      </c>
      <c r="L333" s="39" t="str">
        <f>VLOOKUP(Tabla810[[#This Row],[CODIGO DEL PRODUCTO]],Tabla79[],2,FALSE)</f>
        <v>PIEDRA 6-20</v>
      </c>
      <c r="M333" s="37">
        <v>2000</v>
      </c>
      <c r="O333" s="76">
        <v>100456</v>
      </c>
      <c r="P333" s="76" t="s">
        <v>235</v>
      </c>
      <c r="Q333" s="77">
        <v>45783</v>
      </c>
      <c r="R333" s="78" t="s">
        <v>42</v>
      </c>
      <c r="S333" s="36" t="str">
        <f>VLOOKUP(Tabla911[[#This Row],[CODIGO DEL PRODUCTO]],Tabla79[],2,FALSE)</f>
        <v>ARENA FINA</v>
      </c>
      <c r="T333" s="37">
        <v>36920</v>
      </c>
      <c r="U333" s="92"/>
    </row>
    <row r="334" spans="8:24" x14ac:dyDescent="0.25">
      <c r="H334" s="34">
        <v>10750</v>
      </c>
      <c r="I334" s="34" t="s">
        <v>201</v>
      </c>
      <c r="J334" s="35">
        <v>45840</v>
      </c>
      <c r="K334" s="36" t="s">
        <v>42</v>
      </c>
      <c r="L334" s="39" t="str">
        <f>VLOOKUP(Tabla810[[#This Row],[CODIGO DEL PRODUCTO]],Tabla79[],2,FALSE)</f>
        <v>ARENA FINA</v>
      </c>
      <c r="M334" s="37">
        <v>1000</v>
      </c>
      <c r="O334" s="76">
        <v>100542</v>
      </c>
      <c r="P334" s="76" t="s">
        <v>160</v>
      </c>
      <c r="Q334" s="77">
        <v>45783</v>
      </c>
      <c r="R334" s="78" t="s">
        <v>43</v>
      </c>
      <c r="S334" s="36" t="str">
        <f>VLOOKUP(Tabla911[[#This Row],[CODIGO DEL PRODUCTO]],Tabla79[],2,FALSE)</f>
        <v>PIEDRA 6-20</v>
      </c>
      <c r="T334" s="37">
        <v>34520</v>
      </c>
      <c r="U334" s="92"/>
    </row>
    <row r="335" spans="8:24" x14ac:dyDescent="0.25">
      <c r="H335" s="34">
        <v>10762</v>
      </c>
      <c r="I335" s="34" t="s">
        <v>201</v>
      </c>
      <c r="J335" s="35">
        <v>45840</v>
      </c>
      <c r="K335" s="36" t="s">
        <v>42</v>
      </c>
      <c r="L335" s="39" t="str">
        <f>VLOOKUP(Tabla810[[#This Row],[CODIGO DEL PRODUCTO]],Tabla79[],2,FALSE)</f>
        <v>ARENA FINA</v>
      </c>
      <c r="M335" s="37">
        <v>2000</v>
      </c>
      <c r="O335" s="76">
        <v>100562</v>
      </c>
      <c r="P335" s="76" t="s">
        <v>254</v>
      </c>
      <c r="Q335" s="77">
        <v>45783</v>
      </c>
      <c r="R335" s="78" t="s">
        <v>48</v>
      </c>
      <c r="S335" s="36" t="str">
        <f>VLOOKUP(Tabla911[[#This Row],[CODIGO DEL PRODUCTO]],Tabla79[],2,FALSE)</f>
        <v>PIEDRA 6-12</v>
      </c>
      <c r="T335" s="37">
        <v>34220</v>
      </c>
      <c r="U335" s="92"/>
    </row>
    <row r="336" spans="8:24" x14ac:dyDescent="0.25">
      <c r="H336" s="34"/>
      <c r="I336" s="34"/>
      <c r="J336" s="35">
        <v>45840</v>
      </c>
      <c r="K336" s="36" t="s">
        <v>48</v>
      </c>
      <c r="L336" s="39" t="str">
        <f>VLOOKUP(Tabla810[[#This Row],[CODIGO DEL PRODUCTO]],Tabla79[],2,FALSE)</f>
        <v>PIEDRA 6-12</v>
      </c>
      <c r="M336" s="37">
        <v>500</v>
      </c>
      <c r="O336" s="76">
        <v>100564</v>
      </c>
      <c r="P336" s="76" t="s">
        <v>197</v>
      </c>
      <c r="Q336" s="77">
        <v>45783</v>
      </c>
      <c r="R336" s="78" t="s">
        <v>43</v>
      </c>
      <c r="S336" s="36" t="str">
        <f>VLOOKUP(Tabla911[[#This Row],[CODIGO DEL PRODUCTO]],Tabla79[],2,FALSE)</f>
        <v>PIEDRA 6-20</v>
      </c>
      <c r="T336" s="37">
        <v>35960</v>
      </c>
      <c r="U336" s="92"/>
    </row>
    <row r="337" spans="8:21" x14ac:dyDescent="0.25">
      <c r="H337" s="34">
        <v>10772</v>
      </c>
      <c r="I337" s="34" t="s">
        <v>442</v>
      </c>
      <c r="J337" s="35">
        <v>45840</v>
      </c>
      <c r="K337" s="36" t="s">
        <v>43</v>
      </c>
      <c r="L337" s="39" t="str">
        <f>VLOOKUP(Tabla810[[#This Row],[CODIGO DEL PRODUCTO]],Tabla79[],2,FALSE)</f>
        <v>PIEDRA 6-20</v>
      </c>
      <c r="M337" s="37">
        <v>5000</v>
      </c>
      <c r="O337" s="76">
        <v>100567</v>
      </c>
      <c r="P337" s="76" t="s">
        <v>238</v>
      </c>
      <c r="Q337" s="77">
        <v>45783</v>
      </c>
      <c r="R337" s="78" t="s">
        <v>40</v>
      </c>
      <c r="S337" s="36" t="str">
        <f>VLOOKUP(Tabla911[[#This Row],[CODIGO DEL PRODUCTO]],Tabla79[],2,FALSE)</f>
        <v>PIEDRA 0-6</v>
      </c>
      <c r="T337" s="37">
        <v>35040</v>
      </c>
      <c r="U337" s="92"/>
    </row>
    <row r="338" spans="8:21" x14ac:dyDescent="0.25">
      <c r="H338" s="34">
        <v>10789</v>
      </c>
      <c r="I338" s="34" t="s">
        <v>444</v>
      </c>
      <c r="J338" s="35">
        <v>45841</v>
      </c>
      <c r="K338" s="36" t="s">
        <v>42</v>
      </c>
      <c r="L338" s="39" t="str">
        <f>VLOOKUP(Tabla810[[#This Row],[CODIGO DEL PRODUCTO]],Tabla79[],2,FALSE)</f>
        <v>ARENA FINA</v>
      </c>
      <c r="M338" s="37">
        <v>3000</v>
      </c>
      <c r="O338" s="76">
        <v>100570</v>
      </c>
      <c r="P338" s="76" t="s">
        <v>234</v>
      </c>
      <c r="Q338" s="77">
        <v>45783</v>
      </c>
      <c r="R338" s="78" t="s">
        <v>40</v>
      </c>
      <c r="S338" s="36" t="str">
        <f>VLOOKUP(Tabla911[[#This Row],[CODIGO DEL PRODUCTO]],Tabla79[],2,FALSE)</f>
        <v>PIEDRA 0-6</v>
      </c>
      <c r="T338" s="37">
        <v>35540</v>
      </c>
      <c r="U338" s="92"/>
    </row>
    <row r="339" spans="8:21" x14ac:dyDescent="0.25">
      <c r="H339" s="34">
        <v>10801</v>
      </c>
      <c r="I339" s="34" t="s">
        <v>447</v>
      </c>
      <c r="J339" s="35">
        <v>45842</v>
      </c>
      <c r="K339" s="36" t="s">
        <v>42</v>
      </c>
      <c r="L339" s="39" t="str">
        <f>VLOOKUP(Tabla810[[#This Row],[CODIGO DEL PRODUCTO]],Tabla79[],2,FALSE)</f>
        <v>ARENA FINA</v>
      </c>
      <c r="M339" s="37">
        <v>32000</v>
      </c>
      <c r="O339" s="76">
        <v>100571</v>
      </c>
      <c r="P339" s="76" t="s">
        <v>570</v>
      </c>
      <c r="Q339" s="77">
        <v>45783</v>
      </c>
      <c r="R339" s="78" t="s">
        <v>40</v>
      </c>
      <c r="S339" s="36" t="str">
        <f>VLOOKUP(Tabla911[[#This Row],[CODIGO DEL PRODUCTO]],Tabla79[],2,FALSE)</f>
        <v>PIEDRA 0-6</v>
      </c>
      <c r="T339" s="37">
        <v>34960</v>
      </c>
      <c r="U339" s="92"/>
    </row>
    <row r="340" spans="8:21" x14ac:dyDescent="0.25">
      <c r="H340" s="34">
        <v>10802</v>
      </c>
      <c r="I340" s="34" t="s">
        <v>447</v>
      </c>
      <c r="J340" s="35">
        <v>45842</v>
      </c>
      <c r="K340" s="36" t="s">
        <v>43</v>
      </c>
      <c r="L340" s="39" t="str">
        <f>VLOOKUP(Tabla810[[#This Row],[CODIGO DEL PRODUCTO]],Tabla79[],2,FALSE)</f>
        <v>PIEDRA 6-20</v>
      </c>
      <c r="M340" s="37">
        <v>32000</v>
      </c>
      <c r="O340" s="76">
        <v>100465</v>
      </c>
      <c r="P340" s="76" t="s">
        <v>235</v>
      </c>
      <c r="Q340" s="77">
        <v>45784</v>
      </c>
      <c r="R340" s="78" t="s">
        <v>42</v>
      </c>
      <c r="S340" s="36" t="str">
        <f>VLOOKUP(Tabla911[[#This Row],[CODIGO DEL PRODUCTO]],Tabla79[],2,FALSE)</f>
        <v>ARENA FINA</v>
      </c>
      <c r="T340" s="37">
        <v>36260</v>
      </c>
      <c r="U340" s="92"/>
    </row>
    <row r="341" spans="8:21" x14ac:dyDescent="0.25">
      <c r="H341" s="34">
        <v>108036</v>
      </c>
      <c r="I341" s="34" t="s">
        <v>448</v>
      </c>
      <c r="J341" s="35">
        <v>45843</v>
      </c>
      <c r="K341" s="36" t="s">
        <v>42</v>
      </c>
      <c r="L341" s="39" t="str">
        <f>VLOOKUP(Tabla810[[#This Row],[CODIGO DEL PRODUCTO]],Tabla79[],2,FALSE)</f>
        <v>ARENA FINA</v>
      </c>
      <c r="M341" s="37">
        <v>2000</v>
      </c>
      <c r="O341" s="76">
        <v>100471</v>
      </c>
      <c r="P341" s="76" t="s">
        <v>370</v>
      </c>
      <c r="Q341" s="77">
        <v>45784</v>
      </c>
      <c r="R341" s="78" t="s">
        <v>42</v>
      </c>
      <c r="S341" s="36" t="str">
        <f>VLOOKUP(Tabla911[[#This Row],[CODIGO DEL PRODUCTO]],Tabla79[],2,FALSE)</f>
        <v>ARENA FINA</v>
      </c>
      <c r="T341" s="37">
        <v>36400</v>
      </c>
      <c r="U341" s="92"/>
    </row>
    <row r="342" spans="8:21" x14ac:dyDescent="0.25">
      <c r="H342" s="34"/>
      <c r="I342" s="34" t="s">
        <v>53</v>
      </c>
      <c r="J342" s="35">
        <v>45839</v>
      </c>
      <c r="K342" s="36" t="s">
        <v>42</v>
      </c>
      <c r="L342" s="39" t="str">
        <f>VLOOKUP(Tabla810[[#This Row],[CODIGO DEL PRODUCTO]],Tabla79[],2,FALSE)</f>
        <v>ARENA FINA</v>
      </c>
      <c r="M342" s="37">
        <v>378179</v>
      </c>
      <c r="O342" s="76">
        <v>100473</v>
      </c>
      <c r="P342" s="76" t="s">
        <v>235</v>
      </c>
      <c r="Q342" s="77">
        <v>45784</v>
      </c>
      <c r="R342" s="78" t="s">
        <v>42</v>
      </c>
      <c r="S342" s="36" t="str">
        <f>VLOOKUP(Tabla911[[#This Row],[CODIGO DEL PRODUCTO]],Tabla79[],2,FALSE)</f>
        <v>ARENA FINA</v>
      </c>
      <c r="T342" s="37">
        <v>35660</v>
      </c>
      <c r="U342" s="92"/>
    </row>
    <row r="343" spans="8:21" x14ac:dyDescent="0.25">
      <c r="H343" s="34"/>
      <c r="I343" s="34" t="s">
        <v>53</v>
      </c>
      <c r="J343" s="35">
        <v>45840</v>
      </c>
      <c r="K343" s="36" t="s">
        <v>40</v>
      </c>
      <c r="L343" s="39" t="str">
        <f>VLOOKUP(Tabla810[[#This Row],[CODIGO DEL PRODUCTO]],Tabla79[],2,FALSE)</f>
        <v>PIEDRA 0-6</v>
      </c>
      <c r="M343" s="72">
        <v>281526</v>
      </c>
      <c r="O343" s="76">
        <v>100580</v>
      </c>
      <c r="P343" s="76" t="s">
        <v>155</v>
      </c>
      <c r="Q343" s="77">
        <v>45784</v>
      </c>
      <c r="R343" s="78" t="s">
        <v>48</v>
      </c>
      <c r="S343" s="36" t="str">
        <f>VLOOKUP(Tabla911[[#This Row],[CODIGO DEL PRODUCTO]],Tabla79[],2,FALSE)</f>
        <v>PIEDRA 6-12</v>
      </c>
      <c r="T343" s="37">
        <v>34420</v>
      </c>
      <c r="U343" s="92"/>
    </row>
    <row r="344" spans="8:21" x14ac:dyDescent="0.25">
      <c r="H344" s="34"/>
      <c r="I344" s="34" t="s">
        <v>53</v>
      </c>
      <c r="J344" s="35">
        <v>45841</v>
      </c>
      <c r="K344" s="36" t="s">
        <v>286</v>
      </c>
      <c r="L344" s="39" t="str">
        <f>VLOOKUP(Tabla810[[#This Row],[CODIGO DEL PRODUCTO]],Tabla79[],2,FALSE)</f>
        <v>CPF 40 AVELLANEDA</v>
      </c>
      <c r="M344" s="37">
        <v>186983</v>
      </c>
      <c r="O344" s="76">
        <v>100585</v>
      </c>
      <c r="P344" s="76" t="s">
        <v>254</v>
      </c>
      <c r="Q344" s="77">
        <v>45784</v>
      </c>
      <c r="R344" s="78" t="s">
        <v>48</v>
      </c>
      <c r="S344" s="36" t="str">
        <f>VLOOKUP(Tabla911[[#This Row],[CODIGO DEL PRODUCTO]],Tabla79[],2,FALSE)</f>
        <v>PIEDRA 6-12</v>
      </c>
      <c r="T344" s="37">
        <v>34180</v>
      </c>
      <c r="U344" s="92"/>
    </row>
    <row r="345" spans="8:21" x14ac:dyDescent="0.25">
      <c r="H345" s="34"/>
      <c r="I345" s="34" t="s">
        <v>53</v>
      </c>
      <c r="J345" s="35">
        <v>45842</v>
      </c>
      <c r="K345" s="36" t="s">
        <v>50</v>
      </c>
      <c r="L345" s="39" t="str">
        <f>VLOOKUP(Tabla810[[#This Row],[CODIGO DEL PRODUCTO]],Tabla79[],2,FALSE)</f>
        <v>MIRA SET 453 (ADITIVO)</v>
      </c>
      <c r="M345" s="37">
        <v>0.03</v>
      </c>
      <c r="O345" s="76">
        <v>100588</v>
      </c>
      <c r="P345" s="76" t="s">
        <v>218</v>
      </c>
      <c r="Q345" s="77">
        <v>45784</v>
      </c>
      <c r="R345" s="78" t="s">
        <v>48</v>
      </c>
      <c r="S345" s="36" t="str">
        <f>VLOOKUP(Tabla911[[#This Row],[CODIGO DEL PRODUCTO]],Tabla79[],2,FALSE)</f>
        <v>PIEDRA 6-12</v>
      </c>
      <c r="T345" s="37">
        <v>35060</v>
      </c>
      <c r="U345" s="92"/>
    </row>
    <row r="346" spans="8:21" x14ac:dyDescent="0.25">
      <c r="H346" s="34"/>
      <c r="I346" s="34" t="s">
        <v>53</v>
      </c>
      <c r="J346" s="35">
        <v>45843</v>
      </c>
      <c r="K346" s="36" t="s">
        <v>48</v>
      </c>
      <c r="L346" s="39" t="str">
        <f>VLOOKUP(Tabla810[[#This Row],[CODIGO DEL PRODUCTO]],Tabla79[],2,FALSE)</f>
        <v>PIEDRA 6-12</v>
      </c>
      <c r="M346" s="37">
        <v>86621</v>
      </c>
      <c r="O346" s="76">
        <v>100595</v>
      </c>
      <c r="P346" s="76" t="s">
        <v>197</v>
      </c>
      <c r="Q346" s="77">
        <v>45784</v>
      </c>
      <c r="R346" s="78" t="s">
        <v>43</v>
      </c>
      <c r="S346" s="36" t="str">
        <f>VLOOKUP(Tabla911[[#This Row],[CODIGO DEL PRODUCTO]],Tabla79[],2,FALSE)</f>
        <v>PIEDRA 6-20</v>
      </c>
      <c r="T346" s="37">
        <v>35060</v>
      </c>
      <c r="U346" s="92"/>
    </row>
    <row r="347" spans="8:21" x14ac:dyDescent="0.25">
      <c r="H347" s="34"/>
      <c r="I347" s="34" t="s">
        <v>53</v>
      </c>
      <c r="J347" s="35">
        <v>45843</v>
      </c>
      <c r="K347" s="36" t="s">
        <v>43</v>
      </c>
      <c r="L347" s="39" t="str">
        <f>VLOOKUP(Tabla810[[#This Row],[CODIGO DEL PRODUCTO]],Tabla79[],2,FALSE)</f>
        <v>PIEDRA 6-20</v>
      </c>
      <c r="M347" s="37">
        <v>484469</v>
      </c>
      <c r="O347" s="76">
        <v>100599</v>
      </c>
      <c r="P347" s="76" t="s">
        <v>570</v>
      </c>
      <c r="Q347" s="77">
        <v>45784</v>
      </c>
      <c r="R347" s="78" t="s">
        <v>40</v>
      </c>
      <c r="S347" s="36" t="str">
        <f>VLOOKUP(Tabla911[[#This Row],[CODIGO DEL PRODUCTO]],Tabla79[],2,FALSE)</f>
        <v>PIEDRA 0-6</v>
      </c>
      <c r="T347" s="37">
        <v>34840</v>
      </c>
      <c r="U347" s="92"/>
    </row>
    <row r="348" spans="8:21" x14ac:dyDescent="0.25">
      <c r="H348" s="34"/>
      <c r="I348" s="34" t="s">
        <v>53</v>
      </c>
      <c r="J348" s="35">
        <v>45843</v>
      </c>
      <c r="K348" s="36" t="s">
        <v>425</v>
      </c>
      <c r="L348" s="39" t="str">
        <f>VLOOKUP(Tabla810[[#This Row],[CODIGO DEL PRODUCTO]],Tabla79[],2,FALSE)</f>
        <v>W351R</v>
      </c>
      <c r="M348" s="37">
        <v>1083.9100000000001</v>
      </c>
      <c r="O348" s="76">
        <v>100601</v>
      </c>
      <c r="P348" s="76" t="s">
        <v>234</v>
      </c>
      <c r="Q348" s="77">
        <v>45784</v>
      </c>
      <c r="R348" s="78" t="s">
        <v>40</v>
      </c>
      <c r="S348" s="36" t="str">
        <f>VLOOKUP(Tabla911[[#This Row],[CODIGO DEL PRODUCTO]],Tabla79[],2,FALSE)</f>
        <v>PIEDRA 0-6</v>
      </c>
      <c r="T348" s="37">
        <v>35520</v>
      </c>
      <c r="U348" s="92"/>
    </row>
    <row r="349" spans="8:21" x14ac:dyDescent="0.25">
      <c r="H349" s="34">
        <v>10855</v>
      </c>
      <c r="I349" s="34" t="s">
        <v>452</v>
      </c>
      <c r="J349" s="35">
        <v>45845</v>
      </c>
      <c r="K349" s="36" t="s">
        <v>42</v>
      </c>
      <c r="L349" s="39" t="str">
        <f>VLOOKUP(Tabla810[[#This Row],[CODIGO DEL PRODUCTO]],Tabla79[],2,FALSE)</f>
        <v>ARENA FINA</v>
      </c>
      <c r="M349" s="37">
        <v>30</v>
      </c>
      <c r="O349" s="76">
        <v>135948</v>
      </c>
      <c r="P349" s="76" t="s">
        <v>364</v>
      </c>
      <c r="Q349" s="77">
        <v>45784</v>
      </c>
      <c r="R349" s="78" t="s">
        <v>43</v>
      </c>
      <c r="S349" s="36" t="str">
        <f>VLOOKUP(Tabla911[[#This Row],[CODIGO DEL PRODUCTO]],Tabla79[],2,FALSE)</f>
        <v>PIEDRA 6-20</v>
      </c>
      <c r="T349" s="37">
        <v>35200</v>
      </c>
      <c r="U349" s="92"/>
    </row>
    <row r="350" spans="8:21" x14ac:dyDescent="0.25">
      <c r="H350" s="34">
        <v>10909</v>
      </c>
      <c r="I350" s="34" t="s">
        <v>453</v>
      </c>
      <c r="J350" s="35">
        <v>45846</v>
      </c>
      <c r="K350" s="36" t="s">
        <v>46</v>
      </c>
      <c r="L350" s="39" t="str">
        <f>VLOOKUP(Tabla810[[#This Row],[CODIGO DEL PRODUCTO]],Tabla79[],2,FALSE)</f>
        <v>PIEDRA 10-30</v>
      </c>
      <c r="M350" s="37">
        <v>22720</v>
      </c>
      <c r="O350" s="76">
        <v>2626078</v>
      </c>
      <c r="P350" s="76" t="s">
        <v>65</v>
      </c>
      <c r="Q350" s="77">
        <v>45784</v>
      </c>
      <c r="R350" s="78" t="s">
        <v>286</v>
      </c>
      <c r="S350" s="36" t="str">
        <f>VLOOKUP(Tabla911[[#This Row],[CODIGO DEL PRODUCTO]],Tabla79[],2,FALSE)</f>
        <v>CPF 40 AVELLANEDA</v>
      </c>
      <c r="T350" s="37">
        <v>35220</v>
      </c>
      <c r="U350" s="92"/>
    </row>
    <row r="351" spans="8:21" x14ac:dyDescent="0.25">
      <c r="H351" s="34">
        <v>10919</v>
      </c>
      <c r="I351" s="34" t="s">
        <v>454</v>
      </c>
      <c r="J351" s="35">
        <v>45846</v>
      </c>
      <c r="K351" s="36" t="s">
        <v>46</v>
      </c>
      <c r="L351" s="39" t="str">
        <f>VLOOKUP(Tabla810[[#This Row],[CODIGO DEL PRODUCTO]],Tabla79[],2,FALSE)</f>
        <v>PIEDRA 10-30</v>
      </c>
      <c r="M351" s="37">
        <v>25580</v>
      </c>
      <c r="O351" s="76">
        <v>100479</v>
      </c>
      <c r="P351" s="76" t="s">
        <v>235</v>
      </c>
      <c r="Q351" s="77">
        <v>45785</v>
      </c>
      <c r="R351" s="78" t="s">
        <v>42</v>
      </c>
      <c r="S351" s="36" t="str">
        <f>VLOOKUP(Tabla911[[#This Row],[CODIGO DEL PRODUCTO]],Tabla79[],2,FALSE)</f>
        <v>ARENA FINA</v>
      </c>
      <c r="T351" s="37">
        <v>36200</v>
      </c>
      <c r="U351" s="92"/>
    </row>
    <row r="352" spans="8:21" x14ac:dyDescent="0.25">
      <c r="H352" s="34">
        <v>10921</v>
      </c>
      <c r="I352" s="34" t="s">
        <v>455</v>
      </c>
      <c r="J352" s="35">
        <v>45846</v>
      </c>
      <c r="K352" s="36" t="s">
        <v>42</v>
      </c>
      <c r="L352" s="39" t="str">
        <f>VLOOKUP(Tabla810[[#This Row],[CODIGO DEL PRODUCTO]],Tabla79[],2,FALSE)</f>
        <v>ARENA FINA</v>
      </c>
      <c r="M352" s="37">
        <v>2000</v>
      </c>
      <c r="O352" s="76">
        <v>100483</v>
      </c>
      <c r="P352" s="76" t="s">
        <v>370</v>
      </c>
      <c r="Q352" s="77">
        <v>45785</v>
      </c>
      <c r="R352" s="78" t="s">
        <v>42</v>
      </c>
      <c r="S352" s="36" t="str">
        <f>VLOOKUP(Tabla911[[#This Row],[CODIGO DEL PRODUCTO]],Tabla79[],2,FALSE)</f>
        <v>ARENA FINA</v>
      </c>
      <c r="T352" s="37">
        <v>37060</v>
      </c>
      <c r="U352" s="92"/>
    </row>
    <row r="353" spans="8:21" x14ac:dyDescent="0.25">
      <c r="H353" s="34"/>
      <c r="I353" s="34"/>
      <c r="J353" s="35">
        <v>45846</v>
      </c>
      <c r="K353" s="36" t="s">
        <v>43</v>
      </c>
      <c r="L353" s="39" t="str">
        <f>VLOOKUP(Tabla810[[#This Row],[CODIGO DEL PRODUCTO]],Tabla79[],2,FALSE)</f>
        <v>PIEDRA 6-20</v>
      </c>
      <c r="M353" s="37">
        <v>2000</v>
      </c>
      <c r="O353" s="76">
        <v>100485</v>
      </c>
      <c r="P353" s="76" t="s">
        <v>235</v>
      </c>
      <c r="Q353" s="77">
        <v>45785</v>
      </c>
      <c r="R353" s="78" t="s">
        <v>42</v>
      </c>
      <c r="S353" s="36" t="str">
        <f>VLOOKUP(Tabla911[[#This Row],[CODIGO DEL PRODUCTO]],Tabla79[],2,FALSE)</f>
        <v>ARENA FINA</v>
      </c>
      <c r="T353" s="37">
        <v>35540</v>
      </c>
      <c r="U353" s="92"/>
    </row>
    <row r="354" spans="8:21" x14ac:dyDescent="0.25">
      <c r="H354" s="34">
        <v>10928</v>
      </c>
      <c r="I354" s="34" t="s">
        <v>456</v>
      </c>
      <c r="J354" s="35">
        <v>45846</v>
      </c>
      <c r="K354" s="36" t="s">
        <v>42</v>
      </c>
      <c r="L354" s="39" t="str">
        <f>VLOOKUP(Tabla810[[#This Row],[CODIGO DEL PRODUCTO]],Tabla79[],2,FALSE)</f>
        <v>ARENA FINA</v>
      </c>
      <c r="M354" s="37">
        <v>5000</v>
      </c>
      <c r="O354" s="76">
        <v>100605</v>
      </c>
      <c r="P354" s="76" t="s">
        <v>160</v>
      </c>
      <c r="Q354" s="77">
        <v>45785</v>
      </c>
      <c r="R354" s="78" t="s">
        <v>43</v>
      </c>
      <c r="S354" s="36" t="str">
        <f>VLOOKUP(Tabla911[[#This Row],[CODIGO DEL PRODUCTO]],Tabla79[],2,FALSE)</f>
        <v>PIEDRA 6-20</v>
      </c>
      <c r="T354" s="37">
        <v>34000</v>
      </c>
      <c r="U354" s="92"/>
    </row>
    <row r="355" spans="8:21" x14ac:dyDescent="0.25">
      <c r="H355" s="34">
        <v>10944</v>
      </c>
      <c r="I355" s="34" t="s">
        <v>456</v>
      </c>
      <c r="J355" s="35">
        <v>45846</v>
      </c>
      <c r="K355" s="36" t="s">
        <v>43</v>
      </c>
      <c r="L355" s="39" t="str">
        <f>VLOOKUP(Tabla810[[#This Row],[CODIGO DEL PRODUCTO]],Tabla79[],2,FALSE)</f>
        <v>PIEDRA 6-20</v>
      </c>
      <c r="M355" s="37">
        <v>5000</v>
      </c>
      <c r="O355" s="76">
        <v>100607</v>
      </c>
      <c r="P355" s="76" t="s">
        <v>155</v>
      </c>
      <c r="Q355" s="77">
        <v>45785</v>
      </c>
      <c r="R355" s="78" t="s">
        <v>48</v>
      </c>
      <c r="S355" s="36" t="str">
        <f>VLOOKUP(Tabla911[[#This Row],[CODIGO DEL PRODUCTO]],Tabla79[],2,FALSE)</f>
        <v>PIEDRA 6-12</v>
      </c>
      <c r="T355" s="37">
        <v>34960</v>
      </c>
      <c r="U355" s="92"/>
    </row>
    <row r="356" spans="8:21" x14ac:dyDescent="0.25">
      <c r="H356" s="34">
        <v>10960</v>
      </c>
      <c r="I356" s="34" t="s">
        <v>457</v>
      </c>
      <c r="J356" s="35">
        <v>45847</v>
      </c>
      <c r="K356" s="36" t="s">
        <v>42</v>
      </c>
      <c r="L356" s="39" t="str">
        <f>VLOOKUP(Tabla810[[#This Row],[CODIGO DEL PRODUCTO]],Tabla79[],2,FALSE)</f>
        <v>ARENA FINA</v>
      </c>
      <c r="M356" s="37">
        <v>5000</v>
      </c>
      <c r="O356" s="76">
        <v>100611</v>
      </c>
      <c r="P356" s="76" t="s">
        <v>218</v>
      </c>
      <c r="Q356" s="77">
        <v>45785</v>
      </c>
      <c r="R356" s="78" t="s">
        <v>48</v>
      </c>
      <c r="S356" s="36" t="str">
        <f>VLOOKUP(Tabla911[[#This Row],[CODIGO DEL PRODUCTO]],Tabla79[],2,FALSE)</f>
        <v>PIEDRA 6-12</v>
      </c>
      <c r="T356" s="37">
        <v>34560</v>
      </c>
      <c r="U356" s="92"/>
    </row>
    <row r="357" spans="8:21" x14ac:dyDescent="0.25">
      <c r="H357" s="34">
        <v>101</v>
      </c>
      <c r="I357" s="34" t="s">
        <v>458</v>
      </c>
      <c r="J357" s="35">
        <v>45848</v>
      </c>
      <c r="K357" s="36" t="s">
        <v>43</v>
      </c>
      <c r="L357" s="39" t="str">
        <f>VLOOKUP(Tabla810[[#This Row],[CODIGO DEL PRODUCTO]],Tabla79[],2,FALSE)</f>
        <v>PIEDRA 6-20</v>
      </c>
      <c r="M357" s="37">
        <v>1000</v>
      </c>
      <c r="O357" s="76">
        <v>100614</v>
      </c>
      <c r="P357" s="76" t="s">
        <v>234</v>
      </c>
      <c r="Q357" s="77">
        <v>45785</v>
      </c>
      <c r="R357" s="78" t="s">
        <v>40</v>
      </c>
      <c r="S357" s="36" t="str">
        <f>VLOOKUP(Tabla911[[#This Row],[CODIGO DEL PRODUCTO]],Tabla79[],2,FALSE)</f>
        <v>PIEDRA 0-6</v>
      </c>
      <c r="T357" s="37">
        <v>34840</v>
      </c>
      <c r="U357" s="92"/>
    </row>
    <row r="358" spans="8:21" x14ac:dyDescent="0.25">
      <c r="H358" s="34">
        <v>103</v>
      </c>
      <c r="I358" s="34" t="s">
        <v>313</v>
      </c>
      <c r="J358" s="35">
        <v>45848</v>
      </c>
      <c r="K358" s="36" t="s">
        <v>43</v>
      </c>
      <c r="L358" s="39" t="str">
        <f>VLOOKUP(Tabla810[[#This Row],[CODIGO DEL PRODUCTO]],Tabla79[],2,FALSE)</f>
        <v>PIEDRA 6-20</v>
      </c>
      <c r="M358" s="37">
        <v>6000</v>
      </c>
      <c r="O358" s="76">
        <v>100619</v>
      </c>
      <c r="P358" s="76" t="s">
        <v>197</v>
      </c>
      <c r="Q358" s="77">
        <v>45785</v>
      </c>
      <c r="R358" s="78" t="s">
        <v>43</v>
      </c>
      <c r="S358" s="36" t="str">
        <f>VLOOKUP(Tabla911[[#This Row],[CODIGO DEL PRODUCTO]],Tabla79[],2,FALSE)</f>
        <v>PIEDRA 6-20</v>
      </c>
      <c r="T358" s="37">
        <v>35520</v>
      </c>
      <c r="U358" s="92"/>
    </row>
    <row r="359" spans="8:21" x14ac:dyDescent="0.25">
      <c r="H359" s="34">
        <v>10961</v>
      </c>
      <c r="I359" s="34" t="s">
        <v>190</v>
      </c>
      <c r="J359" s="35">
        <v>45848</v>
      </c>
      <c r="K359" s="36" t="s">
        <v>42</v>
      </c>
      <c r="L359" s="39" t="str">
        <f>VLOOKUP(Tabla810[[#This Row],[CODIGO DEL PRODUCTO]],Tabla79[],2,FALSE)</f>
        <v>ARENA FINA</v>
      </c>
      <c r="M359" s="37">
        <v>3000</v>
      </c>
      <c r="O359" s="76">
        <v>100620</v>
      </c>
      <c r="P359" s="76" t="s">
        <v>254</v>
      </c>
      <c r="Q359" s="77">
        <v>45785</v>
      </c>
      <c r="R359" s="78" t="s">
        <v>48</v>
      </c>
      <c r="S359" s="36" t="str">
        <f>VLOOKUP(Tabla911[[#This Row],[CODIGO DEL PRODUCTO]],Tabla79[],2,FALSE)</f>
        <v>PIEDRA 6-12</v>
      </c>
      <c r="T359" s="37">
        <v>34720</v>
      </c>
      <c r="U359" s="92"/>
    </row>
    <row r="360" spans="8:21" x14ac:dyDescent="0.25">
      <c r="H360" s="34">
        <v>10987</v>
      </c>
      <c r="I360" s="34" t="s">
        <v>413</v>
      </c>
      <c r="J360" s="35">
        <v>45848</v>
      </c>
      <c r="K360" s="36" t="s">
        <v>42</v>
      </c>
      <c r="L360" s="39" t="str">
        <f>VLOOKUP(Tabla810[[#This Row],[CODIGO DEL PRODUCTO]],Tabla79[],2,FALSE)</f>
        <v>ARENA FINA</v>
      </c>
      <c r="M360" s="37">
        <v>4000</v>
      </c>
      <c r="O360" s="76">
        <v>100625</v>
      </c>
      <c r="P360" s="76" t="s">
        <v>238</v>
      </c>
      <c r="Q360" s="77">
        <v>45785</v>
      </c>
      <c r="R360" s="78" t="s">
        <v>40</v>
      </c>
      <c r="S360" s="36" t="str">
        <f>VLOOKUP(Tabla911[[#This Row],[CODIGO DEL PRODUCTO]],Tabla79[],2,FALSE)</f>
        <v>PIEDRA 0-6</v>
      </c>
      <c r="T360" s="37">
        <v>34840</v>
      </c>
      <c r="U360" s="92"/>
    </row>
    <row r="361" spans="8:21" x14ac:dyDescent="0.25">
      <c r="H361" s="34">
        <v>104</v>
      </c>
      <c r="I361" s="34" t="s">
        <v>458</v>
      </c>
      <c r="J361" s="35">
        <v>45849</v>
      </c>
      <c r="K361" s="36" t="s">
        <v>42</v>
      </c>
      <c r="L361" s="39" t="str">
        <f>VLOOKUP(Tabla810[[#This Row],[CODIGO DEL PRODUCTO]],Tabla79[],2,FALSE)</f>
        <v>ARENA FINA</v>
      </c>
      <c r="M361" s="37">
        <v>6000</v>
      </c>
      <c r="O361" s="76">
        <v>100632</v>
      </c>
      <c r="P361" s="76" t="s">
        <v>570</v>
      </c>
      <c r="Q361" s="77">
        <v>45785</v>
      </c>
      <c r="R361" s="78" t="s">
        <v>40</v>
      </c>
      <c r="S361" s="36" t="str">
        <f>VLOOKUP(Tabla911[[#This Row],[CODIGO DEL PRODUCTO]],Tabla79[],2,FALSE)</f>
        <v>PIEDRA 0-6</v>
      </c>
      <c r="T361" s="37">
        <v>34620</v>
      </c>
      <c r="U361" s="92"/>
    </row>
    <row r="362" spans="8:21" x14ac:dyDescent="0.25">
      <c r="H362" s="34"/>
      <c r="I362" s="34" t="s">
        <v>53</v>
      </c>
      <c r="J362" s="35">
        <v>45845</v>
      </c>
      <c r="K362" s="36" t="s">
        <v>42</v>
      </c>
      <c r="L362" s="39" t="str">
        <f>VLOOKUP(Tabla810[[#This Row],[CODIGO DEL PRODUCTO]],Tabla79[],2,FALSE)</f>
        <v>ARENA FINA</v>
      </c>
      <c r="M362" s="37">
        <v>437018</v>
      </c>
      <c r="O362" s="76">
        <v>100494</v>
      </c>
      <c r="P362" s="76" t="s">
        <v>235</v>
      </c>
      <c r="Q362" s="77">
        <v>45786</v>
      </c>
      <c r="R362" s="78" t="s">
        <v>42</v>
      </c>
      <c r="S362" s="36" t="str">
        <f>VLOOKUP(Tabla911[[#This Row],[CODIGO DEL PRODUCTO]],Tabla79[],2,FALSE)</f>
        <v>ARENA FINA</v>
      </c>
      <c r="T362" s="37">
        <v>34720</v>
      </c>
      <c r="U362" s="92"/>
    </row>
    <row r="363" spans="8:21" x14ac:dyDescent="0.25">
      <c r="H363" s="34"/>
      <c r="I363" s="34" t="s">
        <v>53</v>
      </c>
      <c r="J363" s="35">
        <v>45846</v>
      </c>
      <c r="K363" s="36" t="s">
        <v>40</v>
      </c>
      <c r="L363" s="39" t="str">
        <f>VLOOKUP(Tabla810[[#This Row],[CODIGO DEL PRODUCTO]],Tabla79[],2,FALSE)</f>
        <v>PIEDRA 0-6</v>
      </c>
      <c r="M363" s="37">
        <v>320715</v>
      </c>
      <c r="O363" s="76">
        <v>100501</v>
      </c>
      <c r="P363" s="76" t="s">
        <v>370</v>
      </c>
      <c r="Q363" s="77">
        <v>45786</v>
      </c>
      <c r="R363" s="78" t="s">
        <v>42</v>
      </c>
      <c r="S363" s="36" t="str">
        <f>VLOOKUP(Tabla911[[#This Row],[CODIGO DEL PRODUCTO]],Tabla79[],2,FALSE)</f>
        <v>ARENA FINA</v>
      </c>
      <c r="T363" s="37">
        <v>35380</v>
      </c>
      <c r="U363" s="92"/>
    </row>
    <row r="364" spans="8:21" x14ac:dyDescent="0.25">
      <c r="H364" s="34"/>
      <c r="I364" s="34" t="s">
        <v>53</v>
      </c>
      <c r="J364" s="35">
        <v>45847</v>
      </c>
      <c r="K364" s="36" t="s">
        <v>286</v>
      </c>
      <c r="L364" s="39" t="str">
        <f>VLOOKUP(Tabla810[[#This Row],[CODIGO DEL PRODUCTO]],Tabla79[],2,FALSE)</f>
        <v>CPF 40 AVELLANEDA</v>
      </c>
      <c r="M364" s="37">
        <v>219617</v>
      </c>
      <c r="O364" s="76">
        <v>100505</v>
      </c>
      <c r="P364" s="76" t="s">
        <v>235</v>
      </c>
      <c r="Q364" s="77">
        <v>45786</v>
      </c>
      <c r="R364" s="78" t="s">
        <v>42</v>
      </c>
      <c r="S364" s="36" t="str">
        <f>VLOOKUP(Tabla911[[#This Row],[CODIGO DEL PRODUCTO]],Tabla79[],2,FALSE)</f>
        <v>ARENA FINA</v>
      </c>
      <c r="T364" s="37">
        <v>36200</v>
      </c>
      <c r="U364" s="92"/>
    </row>
    <row r="365" spans="8:21" x14ac:dyDescent="0.25">
      <c r="H365" s="34"/>
      <c r="I365" s="34" t="s">
        <v>53</v>
      </c>
      <c r="J365" s="35">
        <v>45848</v>
      </c>
      <c r="K365" s="36" t="s">
        <v>48</v>
      </c>
      <c r="L365" s="39" t="str">
        <f>VLOOKUP(Tabla810[[#This Row],[CODIGO DEL PRODUCTO]],Tabla79[],2,FALSE)</f>
        <v>PIEDRA 6-12</v>
      </c>
      <c r="M365" s="37">
        <v>81145</v>
      </c>
      <c r="O365" s="76">
        <v>100639</v>
      </c>
      <c r="P365" s="76" t="s">
        <v>160</v>
      </c>
      <c r="Q365" s="77">
        <v>45786</v>
      </c>
      <c r="R365" s="78" t="s">
        <v>43</v>
      </c>
      <c r="S365" s="36" t="str">
        <f>VLOOKUP(Tabla911[[#This Row],[CODIGO DEL PRODUCTO]],Tabla79[],2,FALSE)</f>
        <v>PIEDRA 6-20</v>
      </c>
      <c r="T365" s="37">
        <v>34940</v>
      </c>
      <c r="U365" s="92"/>
    </row>
    <row r="366" spans="8:21" x14ac:dyDescent="0.25">
      <c r="H366" s="34"/>
      <c r="I366" s="34" t="s">
        <v>53</v>
      </c>
      <c r="J366" s="35">
        <v>45850</v>
      </c>
      <c r="K366" s="36" t="s">
        <v>43</v>
      </c>
      <c r="L366" s="39" t="str">
        <f>VLOOKUP(Tabla810[[#This Row],[CODIGO DEL PRODUCTO]],Tabla79[],2,FALSE)</f>
        <v>PIEDRA 6-20</v>
      </c>
      <c r="M366" s="37">
        <v>635138</v>
      </c>
      <c r="O366" s="76">
        <v>100645</v>
      </c>
      <c r="P366" s="76" t="s">
        <v>155</v>
      </c>
      <c r="Q366" s="77">
        <v>45786</v>
      </c>
      <c r="R366" s="78" t="s">
        <v>48</v>
      </c>
      <c r="S366" s="36" t="str">
        <f>VLOOKUP(Tabla911[[#This Row],[CODIGO DEL PRODUCTO]],Tabla79[],2,FALSE)</f>
        <v>PIEDRA 6-12</v>
      </c>
      <c r="T366" s="37">
        <v>33740</v>
      </c>
      <c r="U366" s="92"/>
    </row>
    <row r="367" spans="8:21" x14ac:dyDescent="0.25">
      <c r="H367" s="34"/>
      <c r="I367" s="34" t="s">
        <v>53</v>
      </c>
      <c r="J367" s="35">
        <v>45850</v>
      </c>
      <c r="K367" s="36" t="s">
        <v>425</v>
      </c>
      <c r="L367" s="39" t="str">
        <f>VLOOKUP(Tabla810[[#This Row],[CODIGO DEL PRODUCTO]],Tabla79[],2,FALSE)</f>
        <v>W351R</v>
      </c>
      <c r="M367" s="37">
        <v>1155.1500000000001</v>
      </c>
      <c r="O367" s="76">
        <v>100650</v>
      </c>
      <c r="P367" s="76" t="s">
        <v>254</v>
      </c>
      <c r="Q367" s="77">
        <v>45786</v>
      </c>
      <c r="R367" s="78" t="s">
        <v>48</v>
      </c>
      <c r="S367" s="36" t="str">
        <f>VLOOKUP(Tabla911[[#This Row],[CODIGO DEL PRODUCTO]],Tabla79[],2,FALSE)</f>
        <v>PIEDRA 6-12</v>
      </c>
      <c r="T367" s="37">
        <v>33960</v>
      </c>
      <c r="U367" s="92"/>
    </row>
    <row r="368" spans="8:21" x14ac:dyDescent="0.25">
      <c r="H368" s="34">
        <v>11020</v>
      </c>
      <c r="I368" s="34" t="s">
        <v>462</v>
      </c>
      <c r="J368" s="35">
        <v>45852</v>
      </c>
      <c r="K368" s="36" t="s">
        <v>42</v>
      </c>
      <c r="L368" s="39" t="str">
        <f>VLOOKUP(Tabla810[[#This Row],[CODIGO DEL PRODUCTO]],Tabla79[],2,FALSE)</f>
        <v>ARENA FINA</v>
      </c>
      <c r="M368" s="37">
        <v>4000</v>
      </c>
      <c r="O368" s="76">
        <v>100651</v>
      </c>
      <c r="P368" s="76" t="s">
        <v>218</v>
      </c>
      <c r="Q368" s="77">
        <v>45786</v>
      </c>
      <c r="R368" s="78" t="s">
        <v>48</v>
      </c>
      <c r="S368" s="36" t="str">
        <f>VLOOKUP(Tabla911[[#This Row],[CODIGO DEL PRODUCTO]],Tabla79[],2,FALSE)</f>
        <v>PIEDRA 6-12</v>
      </c>
      <c r="T368" s="37">
        <v>34640</v>
      </c>
      <c r="U368" s="92"/>
    </row>
    <row r="369" spans="7:21" x14ac:dyDescent="0.25">
      <c r="H369" s="34"/>
      <c r="I369" s="34"/>
      <c r="J369" s="35">
        <v>45852</v>
      </c>
      <c r="K369" s="36" t="s">
        <v>43</v>
      </c>
      <c r="L369" s="39" t="str">
        <f>VLOOKUP(Tabla810[[#This Row],[CODIGO DEL PRODUCTO]],Tabla79[],2,FALSE)</f>
        <v>PIEDRA 6-20</v>
      </c>
      <c r="M369" s="37">
        <v>1000</v>
      </c>
      <c r="O369" s="76">
        <v>100663</v>
      </c>
      <c r="P369" s="76" t="s">
        <v>238</v>
      </c>
      <c r="Q369" s="77">
        <v>45786</v>
      </c>
      <c r="R369" s="78" t="s">
        <v>40</v>
      </c>
      <c r="S369" s="36" t="str">
        <f>VLOOKUP(Tabla911[[#This Row],[CODIGO DEL PRODUCTO]],Tabla79[],2,FALSE)</f>
        <v>PIEDRA 0-6</v>
      </c>
      <c r="T369" s="37">
        <v>34880</v>
      </c>
      <c r="U369" s="92"/>
    </row>
    <row r="370" spans="7:21" x14ac:dyDescent="0.25">
      <c r="H370" s="34">
        <v>11047</v>
      </c>
      <c r="I370" s="34" t="s">
        <v>413</v>
      </c>
      <c r="J370" s="35">
        <v>45852</v>
      </c>
      <c r="K370" s="36" t="s">
        <v>42</v>
      </c>
      <c r="L370" s="39" t="str">
        <f>VLOOKUP(Tabla810[[#This Row],[CODIGO DEL PRODUCTO]],Tabla79[],2,FALSE)</f>
        <v>ARENA FINA</v>
      </c>
      <c r="M370" s="37">
        <v>2000</v>
      </c>
      <c r="O370" s="76">
        <v>100667</v>
      </c>
      <c r="P370" s="76" t="s">
        <v>570</v>
      </c>
      <c r="Q370" s="77">
        <v>45786</v>
      </c>
      <c r="R370" s="78" t="s">
        <v>40</v>
      </c>
      <c r="S370" s="36" t="str">
        <f>VLOOKUP(Tabla911[[#This Row],[CODIGO DEL PRODUCTO]],Tabla79[],2,FALSE)</f>
        <v>PIEDRA 0-6</v>
      </c>
      <c r="T370" s="37">
        <v>34420</v>
      </c>
      <c r="U370" s="92"/>
    </row>
    <row r="371" spans="7:21" x14ac:dyDescent="0.25">
      <c r="H371" s="34">
        <v>113</v>
      </c>
      <c r="I371" s="34" t="s">
        <v>465</v>
      </c>
      <c r="J371" s="35">
        <v>45853</v>
      </c>
      <c r="K371" s="36" t="s">
        <v>42</v>
      </c>
      <c r="L371" s="39" t="str">
        <f>VLOOKUP(Tabla810[[#This Row],[CODIGO DEL PRODUCTO]],Tabla79[],2,FALSE)</f>
        <v>ARENA FINA</v>
      </c>
      <c r="M371" s="37">
        <v>2000</v>
      </c>
      <c r="O371" s="76">
        <v>136114</v>
      </c>
      <c r="P371" s="76" t="s">
        <v>234</v>
      </c>
      <c r="Q371" s="77">
        <v>45786</v>
      </c>
      <c r="R371" s="78" t="s">
        <v>40</v>
      </c>
      <c r="S371" s="36" t="str">
        <f>VLOOKUP(Tabla911[[#This Row],[CODIGO DEL PRODUCTO]],Tabla79[],2,FALSE)</f>
        <v>PIEDRA 0-6</v>
      </c>
      <c r="T371" s="37">
        <v>35480</v>
      </c>
      <c r="U371" s="92"/>
    </row>
    <row r="372" spans="7:21" x14ac:dyDescent="0.25">
      <c r="H372" s="34">
        <v>11070</v>
      </c>
      <c r="I372" s="34" t="s">
        <v>466</v>
      </c>
      <c r="J372" s="35">
        <v>45853</v>
      </c>
      <c r="K372" s="36" t="s">
        <v>42</v>
      </c>
      <c r="L372" s="39" t="str">
        <f>VLOOKUP(Tabla810[[#This Row],[CODIGO DEL PRODUCTO]],Tabla79[],2,FALSE)</f>
        <v>ARENA FINA</v>
      </c>
      <c r="M372" s="37">
        <v>3000</v>
      </c>
      <c r="O372" s="76">
        <v>136126</v>
      </c>
      <c r="P372" s="76" t="s">
        <v>119</v>
      </c>
      <c r="Q372" s="77">
        <v>45786</v>
      </c>
      <c r="R372" s="78" t="s">
        <v>43</v>
      </c>
      <c r="S372" s="36" t="str">
        <f>VLOOKUP(Tabla911[[#This Row],[CODIGO DEL PRODUCTO]],Tabla79[],2,FALSE)</f>
        <v>PIEDRA 6-20</v>
      </c>
      <c r="T372" s="37">
        <v>36320</v>
      </c>
      <c r="U372" s="92"/>
    </row>
    <row r="373" spans="7:21" x14ac:dyDescent="0.25">
      <c r="H373" s="34">
        <v>11089</v>
      </c>
      <c r="I373" s="34" t="s">
        <v>426</v>
      </c>
      <c r="J373" s="35">
        <v>45853</v>
      </c>
      <c r="K373" s="36" t="s">
        <v>42</v>
      </c>
      <c r="L373" s="39" t="str">
        <f>VLOOKUP(Tabla810[[#This Row],[CODIGO DEL PRODUCTO]],Tabla79[],2,FALSE)</f>
        <v>ARENA FINA</v>
      </c>
      <c r="M373" s="37">
        <v>2000</v>
      </c>
      <c r="O373" s="76">
        <v>2626638</v>
      </c>
      <c r="P373" s="76" t="s">
        <v>65</v>
      </c>
      <c r="Q373" s="77">
        <v>45786</v>
      </c>
      <c r="R373" s="78" t="s">
        <v>286</v>
      </c>
      <c r="S373" s="36" t="str">
        <f>VLOOKUP(Tabla911[[#This Row],[CODIGO DEL PRODUCTO]],Tabla79[],2,FALSE)</f>
        <v>CPF 40 AVELLANEDA</v>
      </c>
      <c r="T373" s="37">
        <v>35860</v>
      </c>
      <c r="U373" s="92"/>
    </row>
    <row r="374" spans="7:21" x14ac:dyDescent="0.25">
      <c r="H374" s="34"/>
      <c r="I374" s="34"/>
      <c r="J374" s="35">
        <v>45853</v>
      </c>
      <c r="K374" s="36" t="s">
        <v>43</v>
      </c>
      <c r="L374" s="39" t="str">
        <f>VLOOKUP(Tabla810[[#This Row],[CODIGO DEL PRODUCTO]],Tabla79[],2,FALSE)</f>
        <v>PIEDRA 6-20</v>
      </c>
      <c r="M374" s="37">
        <v>2000</v>
      </c>
      <c r="O374" s="76">
        <v>100509</v>
      </c>
      <c r="P374" s="76" t="s">
        <v>235</v>
      </c>
      <c r="Q374" s="77">
        <v>45787</v>
      </c>
      <c r="R374" s="78" t="s">
        <v>42</v>
      </c>
      <c r="S374" s="36" t="str">
        <f>VLOOKUP(Tabla911[[#This Row],[CODIGO DEL PRODUCTO]],Tabla79[],2,FALSE)</f>
        <v>ARENA FINA</v>
      </c>
      <c r="T374" s="37">
        <v>36740</v>
      </c>
      <c r="U374" s="92"/>
    </row>
    <row r="375" spans="7:21" x14ac:dyDescent="0.25">
      <c r="H375" s="34">
        <v>5</v>
      </c>
      <c r="I375" s="34" t="s">
        <v>467</v>
      </c>
      <c r="J375" s="35">
        <v>45860</v>
      </c>
      <c r="K375" s="36" t="s">
        <v>42</v>
      </c>
      <c r="L375" s="39" t="str">
        <f>VLOOKUP(Tabla810[[#This Row],[CODIGO DEL PRODUCTO]],Tabla79[],2,FALSE)</f>
        <v>ARENA FINA</v>
      </c>
      <c r="M375" s="37">
        <v>1000</v>
      </c>
      <c r="O375" s="76">
        <v>136156</v>
      </c>
      <c r="P375" s="76" t="s">
        <v>231</v>
      </c>
      <c r="Q375" s="77">
        <v>45787</v>
      </c>
      <c r="R375" s="78" t="s">
        <v>43</v>
      </c>
      <c r="S375" s="36" t="str">
        <f>VLOOKUP(Tabla911[[#This Row],[CODIGO DEL PRODUCTO]],Tabla79[],2,FALSE)</f>
        <v>PIEDRA 6-20</v>
      </c>
      <c r="T375" s="37">
        <v>35420</v>
      </c>
      <c r="U375" s="92"/>
    </row>
    <row r="376" spans="7:21" x14ac:dyDescent="0.25">
      <c r="H376" s="34">
        <v>6</v>
      </c>
      <c r="I376" s="34" t="s">
        <v>467</v>
      </c>
      <c r="J376" s="35">
        <v>45860</v>
      </c>
      <c r="K376" s="36" t="s">
        <v>372</v>
      </c>
      <c r="L376" s="39" t="str">
        <f>VLOOKUP(Tabla810[[#This Row],[CODIGO DEL PRODUCTO]],Tabla79[],2,FALSE)</f>
        <v xml:space="preserve">ESTABILIZADO GRANULOMETRICO 0/20 </v>
      </c>
      <c r="M376" s="37">
        <v>1000</v>
      </c>
      <c r="O376" s="76">
        <v>100514</v>
      </c>
      <c r="P376" s="76" t="s">
        <v>235</v>
      </c>
      <c r="Q376" s="77">
        <v>45789</v>
      </c>
      <c r="R376" s="78" t="s">
        <v>42</v>
      </c>
      <c r="S376" s="36" t="str">
        <f>VLOOKUP(Tabla911[[#This Row],[CODIGO DEL PRODUCTO]],Tabla79[],2,FALSE)</f>
        <v>ARENA FINA</v>
      </c>
      <c r="T376" s="37">
        <v>36560</v>
      </c>
      <c r="U376" s="92"/>
    </row>
    <row r="377" spans="7:21" x14ac:dyDescent="0.25">
      <c r="G377" t="s">
        <v>124</v>
      </c>
      <c r="H377" s="34">
        <v>147</v>
      </c>
      <c r="I377" s="34" t="s">
        <v>470</v>
      </c>
      <c r="J377" s="35">
        <v>45866</v>
      </c>
      <c r="K377" s="36" t="s">
        <v>42</v>
      </c>
      <c r="L377" s="39" t="str">
        <f>VLOOKUP(Tabla810[[#This Row],[CODIGO DEL PRODUCTO]],Tabla79[],2,FALSE)</f>
        <v>ARENA FINA</v>
      </c>
      <c r="M377" s="37">
        <v>2000</v>
      </c>
      <c r="O377" s="76">
        <v>100520</v>
      </c>
      <c r="P377" s="76" t="s">
        <v>370</v>
      </c>
      <c r="Q377" s="77">
        <v>45789</v>
      </c>
      <c r="R377" s="78" t="s">
        <v>42</v>
      </c>
      <c r="S377" s="36" t="str">
        <f>VLOOKUP(Tabla911[[#This Row],[CODIGO DEL PRODUCTO]],Tabla79[],2,FALSE)</f>
        <v>ARENA FINA</v>
      </c>
      <c r="T377" s="37">
        <v>35600</v>
      </c>
      <c r="U377" s="92"/>
    </row>
    <row r="378" spans="7:21" x14ac:dyDescent="0.25">
      <c r="H378" s="34">
        <v>11116</v>
      </c>
      <c r="I378" s="34" t="s">
        <v>471</v>
      </c>
      <c r="J378" s="35">
        <v>45856</v>
      </c>
      <c r="K378" s="36" t="s">
        <v>42</v>
      </c>
      <c r="L378" s="39" t="str">
        <f>VLOOKUP(Tabla810[[#This Row],[CODIGO DEL PRODUCTO]],Tabla79[],2,FALSE)</f>
        <v>ARENA FINA</v>
      </c>
      <c r="M378" s="37">
        <v>1000</v>
      </c>
      <c r="O378" s="76">
        <v>100521</v>
      </c>
      <c r="P378" s="76" t="s">
        <v>235</v>
      </c>
      <c r="Q378" s="77">
        <v>45789</v>
      </c>
      <c r="R378" s="78" t="s">
        <v>42</v>
      </c>
      <c r="S378" s="36" t="str">
        <f>VLOOKUP(Tabla911[[#This Row],[CODIGO DEL PRODUCTO]],Tabla79[],2,FALSE)</f>
        <v>ARENA FINA</v>
      </c>
      <c r="T378" s="37">
        <v>35040</v>
      </c>
      <c r="U378" s="92"/>
    </row>
    <row r="379" spans="7:21" x14ac:dyDescent="0.25">
      <c r="H379" s="34">
        <v>11122</v>
      </c>
      <c r="I379" s="34" t="s">
        <v>413</v>
      </c>
      <c r="J379" s="35">
        <v>45857</v>
      </c>
      <c r="K379" s="36" t="s">
        <v>43</v>
      </c>
      <c r="L379" s="39" t="str">
        <f>VLOOKUP(Tabla810[[#This Row],[CODIGO DEL PRODUCTO]],Tabla79[],2,FALSE)</f>
        <v>PIEDRA 6-20</v>
      </c>
      <c r="M379" s="37">
        <v>2000</v>
      </c>
      <c r="O379" s="76">
        <v>100696</v>
      </c>
      <c r="P379" s="76" t="s">
        <v>252</v>
      </c>
      <c r="Q379" s="77">
        <v>45789</v>
      </c>
      <c r="R379" s="78" t="s">
        <v>43</v>
      </c>
      <c r="S379" s="36" t="str">
        <f>VLOOKUP(Tabla911[[#This Row],[CODIGO DEL PRODUCTO]],Tabla79[],2,FALSE)</f>
        <v>PIEDRA 6-20</v>
      </c>
      <c r="T379" s="37">
        <v>35660</v>
      </c>
      <c r="U379" s="92"/>
    </row>
    <row r="380" spans="7:21" x14ac:dyDescent="0.25">
      <c r="H380" s="34">
        <v>11123</v>
      </c>
      <c r="I380" s="34" t="s">
        <v>413</v>
      </c>
      <c r="J380" s="35">
        <v>45857</v>
      </c>
      <c r="K380" s="36" t="s">
        <v>42</v>
      </c>
      <c r="L380" s="39" t="str">
        <f>VLOOKUP(Tabla810[[#This Row],[CODIGO DEL PRODUCTO]],Tabla79[],2,FALSE)</f>
        <v>ARENA FINA</v>
      </c>
      <c r="M380" s="37">
        <v>4000</v>
      </c>
      <c r="O380" s="76">
        <v>100722</v>
      </c>
      <c r="P380" s="76" t="s">
        <v>355</v>
      </c>
      <c r="Q380" s="77">
        <v>45789</v>
      </c>
      <c r="R380" s="78" t="s">
        <v>43</v>
      </c>
      <c r="S380" s="36" t="str">
        <f>VLOOKUP(Tabla911[[#This Row],[CODIGO DEL PRODUCTO]],Tabla79[],2,FALSE)</f>
        <v>PIEDRA 6-20</v>
      </c>
      <c r="T380" s="37">
        <v>35060</v>
      </c>
      <c r="U380" s="92"/>
    </row>
    <row r="381" spans="7:21" x14ac:dyDescent="0.25">
      <c r="H381" s="34">
        <v>11131</v>
      </c>
      <c r="I381" s="34" t="s">
        <v>413</v>
      </c>
      <c r="J381" s="35">
        <v>45857</v>
      </c>
      <c r="K381" s="36" t="s">
        <v>42</v>
      </c>
      <c r="L381" s="39" t="str">
        <f>VLOOKUP(Tabla810[[#This Row],[CODIGO DEL PRODUCTO]],Tabla79[],2,FALSE)</f>
        <v>ARENA FINA</v>
      </c>
      <c r="M381" s="37">
        <v>5000</v>
      </c>
      <c r="O381" s="76">
        <v>100730</v>
      </c>
      <c r="P381" s="76" t="s">
        <v>218</v>
      </c>
      <c r="Q381" s="77">
        <v>45789</v>
      </c>
      <c r="R381" s="78" t="s">
        <v>40</v>
      </c>
      <c r="S381" s="36" t="str">
        <f>VLOOKUP(Tabla911[[#This Row],[CODIGO DEL PRODUCTO]],Tabla79[],2,FALSE)</f>
        <v>PIEDRA 0-6</v>
      </c>
      <c r="T381" s="37">
        <v>34960</v>
      </c>
      <c r="U381" s="92"/>
    </row>
    <row r="382" spans="7:21" x14ac:dyDescent="0.25">
      <c r="H382" s="34">
        <v>11139</v>
      </c>
      <c r="I382" s="34" t="s">
        <v>466</v>
      </c>
      <c r="J382" s="35">
        <v>45859</v>
      </c>
      <c r="K382" s="36" t="s">
        <v>42</v>
      </c>
      <c r="L382" s="39" t="str">
        <f>VLOOKUP(Tabla810[[#This Row],[CODIGO DEL PRODUCTO]],Tabla79[],2,FALSE)</f>
        <v>ARENA FINA</v>
      </c>
      <c r="M382" s="37">
        <v>3000</v>
      </c>
      <c r="O382" s="76">
        <v>100734</v>
      </c>
      <c r="P382" s="76" t="s">
        <v>173</v>
      </c>
      <c r="Q382" s="77">
        <v>45789</v>
      </c>
      <c r="R382" s="78" t="s">
        <v>40</v>
      </c>
      <c r="S382" s="36" t="str">
        <f>VLOOKUP(Tabla911[[#This Row],[CODIGO DEL PRODUCTO]],Tabla79[],2,FALSE)</f>
        <v>PIEDRA 0-6</v>
      </c>
      <c r="T382" s="37">
        <v>35060</v>
      </c>
      <c r="U382" s="92"/>
    </row>
    <row r="383" spans="7:21" x14ac:dyDescent="0.25">
      <c r="H383" s="34">
        <v>11162</v>
      </c>
      <c r="I383" s="34" t="s">
        <v>298</v>
      </c>
      <c r="J383" s="35">
        <v>45859</v>
      </c>
      <c r="K383" s="36" t="s">
        <v>42</v>
      </c>
      <c r="L383" s="39" t="str">
        <f>VLOOKUP(Tabla810[[#This Row],[CODIGO DEL PRODUCTO]],Tabla79[],2,FALSE)</f>
        <v>ARENA FINA</v>
      </c>
      <c r="M383" s="37">
        <v>4000</v>
      </c>
      <c r="O383" s="76">
        <v>100741</v>
      </c>
      <c r="P383" s="76" t="s">
        <v>299</v>
      </c>
      <c r="Q383" s="77">
        <v>45789</v>
      </c>
      <c r="R383" s="78" t="s">
        <v>40</v>
      </c>
      <c r="S383" s="36" t="str">
        <f>VLOOKUP(Tabla911[[#This Row],[CODIGO DEL PRODUCTO]],Tabla79[],2,FALSE)</f>
        <v>PIEDRA 0-6</v>
      </c>
      <c r="T383" s="37">
        <v>34400</v>
      </c>
      <c r="U383" s="92"/>
    </row>
    <row r="384" spans="7:21" x14ac:dyDescent="0.25">
      <c r="H384" s="34">
        <v>11170</v>
      </c>
      <c r="I384" s="34" t="s">
        <v>472</v>
      </c>
      <c r="J384" s="35">
        <v>45860</v>
      </c>
      <c r="K384" s="36" t="s">
        <v>468</v>
      </c>
      <c r="L384" s="39" t="str">
        <f>VLOOKUP(Tabla810[[#This Row],[CODIGO DEL PRODUCTO]],Tabla79[],2,FALSE)</f>
        <v>ESTABILIZADO 0-100 X TN</v>
      </c>
      <c r="M384" s="37">
        <v>25940</v>
      </c>
      <c r="O384" s="76">
        <v>100736</v>
      </c>
      <c r="P384" s="76" t="s">
        <v>144</v>
      </c>
      <c r="Q384" s="77">
        <v>45789</v>
      </c>
      <c r="R384" s="78" t="s">
        <v>43</v>
      </c>
      <c r="S384" s="36" t="str">
        <f>VLOOKUP(Tabla911[[#This Row],[CODIGO DEL PRODUCTO]],Tabla79[],2,FALSE)</f>
        <v>PIEDRA 6-20</v>
      </c>
      <c r="T384" s="37">
        <v>34880</v>
      </c>
      <c r="U384" s="92"/>
    </row>
    <row r="385" spans="8:21" x14ac:dyDescent="0.25">
      <c r="H385" s="34">
        <v>11172</v>
      </c>
      <c r="I385" s="34" t="s">
        <v>473</v>
      </c>
      <c r="J385" s="35">
        <v>45860</v>
      </c>
      <c r="K385" s="36" t="s">
        <v>42</v>
      </c>
      <c r="L385" s="39" t="str">
        <f>VLOOKUP(Tabla810[[#This Row],[CODIGO DEL PRODUCTO]],Tabla79[],2,FALSE)</f>
        <v>ARENA FINA</v>
      </c>
      <c r="M385" s="37">
        <v>25000</v>
      </c>
      <c r="O385" s="76">
        <v>100737</v>
      </c>
      <c r="P385" s="76" t="s">
        <v>318</v>
      </c>
      <c r="Q385" s="77">
        <v>45789</v>
      </c>
      <c r="R385" s="78" t="s">
        <v>43</v>
      </c>
      <c r="S385" s="36" t="str">
        <f>VLOOKUP(Tabla911[[#This Row],[CODIGO DEL PRODUCTO]],Tabla79[],2,FALSE)</f>
        <v>PIEDRA 6-20</v>
      </c>
      <c r="T385" s="37">
        <v>35020</v>
      </c>
      <c r="U385" s="92"/>
    </row>
    <row r="386" spans="8:21" x14ac:dyDescent="0.25">
      <c r="H386" s="34">
        <v>11179</v>
      </c>
      <c r="I386" s="34" t="s">
        <v>472</v>
      </c>
      <c r="J386" s="35">
        <v>45860</v>
      </c>
      <c r="K386" s="36" t="s">
        <v>468</v>
      </c>
      <c r="L386" s="39" t="str">
        <f>VLOOKUP(Tabla810[[#This Row],[CODIGO DEL PRODUCTO]],Tabla79[],2,FALSE)</f>
        <v>ESTABILIZADO 0-100 X TN</v>
      </c>
      <c r="M386" s="37">
        <v>29460</v>
      </c>
      <c r="O386" s="76">
        <v>100528</v>
      </c>
      <c r="P386" s="76" t="s">
        <v>370</v>
      </c>
      <c r="Q386" s="77">
        <v>45790</v>
      </c>
      <c r="R386" s="78" t="s">
        <v>42</v>
      </c>
      <c r="S386" s="36" t="str">
        <f>VLOOKUP(Tabla911[[#This Row],[CODIGO DEL PRODUCTO]],Tabla79[],2,FALSE)</f>
        <v>ARENA FINA</v>
      </c>
      <c r="T386" s="37">
        <v>36100</v>
      </c>
      <c r="U386" s="92"/>
    </row>
    <row r="387" spans="8:21" x14ac:dyDescent="0.25">
      <c r="H387" s="34">
        <v>11212</v>
      </c>
      <c r="I387" s="34" t="s">
        <v>413</v>
      </c>
      <c r="J387" s="35">
        <v>45861</v>
      </c>
      <c r="K387" s="36" t="s">
        <v>42</v>
      </c>
      <c r="L387" s="39" t="str">
        <f>VLOOKUP(Tabla810[[#This Row],[CODIGO DEL PRODUCTO]],Tabla79[],2,FALSE)</f>
        <v>ARENA FINA</v>
      </c>
      <c r="M387" s="37">
        <v>4000</v>
      </c>
      <c r="O387" s="76">
        <v>100531</v>
      </c>
      <c r="P387" s="76" t="s">
        <v>235</v>
      </c>
      <c r="Q387" s="77">
        <v>45790</v>
      </c>
      <c r="R387" s="78" t="s">
        <v>42</v>
      </c>
      <c r="S387" s="36" t="str">
        <f>VLOOKUP(Tabla911[[#This Row],[CODIGO DEL PRODUCTO]],Tabla79[],2,FALSE)</f>
        <v>ARENA FINA</v>
      </c>
      <c r="T387" s="37">
        <v>36680</v>
      </c>
      <c r="U387" s="92"/>
    </row>
    <row r="388" spans="8:21" x14ac:dyDescent="0.25">
      <c r="H388" s="34">
        <v>11213</v>
      </c>
      <c r="I388" s="34" t="s">
        <v>413</v>
      </c>
      <c r="J388" s="35">
        <v>45861</v>
      </c>
      <c r="K388" s="36" t="s">
        <v>43</v>
      </c>
      <c r="L388" s="39" t="str">
        <f>VLOOKUP(Tabla810[[#This Row],[CODIGO DEL PRODUCTO]],Tabla79[],2,FALSE)</f>
        <v>PIEDRA 6-20</v>
      </c>
      <c r="M388" s="37">
        <v>2000</v>
      </c>
      <c r="O388" s="76">
        <v>100738</v>
      </c>
      <c r="P388" s="76" t="s">
        <v>234</v>
      </c>
      <c r="Q388" s="77">
        <v>45790</v>
      </c>
      <c r="R388" s="78" t="s">
        <v>40</v>
      </c>
      <c r="S388" s="36" t="str">
        <f>VLOOKUP(Tabla911[[#This Row],[CODIGO DEL PRODUCTO]],Tabla79[],2,FALSE)</f>
        <v>PIEDRA 0-6</v>
      </c>
      <c r="T388" s="37">
        <v>34800</v>
      </c>
      <c r="U388" s="92"/>
    </row>
    <row r="389" spans="8:21" x14ac:dyDescent="0.25">
      <c r="H389" s="34">
        <v>11226</v>
      </c>
      <c r="I389" s="34" t="s">
        <v>466</v>
      </c>
      <c r="J389" s="35">
        <v>45861</v>
      </c>
      <c r="K389" s="36" t="s">
        <v>42</v>
      </c>
      <c r="L389" s="39" t="str">
        <f>VLOOKUP(Tabla810[[#This Row],[CODIGO DEL PRODUCTO]],Tabla79[],2,FALSE)</f>
        <v>ARENA FINA</v>
      </c>
      <c r="M389" s="37">
        <v>3000</v>
      </c>
      <c r="O389" s="76">
        <v>100753</v>
      </c>
      <c r="P389" s="76" t="s">
        <v>252</v>
      </c>
      <c r="Q389" s="77">
        <v>45790</v>
      </c>
      <c r="R389" s="78" t="s">
        <v>43</v>
      </c>
      <c r="S389" s="36" t="str">
        <f>VLOOKUP(Tabla911[[#This Row],[CODIGO DEL PRODUCTO]],Tabla79[],2,FALSE)</f>
        <v>PIEDRA 6-20</v>
      </c>
      <c r="T389" s="37">
        <v>34680</v>
      </c>
      <c r="U389" s="92"/>
    </row>
    <row r="390" spans="8:21" x14ac:dyDescent="0.25">
      <c r="H390" s="34">
        <v>11230</v>
      </c>
      <c r="I390" s="34" t="s">
        <v>474</v>
      </c>
      <c r="J390" s="35">
        <v>45861</v>
      </c>
      <c r="K390" s="36" t="s">
        <v>42</v>
      </c>
      <c r="L390" s="39" t="str">
        <f>VLOOKUP(Tabla810[[#This Row],[CODIGO DEL PRODUCTO]],Tabla79[],2,FALSE)</f>
        <v>ARENA FINA</v>
      </c>
      <c r="M390" s="37">
        <v>23600</v>
      </c>
      <c r="O390" s="76">
        <v>100772</v>
      </c>
      <c r="P390" s="76" t="s">
        <v>218</v>
      </c>
      <c r="Q390" s="77">
        <v>45790</v>
      </c>
      <c r="R390" s="78" t="s">
        <v>48</v>
      </c>
      <c r="S390" s="36" t="str">
        <f>VLOOKUP(Tabla911[[#This Row],[CODIGO DEL PRODUCTO]],Tabla79[],2,FALSE)</f>
        <v>PIEDRA 6-12</v>
      </c>
      <c r="T390" s="37">
        <v>35580</v>
      </c>
      <c r="U390" s="92"/>
    </row>
    <row r="391" spans="8:21" x14ac:dyDescent="0.25">
      <c r="H391" s="34">
        <v>11238</v>
      </c>
      <c r="I391" s="34" t="s">
        <v>475</v>
      </c>
      <c r="J391" s="35">
        <v>45861</v>
      </c>
      <c r="K391" s="36" t="s">
        <v>43</v>
      </c>
      <c r="L391" s="39" t="str">
        <f>VLOOKUP(Tabla810[[#This Row],[CODIGO DEL PRODUCTO]],Tabla79[],2,FALSE)</f>
        <v>PIEDRA 6-20</v>
      </c>
      <c r="M391" s="37">
        <v>3000</v>
      </c>
      <c r="O391" s="76">
        <v>100776</v>
      </c>
      <c r="P391" s="76" t="s">
        <v>355</v>
      </c>
      <c r="Q391" s="77">
        <v>45790</v>
      </c>
      <c r="R391" s="78" t="s">
        <v>43</v>
      </c>
      <c r="S391" s="36" t="str">
        <f>VLOOKUP(Tabla911[[#This Row],[CODIGO DEL PRODUCTO]],Tabla79[],2,FALSE)</f>
        <v>PIEDRA 6-20</v>
      </c>
      <c r="T391" s="37">
        <v>34920</v>
      </c>
      <c r="U391" s="92"/>
    </row>
    <row r="392" spans="8:21" x14ac:dyDescent="0.25">
      <c r="H392" s="34">
        <v>11248</v>
      </c>
      <c r="I392" s="34" t="s">
        <v>475</v>
      </c>
      <c r="J392" s="35">
        <v>45861</v>
      </c>
      <c r="K392" s="36" t="s">
        <v>43</v>
      </c>
      <c r="L392" s="39" t="str">
        <f>VLOOKUP(Tabla810[[#This Row],[CODIGO DEL PRODUCTO]],Tabla79[],2,FALSE)</f>
        <v>PIEDRA 6-20</v>
      </c>
      <c r="M392" s="37">
        <v>3000</v>
      </c>
      <c r="O392" s="76">
        <v>100777</v>
      </c>
      <c r="P392" s="76" t="s">
        <v>318</v>
      </c>
      <c r="Q392" s="77">
        <v>45790</v>
      </c>
      <c r="R392" s="78" t="s">
        <v>43</v>
      </c>
      <c r="S392" s="36" t="str">
        <f>VLOOKUP(Tabla911[[#This Row],[CODIGO DEL PRODUCTO]],Tabla79[],2,FALSE)</f>
        <v>PIEDRA 6-20</v>
      </c>
      <c r="T392" s="37">
        <v>35000</v>
      </c>
      <c r="U392" s="92"/>
    </row>
    <row r="393" spans="8:21" x14ac:dyDescent="0.25">
      <c r="H393" s="34">
        <v>11256</v>
      </c>
      <c r="I393" s="34" t="s">
        <v>413</v>
      </c>
      <c r="J393" s="35">
        <v>45861</v>
      </c>
      <c r="K393" s="36" t="s">
        <v>43</v>
      </c>
      <c r="L393" s="39" t="str">
        <f>VLOOKUP(Tabla810[[#This Row],[CODIGO DEL PRODUCTO]],Tabla79[],2,FALSE)</f>
        <v>PIEDRA 6-20</v>
      </c>
      <c r="M393" s="37">
        <v>1000</v>
      </c>
      <c r="O393" s="76">
        <v>100778</v>
      </c>
      <c r="P393" s="76" t="s">
        <v>375</v>
      </c>
      <c r="Q393" s="77">
        <v>45790</v>
      </c>
      <c r="R393" s="78" t="s">
        <v>48</v>
      </c>
      <c r="S393" s="36" t="str">
        <f>VLOOKUP(Tabla911[[#This Row],[CODIGO DEL PRODUCTO]],Tabla79[],2,FALSE)</f>
        <v>PIEDRA 6-12</v>
      </c>
      <c r="T393" s="37">
        <v>35200</v>
      </c>
      <c r="U393" s="92"/>
    </row>
    <row r="394" spans="8:21" x14ac:dyDescent="0.25">
      <c r="H394" s="34">
        <v>11263</v>
      </c>
      <c r="I394" s="34" t="s">
        <v>476</v>
      </c>
      <c r="J394" s="35">
        <v>45862</v>
      </c>
      <c r="K394" s="36" t="s">
        <v>42</v>
      </c>
      <c r="L394" s="39" t="str">
        <f>VLOOKUP(Tabla810[[#This Row],[CODIGO DEL PRODUCTO]],Tabla79[],2,FALSE)</f>
        <v>ARENA FINA</v>
      </c>
      <c r="M394" s="37">
        <v>3000</v>
      </c>
      <c r="O394" s="76">
        <v>2627067</v>
      </c>
      <c r="P394" s="76" t="s">
        <v>65</v>
      </c>
      <c r="Q394" s="77">
        <v>45790</v>
      </c>
      <c r="R394" s="78" t="s">
        <v>286</v>
      </c>
      <c r="S394" s="36" t="str">
        <f>VLOOKUP(Tabla911[[#This Row],[CODIGO DEL PRODUCTO]],Tabla79[],2,FALSE)</f>
        <v>CPF 40 AVELLANEDA</v>
      </c>
      <c r="T394" s="37">
        <v>35740</v>
      </c>
      <c r="U394" s="92"/>
    </row>
    <row r="395" spans="8:21" x14ac:dyDescent="0.25">
      <c r="H395" s="34">
        <v>11274</v>
      </c>
      <c r="I395" s="34" t="s">
        <v>474</v>
      </c>
      <c r="J395" s="35">
        <v>45862</v>
      </c>
      <c r="K395" s="36" t="s">
        <v>43</v>
      </c>
      <c r="L395" s="39" t="str">
        <f>VLOOKUP(Tabla810[[#This Row],[CODIGO DEL PRODUCTO]],Tabla79[],2,FALSE)</f>
        <v>PIEDRA 6-20</v>
      </c>
      <c r="M395" s="37">
        <v>19280</v>
      </c>
      <c r="O395" s="76">
        <v>34101</v>
      </c>
      <c r="P395" s="76" t="s">
        <v>293</v>
      </c>
      <c r="Q395" s="77">
        <v>45791</v>
      </c>
      <c r="R395" s="78" t="s">
        <v>50</v>
      </c>
      <c r="S395" s="36" t="str">
        <f>VLOOKUP(Tabla911[[#This Row],[CODIGO DEL PRODUCTO]],Tabla79[],2,FALSE)</f>
        <v>MIRA SET 453 (ADITIVO)</v>
      </c>
      <c r="T395" s="37">
        <v>2160</v>
      </c>
      <c r="U395" s="92"/>
    </row>
    <row r="396" spans="8:21" x14ac:dyDescent="0.25">
      <c r="H396" s="34">
        <v>11285</v>
      </c>
      <c r="I396" s="34" t="s">
        <v>477</v>
      </c>
      <c r="J396" s="35">
        <v>45862</v>
      </c>
      <c r="K396" s="36" t="s">
        <v>372</v>
      </c>
      <c r="L396" s="39" t="str">
        <f>VLOOKUP(Tabla810[[#This Row],[CODIGO DEL PRODUCTO]],Tabla79[],2,FALSE)</f>
        <v xml:space="preserve">ESTABILIZADO GRANULOMETRICO 0/20 </v>
      </c>
      <c r="M396" s="37">
        <v>30000</v>
      </c>
      <c r="O396" s="76"/>
      <c r="P396" s="76"/>
      <c r="Q396" s="77">
        <v>45791</v>
      </c>
      <c r="R396" s="78" t="s">
        <v>228</v>
      </c>
      <c r="S396" s="36" t="str">
        <f>VLOOKUP(Tabla911[[#This Row],[CODIGO DEL PRODUCTO]],Tabla79[],2,FALSE)</f>
        <v>DARACEM 600 (ADITIVO</v>
      </c>
      <c r="T396" s="37">
        <v>220</v>
      </c>
      <c r="U396" s="92"/>
    </row>
    <row r="397" spans="8:21" x14ac:dyDescent="0.25">
      <c r="H397" s="34">
        <v>11292</v>
      </c>
      <c r="I397" s="34" t="s">
        <v>477</v>
      </c>
      <c r="J397" s="35">
        <v>45862</v>
      </c>
      <c r="K397" s="36" t="s">
        <v>372</v>
      </c>
      <c r="L397" s="39" t="str">
        <f>VLOOKUP(Tabla810[[#This Row],[CODIGO DEL PRODUCTO]],Tabla79[],2,FALSE)</f>
        <v xml:space="preserve">ESTABILIZADO GRANULOMETRICO 0/20 </v>
      </c>
      <c r="M397" s="37">
        <v>30000</v>
      </c>
      <c r="O397" s="76">
        <v>100554</v>
      </c>
      <c r="P397" s="76" t="s">
        <v>235</v>
      </c>
      <c r="Q397" s="77">
        <v>45791</v>
      </c>
      <c r="R397" s="78" t="s">
        <v>42</v>
      </c>
      <c r="S397" s="36" t="str">
        <f>VLOOKUP(Tabla911[[#This Row],[CODIGO DEL PRODUCTO]],Tabla79[],2,FALSE)</f>
        <v>ARENA FINA</v>
      </c>
      <c r="T397" s="37">
        <v>36000</v>
      </c>
      <c r="U397" s="92"/>
    </row>
    <row r="398" spans="8:21" x14ac:dyDescent="0.25">
      <c r="H398" s="34">
        <v>11298</v>
      </c>
      <c r="I398" s="34" t="s">
        <v>477</v>
      </c>
      <c r="J398" s="35">
        <v>45862</v>
      </c>
      <c r="K398" s="36" t="s">
        <v>372</v>
      </c>
      <c r="L398" s="39" t="str">
        <f>VLOOKUP(Tabla810[[#This Row],[CODIGO DEL PRODUCTO]],Tabla79[],2,FALSE)</f>
        <v xml:space="preserve">ESTABILIZADO GRANULOMETRICO 0/20 </v>
      </c>
      <c r="M398" s="37">
        <v>30000</v>
      </c>
      <c r="O398" s="76">
        <v>100545</v>
      </c>
      <c r="P398" s="76" t="s">
        <v>235</v>
      </c>
      <c r="Q398" s="77">
        <v>45791</v>
      </c>
      <c r="R398" s="78" t="s">
        <v>42</v>
      </c>
      <c r="S398" s="36" t="str">
        <f>VLOOKUP(Tabla911[[#This Row],[CODIGO DEL PRODUCTO]],Tabla79[],2,FALSE)</f>
        <v>ARENA FINA</v>
      </c>
      <c r="T398" s="37">
        <v>36060</v>
      </c>
      <c r="U398" s="92"/>
    </row>
    <row r="399" spans="8:21" x14ac:dyDescent="0.25">
      <c r="H399" s="34">
        <v>11302</v>
      </c>
      <c r="I399" s="34" t="s">
        <v>478</v>
      </c>
      <c r="J399" s="35">
        <v>45862</v>
      </c>
      <c r="K399" s="36" t="s">
        <v>43</v>
      </c>
      <c r="L399" s="39" t="str">
        <f>VLOOKUP(Tabla810[[#This Row],[CODIGO DEL PRODUCTO]],Tabla79[],2,FALSE)</f>
        <v>PIEDRA 6-20</v>
      </c>
      <c r="M399" s="37">
        <v>4000</v>
      </c>
      <c r="O399" s="76">
        <v>100822</v>
      </c>
      <c r="P399" s="76" t="s">
        <v>252</v>
      </c>
      <c r="Q399" s="77">
        <v>45791</v>
      </c>
      <c r="R399" s="78" t="s">
        <v>43</v>
      </c>
      <c r="S399" s="36" t="str">
        <f>VLOOKUP(Tabla911[[#This Row],[CODIGO DEL PRODUCTO]],Tabla79[],2,FALSE)</f>
        <v>PIEDRA 6-20</v>
      </c>
      <c r="T399" s="37">
        <v>35220</v>
      </c>
      <c r="U399" s="92"/>
    </row>
    <row r="400" spans="8:21" x14ac:dyDescent="0.25">
      <c r="H400" s="34">
        <v>11304</v>
      </c>
      <c r="I400" s="34" t="s">
        <v>477</v>
      </c>
      <c r="J400" s="35">
        <v>45862</v>
      </c>
      <c r="K400" s="36" t="s">
        <v>372</v>
      </c>
      <c r="L400" s="39" t="str">
        <f>VLOOKUP(Tabla810[[#This Row],[CODIGO DEL PRODUCTO]],Tabla79[],2,FALSE)</f>
        <v xml:space="preserve">ESTABILIZADO GRANULOMETRICO 0/20 </v>
      </c>
      <c r="M400" s="37">
        <v>30000</v>
      </c>
      <c r="O400" s="76">
        <v>100827</v>
      </c>
      <c r="P400" s="76" t="s">
        <v>375</v>
      </c>
      <c r="Q400" s="77">
        <v>45791</v>
      </c>
      <c r="R400" s="78" t="s">
        <v>48</v>
      </c>
      <c r="S400" s="36" t="str">
        <f>VLOOKUP(Tabla911[[#This Row],[CODIGO DEL PRODUCTO]],Tabla79[],2,FALSE)</f>
        <v>PIEDRA 6-12</v>
      </c>
      <c r="T400" s="37">
        <v>34500</v>
      </c>
      <c r="U400" s="92"/>
    </row>
    <row r="401" spans="8:21" x14ac:dyDescent="0.25">
      <c r="H401" s="34">
        <v>11315</v>
      </c>
      <c r="I401" s="34" t="s">
        <v>472</v>
      </c>
      <c r="J401" s="35">
        <v>45863</v>
      </c>
      <c r="K401" s="36" t="s">
        <v>468</v>
      </c>
      <c r="L401" s="39" t="str">
        <f>VLOOKUP(Tabla810[[#This Row],[CODIGO DEL PRODUCTO]],Tabla79[],2,FALSE)</f>
        <v>ESTABILIZADO 0-100 X TN</v>
      </c>
      <c r="M401" s="37">
        <v>26380</v>
      </c>
      <c r="O401" s="76">
        <v>100828</v>
      </c>
      <c r="P401" s="76" t="s">
        <v>218</v>
      </c>
      <c r="Q401" s="77">
        <v>45791</v>
      </c>
      <c r="R401" s="78" t="s">
        <v>48</v>
      </c>
      <c r="S401" s="36" t="str">
        <f>VLOOKUP(Tabla911[[#This Row],[CODIGO DEL PRODUCTO]],Tabla79[],2,FALSE)</f>
        <v>PIEDRA 6-12</v>
      </c>
      <c r="T401" s="37">
        <v>35080</v>
      </c>
      <c r="U401" s="92"/>
    </row>
    <row r="402" spans="8:21" x14ac:dyDescent="0.25">
      <c r="H402" s="34">
        <v>11317</v>
      </c>
      <c r="I402" s="34" t="s">
        <v>472</v>
      </c>
      <c r="J402" s="35">
        <v>45863</v>
      </c>
      <c r="K402" s="36" t="s">
        <v>468</v>
      </c>
      <c r="L402" s="39" t="str">
        <f>VLOOKUP(Tabla810[[#This Row],[CODIGO DEL PRODUCTO]],Tabla79[],2,FALSE)</f>
        <v>ESTABILIZADO 0-100 X TN</v>
      </c>
      <c r="M402" s="37">
        <v>25440</v>
      </c>
      <c r="O402" s="76">
        <v>100830</v>
      </c>
      <c r="P402" s="76" t="s">
        <v>355</v>
      </c>
      <c r="Q402" s="77">
        <v>45791</v>
      </c>
      <c r="R402" s="78" t="s">
        <v>43</v>
      </c>
      <c r="S402" s="36" t="str">
        <f>VLOOKUP(Tabla911[[#This Row],[CODIGO DEL PRODUCTO]],Tabla79[],2,FALSE)</f>
        <v>PIEDRA 6-20</v>
      </c>
      <c r="T402" s="37">
        <v>35100</v>
      </c>
      <c r="U402" s="92"/>
    </row>
    <row r="403" spans="8:21" x14ac:dyDescent="0.25">
      <c r="H403" s="34">
        <v>11318</v>
      </c>
      <c r="I403" s="34" t="s">
        <v>472</v>
      </c>
      <c r="J403" s="35">
        <v>45863</v>
      </c>
      <c r="K403" s="36" t="s">
        <v>468</v>
      </c>
      <c r="L403" s="39" t="str">
        <f>VLOOKUP(Tabla810[[#This Row],[CODIGO DEL PRODUCTO]],Tabla79[],2,FALSE)</f>
        <v>ESTABILIZADO 0-100 X TN</v>
      </c>
      <c r="M403" s="37">
        <v>20640</v>
      </c>
      <c r="O403" s="76">
        <v>100840</v>
      </c>
      <c r="P403" s="76" t="s">
        <v>318</v>
      </c>
      <c r="Q403" s="77">
        <v>45791</v>
      </c>
      <c r="R403" s="78" t="s">
        <v>43</v>
      </c>
      <c r="S403" s="36" t="str">
        <f>VLOOKUP(Tabla911[[#This Row],[CODIGO DEL PRODUCTO]],Tabla79[],2,FALSE)</f>
        <v>PIEDRA 6-20</v>
      </c>
      <c r="T403" s="37">
        <v>34840</v>
      </c>
      <c r="U403" s="92"/>
    </row>
    <row r="404" spans="8:21" x14ac:dyDescent="0.25">
      <c r="H404" s="34">
        <v>11327</v>
      </c>
      <c r="I404" s="34" t="s">
        <v>477</v>
      </c>
      <c r="J404" s="35">
        <v>45863</v>
      </c>
      <c r="K404" s="36" t="s">
        <v>372</v>
      </c>
      <c r="L404" s="39" t="str">
        <f>VLOOKUP(Tabla810[[#This Row],[CODIGO DEL PRODUCTO]],Tabla79[],2,FALSE)</f>
        <v xml:space="preserve">ESTABILIZADO GRANULOMETRICO 0/20 </v>
      </c>
      <c r="M404" s="37">
        <v>30000</v>
      </c>
      <c r="O404" s="76">
        <v>100846</v>
      </c>
      <c r="P404" s="76" t="s">
        <v>234</v>
      </c>
      <c r="Q404" s="77">
        <v>45791</v>
      </c>
      <c r="R404" s="78" t="s">
        <v>48</v>
      </c>
      <c r="S404" s="36" t="str">
        <f>VLOOKUP(Tabla911[[#This Row],[CODIGO DEL PRODUCTO]],Tabla79[],2,FALSE)</f>
        <v>PIEDRA 6-12</v>
      </c>
      <c r="T404" s="37">
        <v>34840</v>
      </c>
      <c r="U404" s="92"/>
    </row>
    <row r="405" spans="8:21" x14ac:dyDescent="0.25">
      <c r="H405" s="34">
        <v>11328</v>
      </c>
      <c r="I405" s="34" t="s">
        <v>477</v>
      </c>
      <c r="J405" s="35">
        <v>45863</v>
      </c>
      <c r="K405" s="36" t="s">
        <v>372</v>
      </c>
      <c r="L405" s="39" t="str">
        <f>VLOOKUP(Tabla810[[#This Row],[CODIGO DEL PRODUCTO]],Tabla79[],2,FALSE)</f>
        <v xml:space="preserve">ESTABILIZADO GRANULOMETRICO 0/20 </v>
      </c>
      <c r="M405" s="37">
        <v>30000</v>
      </c>
      <c r="O405" s="76">
        <v>2627876</v>
      </c>
      <c r="P405" s="76" t="s">
        <v>65</v>
      </c>
      <c r="Q405" s="77">
        <v>45791</v>
      </c>
      <c r="R405" s="78" t="s">
        <v>286</v>
      </c>
      <c r="S405" s="36" t="str">
        <f>VLOOKUP(Tabla911[[#This Row],[CODIGO DEL PRODUCTO]],Tabla79[],2,FALSE)</f>
        <v>CPF 40 AVELLANEDA</v>
      </c>
      <c r="T405" s="37">
        <v>36020</v>
      </c>
      <c r="U405" s="92"/>
    </row>
    <row r="406" spans="8:21" x14ac:dyDescent="0.25">
      <c r="H406" s="34">
        <v>11331</v>
      </c>
      <c r="I406" s="34" t="s">
        <v>477</v>
      </c>
      <c r="J406" s="35">
        <v>45864</v>
      </c>
      <c r="K406" s="36" t="s">
        <v>372</v>
      </c>
      <c r="L406" s="39" t="str">
        <f>VLOOKUP(Tabla810[[#This Row],[CODIGO DEL PRODUCTO]],Tabla79[],2,FALSE)</f>
        <v xml:space="preserve">ESTABILIZADO GRANULOMETRICO 0/20 </v>
      </c>
      <c r="M406" s="37">
        <v>30000</v>
      </c>
      <c r="O406" s="76">
        <v>100559</v>
      </c>
      <c r="P406" s="76" t="s">
        <v>370</v>
      </c>
      <c r="Q406" s="77">
        <v>45792</v>
      </c>
      <c r="R406" s="78" t="s">
        <v>42</v>
      </c>
      <c r="S406" s="36" t="str">
        <f>VLOOKUP(Tabla911[[#This Row],[CODIGO DEL PRODUCTO]],Tabla79[],2,FALSE)</f>
        <v>ARENA FINA</v>
      </c>
      <c r="T406" s="37">
        <v>37640</v>
      </c>
      <c r="U406" s="92"/>
    </row>
    <row r="407" spans="8:21" x14ac:dyDescent="0.25">
      <c r="H407" s="34">
        <v>11352</v>
      </c>
      <c r="I407" s="34" t="s">
        <v>477</v>
      </c>
      <c r="J407" s="35">
        <v>45866</v>
      </c>
      <c r="K407" s="36" t="s">
        <v>372</v>
      </c>
      <c r="L407" s="39" t="str">
        <f>VLOOKUP(Tabla810[[#This Row],[CODIGO DEL PRODUCTO]],Tabla79[],2,FALSE)</f>
        <v xml:space="preserve">ESTABILIZADO GRANULOMETRICO 0/20 </v>
      </c>
      <c r="M407" s="37">
        <v>30000</v>
      </c>
      <c r="O407" s="76">
        <v>100561</v>
      </c>
      <c r="P407" s="76" t="s">
        <v>235</v>
      </c>
      <c r="Q407" s="77">
        <v>45792</v>
      </c>
      <c r="R407" s="78" t="s">
        <v>42</v>
      </c>
      <c r="S407" s="36" t="str">
        <f>VLOOKUP(Tabla911[[#This Row],[CODIGO DEL PRODUCTO]],Tabla79[],2,FALSE)</f>
        <v>ARENA FINA</v>
      </c>
      <c r="T407" s="37">
        <v>36680</v>
      </c>
      <c r="U407" s="92"/>
    </row>
    <row r="408" spans="8:21" x14ac:dyDescent="0.25">
      <c r="H408" s="34">
        <v>11359</v>
      </c>
      <c r="I408" s="34" t="s">
        <v>477</v>
      </c>
      <c r="J408" s="35">
        <v>45866</v>
      </c>
      <c r="K408" s="36" t="s">
        <v>43</v>
      </c>
      <c r="L408" s="39" t="str">
        <f>VLOOKUP(Tabla810[[#This Row],[CODIGO DEL PRODUCTO]],Tabla79[],2,FALSE)</f>
        <v>PIEDRA 6-20</v>
      </c>
      <c r="M408" s="37">
        <v>30000</v>
      </c>
      <c r="O408" s="76">
        <v>100564</v>
      </c>
      <c r="P408" s="76" t="s">
        <v>235</v>
      </c>
      <c r="Q408" s="77">
        <v>45792</v>
      </c>
      <c r="R408" s="78" t="s">
        <v>42</v>
      </c>
      <c r="S408" s="36" t="str">
        <f>VLOOKUP(Tabla911[[#This Row],[CODIGO DEL PRODUCTO]],Tabla79[],2,FALSE)</f>
        <v>ARENA FINA</v>
      </c>
      <c r="T408" s="37">
        <v>35780</v>
      </c>
      <c r="U408" s="92"/>
    </row>
    <row r="409" spans="8:21" x14ac:dyDescent="0.25">
      <c r="H409" s="34">
        <v>11367</v>
      </c>
      <c r="I409" s="34" t="s">
        <v>479</v>
      </c>
      <c r="J409" s="35">
        <v>45866</v>
      </c>
      <c r="K409" s="36" t="s">
        <v>42</v>
      </c>
      <c r="L409" s="39" t="str">
        <f>VLOOKUP(Tabla810[[#This Row],[CODIGO DEL PRODUCTO]],Tabla79[],2,FALSE)</f>
        <v>ARENA FINA</v>
      </c>
      <c r="M409" s="37">
        <v>2000</v>
      </c>
      <c r="O409" s="76">
        <v>100865</v>
      </c>
      <c r="P409" s="76" t="s">
        <v>252</v>
      </c>
      <c r="Q409" s="77">
        <v>45792</v>
      </c>
      <c r="R409" s="78" t="s">
        <v>43</v>
      </c>
      <c r="S409" s="36" t="str">
        <f>VLOOKUP(Tabla911[[#This Row],[CODIGO DEL PRODUCTO]],Tabla79[],2,FALSE)</f>
        <v>PIEDRA 6-20</v>
      </c>
      <c r="T409" s="37">
        <v>35100</v>
      </c>
      <c r="U409" s="92"/>
    </row>
    <row r="410" spans="8:21" x14ac:dyDescent="0.25">
      <c r="H410" s="34"/>
      <c r="I410" s="34" t="s">
        <v>479</v>
      </c>
      <c r="J410" s="35">
        <v>45866</v>
      </c>
      <c r="K410" s="36" t="s">
        <v>43</v>
      </c>
      <c r="L410" s="39" t="str">
        <f>VLOOKUP(Tabla810[[#This Row],[CODIGO DEL PRODUCTO]],Tabla79[],2,FALSE)</f>
        <v>PIEDRA 6-20</v>
      </c>
      <c r="M410" s="37">
        <v>2000</v>
      </c>
      <c r="O410" s="76">
        <v>100873</v>
      </c>
      <c r="P410" s="76" t="s">
        <v>218</v>
      </c>
      <c r="Q410" s="77">
        <v>45792</v>
      </c>
      <c r="R410" s="78" t="s">
        <v>48</v>
      </c>
      <c r="S410" s="36" t="str">
        <f>VLOOKUP(Tabla911[[#This Row],[CODIGO DEL PRODUCTO]],Tabla79[],2,FALSE)</f>
        <v>PIEDRA 6-12</v>
      </c>
      <c r="T410" s="37">
        <v>35760</v>
      </c>
      <c r="U410" s="92"/>
    </row>
    <row r="411" spans="8:21" x14ac:dyDescent="0.25">
      <c r="H411" s="34">
        <v>11375</v>
      </c>
      <c r="I411" s="34" t="s">
        <v>480</v>
      </c>
      <c r="J411" s="35">
        <v>45866</v>
      </c>
      <c r="K411" s="36" t="s">
        <v>42</v>
      </c>
      <c r="L411" s="39" t="str">
        <f>VLOOKUP(Tabla810[[#This Row],[CODIGO DEL PRODUCTO]],Tabla79[],2,FALSE)</f>
        <v>ARENA FINA</v>
      </c>
      <c r="M411" s="37">
        <v>6000</v>
      </c>
      <c r="O411" s="76">
        <v>100874</v>
      </c>
      <c r="P411" s="76" t="s">
        <v>355</v>
      </c>
      <c r="Q411" s="77">
        <v>45792</v>
      </c>
      <c r="R411" s="78" t="s">
        <v>43</v>
      </c>
      <c r="S411" s="36" t="str">
        <f>VLOOKUP(Tabla911[[#This Row],[CODIGO DEL PRODUCTO]],Tabla79[],2,FALSE)</f>
        <v>PIEDRA 6-20</v>
      </c>
      <c r="T411" s="37">
        <v>34980</v>
      </c>
      <c r="U411" s="92"/>
    </row>
    <row r="412" spans="8:21" x14ac:dyDescent="0.25">
      <c r="H412" s="34">
        <v>11386</v>
      </c>
      <c r="I412" s="34" t="s">
        <v>472</v>
      </c>
      <c r="J412" s="35">
        <v>45867</v>
      </c>
      <c r="K412" s="36" t="s">
        <v>468</v>
      </c>
      <c r="L412" s="39" t="str">
        <f>VLOOKUP(Tabla810[[#This Row],[CODIGO DEL PRODUCTO]],Tabla79[],2,FALSE)</f>
        <v>ESTABILIZADO 0-100 X TN</v>
      </c>
      <c r="M412" s="37">
        <v>19560</v>
      </c>
      <c r="O412" s="76">
        <v>100879</v>
      </c>
      <c r="P412" s="76" t="s">
        <v>375</v>
      </c>
      <c r="Q412" s="77">
        <v>45792</v>
      </c>
      <c r="R412" s="78" t="s">
        <v>48</v>
      </c>
      <c r="S412" s="36" t="str">
        <f>VLOOKUP(Tabla911[[#This Row],[CODIGO DEL PRODUCTO]],Tabla79[],2,FALSE)</f>
        <v>PIEDRA 6-12</v>
      </c>
      <c r="T412" s="37">
        <v>34820</v>
      </c>
      <c r="U412" s="92"/>
    </row>
    <row r="413" spans="8:21" x14ac:dyDescent="0.25">
      <c r="H413" s="34">
        <v>11391</v>
      </c>
      <c r="I413" s="34" t="s">
        <v>472</v>
      </c>
      <c r="J413" s="35">
        <v>45867</v>
      </c>
      <c r="K413" s="36" t="s">
        <v>468</v>
      </c>
      <c r="L413" s="39" t="str">
        <f>VLOOKUP(Tabla810[[#This Row],[CODIGO DEL PRODUCTO]],Tabla79[],2,FALSE)</f>
        <v>ESTABILIZADO 0-100 X TN</v>
      </c>
      <c r="M413" s="37">
        <v>30260</v>
      </c>
      <c r="O413" s="76">
        <v>100893</v>
      </c>
      <c r="P413" s="76" t="s">
        <v>318</v>
      </c>
      <c r="Q413" s="77">
        <v>45792</v>
      </c>
      <c r="R413" s="78" t="s">
        <v>43</v>
      </c>
      <c r="S413" s="36" t="str">
        <f>VLOOKUP(Tabla911[[#This Row],[CODIGO DEL PRODUCTO]],Tabla79[],2,FALSE)</f>
        <v>PIEDRA 6-20</v>
      </c>
      <c r="T413" s="37">
        <v>35100</v>
      </c>
      <c r="U413" s="92"/>
    </row>
    <row r="414" spans="8:21" x14ac:dyDescent="0.25">
      <c r="H414" s="34">
        <v>11392</v>
      </c>
      <c r="I414" s="34" t="s">
        <v>472</v>
      </c>
      <c r="J414" s="35">
        <v>45867</v>
      </c>
      <c r="K414" s="36" t="s">
        <v>468</v>
      </c>
      <c r="L414" s="39" t="str">
        <f>VLOOKUP(Tabla810[[#This Row],[CODIGO DEL PRODUCTO]],Tabla79[],2,FALSE)</f>
        <v>ESTABILIZADO 0-100 X TN</v>
      </c>
      <c r="M414" s="37">
        <v>29780</v>
      </c>
      <c r="O414" s="76">
        <v>2628172</v>
      </c>
      <c r="P414" s="76" t="s">
        <v>65</v>
      </c>
      <c r="Q414" s="77">
        <v>45792</v>
      </c>
      <c r="R414" s="78" t="s">
        <v>286</v>
      </c>
      <c r="S414" s="36" t="str">
        <f>VLOOKUP(Tabla911[[#This Row],[CODIGO DEL PRODUCTO]],Tabla79[],2,FALSE)</f>
        <v>CPF 40 AVELLANEDA</v>
      </c>
      <c r="T414" s="37">
        <v>35980</v>
      </c>
      <c r="U414" s="92"/>
    </row>
    <row r="415" spans="8:21" x14ac:dyDescent="0.25">
      <c r="H415" s="34">
        <v>11399</v>
      </c>
      <c r="I415" s="34" t="s">
        <v>420</v>
      </c>
      <c r="J415" s="35">
        <v>45867</v>
      </c>
      <c r="K415" s="36" t="s">
        <v>42</v>
      </c>
      <c r="L415" s="39" t="str">
        <f>VLOOKUP(Tabla810[[#This Row],[CODIGO DEL PRODUCTO]],Tabla79[],2,FALSE)</f>
        <v>ARENA FINA</v>
      </c>
      <c r="M415" s="37">
        <v>5000</v>
      </c>
      <c r="O415" s="76">
        <v>100899</v>
      </c>
      <c r="P415" s="76" t="s">
        <v>234</v>
      </c>
      <c r="Q415" s="77">
        <v>45792</v>
      </c>
      <c r="R415" s="78" t="s">
        <v>48</v>
      </c>
      <c r="S415" s="36" t="str">
        <f>VLOOKUP(Tabla911[[#This Row],[CODIGO DEL PRODUCTO]],Tabla79[],2,FALSE)</f>
        <v>PIEDRA 6-12</v>
      </c>
      <c r="T415" s="37">
        <v>35500</v>
      </c>
      <c r="U415" s="92"/>
    </row>
    <row r="416" spans="8:21" x14ac:dyDescent="0.25">
      <c r="H416" s="34">
        <v>11406</v>
      </c>
      <c r="I416" s="34" t="s">
        <v>483</v>
      </c>
      <c r="J416" s="35">
        <v>45867</v>
      </c>
      <c r="K416" s="36" t="s">
        <v>42</v>
      </c>
      <c r="L416" s="39" t="str">
        <f>VLOOKUP(Tabla810[[#This Row],[CODIGO DEL PRODUCTO]],Tabla79[],2,FALSE)</f>
        <v>ARENA FINA</v>
      </c>
      <c r="M416" s="37">
        <v>3000</v>
      </c>
      <c r="O416" s="76">
        <v>100576</v>
      </c>
      <c r="P416" s="76" t="s">
        <v>235</v>
      </c>
      <c r="Q416" s="77">
        <v>45793</v>
      </c>
      <c r="R416" s="78" t="s">
        <v>42</v>
      </c>
      <c r="S416" s="36" t="str">
        <f>VLOOKUP(Tabla911[[#This Row],[CODIGO DEL PRODUCTO]],Tabla79[],2,FALSE)</f>
        <v>ARENA FINA</v>
      </c>
      <c r="T416" s="37">
        <v>37300</v>
      </c>
      <c r="U416" s="92"/>
    </row>
    <row r="417" spans="8:21" x14ac:dyDescent="0.25">
      <c r="H417" s="34"/>
      <c r="I417" s="34" t="s">
        <v>483</v>
      </c>
      <c r="J417" s="35">
        <v>45867</v>
      </c>
      <c r="K417" s="36" t="s">
        <v>43</v>
      </c>
      <c r="L417" s="39" t="str">
        <f>VLOOKUP(Tabla810[[#This Row],[CODIGO DEL PRODUCTO]],Tabla79[],2,FALSE)</f>
        <v>PIEDRA 6-20</v>
      </c>
      <c r="M417" s="37">
        <v>3000</v>
      </c>
      <c r="O417" s="76">
        <v>100575</v>
      </c>
      <c r="P417" s="76" t="s">
        <v>370</v>
      </c>
      <c r="Q417" s="77">
        <v>45793</v>
      </c>
      <c r="R417" s="78" t="s">
        <v>42</v>
      </c>
      <c r="S417" s="36" t="str">
        <f>VLOOKUP(Tabla911[[#This Row],[CODIGO DEL PRODUCTO]],Tabla79[],2,FALSE)</f>
        <v>ARENA FINA</v>
      </c>
      <c r="T417" s="37">
        <v>34940</v>
      </c>
      <c r="U417" s="92"/>
    </row>
    <row r="418" spans="8:21" x14ac:dyDescent="0.25">
      <c r="H418" s="34">
        <v>11411</v>
      </c>
      <c r="I418" s="34" t="s">
        <v>472</v>
      </c>
      <c r="J418" s="35">
        <v>45867</v>
      </c>
      <c r="K418" s="36" t="s">
        <v>372</v>
      </c>
      <c r="L418" s="39" t="str">
        <f>VLOOKUP(Tabla810[[#This Row],[CODIGO DEL PRODUCTO]],Tabla79[],2,FALSE)</f>
        <v xml:space="preserve">ESTABILIZADO GRANULOMETRICO 0/20 </v>
      </c>
      <c r="M418" s="37">
        <v>25100</v>
      </c>
      <c r="O418" s="76">
        <v>100573</v>
      </c>
      <c r="P418" s="76" t="s">
        <v>235</v>
      </c>
      <c r="Q418" s="77">
        <v>45793</v>
      </c>
      <c r="R418" s="78" t="s">
        <v>42</v>
      </c>
      <c r="S418" s="36" t="str">
        <f>VLOOKUP(Tabla911[[#This Row],[CODIGO DEL PRODUCTO]],Tabla79[],2,FALSE)</f>
        <v>ARENA FINA</v>
      </c>
      <c r="T418" s="37">
        <v>35780</v>
      </c>
      <c r="U418" s="92"/>
    </row>
    <row r="419" spans="8:21" x14ac:dyDescent="0.25">
      <c r="H419" s="34">
        <v>11412</v>
      </c>
      <c r="I419" s="34" t="s">
        <v>472</v>
      </c>
      <c r="J419" s="35">
        <v>45867</v>
      </c>
      <c r="K419" s="36" t="s">
        <v>372</v>
      </c>
      <c r="L419" s="39" t="str">
        <f>VLOOKUP(Tabla810[[#This Row],[CODIGO DEL PRODUCTO]],Tabla79[],2,FALSE)</f>
        <v xml:space="preserve">ESTABILIZADO GRANULOMETRICO 0/20 </v>
      </c>
      <c r="M419" s="37">
        <v>22100</v>
      </c>
      <c r="O419" s="76">
        <v>100913</v>
      </c>
      <c r="P419" s="76" t="s">
        <v>155</v>
      </c>
      <c r="Q419" s="77">
        <v>45793</v>
      </c>
      <c r="R419" s="78" t="s">
        <v>40</v>
      </c>
      <c r="S419" s="36" t="str">
        <f>VLOOKUP(Tabla911[[#This Row],[CODIGO DEL PRODUCTO]],Tabla79[],2,FALSE)</f>
        <v>PIEDRA 0-6</v>
      </c>
      <c r="T419" s="37">
        <v>33660</v>
      </c>
      <c r="U419" s="92"/>
    </row>
    <row r="420" spans="8:21" x14ac:dyDescent="0.25">
      <c r="H420" s="34">
        <v>11413</v>
      </c>
      <c r="I420" s="34" t="s">
        <v>472</v>
      </c>
      <c r="J420" s="35">
        <v>45867</v>
      </c>
      <c r="K420" s="36" t="s">
        <v>372</v>
      </c>
      <c r="L420" s="39" t="str">
        <f>VLOOKUP(Tabla810[[#This Row],[CODIGO DEL PRODUCTO]],Tabla79[],2,FALSE)</f>
        <v xml:space="preserve">ESTABILIZADO GRANULOMETRICO 0/20 </v>
      </c>
      <c r="M420" s="37">
        <v>25060</v>
      </c>
      <c r="O420" s="76">
        <v>100919</v>
      </c>
      <c r="P420" s="76" t="s">
        <v>218</v>
      </c>
      <c r="Q420" s="77">
        <v>45793</v>
      </c>
      <c r="R420" s="78" t="s">
        <v>48</v>
      </c>
      <c r="S420" s="36" t="str">
        <f>VLOOKUP(Tabla911[[#This Row],[CODIGO DEL PRODUCTO]],Tabla79[],2,FALSE)</f>
        <v>PIEDRA 6-12</v>
      </c>
      <c r="T420" s="37">
        <v>35660</v>
      </c>
      <c r="U420" s="92"/>
    </row>
    <row r="421" spans="8:21" x14ac:dyDescent="0.25">
      <c r="H421" s="34">
        <v>11415</v>
      </c>
      <c r="I421" s="34" t="s">
        <v>472</v>
      </c>
      <c r="J421" s="35">
        <v>45867</v>
      </c>
      <c r="K421" s="36" t="s">
        <v>372</v>
      </c>
      <c r="L421" s="39" t="str">
        <f>VLOOKUP(Tabla810[[#This Row],[CODIGO DEL PRODUCTO]],Tabla79[],2,FALSE)</f>
        <v xml:space="preserve">ESTABILIZADO GRANULOMETRICO 0/20 </v>
      </c>
      <c r="M421" s="37">
        <v>29760</v>
      </c>
      <c r="O421" s="76">
        <v>100920</v>
      </c>
      <c r="P421" s="76" t="s">
        <v>375</v>
      </c>
      <c r="Q421" s="77">
        <v>45793</v>
      </c>
      <c r="R421" s="78" t="s">
        <v>48</v>
      </c>
      <c r="S421" s="36" t="str">
        <f>VLOOKUP(Tabla911[[#This Row],[CODIGO DEL PRODUCTO]],Tabla79[],2,FALSE)</f>
        <v>PIEDRA 6-12</v>
      </c>
      <c r="T421" s="37">
        <v>35140</v>
      </c>
      <c r="U421" s="92"/>
    </row>
    <row r="422" spans="8:21" x14ac:dyDescent="0.25">
      <c r="H422" s="34">
        <v>7</v>
      </c>
      <c r="I422" s="34" t="s">
        <v>458</v>
      </c>
      <c r="J422" s="35">
        <v>45867</v>
      </c>
      <c r="K422" s="36" t="s">
        <v>42</v>
      </c>
      <c r="L422" s="39" t="str">
        <f>VLOOKUP(Tabla810[[#This Row],[CODIGO DEL PRODUCTO]],Tabla79[],2,FALSE)</f>
        <v>ARENA FINA</v>
      </c>
      <c r="M422" s="37">
        <v>3</v>
      </c>
      <c r="O422" s="76">
        <v>100923</v>
      </c>
      <c r="P422" s="76" t="s">
        <v>355</v>
      </c>
      <c r="Q422" s="77">
        <v>45793</v>
      </c>
      <c r="R422" s="78" t="s">
        <v>43</v>
      </c>
      <c r="S422" s="36" t="str">
        <f>VLOOKUP(Tabla911[[#This Row],[CODIGO DEL PRODUCTO]],Tabla79[],2,FALSE)</f>
        <v>PIEDRA 6-20</v>
      </c>
      <c r="T422" s="37">
        <v>35740</v>
      </c>
      <c r="U422" s="92"/>
    </row>
    <row r="423" spans="8:21" x14ac:dyDescent="0.25">
      <c r="H423" s="34">
        <v>11418</v>
      </c>
      <c r="I423" s="34" t="s">
        <v>487</v>
      </c>
      <c r="J423" s="35">
        <v>45867</v>
      </c>
      <c r="K423" s="36" t="s">
        <v>40</v>
      </c>
      <c r="L423" s="39" t="str">
        <f>VLOOKUP(Tabla810[[#This Row],[CODIGO DEL PRODUCTO]],Tabla79[],2,FALSE)</f>
        <v>PIEDRA 0-6</v>
      </c>
      <c r="M423" s="37">
        <v>1000</v>
      </c>
      <c r="O423" s="76">
        <v>100941</v>
      </c>
      <c r="P423" s="76" t="s">
        <v>318</v>
      </c>
      <c r="Q423" s="77">
        <v>45793</v>
      </c>
      <c r="R423" s="78" t="s">
        <v>43</v>
      </c>
      <c r="S423" s="36" t="str">
        <f>VLOOKUP(Tabla911[[#This Row],[CODIGO DEL PRODUCTO]],Tabla79[],2,FALSE)</f>
        <v>PIEDRA 6-20</v>
      </c>
      <c r="T423" s="37">
        <v>34580</v>
      </c>
      <c r="U423" s="92"/>
    </row>
    <row r="424" spans="8:21" x14ac:dyDescent="0.25">
      <c r="H424" s="34">
        <v>11428</v>
      </c>
      <c r="I424" s="34" t="s">
        <v>472</v>
      </c>
      <c r="J424" s="35">
        <v>45868</v>
      </c>
      <c r="K424" s="36" t="s">
        <v>468</v>
      </c>
      <c r="L424" s="39" t="str">
        <f>VLOOKUP(Tabla810[[#This Row],[CODIGO DEL PRODUCTO]],Tabla79[],2,FALSE)</f>
        <v>ESTABILIZADO 0-100 X TN</v>
      </c>
      <c r="M424" s="37">
        <v>24980</v>
      </c>
      <c r="O424" s="76">
        <v>136572</v>
      </c>
      <c r="P424" s="76" t="s">
        <v>162</v>
      </c>
      <c r="Q424" s="77">
        <v>45793</v>
      </c>
      <c r="R424" s="78" t="s">
        <v>43</v>
      </c>
      <c r="S424" s="36" t="str">
        <f>VLOOKUP(Tabla911[[#This Row],[CODIGO DEL PRODUCTO]],Tabla79[],2,FALSE)</f>
        <v>PIEDRA 6-20</v>
      </c>
      <c r="T424" s="37">
        <v>35800</v>
      </c>
      <c r="U424" s="92"/>
    </row>
    <row r="425" spans="8:21" x14ac:dyDescent="0.25">
      <c r="H425" s="34">
        <v>11431</v>
      </c>
      <c r="I425" s="34" t="s">
        <v>472</v>
      </c>
      <c r="J425" s="35">
        <v>45868</v>
      </c>
      <c r="K425" s="36" t="s">
        <v>468</v>
      </c>
      <c r="L425" s="39" t="str">
        <f>VLOOKUP(Tabla810[[#This Row],[CODIGO DEL PRODUCTO]],Tabla79[],2,FALSE)</f>
        <v>ESTABILIZADO 0-100 X TN</v>
      </c>
      <c r="M425" s="37">
        <v>24500</v>
      </c>
      <c r="O425" s="76">
        <v>2628380</v>
      </c>
      <c r="P425" s="76" t="s">
        <v>65</v>
      </c>
      <c r="Q425" s="77">
        <v>45793</v>
      </c>
      <c r="R425" s="78" t="s">
        <v>286</v>
      </c>
      <c r="S425" s="36" t="str">
        <f>VLOOKUP(Tabla911[[#This Row],[CODIGO DEL PRODUCTO]],Tabla79[],2,FALSE)</f>
        <v>CPF 40 AVELLANEDA</v>
      </c>
      <c r="T425" s="37">
        <v>36000</v>
      </c>
      <c r="U425" s="92"/>
    </row>
    <row r="426" spans="8:21" x14ac:dyDescent="0.25">
      <c r="H426" s="34">
        <v>11432</v>
      </c>
      <c r="I426" s="34" t="s">
        <v>472</v>
      </c>
      <c r="J426" s="35">
        <v>45868</v>
      </c>
      <c r="K426" s="36" t="s">
        <v>468</v>
      </c>
      <c r="L426" s="39" t="str">
        <f>VLOOKUP(Tabla810[[#This Row],[CODIGO DEL PRODUCTO]],Tabla79[],2,FALSE)</f>
        <v>ESTABILIZADO 0-100 X TN</v>
      </c>
      <c r="M426" s="37">
        <v>25820</v>
      </c>
      <c r="O426" s="76">
        <v>100961</v>
      </c>
      <c r="P426" s="76" t="s">
        <v>234</v>
      </c>
      <c r="Q426" s="77">
        <v>45794</v>
      </c>
      <c r="R426" s="78" t="s">
        <v>48</v>
      </c>
      <c r="S426" s="36" t="str">
        <f>VLOOKUP(Tabla911[[#This Row],[CODIGO DEL PRODUCTO]],Tabla79[],2,FALSE)</f>
        <v>PIEDRA 6-12</v>
      </c>
      <c r="T426" s="37">
        <v>35180</v>
      </c>
      <c r="U426" s="92"/>
    </row>
    <row r="427" spans="8:21" x14ac:dyDescent="0.25">
      <c r="H427" s="34">
        <v>11433</v>
      </c>
      <c r="I427" s="34" t="s">
        <v>472</v>
      </c>
      <c r="J427" s="35">
        <v>45868</v>
      </c>
      <c r="K427" s="36" t="s">
        <v>468</v>
      </c>
      <c r="L427" s="39" t="str">
        <f>VLOOKUP(Tabla810[[#This Row],[CODIGO DEL PRODUCTO]],Tabla79[],2,FALSE)</f>
        <v>ESTABILIZADO 0-100 X TN</v>
      </c>
      <c r="M427" s="37">
        <v>27900</v>
      </c>
      <c r="O427" s="76">
        <v>100965</v>
      </c>
      <c r="P427" s="76" t="s">
        <v>384</v>
      </c>
      <c r="Q427" s="77">
        <v>45794</v>
      </c>
      <c r="R427" s="78" t="s">
        <v>48</v>
      </c>
      <c r="S427" s="36" t="str">
        <f>VLOOKUP(Tabla911[[#This Row],[CODIGO DEL PRODUCTO]],Tabla79[],2,FALSE)</f>
        <v>PIEDRA 6-12</v>
      </c>
      <c r="T427" s="37">
        <v>35620</v>
      </c>
      <c r="U427" s="92"/>
    </row>
    <row r="428" spans="8:21" x14ac:dyDescent="0.25">
      <c r="H428" s="34">
        <v>11445</v>
      </c>
      <c r="I428" s="34" t="s">
        <v>472</v>
      </c>
      <c r="J428" s="35">
        <v>45868</v>
      </c>
      <c r="K428" s="36" t="s">
        <v>468</v>
      </c>
      <c r="L428" s="39" t="str">
        <f>VLOOKUP(Tabla810[[#This Row],[CODIGO DEL PRODUCTO]],Tabla79[],2,FALSE)</f>
        <v>ESTABILIZADO 0-100 X TN</v>
      </c>
      <c r="M428" s="37">
        <v>20300</v>
      </c>
      <c r="O428" s="76">
        <v>136612</v>
      </c>
      <c r="P428" s="76" t="s">
        <v>118</v>
      </c>
      <c r="Q428" s="77">
        <v>45794</v>
      </c>
      <c r="R428" s="78" t="s">
        <v>43</v>
      </c>
      <c r="S428" s="36" t="str">
        <f>VLOOKUP(Tabla911[[#This Row],[CODIGO DEL PRODUCTO]],Tabla79[],2,FALSE)</f>
        <v>PIEDRA 6-20</v>
      </c>
      <c r="T428" s="37">
        <v>35160</v>
      </c>
      <c r="U428" s="92"/>
    </row>
    <row r="429" spans="8:21" x14ac:dyDescent="0.25">
      <c r="H429" s="34">
        <v>11446</v>
      </c>
      <c r="I429" s="34" t="s">
        <v>472</v>
      </c>
      <c r="J429" s="35">
        <v>45868</v>
      </c>
      <c r="K429" s="36" t="s">
        <v>468</v>
      </c>
      <c r="L429" s="39" t="str">
        <f>VLOOKUP(Tabla810[[#This Row],[CODIGO DEL PRODUCTO]],Tabla79[],2,FALSE)</f>
        <v>ESTABILIZADO 0-100 X TN</v>
      </c>
      <c r="M429" s="37">
        <v>24040</v>
      </c>
      <c r="O429" s="76">
        <v>100987</v>
      </c>
      <c r="P429" s="76" t="s">
        <v>244</v>
      </c>
      <c r="Q429" s="77">
        <v>45796</v>
      </c>
      <c r="R429" s="78" t="s">
        <v>43</v>
      </c>
      <c r="S429" s="36" t="str">
        <f>VLOOKUP(Tabla911[[#This Row],[CODIGO DEL PRODUCTO]],Tabla79[],2,FALSE)</f>
        <v>PIEDRA 6-20</v>
      </c>
      <c r="T429" s="37">
        <v>34160</v>
      </c>
      <c r="U429" s="92"/>
    </row>
    <row r="430" spans="8:21" x14ac:dyDescent="0.25">
      <c r="H430" s="34">
        <v>11449</v>
      </c>
      <c r="I430" s="34" t="s">
        <v>472</v>
      </c>
      <c r="J430" s="35">
        <v>45868</v>
      </c>
      <c r="K430" s="36" t="s">
        <v>468</v>
      </c>
      <c r="L430" s="39" t="str">
        <f>VLOOKUP(Tabla810[[#This Row],[CODIGO DEL PRODUCTO]],Tabla79[],2,FALSE)</f>
        <v>ESTABILIZADO 0-100 X TN</v>
      </c>
      <c r="M430" s="37">
        <v>24280</v>
      </c>
      <c r="O430" s="76">
        <v>101020</v>
      </c>
      <c r="P430" s="76" t="s">
        <v>237</v>
      </c>
      <c r="Q430" s="77">
        <v>45796</v>
      </c>
      <c r="R430" s="78" t="s">
        <v>43</v>
      </c>
      <c r="S430" s="36" t="str">
        <f>VLOOKUP(Tabla911[[#This Row],[CODIGO DEL PRODUCTO]],Tabla79[],2,FALSE)</f>
        <v>PIEDRA 6-20</v>
      </c>
      <c r="T430" s="37">
        <v>34520</v>
      </c>
      <c r="U430" s="92"/>
    </row>
    <row r="431" spans="8:21" x14ac:dyDescent="0.25">
      <c r="H431" s="34">
        <v>11452</v>
      </c>
      <c r="I431" s="34" t="s">
        <v>472</v>
      </c>
      <c r="J431" s="35">
        <v>45868</v>
      </c>
      <c r="K431" s="36" t="s">
        <v>468</v>
      </c>
      <c r="L431" s="39" t="str">
        <f>VLOOKUP(Tabla810[[#This Row],[CODIGO DEL PRODUCTO]],Tabla79[],2,FALSE)</f>
        <v>ESTABILIZADO 0-100 X TN</v>
      </c>
      <c r="M431" s="37">
        <v>27480</v>
      </c>
      <c r="O431" s="76">
        <v>101039</v>
      </c>
      <c r="P431" s="76" t="s">
        <v>375</v>
      </c>
      <c r="Q431" s="77">
        <v>45796</v>
      </c>
      <c r="R431" s="78" t="s">
        <v>48</v>
      </c>
      <c r="S431" s="36" t="str">
        <f>VLOOKUP(Tabla911[[#This Row],[CODIGO DEL PRODUCTO]],Tabla79[],2,FALSE)</f>
        <v>PIEDRA 6-12</v>
      </c>
      <c r="T431" s="37">
        <v>35520</v>
      </c>
      <c r="U431" s="92"/>
    </row>
    <row r="432" spans="8:21" x14ac:dyDescent="0.25">
      <c r="H432" s="34">
        <v>11464</v>
      </c>
      <c r="I432" s="34" t="s">
        <v>472</v>
      </c>
      <c r="J432" s="35">
        <v>45868</v>
      </c>
      <c r="K432" s="36" t="s">
        <v>43</v>
      </c>
      <c r="L432" s="39" t="str">
        <f>VLOOKUP(Tabla810[[#This Row],[CODIGO DEL PRODUCTO]],Tabla79[],2,FALSE)</f>
        <v>PIEDRA 6-20</v>
      </c>
      <c r="M432" s="37">
        <v>6000</v>
      </c>
      <c r="O432" s="76">
        <v>2628592</v>
      </c>
      <c r="P432" s="76" t="s">
        <v>65</v>
      </c>
      <c r="Q432" s="77">
        <v>45796</v>
      </c>
      <c r="R432" s="78" t="s">
        <v>286</v>
      </c>
      <c r="S432" s="36" t="str">
        <f>VLOOKUP(Tabla911[[#This Row],[CODIGO DEL PRODUCTO]],Tabla79[],2,FALSE)</f>
        <v>CPF 40 AVELLANEDA</v>
      </c>
      <c r="T432" s="37">
        <v>36100</v>
      </c>
      <c r="U432" s="92"/>
    </row>
    <row r="433" spans="8:21" x14ac:dyDescent="0.25">
      <c r="H433" s="34">
        <v>11465</v>
      </c>
      <c r="I433" s="34" t="s">
        <v>472</v>
      </c>
      <c r="J433" s="35">
        <v>45868</v>
      </c>
      <c r="K433" s="36" t="s">
        <v>468</v>
      </c>
      <c r="L433" s="39" t="str">
        <f>VLOOKUP(Tabla810[[#This Row],[CODIGO DEL PRODUCTO]],Tabla79[],2,FALSE)</f>
        <v>ESTABILIZADO 0-100 X TN</v>
      </c>
      <c r="M433" s="37">
        <v>22000</v>
      </c>
      <c r="O433" s="76">
        <v>100584</v>
      </c>
      <c r="P433" s="76" t="s">
        <v>235</v>
      </c>
      <c r="Q433" s="77">
        <v>45797</v>
      </c>
      <c r="R433" s="78" t="s">
        <v>42</v>
      </c>
      <c r="S433" s="36" t="str">
        <f>VLOOKUP(Tabla911[[#This Row],[CODIGO DEL PRODUCTO]],Tabla79[],2,FALSE)</f>
        <v>ARENA FINA</v>
      </c>
      <c r="T433" s="37">
        <v>34160</v>
      </c>
      <c r="U433" s="92"/>
    </row>
    <row r="434" spans="8:21" x14ac:dyDescent="0.25">
      <c r="H434" s="34">
        <v>11466</v>
      </c>
      <c r="I434" s="34" t="s">
        <v>472</v>
      </c>
      <c r="J434" s="35">
        <v>45868</v>
      </c>
      <c r="K434" s="36" t="s">
        <v>468</v>
      </c>
      <c r="L434" s="39" t="str">
        <f>VLOOKUP(Tabla810[[#This Row],[CODIGO DEL PRODUCTO]],Tabla79[],2,FALSE)</f>
        <v>ESTABILIZADO 0-100 X TN</v>
      </c>
      <c r="M434" s="37">
        <v>25120</v>
      </c>
      <c r="O434" s="76">
        <v>100586</v>
      </c>
      <c r="P434" s="76" t="s">
        <v>370</v>
      </c>
      <c r="Q434" s="77">
        <v>45797</v>
      </c>
      <c r="R434" s="78" t="s">
        <v>42</v>
      </c>
      <c r="S434" s="36" t="str">
        <f>VLOOKUP(Tabla911[[#This Row],[CODIGO DEL PRODUCTO]],Tabla79[],2,FALSE)</f>
        <v>ARENA FINA</v>
      </c>
      <c r="T434" s="37">
        <v>34080</v>
      </c>
      <c r="U434" s="92"/>
    </row>
    <row r="435" spans="8:21" x14ac:dyDescent="0.25">
      <c r="H435" s="34">
        <v>11468</v>
      </c>
      <c r="I435" s="34" t="s">
        <v>472</v>
      </c>
      <c r="J435" s="35">
        <v>45868</v>
      </c>
      <c r="K435" s="36" t="s">
        <v>468</v>
      </c>
      <c r="L435" s="39" t="str">
        <f>VLOOKUP(Tabla810[[#This Row],[CODIGO DEL PRODUCTO]],Tabla79[],2,FALSE)</f>
        <v>ESTABILIZADO 0-100 X TN</v>
      </c>
      <c r="M435" s="37">
        <v>27820</v>
      </c>
      <c r="O435" s="76">
        <v>100587</v>
      </c>
      <c r="P435" s="76" t="s">
        <v>235</v>
      </c>
      <c r="Q435" s="77">
        <v>45797</v>
      </c>
      <c r="R435" s="78" t="s">
        <v>42</v>
      </c>
      <c r="S435" s="36" t="str">
        <f>VLOOKUP(Tabla911[[#This Row],[CODIGO DEL PRODUCTO]],Tabla79[],2,FALSE)</f>
        <v>ARENA FINA</v>
      </c>
      <c r="T435" s="37">
        <v>34480</v>
      </c>
      <c r="U435" s="92"/>
    </row>
    <row r="436" spans="8:21" x14ac:dyDescent="0.25">
      <c r="H436" s="34"/>
      <c r="I436" s="34" t="s">
        <v>53</v>
      </c>
      <c r="J436" s="35">
        <v>45852</v>
      </c>
      <c r="K436" s="36" t="s">
        <v>42</v>
      </c>
      <c r="L436" s="39" t="str">
        <f>VLOOKUP(Tabla810[[#This Row],[CODIGO DEL PRODUCTO]],Tabla79[],2,FALSE)</f>
        <v>ARENA FINA</v>
      </c>
      <c r="M436" s="37">
        <v>320444</v>
      </c>
      <c r="O436" s="76">
        <v>101028</v>
      </c>
      <c r="P436" s="76" t="s">
        <v>234</v>
      </c>
      <c r="Q436" s="77">
        <v>45797</v>
      </c>
      <c r="R436" s="78" t="s">
        <v>48</v>
      </c>
      <c r="S436" s="36" t="str">
        <f>VLOOKUP(Tabla911[[#This Row],[CODIGO DEL PRODUCTO]],Tabla79[],2,FALSE)</f>
        <v>PIEDRA 6-12</v>
      </c>
      <c r="T436" s="37">
        <v>35380</v>
      </c>
      <c r="U436" s="92"/>
    </row>
    <row r="437" spans="8:21" x14ac:dyDescent="0.25">
      <c r="H437" s="34"/>
      <c r="I437" s="34" t="s">
        <v>53</v>
      </c>
      <c r="J437" s="35">
        <v>45853</v>
      </c>
      <c r="K437" s="36" t="s">
        <v>40</v>
      </c>
      <c r="L437" s="39" t="str">
        <f>VLOOKUP(Tabla810[[#This Row],[CODIGO DEL PRODUCTO]],Tabla79[],2,FALSE)</f>
        <v>PIEDRA 0-6</v>
      </c>
      <c r="M437" s="37">
        <v>255303</v>
      </c>
      <c r="O437" s="76">
        <v>101029</v>
      </c>
      <c r="P437" s="76" t="s">
        <v>384</v>
      </c>
      <c r="Q437" s="77">
        <v>45797</v>
      </c>
      <c r="R437" s="78" t="s">
        <v>48</v>
      </c>
      <c r="S437" s="36" t="str">
        <f>VLOOKUP(Tabla911[[#This Row],[CODIGO DEL PRODUCTO]],Tabla79[],2,FALSE)</f>
        <v>PIEDRA 6-12</v>
      </c>
      <c r="T437" s="37">
        <v>35160</v>
      </c>
      <c r="U437" s="92"/>
    </row>
    <row r="438" spans="8:21" x14ac:dyDescent="0.25">
      <c r="H438" s="34"/>
      <c r="I438" s="34" t="s">
        <v>53</v>
      </c>
      <c r="J438" s="35">
        <v>45854</v>
      </c>
      <c r="K438" s="36" t="s">
        <v>286</v>
      </c>
      <c r="L438" s="39" t="str">
        <f>VLOOKUP(Tabla810[[#This Row],[CODIGO DEL PRODUCTO]],Tabla79[],2,FALSE)</f>
        <v>CPF 40 AVELLANEDA</v>
      </c>
      <c r="M438" s="37">
        <v>154247</v>
      </c>
      <c r="O438" s="76">
        <v>101052</v>
      </c>
      <c r="P438" s="76" t="s">
        <v>244</v>
      </c>
      <c r="Q438" s="77">
        <v>45797</v>
      </c>
      <c r="R438" s="78" t="s">
        <v>43</v>
      </c>
      <c r="S438" s="36" t="str">
        <f>VLOOKUP(Tabla911[[#This Row],[CODIGO DEL PRODUCTO]],Tabla79[],2,FALSE)</f>
        <v>PIEDRA 6-20</v>
      </c>
      <c r="T438" s="37">
        <v>34080</v>
      </c>
      <c r="U438" s="92"/>
    </row>
    <row r="439" spans="8:21" x14ac:dyDescent="0.25">
      <c r="H439" s="34"/>
      <c r="I439" s="34" t="s">
        <v>53</v>
      </c>
      <c r="J439" s="35">
        <v>45855</v>
      </c>
      <c r="K439" s="36" t="s">
        <v>48</v>
      </c>
      <c r="L439" s="39" t="str">
        <f>VLOOKUP(Tabla810[[#This Row],[CODIGO DEL PRODUCTO]],Tabla79[],2,FALSE)</f>
        <v>PIEDRA 6-12</v>
      </c>
      <c r="M439" s="37">
        <v>61201</v>
      </c>
      <c r="O439" s="76">
        <v>101058</v>
      </c>
      <c r="P439" s="76" t="s">
        <v>318</v>
      </c>
      <c r="Q439" s="77">
        <v>45797</v>
      </c>
      <c r="R439" s="78" t="s">
        <v>43</v>
      </c>
      <c r="S439" s="36" t="str">
        <f>VLOOKUP(Tabla911[[#This Row],[CODIGO DEL PRODUCTO]],Tabla79[],2,FALSE)</f>
        <v>PIEDRA 6-20</v>
      </c>
      <c r="T439" s="37">
        <v>34900</v>
      </c>
      <c r="U439" s="92"/>
    </row>
    <row r="440" spans="8:21" x14ac:dyDescent="0.25">
      <c r="H440" s="34"/>
      <c r="I440" s="34" t="s">
        <v>53</v>
      </c>
      <c r="J440" s="36" t="s">
        <v>488</v>
      </c>
      <c r="K440" s="36" t="s">
        <v>43</v>
      </c>
      <c r="L440" s="39" t="str">
        <f>VLOOKUP(Tabla810[[#This Row],[CODIGO DEL PRODUCTO]],Tabla79[],2,FALSE)</f>
        <v>PIEDRA 6-20</v>
      </c>
      <c r="M440" s="37">
        <v>429502</v>
      </c>
      <c r="O440" s="76">
        <v>101086</v>
      </c>
      <c r="P440" s="76" t="s">
        <v>375</v>
      </c>
      <c r="Q440" s="77">
        <v>45797</v>
      </c>
      <c r="R440" s="78" t="s">
        <v>48</v>
      </c>
      <c r="S440" s="36" t="str">
        <f>VLOOKUP(Tabla911[[#This Row],[CODIGO DEL PRODUCTO]],Tabla79[],2,FALSE)</f>
        <v>PIEDRA 6-12</v>
      </c>
      <c r="T440" s="37">
        <v>34600</v>
      </c>
      <c r="U440" s="92"/>
    </row>
    <row r="441" spans="8:21" x14ac:dyDescent="0.25">
      <c r="H441" s="34"/>
      <c r="I441" s="34" t="s">
        <v>53</v>
      </c>
      <c r="J441" s="35">
        <v>45857</v>
      </c>
      <c r="K441" s="36" t="s">
        <v>425</v>
      </c>
      <c r="L441" s="39" t="str">
        <f>VLOOKUP(Tabla810[[#This Row],[CODIGO DEL PRODUCTO]],Tabla79[],2,FALSE)</f>
        <v>W351R</v>
      </c>
      <c r="M441" s="37">
        <v>855.24</v>
      </c>
      <c r="O441" s="76">
        <v>101095</v>
      </c>
      <c r="P441" s="76" t="s">
        <v>151</v>
      </c>
      <c r="Q441" s="77">
        <v>45797</v>
      </c>
      <c r="R441" s="78" t="s">
        <v>43</v>
      </c>
      <c r="S441" s="36" t="str">
        <f>VLOOKUP(Tabla911[[#This Row],[CODIGO DEL PRODUCTO]],Tabla79[],2,FALSE)</f>
        <v>PIEDRA 6-20</v>
      </c>
      <c r="T441" s="37">
        <v>34680</v>
      </c>
      <c r="U441" s="92"/>
    </row>
    <row r="442" spans="8:21" x14ac:dyDescent="0.25">
      <c r="H442" s="34"/>
      <c r="I442" s="34" t="s">
        <v>53</v>
      </c>
      <c r="J442" s="35">
        <v>45859</v>
      </c>
      <c r="K442" s="36" t="s">
        <v>42</v>
      </c>
      <c r="L442" s="39" t="str">
        <f>VLOOKUP(Tabla810[[#This Row],[CODIGO DEL PRODUCTO]],Tabla79[],2,FALSE)</f>
        <v>ARENA FINA</v>
      </c>
      <c r="M442" s="37">
        <v>611349</v>
      </c>
      <c r="O442" s="76">
        <v>2628967</v>
      </c>
      <c r="P442" s="76" t="s">
        <v>65</v>
      </c>
      <c r="Q442" s="77">
        <v>45797</v>
      </c>
      <c r="R442" s="78" t="s">
        <v>286</v>
      </c>
      <c r="S442" s="36" t="str">
        <f>VLOOKUP(Tabla911[[#This Row],[CODIGO DEL PRODUCTO]],Tabla79[],2,FALSE)</f>
        <v>CPF 40 AVELLANEDA</v>
      </c>
      <c r="T442" s="37">
        <v>35500</v>
      </c>
      <c r="U442" s="92"/>
    </row>
    <row r="443" spans="8:21" x14ac:dyDescent="0.25">
      <c r="H443" s="34"/>
      <c r="I443" s="34" t="s">
        <v>53</v>
      </c>
      <c r="J443" s="35">
        <v>45860</v>
      </c>
      <c r="K443" s="36" t="s">
        <v>40</v>
      </c>
      <c r="L443" s="39" t="str">
        <f>VLOOKUP(Tabla810[[#This Row],[CODIGO DEL PRODUCTO]],Tabla79[],2,FALSE)</f>
        <v>PIEDRA 0-6</v>
      </c>
      <c r="M443" s="37">
        <v>412699</v>
      </c>
      <c r="O443" s="76">
        <v>100595</v>
      </c>
      <c r="P443" s="76" t="s">
        <v>235</v>
      </c>
      <c r="Q443" s="77">
        <v>45798</v>
      </c>
      <c r="R443" s="78" t="s">
        <v>42</v>
      </c>
      <c r="S443" s="36" t="str">
        <f>VLOOKUP(Tabla911[[#This Row],[CODIGO DEL PRODUCTO]],Tabla79[],2,FALSE)</f>
        <v>ARENA FINA</v>
      </c>
      <c r="T443" s="37">
        <v>34400</v>
      </c>
      <c r="U443" s="92"/>
    </row>
    <row r="444" spans="8:21" x14ac:dyDescent="0.25">
      <c r="H444" s="34"/>
      <c r="I444" s="34" t="s">
        <v>53</v>
      </c>
      <c r="J444" s="35">
        <v>45861</v>
      </c>
      <c r="K444" s="36" t="s">
        <v>286</v>
      </c>
      <c r="L444" s="39" t="str">
        <f>VLOOKUP(Tabla810[[#This Row],[CODIGO DEL PRODUCTO]],Tabla79[],2,FALSE)</f>
        <v>CPF 40 AVELLANEDA</v>
      </c>
      <c r="M444" s="37">
        <v>315579</v>
      </c>
      <c r="O444" s="76">
        <v>100601</v>
      </c>
      <c r="P444" s="76" t="s">
        <v>370</v>
      </c>
      <c r="Q444" s="77">
        <v>45798</v>
      </c>
      <c r="R444" s="78" t="s">
        <v>42</v>
      </c>
      <c r="S444" s="36" t="str">
        <f>VLOOKUP(Tabla911[[#This Row],[CODIGO DEL PRODUCTO]],Tabla79[],2,FALSE)</f>
        <v>ARENA FINA</v>
      </c>
      <c r="T444" s="37">
        <v>34100</v>
      </c>
      <c r="U444" s="92"/>
    </row>
    <row r="445" spans="8:21" x14ac:dyDescent="0.25">
      <c r="H445" s="34"/>
      <c r="I445" s="34" t="s">
        <v>53</v>
      </c>
      <c r="J445" s="35">
        <v>45862</v>
      </c>
      <c r="K445" s="36" t="s">
        <v>48</v>
      </c>
      <c r="L445" s="39" t="str">
        <f>VLOOKUP(Tabla810[[#This Row],[CODIGO DEL PRODUCTO]],Tabla79[],2,FALSE)</f>
        <v>PIEDRA 6-12</v>
      </c>
      <c r="M445" s="37">
        <v>189101</v>
      </c>
      <c r="O445" s="76">
        <v>100604</v>
      </c>
      <c r="P445" s="76" t="s">
        <v>235</v>
      </c>
      <c r="Q445" s="77">
        <v>45798</v>
      </c>
      <c r="R445" s="78" t="s">
        <v>42</v>
      </c>
      <c r="S445" s="36" t="str">
        <f>VLOOKUP(Tabla911[[#This Row],[CODIGO DEL PRODUCTO]],Tabla79[],2,FALSE)</f>
        <v>ARENA FINA</v>
      </c>
      <c r="T445" s="37">
        <v>35600</v>
      </c>
      <c r="U445" s="92"/>
    </row>
    <row r="446" spans="8:21" x14ac:dyDescent="0.25">
      <c r="H446" s="34"/>
      <c r="I446" s="34" t="s">
        <v>53</v>
      </c>
      <c r="J446" s="35">
        <v>45863</v>
      </c>
      <c r="K446" s="36" t="s">
        <v>43</v>
      </c>
      <c r="L446" s="39" t="str">
        <f>VLOOKUP(Tabla810[[#This Row],[CODIGO DEL PRODUCTO]],Tabla79[],2,FALSE)</f>
        <v>PIEDRA 6-20</v>
      </c>
      <c r="M446" s="37">
        <v>746197</v>
      </c>
      <c r="O446" s="76">
        <v>101106</v>
      </c>
      <c r="P446" s="76" t="s">
        <v>318</v>
      </c>
      <c r="Q446" s="77">
        <v>45798</v>
      </c>
      <c r="R446" s="78" t="s">
        <v>43</v>
      </c>
      <c r="S446" s="36" t="str">
        <f>VLOOKUP(Tabla911[[#This Row],[CODIGO DEL PRODUCTO]],Tabla79[],2,FALSE)</f>
        <v>PIEDRA 6-20</v>
      </c>
      <c r="T446" s="37">
        <v>35200</v>
      </c>
      <c r="U446" s="92"/>
    </row>
    <row r="447" spans="8:21" x14ac:dyDescent="0.25">
      <c r="H447" s="34"/>
      <c r="I447" s="34" t="s">
        <v>53</v>
      </c>
      <c r="J447" s="35">
        <v>45864</v>
      </c>
      <c r="K447" s="36" t="s">
        <v>425</v>
      </c>
      <c r="L447" s="39" t="str">
        <f>VLOOKUP(Tabla810[[#This Row],[CODIGO DEL PRODUCTO]],Tabla79[],2,FALSE)</f>
        <v>W351R</v>
      </c>
      <c r="M447" s="37">
        <v>1644.2</v>
      </c>
      <c r="O447" s="76">
        <v>101109</v>
      </c>
      <c r="P447" s="76" t="s">
        <v>244</v>
      </c>
      <c r="Q447" s="77">
        <v>45798</v>
      </c>
      <c r="R447" s="78" t="s">
        <v>43</v>
      </c>
      <c r="S447" s="36" t="str">
        <f>VLOOKUP(Tabla911[[#This Row],[CODIGO DEL PRODUCTO]],Tabla79[],2,FALSE)</f>
        <v>PIEDRA 6-20</v>
      </c>
      <c r="T447" s="37">
        <v>35020</v>
      </c>
      <c r="U447" s="92"/>
    </row>
    <row r="448" spans="8:21" x14ac:dyDescent="0.25">
      <c r="H448" s="34">
        <v>171</v>
      </c>
      <c r="I448" s="34" t="s">
        <v>458</v>
      </c>
      <c r="J448" s="35">
        <v>45869</v>
      </c>
      <c r="K448" s="36" t="s">
        <v>42</v>
      </c>
      <c r="L448" s="39" t="str">
        <f>VLOOKUP(Tabla810[[#This Row],[CODIGO DEL PRODUCTO]],Tabla79[],2,FALSE)</f>
        <v>ARENA FINA</v>
      </c>
      <c r="M448" s="37">
        <v>3000</v>
      </c>
      <c r="O448" s="76">
        <v>101111</v>
      </c>
      <c r="P448" s="76" t="s">
        <v>384</v>
      </c>
      <c r="Q448" s="77">
        <v>45798</v>
      </c>
      <c r="R448" s="78" t="s">
        <v>48</v>
      </c>
      <c r="S448" s="36" t="str">
        <f>VLOOKUP(Tabla911[[#This Row],[CODIGO DEL PRODUCTO]],Tabla79[],2,FALSE)</f>
        <v>PIEDRA 6-12</v>
      </c>
      <c r="T448" s="37">
        <v>35160</v>
      </c>
      <c r="U448" s="92"/>
    </row>
    <row r="449" spans="8:21" x14ac:dyDescent="0.25">
      <c r="H449" s="34">
        <v>11477</v>
      </c>
      <c r="I449" s="34" t="s">
        <v>478</v>
      </c>
      <c r="J449" s="35">
        <v>45869</v>
      </c>
      <c r="K449" s="36" t="s">
        <v>42</v>
      </c>
      <c r="L449" s="39" t="str">
        <f>VLOOKUP(Tabla810[[#This Row],[CODIGO DEL PRODUCTO]],Tabla79[],2,FALSE)</f>
        <v>ARENA FINA</v>
      </c>
      <c r="M449" s="37">
        <v>2000</v>
      </c>
      <c r="O449" s="76">
        <v>101112</v>
      </c>
      <c r="P449" s="76" t="s">
        <v>234</v>
      </c>
      <c r="Q449" s="77">
        <v>45798</v>
      </c>
      <c r="R449" s="78" t="s">
        <v>48</v>
      </c>
      <c r="S449" s="36" t="str">
        <f>VLOOKUP(Tabla911[[#This Row],[CODIGO DEL PRODUCTO]],Tabla79[],2,FALSE)</f>
        <v>PIEDRA 6-12</v>
      </c>
      <c r="T449" s="37">
        <v>35240</v>
      </c>
      <c r="U449" s="92"/>
    </row>
    <row r="450" spans="8:21" x14ac:dyDescent="0.25">
      <c r="H450" s="34">
        <v>11480</v>
      </c>
      <c r="I450" s="34" t="s">
        <v>472</v>
      </c>
      <c r="J450" s="35">
        <v>45869</v>
      </c>
      <c r="K450" s="36" t="s">
        <v>468</v>
      </c>
      <c r="L450" s="39" t="str">
        <f>VLOOKUP(Tabla810[[#This Row],[CODIGO DEL PRODUCTO]],Tabla79[],2,FALSE)</f>
        <v>ESTABILIZADO 0-100 X TN</v>
      </c>
      <c r="M450" s="37">
        <v>23900</v>
      </c>
      <c r="O450" s="76">
        <v>101133</v>
      </c>
      <c r="P450" s="76" t="s">
        <v>375</v>
      </c>
      <c r="Q450" s="77">
        <v>45798</v>
      </c>
      <c r="R450" s="78" t="s">
        <v>48</v>
      </c>
      <c r="S450" s="36" t="str">
        <f>VLOOKUP(Tabla911[[#This Row],[CODIGO DEL PRODUCTO]],Tabla79[],2,FALSE)</f>
        <v>PIEDRA 6-12</v>
      </c>
      <c r="T450" s="37">
        <v>35300</v>
      </c>
      <c r="U450" s="92"/>
    </row>
    <row r="451" spans="8:21" x14ac:dyDescent="0.25">
      <c r="H451" s="34">
        <v>11482</v>
      </c>
      <c r="I451" s="34" t="s">
        <v>472</v>
      </c>
      <c r="J451" s="35">
        <v>45869</v>
      </c>
      <c r="K451" s="36" t="s">
        <v>468</v>
      </c>
      <c r="L451" s="39" t="str">
        <f>VLOOKUP(Tabla810[[#This Row],[CODIGO DEL PRODUCTO]],Tabla79[],2,FALSE)</f>
        <v>ESTABILIZADO 0-100 X TN</v>
      </c>
      <c r="M451" s="37">
        <v>23720</v>
      </c>
      <c r="O451" s="76">
        <v>101147</v>
      </c>
      <c r="P451" s="76" t="s">
        <v>237</v>
      </c>
      <c r="Q451" s="77">
        <v>45798</v>
      </c>
      <c r="R451" s="78" t="s">
        <v>43</v>
      </c>
      <c r="S451" s="36" t="str">
        <f>VLOOKUP(Tabla911[[#This Row],[CODIGO DEL PRODUCTO]],Tabla79[],2,FALSE)</f>
        <v>PIEDRA 6-20</v>
      </c>
      <c r="T451" s="37">
        <v>34580</v>
      </c>
      <c r="U451" s="92"/>
    </row>
    <row r="452" spans="8:21" x14ac:dyDescent="0.25">
      <c r="H452" s="34">
        <v>11491</v>
      </c>
      <c r="I452" s="34" t="s">
        <v>472</v>
      </c>
      <c r="J452" s="35">
        <v>45869</v>
      </c>
      <c r="K452" s="36" t="s">
        <v>468</v>
      </c>
      <c r="L452" s="39" t="str">
        <f>VLOOKUP(Tabla810[[#This Row],[CODIGO DEL PRODUCTO]],Tabla79[],2,FALSE)</f>
        <v>ESTABILIZADO 0-100 X TN</v>
      </c>
      <c r="M452" s="37">
        <v>23420</v>
      </c>
      <c r="O452" s="76">
        <v>2629385</v>
      </c>
      <c r="P452" s="76" t="s">
        <v>65</v>
      </c>
      <c r="Q452" s="77">
        <v>45798</v>
      </c>
      <c r="R452" s="78" t="s">
        <v>286</v>
      </c>
      <c r="S452" s="36" t="str">
        <f>VLOOKUP(Tabla911[[#This Row],[CODIGO DEL PRODUCTO]],Tabla79[],2,FALSE)</f>
        <v>CPF 40 AVELLANEDA</v>
      </c>
      <c r="T452" s="37">
        <v>35500</v>
      </c>
      <c r="U452" s="92"/>
    </row>
    <row r="453" spans="8:21" x14ac:dyDescent="0.25">
      <c r="H453" s="34">
        <v>11501</v>
      </c>
      <c r="I453" s="34" t="s">
        <v>472</v>
      </c>
      <c r="J453" s="35">
        <v>45869</v>
      </c>
      <c r="K453" s="36" t="s">
        <v>468</v>
      </c>
      <c r="L453" s="39" t="str">
        <f>VLOOKUP(Tabla810[[#This Row],[CODIGO DEL PRODUCTO]],Tabla79[],2,FALSE)</f>
        <v>ESTABILIZADO 0-100 X TN</v>
      </c>
      <c r="M453" s="37">
        <v>25620</v>
      </c>
      <c r="O453" s="76">
        <v>100610</v>
      </c>
      <c r="P453" s="76" t="s">
        <v>235</v>
      </c>
      <c r="Q453" s="77">
        <v>45799</v>
      </c>
      <c r="R453" s="78" t="s">
        <v>42</v>
      </c>
      <c r="S453" s="36" t="str">
        <f>VLOOKUP(Tabla911[[#This Row],[CODIGO DEL PRODUCTO]],Tabla79[],2,FALSE)</f>
        <v>ARENA FINA</v>
      </c>
      <c r="T453" s="37">
        <v>36520</v>
      </c>
      <c r="U453" s="92"/>
    </row>
    <row r="454" spans="8:21" x14ac:dyDescent="0.25">
      <c r="H454" s="34">
        <v>11503</v>
      </c>
      <c r="I454" s="34" t="s">
        <v>472</v>
      </c>
      <c r="J454" s="35">
        <v>45869</v>
      </c>
      <c r="K454" s="36" t="s">
        <v>46</v>
      </c>
      <c r="L454" s="39" t="str">
        <f>VLOOKUP(Tabla810[[#This Row],[CODIGO DEL PRODUCTO]],Tabla79[],2,FALSE)</f>
        <v>PIEDRA 10-30</v>
      </c>
      <c r="M454" s="37">
        <v>21960</v>
      </c>
      <c r="O454" s="76">
        <v>100613</v>
      </c>
      <c r="P454" s="76" t="s">
        <v>370</v>
      </c>
      <c r="Q454" s="77">
        <v>45799</v>
      </c>
      <c r="R454" s="78" t="s">
        <v>42</v>
      </c>
      <c r="S454" s="36" t="str">
        <f>VLOOKUP(Tabla911[[#This Row],[CODIGO DEL PRODUCTO]],Tabla79[],2,FALSE)</f>
        <v>ARENA FINA</v>
      </c>
      <c r="T454" s="37">
        <v>35540</v>
      </c>
      <c r="U454" s="92"/>
    </row>
    <row r="455" spans="8:21" x14ac:dyDescent="0.25">
      <c r="H455" s="34">
        <v>11508</v>
      </c>
      <c r="I455" s="34" t="s">
        <v>472</v>
      </c>
      <c r="J455" s="35">
        <v>45869</v>
      </c>
      <c r="K455" s="36" t="s">
        <v>46</v>
      </c>
      <c r="L455" s="39" t="str">
        <f>VLOOKUP(Tabla810[[#This Row],[CODIGO DEL PRODUCTO]],Tabla79[],2,FALSE)</f>
        <v>PIEDRA 10-30</v>
      </c>
      <c r="M455" s="37">
        <v>22640</v>
      </c>
      <c r="O455" s="76">
        <v>100614</v>
      </c>
      <c r="P455" s="76" t="s">
        <v>235</v>
      </c>
      <c r="Q455" s="77">
        <v>45799</v>
      </c>
      <c r="R455" s="78" t="s">
        <v>42</v>
      </c>
      <c r="S455" s="36" t="str">
        <f>VLOOKUP(Tabla911[[#This Row],[CODIGO DEL PRODUCTO]],Tabla79[],2,FALSE)</f>
        <v>ARENA FINA</v>
      </c>
      <c r="T455" s="37">
        <v>36340</v>
      </c>
      <c r="U455" s="92"/>
    </row>
    <row r="456" spans="8:21" x14ac:dyDescent="0.25">
      <c r="H456" s="34">
        <v>11513</v>
      </c>
      <c r="I456" s="34" t="s">
        <v>472</v>
      </c>
      <c r="J456" s="35">
        <v>45869</v>
      </c>
      <c r="K456" s="36" t="s">
        <v>46</v>
      </c>
      <c r="L456" s="39" t="str">
        <f>VLOOKUP(Tabla810[[#This Row],[CODIGO DEL PRODUCTO]],Tabla79[],2,FALSE)</f>
        <v>PIEDRA 10-30</v>
      </c>
      <c r="M456" s="37">
        <v>21730</v>
      </c>
      <c r="O456" s="76">
        <v>101182</v>
      </c>
      <c r="P456" s="76" t="s">
        <v>318</v>
      </c>
      <c r="Q456" s="77">
        <v>45799</v>
      </c>
      <c r="R456" s="78" t="s">
        <v>43</v>
      </c>
      <c r="S456" s="36" t="str">
        <f>VLOOKUP(Tabla911[[#This Row],[CODIGO DEL PRODUCTO]],Tabla79[],2,FALSE)</f>
        <v>PIEDRA 6-20</v>
      </c>
      <c r="T456" s="37">
        <v>34020</v>
      </c>
      <c r="U456" s="92"/>
    </row>
    <row r="457" spans="8:21" x14ac:dyDescent="0.25">
      <c r="H457" s="34">
        <v>11516</v>
      </c>
      <c r="I457" s="34" t="s">
        <v>472</v>
      </c>
      <c r="J457" s="35">
        <v>45869</v>
      </c>
      <c r="K457" s="36" t="s">
        <v>46</v>
      </c>
      <c r="L457" s="39" t="str">
        <f>VLOOKUP(Tabla810[[#This Row],[CODIGO DEL PRODUCTO]],Tabla79[],2,FALSE)</f>
        <v>PIEDRA 10-30</v>
      </c>
      <c r="M457" s="37">
        <v>22400</v>
      </c>
      <c r="O457" s="76">
        <v>101183</v>
      </c>
      <c r="P457" s="76" t="s">
        <v>234</v>
      </c>
      <c r="Q457" s="77">
        <v>45799</v>
      </c>
      <c r="R457" s="78" t="s">
        <v>48</v>
      </c>
      <c r="S457" s="36" t="str">
        <f>VLOOKUP(Tabla911[[#This Row],[CODIGO DEL PRODUCTO]],Tabla79[],2,FALSE)</f>
        <v>PIEDRA 6-12</v>
      </c>
      <c r="T457" s="37">
        <v>34420</v>
      </c>
      <c r="U457" s="92"/>
    </row>
    <row r="458" spans="8:21" x14ac:dyDescent="0.25">
      <c r="H458" s="34"/>
      <c r="I458" s="34" t="s">
        <v>53</v>
      </c>
      <c r="J458" s="35">
        <v>45866</v>
      </c>
      <c r="K458" s="36" t="s">
        <v>42</v>
      </c>
      <c r="L458" s="39" t="str">
        <f>VLOOKUP(Tabla810[[#This Row],[CODIGO DEL PRODUCTO]],Tabla79[],2,FALSE)</f>
        <v>ARENA FINA</v>
      </c>
      <c r="M458" s="37">
        <v>533610</v>
      </c>
      <c r="O458" s="76">
        <v>101185</v>
      </c>
      <c r="P458" s="76" t="s">
        <v>384</v>
      </c>
      <c r="Q458" s="77">
        <v>45799</v>
      </c>
      <c r="R458" s="78" t="s">
        <v>48</v>
      </c>
      <c r="S458" s="36" t="str">
        <f>VLOOKUP(Tabla911[[#This Row],[CODIGO DEL PRODUCTO]],Tabla79[],2,FALSE)</f>
        <v>PIEDRA 6-12</v>
      </c>
      <c r="T458" s="37">
        <v>35580</v>
      </c>
      <c r="U458" s="92"/>
    </row>
    <row r="459" spans="8:21" x14ac:dyDescent="0.25">
      <c r="H459" s="34"/>
      <c r="I459" s="34" t="s">
        <v>53</v>
      </c>
      <c r="J459" s="35">
        <v>45866</v>
      </c>
      <c r="K459" s="36" t="s">
        <v>40</v>
      </c>
      <c r="L459" s="39" t="str">
        <f>VLOOKUP(Tabla810[[#This Row],[CODIGO DEL PRODUCTO]],Tabla79[],2,FALSE)</f>
        <v>PIEDRA 0-6</v>
      </c>
      <c r="M459" s="37">
        <v>341236</v>
      </c>
      <c r="O459" s="76">
        <v>101188</v>
      </c>
      <c r="P459" s="76" t="s">
        <v>244</v>
      </c>
      <c r="Q459" s="77">
        <v>45799</v>
      </c>
      <c r="R459" s="78" t="s">
        <v>43</v>
      </c>
      <c r="S459" s="36" t="str">
        <f>VLOOKUP(Tabla911[[#This Row],[CODIGO DEL PRODUCTO]],Tabla79[],2,FALSE)</f>
        <v>PIEDRA 6-20</v>
      </c>
      <c r="T459" s="37">
        <v>34220</v>
      </c>
      <c r="U459" s="92"/>
    </row>
    <row r="460" spans="8:21" x14ac:dyDescent="0.25">
      <c r="H460" s="34"/>
      <c r="I460" s="34" t="s">
        <v>53</v>
      </c>
      <c r="J460" s="35">
        <v>45867</v>
      </c>
      <c r="K460" s="36" t="s">
        <v>286</v>
      </c>
      <c r="L460" s="39" t="str">
        <f>VLOOKUP(Tabla810[[#This Row],[CODIGO DEL PRODUCTO]],Tabla79[],2,FALSE)</f>
        <v>CPF 40 AVELLANEDA</v>
      </c>
      <c r="M460" s="37">
        <v>268358</v>
      </c>
      <c r="O460" s="76">
        <v>101206</v>
      </c>
      <c r="P460" s="76" t="s">
        <v>375</v>
      </c>
      <c r="Q460" s="77">
        <v>45799</v>
      </c>
      <c r="R460" s="78" t="s">
        <v>48</v>
      </c>
      <c r="S460" s="36" t="str">
        <f>VLOOKUP(Tabla911[[#This Row],[CODIGO DEL PRODUCTO]],Tabla79[],2,FALSE)</f>
        <v>PIEDRA 6-12</v>
      </c>
      <c r="T460" s="37">
        <v>35160</v>
      </c>
      <c r="U460" s="92"/>
    </row>
    <row r="461" spans="8:21" x14ac:dyDescent="0.25">
      <c r="H461" s="34"/>
      <c r="I461" s="34" t="s">
        <v>53</v>
      </c>
      <c r="J461" s="35">
        <v>45867</v>
      </c>
      <c r="K461" s="36" t="s">
        <v>48</v>
      </c>
      <c r="L461" s="39" t="str">
        <f>VLOOKUP(Tabla810[[#This Row],[CODIGO DEL PRODUCTO]],Tabla79[],2,FALSE)</f>
        <v>PIEDRA 6-12</v>
      </c>
      <c r="M461" s="37">
        <v>80200</v>
      </c>
      <c r="O461" s="76">
        <v>101212</v>
      </c>
      <c r="P461" s="76" t="s">
        <v>237</v>
      </c>
      <c r="Q461" s="77">
        <v>45799</v>
      </c>
      <c r="R461" s="78" t="s">
        <v>43</v>
      </c>
      <c r="S461" s="36" t="str">
        <f>VLOOKUP(Tabla911[[#This Row],[CODIGO DEL PRODUCTO]],Tabla79[],2,FALSE)</f>
        <v>PIEDRA 6-20</v>
      </c>
      <c r="T461" s="37">
        <v>35000</v>
      </c>
      <c r="U461" s="92"/>
    </row>
    <row r="462" spans="8:21" x14ac:dyDescent="0.25">
      <c r="H462" s="34"/>
      <c r="I462" s="34" t="s">
        <v>53</v>
      </c>
      <c r="J462" s="35">
        <v>45868</v>
      </c>
      <c r="K462" s="36" t="s">
        <v>43</v>
      </c>
      <c r="L462" s="39" t="str">
        <f>VLOOKUP(Tabla810[[#This Row],[CODIGO DEL PRODUCTO]],Tabla79[],2,FALSE)</f>
        <v>PIEDRA 6-20</v>
      </c>
      <c r="M462" s="37">
        <v>727122</v>
      </c>
      <c r="O462" s="76">
        <v>2629676</v>
      </c>
      <c r="P462" s="76" t="s">
        <v>65</v>
      </c>
      <c r="Q462" s="77">
        <v>45799</v>
      </c>
      <c r="R462" s="78" t="s">
        <v>286</v>
      </c>
      <c r="S462" s="36" t="str">
        <f>VLOOKUP(Tabla911[[#This Row],[CODIGO DEL PRODUCTO]],Tabla79[],2,FALSE)</f>
        <v>CPF 40 AVELLANEDA</v>
      </c>
      <c r="T462" s="37">
        <v>35420</v>
      </c>
      <c r="U462" s="92"/>
    </row>
    <row r="463" spans="8:21" x14ac:dyDescent="0.25">
      <c r="H463" s="34"/>
      <c r="I463" s="34" t="s">
        <v>53</v>
      </c>
      <c r="J463" s="35">
        <v>45868</v>
      </c>
      <c r="K463" s="36" t="s">
        <v>46</v>
      </c>
      <c r="L463" s="39" t="str">
        <f>VLOOKUP(Tabla810[[#This Row],[CODIGO DEL PRODUCTO]],Tabla79[],2,FALSE)</f>
        <v>PIEDRA 10-30</v>
      </c>
      <c r="M463" s="37">
        <v>9431</v>
      </c>
      <c r="O463" s="76">
        <v>100619</v>
      </c>
      <c r="P463" s="76" t="s">
        <v>235</v>
      </c>
      <c r="Q463" s="77">
        <v>45800</v>
      </c>
      <c r="R463" s="78" t="s">
        <v>42</v>
      </c>
      <c r="S463" s="36" t="str">
        <f>VLOOKUP(Tabla911[[#This Row],[CODIGO DEL PRODUCTO]],Tabla79[],2,FALSE)</f>
        <v>ARENA FINA</v>
      </c>
      <c r="T463" s="37">
        <v>36320</v>
      </c>
      <c r="U463" s="92"/>
    </row>
    <row r="464" spans="8:21" x14ac:dyDescent="0.25">
      <c r="H464" s="34"/>
      <c r="I464" s="34" t="s">
        <v>53</v>
      </c>
      <c r="J464" s="35">
        <v>45869</v>
      </c>
      <c r="K464" s="36" t="s">
        <v>425</v>
      </c>
      <c r="L464" s="39" t="str">
        <f>VLOOKUP(Tabla810[[#This Row],[CODIGO DEL PRODUCTO]],Tabla79[],2,FALSE)</f>
        <v>W351R</v>
      </c>
      <c r="M464" s="37">
        <v>1458.96</v>
      </c>
      <c r="O464" s="76">
        <v>100623</v>
      </c>
      <c r="P464" s="76" t="s">
        <v>370</v>
      </c>
      <c r="Q464" s="77">
        <v>45800</v>
      </c>
      <c r="R464" s="78" t="s">
        <v>42</v>
      </c>
      <c r="S464" s="36" t="str">
        <f>VLOOKUP(Tabla911[[#This Row],[CODIGO DEL PRODUCTO]],Tabla79[],2,FALSE)</f>
        <v>ARENA FINA</v>
      </c>
      <c r="T464" s="37">
        <v>34960</v>
      </c>
      <c r="U464" s="92"/>
    </row>
    <row r="465" spans="8:24" x14ac:dyDescent="0.25">
      <c r="H465" s="34">
        <v>11558</v>
      </c>
      <c r="I465" s="34" t="s">
        <v>494</v>
      </c>
      <c r="J465" s="35">
        <v>45873</v>
      </c>
      <c r="K465" s="36" t="s">
        <v>42</v>
      </c>
      <c r="L465" s="39" t="str">
        <f>VLOOKUP(Tabla810[[#This Row],[CODIGO DEL PRODUCTO]],Tabla79[],2,FALSE)</f>
        <v>ARENA FINA</v>
      </c>
      <c r="M465" s="37">
        <v>1000</v>
      </c>
      <c r="O465" s="76">
        <v>100624</v>
      </c>
      <c r="P465" s="76" t="s">
        <v>235</v>
      </c>
      <c r="Q465" s="77">
        <v>45800</v>
      </c>
      <c r="R465" s="78" t="s">
        <v>42</v>
      </c>
      <c r="S465" s="36" t="str">
        <f>VLOOKUP(Tabla911[[#This Row],[CODIGO DEL PRODUCTO]],Tabla79[],2,FALSE)</f>
        <v>ARENA FINA</v>
      </c>
      <c r="T465" s="37">
        <v>36280</v>
      </c>
      <c r="U465" s="92"/>
    </row>
    <row r="466" spans="8:24" x14ac:dyDescent="0.25">
      <c r="H466" s="34"/>
      <c r="I466" s="34" t="s">
        <v>494</v>
      </c>
      <c r="J466" s="35">
        <v>45873</v>
      </c>
      <c r="K466" s="36" t="s">
        <v>43</v>
      </c>
      <c r="L466" s="39" t="str">
        <f>VLOOKUP(Tabla810[[#This Row],[CODIGO DEL PRODUCTO]],Tabla79[],2,FALSE)</f>
        <v>PIEDRA 6-20</v>
      </c>
      <c r="M466" s="37">
        <v>1000</v>
      </c>
      <c r="O466" s="76">
        <v>101227</v>
      </c>
      <c r="P466" s="76" t="s">
        <v>318</v>
      </c>
      <c r="Q466" s="77">
        <v>45800</v>
      </c>
      <c r="R466" s="78" t="s">
        <v>43</v>
      </c>
      <c r="S466" s="36" t="str">
        <f>VLOOKUP(Tabla911[[#This Row],[CODIGO DEL PRODUCTO]],Tabla79[],2,FALSE)</f>
        <v>PIEDRA 6-20</v>
      </c>
      <c r="T466" s="37">
        <v>34440</v>
      </c>
      <c r="U466" s="92"/>
    </row>
    <row r="467" spans="8:24" x14ac:dyDescent="0.25">
      <c r="H467" s="34">
        <v>11564</v>
      </c>
      <c r="I467" s="34" t="s">
        <v>477</v>
      </c>
      <c r="J467" s="35">
        <v>45873</v>
      </c>
      <c r="K467" s="36" t="s">
        <v>372</v>
      </c>
      <c r="L467" s="39" t="str">
        <f>VLOOKUP(Tabla810[[#This Row],[CODIGO DEL PRODUCTO]],Tabla79[],2,FALSE)</f>
        <v xml:space="preserve">ESTABILIZADO GRANULOMETRICO 0/20 </v>
      </c>
      <c r="M467" s="37">
        <v>30000</v>
      </c>
      <c r="O467" s="76">
        <v>101239</v>
      </c>
      <c r="P467" s="76" t="s">
        <v>384</v>
      </c>
      <c r="Q467" s="77">
        <v>45800</v>
      </c>
      <c r="R467" s="78" t="s">
        <v>48</v>
      </c>
      <c r="S467" s="36" t="str">
        <f>VLOOKUP(Tabla911[[#This Row],[CODIGO DEL PRODUCTO]],Tabla79[],2,FALSE)</f>
        <v>PIEDRA 6-12</v>
      </c>
      <c r="T467" s="37">
        <v>35000</v>
      </c>
      <c r="U467" s="92"/>
    </row>
    <row r="468" spans="8:24" x14ac:dyDescent="0.25">
      <c r="H468" s="34">
        <v>11566</v>
      </c>
      <c r="I468" s="34" t="s">
        <v>477</v>
      </c>
      <c r="J468" s="35">
        <v>45873</v>
      </c>
      <c r="K468" s="36" t="s">
        <v>372</v>
      </c>
      <c r="L468" s="39" t="str">
        <f>VLOOKUP(Tabla810[[#This Row],[CODIGO DEL PRODUCTO]],Tabla79[],2,FALSE)</f>
        <v xml:space="preserve">ESTABILIZADO GRANULOMETRICO 0/20 </v>
      </c>
      <c r="M468" s="37">
        <v>30000</v>
      </c>
      <c r="O468" s="76">
        <v>101240</v>
      </c>
      <c r="P468" s="76" t="s">
        <v>234</v>
      </c>
      <c r="Q468" s="77">
        <v>45800</v>
      </c>
      <c r="R468" s="78" t="s">
        <v>48</v>
      </c>
      <c r="S468" s="36" t="str">
        <f>VLOOKUP(Tabla911[[#This Row],[CODIGO DEL PRODUCTO]],Tabla79[],2,FALSE)</f>
        <v>PIEDRA 6-12</v>
      </c>
      <c r="T468" s="37">
        <v>34260</v>
      </c>
      <c r="U468" s="92"/>
    </row>
    <row r="469" spans="8:24" x14ac:dyDescent="0.25">
      <c r="H469" s="34">
        <v>11574</v>
      </c>
      <c r="I469" s="34" t="s">
        <v>495</v>
      </c>
      <c r="J469" s="35">
        <v>45874</v>
      </c>
      <c r="K469" s="36" t="s">
        <v>468</v>
      </c>
      <c r="L469" s="39" t="str">
        <f>VLOOKUP(Tabla810[[#This Row],[CODIGO DEL PRODUCTO]],Tabla79[],2,FALSE)</f>
        <v>ESTABILIZADO 0-100 X TN</v>
      </c>
      <c r="M469" s="37">
        <v>23380</v>
      </c>
      <c r="O469" s="76">
        <v>101251</v>
      </c>
      <c r="P469" s="76" t="s">
        <v>375</v>
      </c>
      <c r="Q469" s="77">
        <v>45800</v>
      </c>
      <c r="R469" s="78" t="s">
        <v>48</v>
      </c>
      <c r="S469" s="36" t="str">
        <f>VLOOKUP(Tabla911[[#This Row],[CODIGO DEL PRODUCTO]],Tabla79[],2,FALSE)</f>
        <v>PIEDRA 6-12</v>
      </c>
      <c r="T469" s="37">
        <v>36040</v>
      </c>
      <c r="U469" s="92"/>
    </row>
    <row r="470" spans="8:24" x14ac:dyDescent="0.25">
      <c r="H470" s="34">
        <v>11575</v>
      </c>
      <c r="I470" s="34" t="s">
        <v>496</v>
      </c>
      <c r="J470" s="35">
        <v>45874</v>
      </c>
      <c r="K470" s="36" t="s">
        <v>42</v>
      </c>
      <c r="L470" s="39" t="str">
        <f>VLOOKUP(Tabla810[[#This Row],[CODIGO DEL PRODUCTO]],Tabla79[],2,FALSE)</f>
        <v>ARENA FINA</v>
      </c>
      <c r="M470" s="37">
        <v>2000</v>
      </c>
      <c r="O470" s="76">
        <v>101288</v>
      </c>
      <c r="P470" s="76" t="s">
        <v>218</v>
      </c>
      <c r="Q470" s="77">
        <v>45800</v>
      </c>
      <c r="R470" s="78" t="s">
        <v>43</v>
      </c>
      <c r="S470" s="36" t="str">
        <f>VLOOKUP(Tabla911[[#This Row],[CODIGO DEL PRODUCTO]],Tabla79[],2,FALSE)</f>
        <v>PIEDRA 6-20</v>
      </c>
      <c r="T470" s="37">
        <v>35320</v>
      </c>
      <c r="U470" s="92"/>
    </row>
    <row r="471" spans="8:24" x14ac:dyDescent="0.25">
      <c r="H471" s="34"/>
      <c r="I471" s="34" t="s">
        <v>496</v>
      </c>
      <c r="J471" s="35">
        <v>45874</v>
      </c>
      <c r="K471" s="36" t="s">
        <v>43</v>
      </c>
      <c r="L471" s="39" t="str">
        <f>VLOOKUP(Tabla810[[#This Row],[CODIGO DEL PRODUCTO]],Tabla79[],2,FALSE)</f>
        <v>PIEDRA 6-20</v>
      </c>
      <c r="M471" s="37">
        <v>2000</v>
      </c>
      <c r="O471" s="76">
        <v>136943</v>
      </c>
      <c r="P471" s="76" t="s">
        <v>338</v>
      </c>
      <c r="Q471" s="77">
        <v>45800</v>
      </c>
      <c r="R471" s="78" t="s">
        <v>43</v>
      </c>
      <c r="S471" s="36" t="str">
        <f>VLOOKUP(Tabla911[[#This Row],[CODIGO DEL PRODUCTO]],Tabla79[],2,FALSE)</f>
        <v>PIEDRA 6-20</v>
      </c>
      <c r="T471" s="37">
        <v>34360</v>
      </c>
      <c r="U471" s="92"/>
    </row>
    <row r="472" spans="8:24" x14ac:dyDescent="0.25">
      <c r="H472" s="34">
        <v>11577</v>
      </c>
      <c r="I472" s="34" t="s">
        <v>474</v>
      </c>
      <c r="J472" s="35">
        <v>45874</v>
      </c>
      <c r="K472" s="36" t="s">
        <v>42</v>
      </c>
      <c r="L472" s="39" t="str">
        <f>VLOOKUP(Tabla810[[#This Row],[CODIGO DEL PRODUCTO]],Tabla79[],2,FALSE)</f>
        <v>ARENA FINA</v>
      </c>
      <c r="M472" s="37">
        <v>5000</v>
      </c>
      <c r="O472" s="76">
        <v>136944</v>
      </c>
      <c r="P472" s="76" t="s">
        <v>118</v>
      </c>
      <c r="Q472" s="77">
        <v>45800</v>
      </c>
      <c r="R472" s="78" t="s">
        <v>43</v>
      </c>
      <c r="S472" s="36" t="str">
        <f>VLOOKUP(Tabla911[[#This Row],[CODIGO DEL PRODUCTO]],Tabla79[],2,FALSE)</f>
        <v>PIEDRA 6-20</v>
      </c>
      <c r="T472" s="37">
        <v>35300</v>
      </c>
      <c r="U472" s="92"/>
    </row>
    <row r="473" spans="8:24" x14ac:dyDescent="0.25">
      <c r="H473" s="34">
        <v>11580</v>
      </c>
      <c r="I473" s="34" t="s">
        <v>477</v>
      </c>
      <c r="J473" s="35">
        <v>45874</v>
      </c>
      <c r="K473" s="36" t="s">
        <v>372</v>
      </c>
      <c r="L473" s="39" t="str">
        <f>VLOOKUP(Tabla810[[#This Row],[CODIGO DEL PRODUCTO]],Tabla79[],2,FALSE)</f>
        <v xml:space="preserve">ESTABILIZADO GRANULOMETRICO 0/20 </v>
      </c>
      <c r="M473" s="37">
        <v>30000</v>
      </c>
      <c r="O473" s="76">
        <v>2629986</v>
      </c>
      <c r="P473" s="76" t="s">
        <v>65</v>
      </c>
      <c r="Q473" s="77">
        <v>45800</v>
      </c>
      <c r="R473" s="78" t="s">
        <v>286</v>
      </c>
      <c r="S473" s="36" t="str">
        <f>VLOOKUP(Tabla911[[#This Row],[CODIGO DEL PRODUCTO]],Tabla79[],2,FALSE)</f>
        <v>CPF 40 AVELLANEDA</v>
      </c>
      <c r="T473" s="37">
        <v>36280</v>
      </c>
      <c r="U473" s="92"/>
    </row>
    <row r="474" spans="8:24" x14ac:dyDescent="0.25">
      <c r="H474" s="34">
        <v>11584</v>
      </c>
      <c r="I474" s="34" t="s">
        <v>477</v>
      </c>
      <c r="J474" s="35">
        <v>45874</v>
      </c>
      <c r="K474" s="36" t="s">
        <v>372</v>
      </c>
      <c r="L474" s="39" t="str">
        <f>VLOOKUP(Tabla810[[#This Row],[CODIGO DEL PRODUCTO]],Tabla79[],2,FALSE)</f>
        <v xml:space="preserve">ESTABILIZADO GRANULOMETRICO 0/20 </v>
      </c>
      <c r="M474" s="37">
        <v>30000</v>
      </c>
      <c r="O474" s="76">
        <v>100632</v>
      </c>
      <c r="P474" s="76" t="s">
        <v>235</v>
      </c>
      <c r="Q474" s="77">
        <v>45801</v>
      </c>
      <c r="R474" s="78" t="s">
        <v>42</v>
      </c>
      <c r="S474" s="36" t="str">
        <f>VLOOKUP(Tabla911[[#This Row],[CODIGO DEL PRODUCTO]],Tabla79[],2,FALSE)</f>
        <v>ARENA FINA</v>
      </c>
      <c r="T474" s="37">
        <v>37280</v>
      </c>
      <c r="U474" s="92"/>
    </row>
    <row r="475" spans="8:24" x14ac:dyDescent="0.25">
      <c r="H475" s="34">
        <v>11586</v>
      </c>
      <c r="I475" s="34" t="s">
        <v>496</v>
      </c>
      <c r="J475" s="35">
        <v>45874</v>
      </c>
      <c r="K475" s="36" t="s">
        <v>42</v>
      </c>
      <c r="L475" s="39" t="str">
        <f>VLOOKUP(Tabla810[[#This Row],[CODIGO DEL PRODUCTO]],Tabla79[],2,FALSE)</f>
        <v>ARENA FINA</v>
      </c>
      <c r="M475" s="37">
        <v>3000</v>
      </c>
      <c r="O475" s="76">
        <v>101291</v>
      </c>
      <c r="P475" s="76" t="s">
        <v>234</v>
      </c>
      <c r="Q475" s="77">
        <v>45801</v>
      </c>
      <c r="R475" s="78" t="s">
        <v>48</v>
      </c>
      <c r="S475" s="36" t="str">
        <f>VLOOKUP(Tabla911[[#This Row],[CODIGO DEL PRODUCTO]],Tabla79[],2,FALSE)</f>
        <v>PIEDRA 6-12</v>
      </c>
      <c r="T475" s="37">
        <v>35060</v>
      </c>
      <c r="U475" s="92"/>
    </row>
    <row r="476" spans="8:24" x14ac:dyDescent="0.25">
      <c r="H476" s="34"/>
      <c r="I476" s="34" t="s">
        <v>496</v>
      </c>
      <c r="J476" s="35">
        <v>45874</v>
      </c>
      <c r="K476" s="36" t="s">
        <v>43</v>
      </c>
      <c r="L476" s="39" t="str">
        <f>VLOOKUP(Tabla810[[#This Row],[CODIGO DEL PRODUCTO]],Tabla79[],2,FALSE)</f>
        <v>PIEDRA 6-20</v>
      </c>
      <c r="M476" s="37">
        <v>1000</v>
      </c>
      <c r="O476" s="76">
        <v>1006440</v>
      </c>
      <c r="P476" s="76" t="s">
        <v>235</v>
      </c>
      <c r="Q476" s="77">
        <v>45803</v>
      </c>
      <c r="R476" s="78" t="s">
        <v>42</v>
      </c>
      <c r="S476" s="36" t="str">
        <f>VLOOKUP(Tabla911[[#This Row],[CODIGO DEL PRODUCTO]],Tabla79[],2,FALSE)</f>
        <v>ARENA FINA</v>
      </c>
      <c r="T476" s="37">
        <v>35940</v>
      </c>
      <c r="U476" s="92"/>
      <c r="V476" s="7">
        <v>45803</v>
      </c>
      <c r="W476" t="s">
        <v>394</v>
      </c>
      <c r="X476" t="s">
        <v>395</v>
      </c>
    </row>
    <row r="477" spans="8:24" x14ac:dyDescent="0.25">
      <c r="H477" s="34">
        <v>11587</v>
      </c>
      <c r="I477" s="34" t="s">
        <v>472</v>
      </c>
      <c r="J477" s="35">
        <v>45874</v>
      </c>
      <c r="K477" s="36" t="s">
        <v>468</v>
      </c>
      <c r="L477" s="39" t="str">
        <f>VLOOKUP(Tabla810[[#This Row],[CODIGO DEL PRODUCTO]],Tabla79[],2,FALSE)</f>
        <v>ESTABILIZADO 0-100 X TN</v>
      </c>
      <c r="M477" s="37">
        <v>24800</v>
      </c>
      <c r="O477" s="76">
        <v>100642</v>
      </c>
      <c r="P477" s="76" t="s">
        <v>370</v>
      </c>
      <c r="Q477" s="77">
        <v>45803</v>
      </c>
      <c r="R477" s="78" t="s">
        <v>42</v>
      </c>
      <c r="S477" s="36" t="str">
        <f>VLOOKUP(Tabla911[[#This Row],[CODIGO DEL PRODUCTO]],Tabla79[],2,FALSE)</f>
        <v>ARENA FINA</v>
      </c>
      <c r="T477" s="37">
        <v>33980</v>
      </c>
      <c r="U477" s="92"/>
    </row>
    <row r="478" spans="8:24" x14ac:dyDescent="0.25">
      <c r="H478" s="34">
        <v>11603</v>
      </c>
      <c r="I478" s="34" t="s">
        <v>495</v>
      </c>
      <c r="J478" s="35">
        <v>45875</v>
      </c>
      <c r="K478" s="36" t="s">
        <v>468</v>
      </c>
      <c r="L478" s="39" t="str">
        <f>VLOOKUP(Tabla810[[#This Row],[CODIGO DEL PRODUCTO]],Tabla79[],2,FALSE)</f>
        <v>ESTABILIZADO 0-100 X TN</v>
      </c>
      <c r="M478" s="37">
        <v>24680</v>
      </c>
      <c r="O478" s="76">
        <v>101321</v>
      </c>
      <c r="P478" s="76" t="s">
        <v>355</v>
      </c>
      <c r="Q478" s="77">
        <v>45803</v>
      </c>
      <c r="R478" s="78" t="s">
        <v>48</v>
      </c>
      <c r="S478" s="36" t="str">
        <f>VLOOKUP(Tabla911[[#This Row],[CODIGO DEL PRODUCTO]],Tabla79[],2,FALSE)</f>
        <v>PIEDRA 6-12</v>
      </c>
      <c r="T478" s="37">
        <v>34620</v>
      </c>
      <c r="U478" s="92"/>
    </row>
    <row r="479" spans="8:24" x14ac:dyDescent="0.25">
      <c r="H479" s="34">
        <v>11604</v>
      </c>
      <c r="I479" s="34" t="s">
        <v>472</v>
      </c>
      <c r="J479" s="35">
        <v>45875</v>
      </c>
      <c r="K479" s="36" t="s">
        <v>468</v>
      </c>
      <c r="L479" s="39" t="str">
        <f>VLOOKUP(Tabla810[[#This Row],[CODIGO DEL PRODUCTO]],Tabla79[],2,FALSE)</f>
        <v>ESTABILIZADO 0-100 X TN</v>
      </c>
      <c r="M479" s="37">
        <v>23540</v>
      </c>
      <c r="O479" s="76">
        <v>101325</v>
      </c>
      <c r="P479" s="76" t="s">
        <v>218</v>
      </c>
      <c r="Q479" s="77">
        <v>45803</v>
      </c>
      <c r="R479" s="78" t="s">
        <v>43</v>
      </c>
      <c r="S479" s="36" t="str">
        <f>VLOOKUP(Tabla911[[#This Row],[CODIGO DEL PRODUCTO]],Tabla79[],2,FALSE)</f>
        <v>PIEDRA 6-20</v>
      </c>
      <c r="T479" s="37">
        <v>35220</v>
      </c>
      <c r="U479" s="92"/>
    </row>
    <row r="480" spans="8:24" x14ac:dyDescent="0.25">
      <c r="H480" s="34">
        <v>11612</v>
      </c>
      <c r="I480" s="34" t="s">
        <v>472</v>
      </c>
      <c r="J480" s="35">
        <v>45875</v>
      </c>
      <c r="K480" s="36" t="s">
        <v>468</v>
      </c>
      <c r="L480" s="39" t="str">
        <f>VLOOKUP(Tabla810[[#This Row],[CODIGO DEL PRODUCTO]],Tabla79[],2,FALSE)</f>
        <v>ESTABILIZADO 0-100 X TN</v>
      </c>
      <c r="M480" s="37">
        <v>28000</v>
      </c>
      <c r="O480" s="76">
        <v>101330</v>
      </c>
      <c r="P480" s="76" t="s">
        <v>244</v>
      </c>
      <c r="Q480" s="77">
        <v>45803</v>
      </c>
      <c r="R480" s="78" t="s">
        <v>43</v>
      </c>
      <c r="S480" s="36" t="str">
        <f>VLOOKUP(Tabla911[[#This Row],[CODIGO DEL PRODUCTO]],Tabla79[],2,FALSE)</f>
        <v>PIEDRA 6-20</v>
      </c>
      <c r="T480" s="37">
        <v>34560</v>
      </c>
      <c r="U480" s="92"/>
    </row>
    <row r="481" spans="8:24" x14ac:dyDescent="0.25">
      <c r="H481" s="34">
        <v>11618</v>
      </c>
      <c r="I481" s="34" t="s">
        <v>310</v>
      </c>
      <c r="J481" s="35">
        <v>45875</v>
      </c>
      <c r="K481" s="36" t="s">
        <v>42</v>
      </c>
      <c r="L481" s="39" t="str">
        <f>VLOOKUP(Tabla810[[#This Row],[CODIGO DEL PRODUCTO]],Tabla79[],2,FALSE)</f>
        <v>ARENA FINA</v>
      </c>
      <c r="M481" s="37">
        <v>500</v>
      </c>
      <c r="O481" s="76">
        <v>101336</v>
      </c>
      <c r="P481" s="76" t="s">
        <v>375</v>
      </c>
      <c r="Q481" s="77">
        <v>45803</v>
      </c>
      <c r="R481" s="78" t="s">
        <v>48</v>
      </c>
      <c r="S481" s="36" t="str">
        <f>VLOOKUP(Tabla911[[#This Row],[CODIGO DEL PRODUCTO]],Tabla79[],2,FALSE)</f>
        <v>PIEDRA 6-12</v>
      </c>
      <c r="T481" s="37">
        <v>34960</v>
      </c>
      <c r="U481" s="92"/>
    </row>
    <row r="482" spans="8:24" x14ac:dyDescent="0.25">
      <c r="H482" s="34">
        <v>11630</v>
      </c>
      <c r="I482" s="34" t="s">
        <v>496</v>
      </c>
      <c r="J482" s="35">
        <v>45876</v>
      </c>
      <c r="K482" s="36" t="s">
        <v>42</v>
      </c>
      <c r="L482" s="39" t="str">
        <f>VLOOKUP(Tabla810[[#This Row],[CODIGO DEL PRODUCTO]],Tabla79[],2,FALSE)</f>
        <v>ARENA FINA</v>
      </c>
      <c r="M482" s="37">
        <v>2000</v>
      </c>
      <c r="O482" s="76">
        <v>137036</v>
      </c>
      <c r="P482" s="76" t="s">
        <v>140</v>
      </c>
      <c r="Q482" s="77">
        <v>45803</v>
      </c>
      <c r="R482" s="78" t="s">
        <v>43</v>
      </c>
      <c r="S482" s="36" t="str">
        <f>VLOOKUP(Tabla911[[#This Row],[CODIGO DEL PRODUCTO]],Tabla79[],2,FALSE)</f>
        <v>PIEDRA 6-20</v>
      </c>
      <c r="T482" s="37">
        <v>36100</v>
      </c>
      <c r="U482" s="92"/>
    </row>
    <row r="483" spans="8:24" x14ac:dyDescent="0.25">
      <c r="H483" s="34"/>
      <c r="I483" s="34" t="s">
        <v>496</v>
      </c>
      <c r="J483" s="35">
        <v>45876</v>
      </c>
      <c r="K483" s="36" t="s">
        <v>43</v>
      </c>
      <c r="L483" s="39" t="str">
        <f>VLOOKUP(Tabla810[[#This Row],[CODIGO DEL PRODUCTO]],Tabla79[],2,FALSE)</f>
        <v>PIEDRA 6-20</v>
      </c>
      <c r="M483" s="37">
        <v>2000</v>
      </c>
      <c r="O483" s="76">
        <v>2630495</v>
      </c>
      <c r="P483" s="76" t="s">
        <v>65</v>
      </c>
      <c r="Q483" s="77">
        <v>45803</v>
      </c>
      <c r="R483" s="78" t="s">
        <v>286</v>
      </c>
      <c r="S483" s="36" t="str">
        <f>VLOOKUP(Tabla911[[#This Row],[CODIGO DEL PRODUCTO]],Tabla79[],2,FALSE)</f>
        <v>CPF 40 AVELLANEDA</v>
      </c>
      <c r="T483" s="37">
        <v>36400</v>
      </c>
      <c r="U483" s="92"/>
    </row>
    <row r="484" spans="8:24" x14ac:dyDescent="0.25">
      <c r="H484" s="34">
        <v>11631</v>
      </c>
      <c r="I484" s="34" t="s">
        <v>472</v>
      </c>
      <c r="J484" s="35">
        <v>45876</v>
      </c>
      <c r="K484" s="36" t="s">
        <v>46</v>
      </c>
      <c r="L484" s="39" t="str">
        <f>VLOOKUP(Tabla810[[#This Row],[CODIGO DEL PRODUCTO]],Tabla79[],2,FALSE)</f>
        <v>PIEDRA 10-30</v>
      </c>
      <c r="M484" s="37">
        <v>21820</v>
      </c>
      <c r="O484" s="76">
        <v>100649</v>
      </c>
      <c r="P484" s="76" t="s">
        <v>370</v>
      </c>
      <c r="Q484" s="77">
        <v>45804</v>
      </c>
      <c r="R484" s="78" t="s">
        <v>42</v>
      </c>
      <c r="S484" s="36" t="str">
        <f>VLOOKUP(Tabla911[[#This Row],[CODIGO DEL PRODUCTO]],Tabla79[],2,FALSE)</f>
        <v>ARENA FINA</v>
      </c>
      <c r="T484" s="37">
        <v>35380</v>
      </c>
      <c r="U484" s="92"/>
      <c r="V484" s="7">
        <v>45804</v>
      </c>
      <c r="W484" t="s">
        <v>396</v>
      </c>
      <c r="X484" t="s">
        <v>397</v>
      </c>
    </row>
    <row r="485" spans="8:24" x14ac:dyDescent="0.25">
      <c r="H485" s="34">
        <v>11634</v>
      </c>
      <c r="I485" s="34" t="s">
        <v>495</v>
      </c>
      <c r="J485" s="35">
        <v>45876</v>
      </c>
      <c r="K485" s="36" t="s">
        <v>468</v>
      </c>
      <c r="L485" s="39" t="str">
        <f>VLOOKUP(Tabla810[[#This Row],[CODIGO DEL PRODUCTO]],Tabla79[],2,FALSE)</f>
        <v>ESTABILIZADO 0-100 X TN</v>
      </c>
      <c r="M485" s="37">
        <v>16740</v>
      </c>
      <c r="O485" s="76">
        <v>100651</v>
      </c>
      <c r="P485" s="76" t="s">
        <v>235</v>
      </c>
      <c r="Q485" s="77">
        <v>45804</v>
      </c>
      <c r="R485" s="78" t="s">
        <v>42</v>
      </c>
      <c r="S485" s="36" t="str">
        <f>VLOOKUP(Tabla911[[#This Row],[CODIGO DEL PRODUCTO]],Tabla79[],2,FALSE)</f>
        <v>ARENA FINA</v>
      </c>
      <c r="T485" s="37">
        <v>35820</v>
      </c>
      <c r="U485" s="92"/>
    </row>
    <row r="486" spans="8:24" x14ac:dyDescent="0.25">
      <c r="H486" s="34">
        <v>11635</v>
      </c>
      <c r="I486" s="34" t="s">
        <v>472</v>
      </c>
      <c r="J486" s="35">
        <v>45876</v>
      </c>
      <c r="K486" s="36" t="s">
        <v>46</v>
      </c>
      <c r="L486" s="39" t="str">
        <f>VLOOKUP(Tabla810[[#This Row],[CODIGO DEL PRODUCTO]],Tabla79[],2,FALSE)</f>
        <v>PIEDRA 10-30</v>
      </c>
      <c r="M486" s="37">
        <v>26480</v>
      </c>
      <c r="O486" s="76">
        <v>101342</v>
      </c>
      <c r="P486" s="76" t="s">
        <v>263</v>
      </c>
      <c r="Q486" s="77">
        <v>45804</v>
      </c>
      <c r="R486" s="78" t="s">
        <v>43</v>
      </c>
      <c r="S486" s="36" t="str">
        <f>VLOOKUP(Tabla911[[#This Row],[CODIGO DEL PRODUCTO]],Tabla79[],2,FALSE)</f>
        <v>PIEDRA 6-20</v>
      </c>
      <c r="T486" s="37">
        <v>34480</v>
      </c>
      <c r="U486" s="92"/>
    </row>
    <row r="487" spans="8:24" x14ac:dyDescent="0.25">
      <c r="H487" s="34">
        <v>11641</v>
      </c>
      <c r="I487" s="34" t="s">
        <v>472</v>
      </c>
      <c r="J487" s="35">
        <v>45876</v>
      </c>
      <c r="K487" s="36" t="s">
        <v>468</v>
      </c>
      <c r="L487" s="39" t="str">
        <f>VLOOKUP(Tabla810[[#This Row],[CODIGO DEL PRODUCTO]],Tabla79[],2,FALSE)</f>
        <v>ESTABILIZADO 0-100 X TN</v>
      </c>
      <c r="M487" s="37">
        <v>23520</v>
      </c>
      <c r="O487" s="76">
        <v>101365</v>
      </c>
      <c r="P487" s="76" t="s">
        <v>218</v>
      </c>
      <c r="Q487" s="77">
        <v>45804</v>
      </c>
      <c r="R487" s="78" t="s">
        <v>43</v>
      </c>
      <c r="S487" s="36" t="str">
        <f>VLOOKUP(Tabla911[[#This Row],[CODIGO DEL PRODUCTO]],Tabla79[],2,FALSE)</f>
        <v>PIEDRA 6-20</v>
      </c>
      <c r="T487" s="37">
        <v>35360</v>
      </c>
      <c r="U487" s="92"/>
    </row>
    <row r="488" spans="8:24" x14ac:dyDescent="0.25">
      <c r="H488" s="34">
        <v>11665</v>
      </c>
      <c r="I488" s="34" t="s">
        <v>472</v>
      </c>
      <c r="J488" s="35">
        <v>45876</v>
      </c>
      <c r="K488" s="36" t="s">
        <v>468</v>
      </c>
      <c r="L488" s="39" t="str">
        <f>VLOOKUP(Tabla810[[#This Row],[CODIGO DEL PRODUCTO]],Tabla79[],2,FALSE)</f>
        <v>ESTABILIZADO 0-100 X TN</v>
      </c>
      <c r="M488" s="37">
        <v>24420</v>
      </c>
      <c r="O488" s="76">
        <v>101378</v>
      </c>
      <c r="P488" s="76" t="s">
        <v>375</v>
      </c>
      <c r="Q488" s="77">
        <v>45804</v>
      </c>
      <c r="R488" s="78" t="s">
        <v>48</v>
      </c>
      <c r="S488" s="36" t="str">
        <f>VLOOKUP(Tabla911[[#This Row],[CODIGO DEL PRODUCTO]],Tabla79[],2,FALSE)</f>
        <v>PIEDRA 6-12</v>
      </c>
      <c r="T488" s="37">
        <v>34340</v>
      </c>
      <c r="U488" s="92"/>
    </row>
    <row r="489" spans="8:24" x14ac:dyDescent="0.25">
      <c r="H489" s="34">
        <v>11671</v>
      </c>
      <c r="I489" s="34" t="s">
        <v>472</v>
      </c>
      <c r="J489" s="35">
        <v>45876</v>
      </c>
      <c r="K489" s="36" t="s">
        <v>468</v>
      </c>
      <c r="L489" s="39" t="str">
        <f>VLOOKUP(Tabla810[[#This Row],[CODIGO DEL PRODUCTO]],Tabla79[],2,FALSE)</f>
        <v>ESTABILIZADO 0-100 X TN</v>
      </c>
      <c r="M489" s="37">
        <v>23880</v>
      </c>
      <c r="O489" s="76">
        <v>101382</v>
      </c>
      <c r="P489" s="76" t="s">
        <v>244</v>
      </c>
      <c r="Q489" s="77">
        <v>45804</v>
      </c>
      <c r="R489" s="78" t="s">
        <v>43</v>
      </c>
      <c r="S489" s="36" t="str">
        <f>VLOOKUP(Tabla911[[#This Row],[CODIGO DEL PRODUCTO]],Tabla79[],2,FALSE)</f>
        <v>PIEDRA 6-20</v>
      </c>
      <c r="T489" s="37">
        <v>33580</v>
      </c>
      <c r="U489" s="92"/>
    </row>
    <row r="490" spans="8:24" x14ac:dyDescent="0.25">
      <c r="H490" s="34">
        <v>11674</v>
      </c>
      <c r="I490" s="34" t="s">
        <v>381</v>
      </c>
      <c r="J490" s="35">
        <v>45876</v>
      </c>
      <c r="K490" s="36" t="s">
        <v>42</v>
      </c>
      <c r="L490" s="39" t="str">
        <f>VLOOKUP(Tabla810[[#This Row],[CODIGO DEL PRODUCTO]],Tabla79[],2,FALSE)</f>
        <v>ARENA FINA</v>
      </c>
      <c r="M490" s="37">
        <v>1000</v>
      </c>
      <c r="O490" s="76">
        <v>100660</v>
      </c>
      <c r="P490" s="76" t="s">
        <v>235</v>
      </c>
      <c r="Q490" s="77">
        <v>45805</v>
      </c>
      <c r="R490" s="78" t="s">
        <v>42</v>
      </c>
      <c r="S490" s="36" t="str">
        <f>VLOOKUP(Tabla911[[#This Row],[CODIGO DEL PRODUCTO]],Tabla79[],2,FALSE)</f>
        <v>ARENA FINA</v>
      </c>
      <c r="T490" s="37">
        <v>36840</v>
      </c>
      <c r="U490" s="92"/>
    </row>
    <row r="491" spans="8:24" x14ac:dyDescent="0.25">
      <c r="H491" s="34"/>
      <c r="I491" s="34" t="s">
        <v>381</v>
      </c>
      <c r="J491" s="35">
        <v>45876</v>
      </c>
      <c r="K491" s="36" t="s">
        <v>43</v>
      </c>
      <c r="L491" s="39" t="str">
        <f>VLOOKUP(Tabla810[[#This Row],[CODIGO DEL PRODUCTO]],Tabla79[],2,FALSE)</f>
        <v>PIEDRA 6-20</v>
      </c>
      <c r="M491" s="37">
        <v>1000</v>
      </c>
      <c r="O491" s="76">
        <v>100667</v>
      </c>
      <c r="P491" s="76" t="s">
        <v>370</v>
      </c>
      <c r="Q491" s="77">
        <v>45805</v>
      </c>
      <c r="R491" s="78" t="s">
        <v>42</v>
      </c>
      <c r="S491" s="36" t="str">
        <f>VLOOKUP(Tabla911[[#This Row],[CODIGO DEL PRODUCTO]],Tabla79[],2,FALSE)</f>
        <v>ARENA FINA</v>
      </c>
      <c r="T491" s="37">
        <v>33980</v>
      </c>
      <c r="U491" s="92"/>
    </row>
    <row r="492" spans="8:24" x14ac:dyDescent="0.25">
      <c r="H492" s="34">
        <v>11685</v>
      </c>
      <c r="I492" s="34" t="s">
        <v>499</v>
      </c>
      <c r="J492" s="35">
        <v>45877</v>
      </c>
      <c r="K492" s="36" t="s">
        <v>43</v>
      </c>
      <c r="L492" s="39" t="str">
        <f>VLOOKUP(Tabla810[[#This Row],[CODIGO DEL PRODUCTO]],Tabla79[],2,FALSE)</f>
        <v>PIEDRA 6-20</v>
      </c>
      <c r="M492" s="37">
        <v>2000</v>
      </c>
      <c r="O492" s="76">
        <v>100670</v>
      </c>
      <c r="P492" s="76" t="s">
        <v>235</v>
      </c>
      <c r="Q492" s="77">
        <v>45805</v>
      </c>
      <c r="R492" s="78" t="s">
        <v>42</v>
      </c>
      <c r="S492" s="36" t="str">
        <f>VLOOKUP(Tabla911[[#This Row],[CODIGO DEL PRODUCTO]],Tabla79[],2,FALSE)</f>
        <v>ARENA FINA</v>
      </c>
      <c r="T492" s="37">
        <v>35860</v>
      </c>
      <c r="U492" s="92"/>
    </row>
    <row r="493" spans="8:24" x14ac:dyDescent="0.25">
      <c r="H493" s="34"/>
      <c r="I493" s="34" t="s">
        <v>499</v>
      </c>
      <c r="J493" s="35">
        <v>45877</v>
      </c>
      <c r="K493" s="36" t="s">
        <v>42</v>
      </c>
      <c r="L493" s="39" t="str">
        <f>VLOOKUP(Tabla810[[#This Row],[CODIGO DEL PRODUCTO]],Tabla79[],2,FALSE)</f>
        <v>ARENA FINA</v>
      </c>
      <c r="M493" s="37">
        <v>2000</v>
      </c>
      <c r="O493" s="76">
        <v>101368</v>
      </c>
      <c r="P493" s="76" t="s">
        <v>355</v>
      </c>
      <c r="Q493" s="77">
        <v>45805</v>
      </c>
      <c r="R493" s="78" t="s">
        <v>48</v>
      </c>
      <c r="S493" s="36" t="str">
        <f>VLOOKUP(Tabla911[[#This Row],[CODIGO DEL PRODUCTO]],Tabla79[],2,FALSE)</f>
        <v>PIEDRA 6-12</v>
      </c>
      <c r="T493" s="37">
        <v>35560</v>
      </c>
      <c r="U493" s="92"/>
    </row>
    <row r="494" spans="8:24" x14ac:dyDescent="0.25">
      <c r="H494" s="34">
        <v>11689</v>
      </c>
      <c r="I494" s="34" t="s">
        <v>472</v>
      </c>
      <c r="J494" s="35">
        <v>45877</v>
      </c>
      <c r="K494" s="36" t="s">
        <v>468</v>
      </c>
      <c r="L494" s="39" t="str">
        <f>VLOOKUP(Tabla810[[#This Row],[CODIGO DEL PRODUCTO]],Tabla79[],2,FALSE)</f>
        <v>ESTABILIZADO 0-100 X TN</v>
      </c>
      <c r="M494" s="37">
        <v>25860</v>
      </c>
      <c r="O494" s="76">
        <v>101397</v>
      </c>
      <c r="P494" s="76" t="s">
        <v>263</v>
      </c>
      <c r="Q494" s="77">
        <v>45805</v>
      </c>
      <c r="R494" s="78" t="s">
        <v>43</v>
      </c>
      <c r="S494" s="36" t="str">
        <f>VLOOKUP(Tabla911[[#This Row],[CODIGO DEL PRODUCTO]],Tabla79[],2,FALSE)</f>
        <v>PIEDRA 6-20</v>
      </c>
      <c r="T494" s="37">
        <v>34600</v>
      </c>
      <c r="U494" s="92"/>
    </row>
    <row r="495" spans="8:24" x14ac:dyDescent="0.25">
      <c r="H495" s="34">
        <v>11693</v>
      </c>
      <c r="I495" s="34" t="s">
        <v>472</v>
      </c>
      <c r="J495" s="35">
        <v>45877</v>
      </c>
      <c r="K495" s="36" t="s">
        <v>468</v>
      </c>
      <c r="L495" s="39" t="str">
        <f>VLOOKUP(Tabla810[[#This Row],[CODIGO DEL PRODUCTO]],Tabla79[],2,FALSE)</f>
        <v>ESTABILIZADO 0-100 X TN</v>
      </c>
      <c r="M495" s="37">
        <v>24020</v>
      </c>
      <c r="O495" s="76">
        <v>101426</v>
      </c>
      <c r="P495" s="76" t="s">
        <v>218</v>
      </c>
      <c r="Q495" s="77">
        <v>45805</v>
      </c>
      <c r="R495" s="78" t="s">
        <v>43</v>
      </c>
      <c r="S495" s="36" t="str">
        <f>VLOOKUP(Tabla911[[#This Row],[CODIGO DEL PRODUCTO]],Tabla79[],2,FALSE)</f>
        <v>PIEDRA 6-20</v>
      </c>
      <c r="T495" s="37">
        <v>35080</v>
      </c>
      <c r="U495" s="92"/>
    </row>
    <row r="496" spans="8:24" x14ac:dyDescent="0.25">
      <c r="H496" s="34">
        <v>11695</v>
      </c>
      <c r="I496" s="34" t="s">
        <v>500</v>
      </c>
      <c r="J496" s="35">
        <v>45877</v>
      </c>
      <c r="K496" s="36" t="s">
        <v>42</v>
      </c>
      <c r="L496" s="39" t="str">
        <f>VLOOKUP(Tabla810[[#This Row],[CODIGO DEL PRODUCTO]],Tabla79[],2,FALSE)</f>
        <v>ARENA FINA</v>
      </c>
      <c r="M496" s="37">
        <v>2000</v>
      </c>
      <c r="O496" s="76">
        <v>101428</v>
      </c>
      <c r="P496" s="76" t="s">
        <v>375</v>
      </c>
      <c r="Q496" s="77">
        <v>45805</v>
      </c>
      <c r="R496" s="78" t="s">
        <v>48</v>
      </c>
      <c r="S496" s="36" t="str">
        <f>VLOOKUP(Tabla911[[#This Row],[CODIGO DEL PRODUCTO]],Tabla79[],2,FALSE)</f>
        <v>PIEDRA 6-12</v>
      </c>
      <c r="T496" s="37">
        <v>34880</v>
      </c>
      <c r="U496" s="92"/>
    </row>
    <row r="497" spans="8:21" x14ac:dyDescent="0.25">
      <c r="H497" s="34">
        <v>11704</v>
      </c>
      <c r="I497" s="34" t="s">
        <v>472</v>
      </c>
      <c r="J497" s="35">
        <v>45877</v>
      </c>
      <c r="K497" s="36" t="s">
        <v>468</v>
      </c>
      <c r="L497" s="39" t="str">
        <f>VLOOKUP(Tabla810[[#This Row],[CODIGO DEL PRODUCTO]],Tabla79[],2,FALSE)</f>
        <v>ESTABILIZADO 0-100 X TN</v>
      </c>
      <c r="M497" s="37">
        <v>27860</v>
      </c>
      <c r="O497" s="76">
        <v>101443</v>
      </c>
      <c r="P497" s="76" t="s">
        <v>244</v>
      </c>
      <c r="Q497" s="77">
        <v>45805</v>
      </c>
      <c r="R497" s="78" t="s">
        <v>43</v>
      </c>
      <c r="S497" s="36" t="str">
        <f>VLOOKUP(Tabla911[[#This Row],[CODIGO DEL PRODUCTO]],Tabla79[],2,FALSE)</f>
        <v>PIEDRA 6-20</v>
      </c>
      <c r="T497" s="37">
        <v>34400</v>
      </c>
      <c r="U497" s="92"/>
    </row>
    <row r="498" spans="8:21" x14ac:dyDescent="0.25">
      <c r="H498" s="34">
        <v>11712</v>
      </c>
      <c r="I498" s="34" t="s">
        <v>472</v>
      </c>
      <c r="J498" s="35">
        <v>45877</v>
      </c>
      <c r="K498" s="36" t="s">
        <v>468</v>
      </c>
      <c r="L498" s="39" t="str">
        <f>VLOOKUP(Tabla810[[#This Row],[CODIGO DEL PRODUCTO]],Tabla79[],2,FALSE)</f>
        <v>ESTABILIZADO 0-100 X TN</v>
      </c>
      <c r="M498" s="37">
        <v>24160</v>
      </c>
      <c r="O498" s="76">
        <v>2630775</v>
      </c>
      <c r="P498" s="76" t="s">
        <v>65</v>
      </c>
      <c r="Q498" s="77">
        <v>45805</v>
      </c>
      <c r="R498" s="78" t="s">
        <v>286</v>
      </c>
      <c r="S498" s="36" t="str">
        <f>VLOOKUP(Tabla911[[#This Row],[CODIGO DEL PRODUCTO]],Tabla79[],2,FALSE)</f>
        <v>CPF 40 AVELLANEDA</v>
      </c>
      <c r="T498" s="37">
        <v>36040</v>
      </c>
      <c r="U498" s="92"/>
    </row>
    <row r="499" spans="8:21" x14ac:dyDescent="0.25">
      <c r="H499" s="34">
        <v>11714</v>
      </c>
      <c r="I499" s="34" t="s">
        <v>495</v>
      </c>
      <c r="J499" s="35">
        <v>45877</v>
      </c>
      <c r="K499" s="36" t="s">
        <v>468</v>
      </c>
      <c r="L499" s="39" t="str">
        <f>VLOOKUP(Tabla810[[#This Row],[CODIGO DEL PRODUCTO]],Tabla79[],2,FALSE)</f>
        <v>ESTABILIZADO 0-100 X TN</v>
      </c>
      <c r="M499" s="37">
        <v>29140</v>
      </c>
      <c r="O499" s="76">
        <v>100681</v>
      </c>
      <c r="P499" s="76" t="s">
        <v>235</v>
      </c>
      <c r="Q499" s="77">
        <v>45806</v>
      </c>
      <c r="R499" s="78" t="s">
        <v>42</v>
      </c>
      <c r="S499" s="36" t="str">
        <f>VLOOKUP(Tabla911[[#This Row],[CODIGO DEL PRODUCTO]],Tabla79[],2,FALSE)</f>
        <v>ARENA FINA</v>
      </c>
      <c r="T499" s="37">
        <v>35300</v>
      </c>
      <c r="U499" s="92"/>
    </row>
    <row r="500" spans="8:21" x14ac:dyDescent="0.25">
      <c r="H500" s="34">
        <v>11717</v>
      </c>
      <c r="I500" s="34" t="s">
        <v>474</v>
      </c>
      <c r="J500" s="35">
        <v>45877</v>
      </c>
      <c r="K500" s="36" t="s">
        <v>42</v>
      </c>
      <c r="L500" s="39" t="str">
        <f>VLOOKUP(Tabla810[[#This Row],[CODIGO DEL PRODUCTO]],Tabla79[],2,FALSE)</f>
        <v>ARENA FINA</v>
      </c>
      <c r="M500" s="37">
        <v>6380</v>
      </c>
      <c r="O500" s="76">
        <v>100688</v>
      </c>
      <c r="P500" s="76" t="s">
        <v>370</v>
      </c>
      <c r="Q500" s="77">
        <v>45806</v>
      </c>
      <c r="R500" s="78" t="s">
        <v>42</v>
      </c>
      <c r="S500" s="36" t="str">
        <f>VLOOKUP(Tabla911[[#This Row],[CODIGO DEL PRODUCTO]],Tabla79[],2,FALSE)</f>
        <v>ARENA FINA</v>
      </c>
      <c r="T500" s="37">
        <v>36000</v>
      </c>
      <c r="U500" s="92"/>
    </row>
    <row r="501" spans="8:21" x14ac:dyDescent="0.25">
      <c r="H501" s="34">
        <v>11727</v>
      </c>
      <c r="I501" s="34" t="s">
        <v>495</v>
      </c>
      <c r="J501" s="35">
        <v>45878</v>
      </c>
      <c r="K501" s="36" t="s">
        <v>468</v>
      </c>
      <c r="L501" s="39" t="str">
        <f>VLOOKUP(Tabla810[[#This Row],[CODIGO DEL PRODUCTO]],Tabla79[],2,FALSE)</f>
        <v>ESTABILIZADO 0-100 X TN</v>
      </c>
      <c r="M501" s="37">
        <v>30360</v>
      </c>
      <c r="O501" s="76">
        <v>100689</v>
      </c>
      <c r="P501" s="76" t="s">
        <v>235</v>
      </c>
      <c r="Q501" s="77">
        <v>45806</v>
      </c>
      <c r="R501" s="78" t="s">
        <v>42</v>
      </c>
      <c r="S501" s="36" t="str">
        <f>VLOOKUP(Tabla911[[#This Row],[CODIGO DEL PRODUCTO]],Tabla79[],2,FALSE)</f>
        <v>ARENA FINA</v>
      </c>
      <c r="T501" s="37">
        <v>35320</v>
      </c>
      <c r="U501" s="92"/>
    </row>
    <row r="502" spans="8:21" x14ac:dyDescent="0.25">
      <c r="H502" s="34">
        <v>11757</v>
      </c>
      <c r="I502" s="34" t="s">
        <v>507</v>
      </c>
      <c r="J502" s="35">
        <v>45880</v>
      </c>
      <c r="K502" s="36" t="s">
        <v>42</v>
      </c>
      <c r="L502" s="39" t="str">
        <f>VLOOKUP(Tabla810[[#This Row],[CODIGO DEL PRODUCTO]],Tabla79[],2,FALSE)</f>
        <v>ARENA FINA</v>
      </c>
      <c r="M502" s="37">
        <v>2000</v>
      </c>
      <c r="O502" s="76">
        <v>101463</v>
      </c>
      <c r="P502" s="76" t="s">
        <v>263</v>
      </c>
      <c r="Q502" s="77">
        <v>45806</v>
      </c>
      <c r="R502" s="78" t="s">
        <v>43</v>
      </c>
      <c r="S502" s="36" t="str">
        <f>VLOOKUP(Tabla911[[#This Row],[CODIGO DEL PRODUCTO]],Tabla79[],2,FALSE)</f>
        <v>PIEDRA 6-20</v>
      </c>
      <c r="T502" s="37">
        <v>35740</v>
      </c>
      <c r="U502" s="92"/>
    </row>
    <row r="503" spans="8:21" x14ac:dyDescent="0.25">
      <c r="H503" s="34">
        <v>11779</v>
      </c>
      <c r="I503" s="34" t="s">
        <v>495</v>
      </c>
      <c r="J503" s="35">
        <v>45881</v>
      </c>
      <c r="K503" s="36" t="s">
        <v>372</v>
      </c>
      <c r="L503" s="39" t="str">
        <f>VLOOKUP(Tabla810[[#This Row],[CODIGO DEL PRODUCTO]],Tabla79[],2,FALSE)</f>
        <v xml:space="preserve">ESTABILIZADO GRANULOMETRICO 0/20 </v>
      </c>
      <c r="M503" s="37">
        <v>28440</v>
      </c>
      <c r="O503" s="76">
        <v>101481</v>
      </c>
      <c r="P503" s="76" t="s">
        <v>355</v>
      </c>
      <c r="Q503" s="77">
        <v>45806</v>
      </c>
      <c r="R503" s="78" t="s">
        <v>48</v>
      </c>
      <c r="S503" s="36" t="str">
        <f>VLOOKUP(Tabla911[[#This Row],[CODIGO DEL PRODUCTO]],Tabla79[],2,FALSE)</f>
        <v>PIEDRA 6-12</v>
      </c>
      <c r="T503" s="37">
        <v>35420</v>
      </c>
      <c r="U503" s="92"/>
    </row>
    <row r="504" spans="8:21" x14ac:dyDescent="0.25">
      <c r="H504" s="34">
        <v>11789</v>
      </c>
      <c r="I504" s="34" t="s">
        <v>495</v>
      </c>
      <c r="J504" s="35">
        <v>45881</v>
      </c>
      <c r="K504" s="36" t="s">
        <v>372</v>
      </c>
      <c r="L504" s="39" t="str">
        <f>VLOOKUP(Tabla810[[#This Row],[CODIGO DEL PRODUCTO]],Tabla79[],2,FALSE)</f>
        <v xml:space="preserve">ESTABILIZADO GRANULOMETRICO 0/20 </v>
      </c>
      <c r="M504" s="37">
        <v>29360</v>
      </c>
      <c r="O504" s="76">
        <v>101490</v>
      </c>
      <c r="P504" s="76" t="s">
        <v>375</v>
      </c>
      <c r="Q504" s="77">
        <v>45806</v>
      </c>
      <c r="R504" s="78" t="s">
        <v>48</v>
      </c>
      <c r="S504" s="36" t="str">
        <f>VLOOKUP(Tabla911[[#This Row],[CODIGO DEL PRODUCTO]],Tabla79[],2,FALSE)</f>
        <v>PIEDRA 6-12</v>
      </c>
      <c r="T504" s="37">
        <v>34940</v>
      </c>
      <c r="U504" s="92"/>
    </row>
    <row r="505" spans="8:21" x14ac:dyDescent="0.25">
      <c r="H505" s="34">
        <v>11805</v>
      </c>
      <c r="I505" s="34" t="s">
        <v>508</v>
      </c>
      <c r="J505" s="35">
        <v>45881</v>
      </c>
      <c r="K505" s="36" t="s">
        <v>40</v>
      </c>
      <c r="L505" s="39" t="str">
        <f>VLOOKUP(Tabla810[[#This Row],[CODIGO DEL PRODUCTO]],Tabla79[],2,FALSE)</f>
        <v>PIEDRA 0-6</v>
      </c>
      <c r="M505" s="37">
        <v>1000</v>
      </c>
      <c r="O505" s="76">
        <v>101492</v>
      </c>
      <c r="P505" s="76" t="s">
        <v>218</v>
      </c>
      <c r="Q505" s="77">
        <v>45806</v>
      </c>
      <c r="R505" s="78" t="s">
        <v>43</v>
      </c>
      <c r="S505" s="36" t="str">
        <f>VLOOKUP(Tabla911[[#This Row],[CODIGO DEL PRODUCTO]],Tabla79[],2,FALSE)</f>
        <v>PIEDRA 6-20</v>
      </c>
      <c r="T505" s="37">
        <v>34540</v>
      </c>
      <c r="U505" s="92"/>
    </row>
    <row r="506" spans="8:21" x14ac:dyDescent="0.25">
      <c r="H506" s="34">
        <v>11810</v>
      </c>
      <c r="I506" s="34" t="s">
        <v>495</v>
      </c>
      <c r="J506" s="35">
        <v>45881</v>
      </c>
      <c r="K506" s="36" t="s">
        <v>372</v>
      </c>
      <c r="L506" s="39" t="str">
        <f>VLOOKUP(Tabla810[[#This Row],[CODIGO DEL PRODUCTO]],Tabla79[],2,FALSE)</f>
        <v xml:space="preserve">ESTABILIZADO GRANULOMETRICO 0/20 </v>
      </c>
      <c r="M506" s="37">
        <v>28420</v>
      </c>
      <c r="O506" s="76">
        <v>101499</v>
      </c>
      <c r="P506" s="76" t="s">
        <v>244</v>
      </c>
      <c r="Q506" s="77">
        <v>45806</v>
      </c>
      <c r="R506" s="78" t="s">
        <v>43</v>
      </c>
      <c r="S506" s="36" t="str">
        <f>VLOOKUP(Tabla911[[#This Row],[CODIGO DEL PRODUCTO]],Tabla79[],2,FALSE)</f>
        <v>PIEDRA 6-20</v>
      </c>
      <c r="T506" s="37">
        <v>33780</v>
      </c>
      <c r="U506" s="92"/>
    </row>
    <row r="507" spans="8:21" x14ac:dyDescent="0.25">
      <c r="H507" s="34">
        <v>11818</v>
      </c>
      <c r="I507" s="34" t="s">
        <v>495</v>
      </c>
      <c r="J507" s="35">
        <v>45882</v>
      </c>
      <c r="K507" s="36" t="s">
        <v>372</v>
      </c>
      <c r="L507" s="39" t="str">
        <f>VLOOKUP(Tabla810[[#This Row],[CODIGO DEL PRODUCTO]],Tabla79[],2,FALSE)</f>
        <v xml:space="preserve">ESTABILIZADO GRANULOMETRICO 0/20 </v>
      </c>
      <c r="M507" s="37">
        <v>30460</v>
      </c>
      <c r="O507" s="76">
        <v>2631286</v>
      </c>
      <c r="P507" s="76" t="s">
        <v>65</v>
      </c>
      <c r="Q507" s="77">
        <v>45806</v>
      </c>
      <c r="R507" s="78" t="s">
        <v>286</v>
      </c>
      <c r="S507" s="36" t="str">
        <f>VLOOKUP(Tabla911[[#This Row],[CODIGO DEL PRODUCTO]],Tabla79[],2,FALSE)</f>
        <v>CPF 40 AVELLANEDA</v>
      </c>
      <c r="T507" s="37">
        <v>36280</v>
      </c>
      <c r="U507" s="92"/>
    </row>
    <row r="508" spans="8:21" x14ac:dyDescent="0.25">
      <c r="H508" s="34">
        <v>11840</v>
      </c>
      <c r="I508" s="34" t="s">
        <v>478</v>
      </c>
      <c r="J508" s="35">
        <v>45882</v>
      </c>
      <c r="K508" s="36" t="s">
        <v>43</v>
      </c>
      <c r="L508" s="39" t="str">
        <f>VLOOKUP(Tabla810[[#This Row],[CODIGO DEL PRODUCTO]],Tabla79[],2,FALSE)</f>
        <v>PIEDRA 6-20</v>
      </c>
      <c r="M508" s="37">
        <v>2000</v>
      </c>
      <c r="O508" s="76">
        <v>100701</v>
      </c>
      <c r="P508" s="76" t="s">
        <v>235</v>
      </c>
      <c r="Q508" s="77">
        <v>45807</v>
      </c>
      <c r="R508" s="78" t="s">
        <v>42</v>
      </c>
      <c r="S508" s="36" t="str">
        <f>VLOOKUP(Tabla911[[#This Row],[CODIGO DEL PRODUCTO]],Tabla79[],2,FALSE)</f>
        <v>ARENA FINA</v>
      </c>
      <c r="T508" s="37">
        <v>34920</v>
      </c>
      <c r="U508" s="92"/>
    </row>
    <row r="509" spans="8:21" x14ac:dyDescent="0.25">
      <c r="H509" s="34"/>
      <c r="I509" s="34" t="s">
        <v>478</v>
      </c>
      <c r="J509" s="35">
        <v>45882</v>
      </c>
      <c r="K509" s="36" t="s">
        <v>42</v>
      </c>
      <c r="L509" s="39" t="str">
        <f>VLOOKUP(Tabla810[[#This Row],[CODIGO DEL PRODUCTO]],Tabla79[],2,FALSE)</f>
        <v>ARENA FINA</v>
      </c>
      <c r="M509" s="37">
        <v>1000</v>
      </c>
      <c r="O509" s="76">
        <v>100707</v>
      </c>
      <c r="P509" s="76" t="s">
        <v>235</v>
      </c>
      <c r="Q509" s="77">
        <v>45807</v>
      </c>
      <c r="R509" s="78" t="s">
        <v>42</v>
      </c>
      <c r="S509" s="36" t="str">
        <f>VLOOKUP(Tabla911[[#This Row],[CODIGO DEL PRODUCTO]],Tabla79[],2,FALSE)</f>
        <v>ARENA FINA</v>
      </c>
      <c r="T509" s="37">
        <v>36900</v>
      </c>
      <c r="U509" s="92"/>
    </row>
    <row r="510" spans="8:21" x14ac:dyDescent="0.25">
      <c r="H510" s="34">
        <v>11</v>
      </c>
      <c r="I510" s="34" t="s">
        <v>403</v>
      </c>
      <c r="J510" s="35">
        <v>45885</v>
      </c>
      <c r="K510" s="36" t="s">
        <v>43</v>
      </c>
      <c r="L510" s="39" t="str">
        <f>VLOOKUP(Tabla810[[#This Row],[CODIGO DEL PRODUCTO]],Tabla79[],2,FALSE)</f>
        <v>PIEDRA 6-20</v>
      </c>
      <c r="M510" s="37">
        <v>3000</v>
      </c>
      <c r="O510" s="76">
        <v>100710</v>
      </c>
      <c r="P510" s="76" t="s">
        <v>370</v>
      </c>
      <c r="Q510" s="77">
        <v>45807</v>
      </c>
      <c r="R510" s="78" t="s">
        <v>42</v>
      </c>
      <c r="S510" s="36" t="str">
        <f>VLOOKUP(Tabla911[[#This Row],[CODIGO DEL PRODUCTO]],Tabla79[],2,FALSE)</f>
        <v>ARENA FINA</v>
      </c>
      <c r="T510" s="37">
        <v>35140</v>
      </c>
      <c r="U510" s="92"/>
    </row>
    <row r="511" spans="8:21" x14ac:dyDescent="0.25">
      <c r="H511" s="34">
        <v>11881</v>
      </c>
      <c r="I511" s="34" t="s">
        <v>509</v>
      </c>
      <c r="J511" s="35">
        <v>45883</v>
      </c>
      <c r="K511" s="36" t="s">
        <v>42</v>
      </c>
      <c r="L511" s="39" t="str">
        <f>VLOOKUP(Tabla810[[#This Row],[CODIGO DEL PRODUCTO]],Tabla79[],2,FALSE)</f>
        <v>ARENA FINA</v>
      </c>
      <c r="M511" s="37">
        <v>1000</v>
      </c>
      <c r="O511" s="76">
        <v>101513</v>
      </c>
      <c r="P511" s="76" t="s">
        <v>355</v>
      </c>
      <c r="Q511" s="77">
        <v>45807</v>
      </c>
      <c r="R511" s="78" t="s">
        <v>48</v>
      </c>
      <c r="S511" s="36" t="str">
        <f>VLOOKUP(Tabla911[[#This Row],[CODIGO DEL PRODUCTO]],Tabla79[],2,FALSE)</f>
        <v>PIEDRA 6-12</v>
      </c>
      <c r="T511" s="37">
        <v>35180</v>
      </c>
      <c r="U511" s="92"/>
    </row>
    <row r="512" spans="8:21" x14ac:dyDescent="0.25">
      <c r="H512" s="34">
        <v>11892</v>
      </c>
      <c r="I512" s="34" t="s">
        <v>510</v>
      </c>
      <c r="J512" s="35">
        <v>45884</v>
      </c>
      <c r="K512" s="36" t="s">
        <v>43</v>
      </c>
      <c r="L512" s="39" t="str">
        <f>VLOOKUP(Tabla810[[#This Row],[CODIGO DEL PRODUCTO]],Tabla79[],2,FALSE)</f>
        <v>PIEDRA 6-20</v>
      </c>
      <c r="M512" s="37">
        <v>5000</v>
      </c>
      <c r="O512" s="76">
        <v>101516</v>
      </c>
      <c r="P512" s="76" t="s">
        <v>263</v>
      </c>
      <c r="Q512" s="77">
        <v>45807</v>
      </c>
      <c r="R512" s="78" t="s">
        <v>43</v>
      </c>
      <c r="S512" s="36" t="str">
        <f>VLOOKUP(Tabla911[[#This Row],[CODIGO DEL PRODUCTO]],Tabla79[],2,FALSE)</f>
        <v>PIEDRA 6-20</v>
      </c>
      <c r="T512" s="37">
        <v>34860</v>
      </c>
      <c r="U512" s="92"/>
    </row>
    <row r="513" spans="8:24" x14ac:dyDescent="0.25">
      <c r="H513" s="34">
        <v>11900</v>
      </c>
      <c r="I513" s="34" t="s">
        <v>510</v>
      </c>
      <c r="J513" s="35">
        <v>45884</v>
      </c>
      <c r="K513" s="36" t="s">
        <v>42</v>
      </c>
      <c r="L513" s="39" t="str">
        <f>VLOOKUP(Tabla810[[#This Row],[CODIGO DEL PRODUCTO]],Tabla79[],2,FALSE)</f>
        <v>ARENA FINA</v>
      </c>
      <c r="M513" s="37">
        <v>5000</v>
      </c>
      <c r="O513" s="76">
        <v>101528</v>
      </c>
      <c r="P513" s="76" t="s">
        <v>218</v>
      </c>
      <c r="Q513" s="77">
        <v>45807</v>
      </c>
      <c r="R513" s="78" t="s">
        <v>43</v>
      </c>
      <c r="S513" s="36" t="str">
        <f>VLOOKUP(Tabla911[[#This Row],[CODIGO DEL PRODUCTO]],Tabla79[],2,FALSE)</f>
        <v>PIEDRA 6-20</v>
      </c>
      <c r="T513" s="37">
        <v>34940</v>
      </c>
      <c r="U513" s="92"/>
    </row>
    <row r="514" spans="8:24" x14ac:dyDescent="0.25">
      <c r="H514" s="34">
        <v>11916</v>
      </c>
      <c r="I514" s="34" t="s">
        <v>472</v>
      </c>
      <c r="J514" s="35">
        <v>45884</v>
      </c>
      <c r="K514" s="36" t="s">
        <v>468</v>
      </c>
      <c r="L514" s="39" t="str">
        <f>VLOOKUP(Tabla810[[#This Row],[CODIGO DEL PRODUCTO]],Tabla79[],2,FALSE)</f>
        <v>ESTABILIZADO 0-100 X TN</v>
      </c>
      <c r="M514" s="37">
        <v>18140</v>
      </c>
      <c r="O514" s="76">
        <v>101551</v>
      </c>
      <c r="P514" s="76" t="s">
        <v>355</v>
      </c>
      <c r="Q514" s="77">
        <v>45807</v>
      </c>
      <c r="R514" s="78" t="s">
        <v>48</v>
      </c>
      <c r="S514" s="36" t="str">
        <f>VLOOKUP(Tabla911[[#This Row],[CODIGO DEL PRODUCTO]],Tabla79[],2,FALSE)</f>
        <v>PIEDRA 6-12</v>
      </c>
      <c r="T514" s="37">
        <v>35360</v>
      </c>
      <c r="U514" s="92"/>
    </row>
    <row r="515" spans="8:24" x14ac:dyDescent="0.25">
      <c r="H515" s="34">
        <v>11922</v>
      </c>
      <c r="I515" s="34" t="s">
        <v>499</v>
      </c>
      <c r="J515" s="35">
        <v>45884</v>
      </c>
      <c r="K515" s="36" t="s">
        <v>42</v>
      </c>
      <c r="L515" s="39" t="str">
        <f>VLOOKUP(Tabla810[[#This Row],[CODIGO DEL PRODUCTO]],Tabla79[],2,FALSE)</f>
        <v>ARENA FINA</v>
      </c>
      <c r="M515" s="37">
        <v>3000</v>
      </c>
      <c r="O515" s="76">
        <v>101565</v>
      </c>
      <c r="P515" s="76" t="s">
        <v>375</v>
      </c>
      <c r="Q515" s="77">
        <v>45807</v>
      </c>
      <c r="R515" s="78" t="s">
        <v>48</v>
      </c>
      <c r="S515" s="36" t="str">
        <f>VLOOKUP(Tabla911[[#This Row],[CODIGO DEL PRODUCTO]],Tabla79[],2,FALSE)</f>
        <v>PIEDRA 6-12</v>
      </c>
      <c r="T515" s="37">
        <v>34640</v>
      </c>
      <c r="U515" s="92"/>
    </row>
    <row r="516" spans="8:24" x14ac:dyDescent="0.25">
      <c r="H516" s="34">
        <v>11927</v>
      </c>
      <c r="I516" s="34" t="s">
        <v>474</v>
      </c>
      <c r="J516" s="35">
        <v>45885</v>
      </c>
      <c r="K516" s="36" t="s">
        <v>42</v>
      </c>
      <c r="L516" s="39" t="str">
        <f>VLOOKUP(Tabla810[[#This Row],[CODIGO DEL PRODUCTO]],Tabla79[],2,FALSE)</f>
        <v>ARENA FINA</v>
      </c>
      <c r="M516" s="37">
        <v>5000</v>
      </c>
      <c r="O516" s="76">
        <v>2631612</v>
      </c>
      <c r="P516" s="76" t="s">
        <v>65</v>
      </c>
      <c r="Q516" s="77">
        <v>45807</v>
      </c>
      <c r="R516" s="78" t="s">
        <v>286</v>
      </c>
      <c r="S516" s="36" t="str">
        <f>VLOOKUP(Tabla911[[#This Row],[CODIGO DEL PRODUCTO]],Tabla79[],2,FALSE)</f>
        <v>CPF 40 AVELLANEDA</v>
      </c>
      <c r="T516" s="37">
        <v>36000</v>
      </c>
      <c r="U516" s="92"/>
    </row>
    <row r="517" spans="8:24" x14ac:dyDescent="0.25">
      <c r="H517" s="34">
        <v>11941</v>
      </c>
      <c r="I517" s="34" t="s">
        <v>511</v>
      </c>
      <c r="J517" s="35">
        <v>45885</v>
      </c>
      <c r="K517" s="36" t="s">
        <v>468</v>
      </c>
      <c r="L517" s="39" t="str">
        <f>VLOOKUP(Tabla810[[#This Row],[CODIGO DEL PRODUCTO]],Tabla79[],2,FALSE)</f>
        <v>ESTABILIZADO 0-100 X TN</v>
      </c>
      <c r="M517" s="37">
        <v>27140</v>
      </c>
      <c r="O517" s="76">
        <v>101534</v>
      </c>
      <c r="P517" s="76" t="s">
        <v>244</v>
      </c>
      <c r="Q517" s="77">
        <v>45808</v>
      </c>
      <c r="R517" s="78" t="s">
        <v>43</v>
      </c>
      <c r="S517" s="36" t="str">
        <f>VLOOKUP(Tabla911[[#This Row],[CODIGO DEL PRODUCTO]],Tabla79[],2,FALSE)</f>
        <v>PIEDRA 6-20</v>
      </c>
      <c r="T517" s="37">
        <v>34360</v>
      </c>
      <c r="U517" s="92"/>
    </row>
    <row r="518" spans="8:24" x14ac:dyDescent="0.25">
      <c r="H518" s="34">
        <v>248</v>
      </c>
      <c r="I518" s="34" t="s">
        <v>402</v>
      </c>
      <c r="J518" s="35">
        <v>45887</v>
      </c>
      <c r="K518" s="36" t="s">
        <v>43</v>
      </c>
      <c r="L518" s="39" t="str">
        <f>VLOOKUP(Tabla810[[#This Row],[CODIGO DEL PRODUCTO]],Tabla79[],2,FALSE)</f>
        <v>PIEDRA 6-20</v>
      </c>
      <c r="M518" s="37">
        <v>6000</v>
      </c>
      <c r="O518" s="76">
        <v>100722</v>
      </c>
      <c r="P518" s="76" t="s">
        <v>235</v>
      </c>
      <c r="Q518" s="77">
        <v>45810</v>
      </c>
      <c r="R518" s="78" t="s">
        <v>42</v>
      </c>
      <c r="S518" s="36" t="str">
        <f>VLOOKUP(Tabla911[[#This Row],[CODIGO DEL PRODUCTO]],Tabla79[],2,FALSE)</f>
        <v>ARENA FINA</v>
      </c>
      <c r="T518" s="37">
        <v>36320</v>
      </c>
      <c r="U518" s="92"/>
      <c r="V518" s="7">
        <v>45810</v>
      </c>
      <c r="W518" t="s">
        <v>404</v>
      </c>
      <c r="X518" t="s">
        <v>405</v>
      </c>
    </row>
    <row r="519" spans="8:24" x14ac:dyDescent="0.25">
      <c r="H519" s="34">
        <v>11950</v>
      </c>
      <c r="I519" s="34" t="s">
        <v>511</v>
      </c>
      <c r="J519" s="35">
        <v>45887</v>
      </c>
      <c r="K519" s="36" t="s">
        <v>372</v>
      </c>
      <c r="L519" s="39" t="str">
        <f>VLOOKUP(Tabla810[[#This Row],[CODIGO DEL PRODUCTO]],Tabla79[],2,FALSE)</f>
        <v xml:space="preserve">ESTABILIZADO GRANULOMETRICO 0/20 </v>
      </c>
      <c r="M519" s="37">
        <v>28100</v>
      </c>
      <c r="O519" s="76">
        <v>100727</v>
      </c>
      <c r="P519" s="76" t="s">
        <v>370</v>
      </c>
      <c r="Q519" s="77">
        <v>45810</v>
      </c>
      <c r="R519" s="78" t="s">
        <v>42</v>
      </c>
      <c r="S519" s="36" t="str">
        <f>VLOOKUP(Tabla911[[#This Row],[CODIGO DEL PRODUCTO]],Tabla79[],2,FALSE)</f>
        <v>ARENA FINA</v>
      </c>
      <c r="T519" s="37">
        <v>35280</v>
      </c>
      <c r="U519" s="92"/>
    </row>
    <row r="520" spans="8:24" x14ac:dyDescent="0.25">
      <c r="H520" s="34">
        <v>11951</v>
      </c>
      <c r="I520" s="34" t="s">
        <v>511</v>
      </c>
      <c r="J520" s="35">
        <v>45887</v>
      </c>
      <c r="K520" s="36" t="s">
        <v>372</v>
      </c>
      <c r="L520" s="39" t="str">
        <f>VLOOKUP(Tabla810[[#This Row],[CODIGO DEL PRODUCTO]],Tabla79[],2,FALSE)</f>
        <v xml:space="preserve">ESTABILIZADO GRANULOMETRICO 0/20 </v>
      </c>
      <c r="M520" s="37">
        <v>18680</v>
      </c>
      <c r="O520" s="76">
        <v>100728</v>
      </c>
      <c r="P520" s="76" t="s">
        <v>235</v>
      </c>
      <c r="Q520" s="77">
        <v>45810</v>
      </c>
      <c r="R520" s="78" t="s">
        <v>42</v>
      </c>
      <c r="S520" s="36" t="str">
        <f>VLOOKUP(Tabla911[[#This Row],[CODIGO DEL PRODUCTO]],Tabla79[],2,FALSE)</f>
        <v>ARENA FINA</v>
      </c>
      <c r="T520" s="37">
        <v>36240</v>
      </c>
      <c r="U520" s="92"/>
    </row>
    <row r="521" spans="8:24" x14ac:dyDescent="0.25">
      <c r="H521" s="34">
        <v>11957</v>
      </c>
      <c r="I521" s="34" t="s">
        <v>512</v>
      </c>
      <c r="J521" s="35">
        <v>45887</v>
      </c>
      <c r="K521" s="36" t="s">
        <v>43</v>
      </c>
      <c r="L521" s="39" t="str">
        <f>VLOOKUP(Tabla810[[#This Row],[CODIGO DEL PRODUCTO]],Tabla79[],2,FALSE)</f>
        <v>PIEDRA 6-20</v>
      </c>
      <c r="M521" s="37">
        <v>3000</v>
      </c>
      <c r="O521" s="76">
        <v>101586</v>
      </c>
      <c r="P521" s="76" t="s">
        <v>155</v>
      </c>
      <c r="Q521" s="77">
        <v>45810</v>
      </c>
      <c r="R521" s="78" t="s">
        <v>43</v>
      </c>
      <c r="S521" s="36" t="str">
        <f>VLOOKUP(Tabla911[[#This Row],[CODIGO DEL PRODUCTO]],Tabla79[],2,FALSE)</f>
        <v>PIEDRA 6-20</v>
      </c>
      <c r="T521" s="37">
        <v>34280</v>
      </c>
      <c r="U521" s="92"/>
    </row>
    <row r="522" spans="8:24" x14ac:dyDescent="0.25">
      <c r="H522" s="34"/>
      <c r="I522" s="34" t="s">
        <v>512</v>
      </c>
      <c r="J522" s="35">
        <v>45887</v>
      </c>
      <c r="K522" s="36" t="s">
        <v>42</v>
      </c>
      <c r="L522" s="39" t="str">
        <f>VLOOKUP(Tabla810[[#This Row],[CODIGO DEL PRODUCTO]],Tabla79[],2,FALSE)</f>
        <v>ARENA FINA</v>
      </c>
      <c r="M522" s="37">
        <v>3000</v>
      </c>
      <c r="O522" s="76">
        <v>101588</v>
      </c>
      <c r="P522" s="76" t="s">
        <v>234</v>
      </c>
      <c r="Q522" s="77">
        <v>45810</v>
      </c>
      <c r="R522" s="78" t="s">
        <v>48</v>
      </c>
      <c r="S522" s="36" t="str">
        <f>VLOOKUP(Tabla911[[#This Row],[CODIGO DEL PRODUCTO]],Tabla79[],2,FALSE)</f>
        <v>PIEDRA 6-12</v>
      </c>
      <c r="T522" s="37">
        <v>34680</v>
      </c>
      <c r="U522" s="92"/>
    </row>
    <row r="523" spans="8:24" x14ac:dyDescent="0.25">
      <c r="H523" s="34">
        <v>11967</v>
      </c>
      <c r="I523" s="34" t="s">
        <v>471</v>
      </c>
      <c r="J523" s="35">
        <v>45887</v>
      </c>
      <c r="K523" s="36" t="s">
        <v>42</v>
      </c>
      <c r="L523" s="39" t="str">
        <f>VLOOKUP(Tabla810[[#This Row],[CODIGO DEL PRODUCTO]],Tabla79[],2,FALSE)</f>
        <v>ARENA FINA</v>
      </c>
      <c r="M523" s="37">
        <v>28640</v>
      </c>
      <c r="O523" s="76">
        <v>101593</v>
      </c>
      <c r="P523" s="76" t="s">
        <v>218</v>
      </c>
      <c r="Q523" s="77">
        <v>45810</v>
      </c>
      <c r="R523" s="78" t="s">
        <v>48</v>
      </c>
      <c r="S523" s="36" t="str">
        <f>VLOOKUP(Tabla911[[#This Row],[CODIGO DEL PRODUCTO]],Tabla79[],2,FALSE)</f>
        <v>PIEDRA 6-12</v>
      </c>
      <c r="T523" s="37">
        <v>35280</v>
      </c>
      <c r="U523" s="92"/>
    </row>
    <row r="524" spans="8:24" x14ac:dyDescent="0.25">
      <c r="H524" s="34"/>
      <c r="I524" s="34" t="s">
        <v>53</v>
      </c>
      <c r="J524" s="35">
        <v>45870</v>
      </c>
      <c r="K524" s="36" t="s">
        <v>42</v>
      </c>
      <c r="L524" s="39" t="str">
        <f>VLOOKUP(Tabla810[[#This Row],[CODIGO DEL PRODUCTO]],Tabla79[],2,FALSE)</f>
        <v>ARENA FINA</v>
      </c>
      <c r="M524" s="37">
        <v>598603</v>
      </c>
      <c r="O524" s="76">
        <v>101608</v>
      </c>
      <c r="P524" s="76" t="s">
        <v>156</v>
      </c>
      <c r="Q524" s="77">
        <v>45810</v>
      </c>
      <c r="R524" s="78" t="s">
        <v>43</v>
      </c>
      <c r="S524" s="36" t="str">
        <f>VLOOKUP(Tabla911[[#This Row],[CODIGO DEL PRODUCTO]],Tabla79[],2,FALSE)</f>
        <v>PIEDRA 6-20</v>
      </c>
      <c r="T524" s="37">
        <v>34840</v>
      </c>
      <c r="U524" s="92"/>
    </row>
    <row r="525" spans="8:24" x14ac:dyDescent="0.25">
      <c r="H525" s="34"/>
      <c r="I525" s="34" t="s">
        <v>53</v>
      </c>
      <c r="J525" s="35">
        <v>45871</v>
      </c>
      <c r="K525" s="36" t="s">
        <v>40</v>
      </c>
      <c r="L525" s="39" t="str">
        <f>VLOOKUP(Tabla810[[#This Row],[CODIGO DEL PRODUCTO]],Tabla79[],2,FALSE)</f>
        <v>PIEDRA 0-6</v>
      </c>
      <c r="M525" s="37">
        <v>376649</v>
      </c>
      <c r="O525" s="76">
        <v>100736</v>
      </c>
      <c r="P525" s="76" t="s">
        <v>235</v>
      </c>
      <c r="Q525" s="77">
        <v>45811</v>
      </c>
      <c r="R525" s="78" t="s">
        <v>42</v>
      </c>
      <c r="S525" s="36" t="str">
        <f>VLOOKUP(Tabla911[[#This Row],[CODIGO DEL PRODUCTO]],Tabla79[],2,FALSE)</f>
        <v>ARENA FINA</v>
      </c>
      <c r="T525" s="37">
        <v>37080</v>
      </c>
      <c r="U525" s="92"/>
    </row>
    <row r="526" spans="8:24" x14ac:dyDescent="0.25">
      <c r="H526" s="34"/>
      <c r="I526" s="34" t="s">
        <v>53</v>
      </c>
      <c r="J526" s="35">
        <v>45872</v>
      </c>
      <c r="K526" s="36" t="s">
        <v>286</v>
      </c>
      <c r="L526" s="39" t="str">
        <f>VLOOKUP(Tabla810[[#This Row],[CODIGO DEL PRODUCTO]],Tabla79[],2,FALSE)</f>
        <v>CPF 40 AVELLANEDA</v>
      </c>
      <c r="M526" s="37">
        <v>292479</v>
      </c>
      <c r="O526" s="76">
        <v>100743</v>
      </c>
      <c r="P526" s="76" t="s">
        <v>235</v>
      </c>
      <c r="Q526" s="77">
        <v>45811</v>
      </c>
      <c r="R526" s="78" t="s">
        <v>42</v>
      </c>
      <c r="S526" s="36" t="str">
        <f>VLOOKUP(Tabla911[[#This Row],[CODIGO DEL PRODUCTO]],Tabla79[],2,FALSE)</f>
        <v>ARENA FINA</v>
      </c>
      <c r="T526" s="37">
        <v>35620</v>
      </c>
      <c r="U526" s="92"/>
    </row>
    <row r="527" spans="8:24" x14ac:dyDescent="0.25">
      <c r="H527" s="34"/>
      <c r="I527" s="34" t="s">
        <v>53</v>
      </c>
      <c r="J527" s="35">
        <v>45873</v>
      </c>
      <c r="K527" s="36" t="s">
        <v>48</v>
      </c>
      <c r="L527" s="39" t="str">
        <f>VLOOKUP(Tabla810[[#This Row],[CODIGO DEL PRODUCTO]],Tabla79[],2,FALSE)</f>
        <v>PIEDRA 6-12</v>
      </c>
      <c r="M527" s="37">
        <v>57436</v>
      </c>
      <c r="O527" s="76">
        <v>101613</v>
      </c>
      <c r="P527" s="76" t="s">
        <v>355</v>
      </c>
      <c r="Q527" s="77">
        <v>45811</v>
      </c>
      <c r="R527" s="78" t="s">
        <v>48</v>
      </c>
      <c r="S527" s="36" t="str">
        <f>VLOOKUP(Tabla911[[#This Row],[CODIGO DEL PRODUCTO]],Tabla79[],2,FALSE)</f>
        <v>PIEDRA 6-12</v>
      </c>
      <c r="T527" s="37">
        <v>35180</v>
      </c>
      <c r="U527" s="92"/>
    </row>
    <row r="528" spans="8:24" x14ac:dyDescent="0.25">
      <c r="H528" s="34"/>
      <c r="I528" s="34" t="s">
        <v>53</v>
      </c>
      <c r="J528" s="35">
        <v>45874</v>
      </c>
      <c r="K528" s="36" t="s">
        <v>43</v>
      </c>
      <c r="L528" s="39" t="str">
        <f>VLOOKUP(Tabla810[[#This Row],[CODIGO DEL PRODUCTO]],Tabla79[],2,FALSE)</f>
        <v>PIEDRA 6-20</v>
      </c>
      <c r="M528" s="37">
        <v>866802</v>
      </c>
      <c r="O528" s="76">
        <v>101626</v>
      </c>
      <c r="P528" s="76" t="s">
        <v>155</v>
      </c>
      <c r="Q528" s="77">
        <v>45811</v>
      </c>
      <c r="R528" s="78" t="s">
        <v>43</v>
      </c>
      <c r="S528" s="36" t="str">
        <f>VLOOKUP(Tabla911[[#This Row],[CODIGO DEL PRODUCTO]],Tabla79[],2,FALSE)</f>
        <v>PIEDRA 6-20</v>
      </c>
      <c r="T528" s="37">
        <v>34880</v>
      </c>
      <c r="U528" s="92"/>
    </row>
    <row r="529" spans="8:21" x14ac:dyDescent="0.25">
      <c r="H529" s="34"/>
      <c r="I529" s="34" t="s">
        <v>53</v>
      </c>
      <c r="J529" s="35">
        <v>45875</v>
      </c>
      <c r="K529" s="36" t="s">
        <v>46</v>
      </c>
      <c r="L529" s="39" t="str">
        <f>VLOOKUP(Tabla810[[#This Row],[CODIGO DEL PRODUCTO]],Tabla79[],2,FALSE)</f>
        <v>PIEDRA 10-30</v>
      </c>
      <c r="M529" s="37">
        <v>20436</v>
      </c>
      <c r="O529" s="76">
        <v>101632</v>
      </c>
      <c r="P529" s="76" t="s">
        <v>218</v>
      </c>
      <c r="Q529" s="77">
        <v>45811</v>
      </c>
      <c r="R529" s="78" t="s">
        <v>48</v>
      </c>
      <c r="S529" s="36" t="str">
        <f>VLOOKUP(Tabla911[[#This Row],[CODIGO DEL PRODUCTO]],Tabla79[],2,FALSE)</f>
        <v>PIEDRA 6-12</v>
      </c>
      <c r="T529" s="37">
        <v>35520</v>
      </c>
      <c r="U529" s="92"/>
    </row>
    <row r="530" spans="8:21" x14ac:dyDescent="0.25">
      <c r="H530" s="34"/>
      <c r="I530" s="34" t="s">
        <v>53</v>
      </c>
      <c r="J530" s="35">
        <v>45878</v>
      </c>
      <c r="K530" s="36" t="s">
        <v>425</v>
      </c>
      <c r="L530" s="39" t="str">
        <f>VLOOKUP(Tabla810[[#This Row],[CODIGO DEL PRODUCTO]],Tabla79[],2,FALSE)</f>
        <v>W351R</v>
      </c>
      <c r="M530" s="37">
        <v>1550.8</v>
      </c>
      <c r="O530" s="76">
        <v>101648</v>
      </c>
      <c r="P530" s="76" t="s">
        <v>234</v>
      </c>
      <c r="Q530" s="77">
        <v>45811</v>
      </c>
      <c r="R530" s="78" t="s">
        <v>48</v>
      </c>
      <c r="S530" s="36" t="str">
        <f>VLOOKUP(Tabla911[[#This Row],[CODIGO DEL PRODUCTO]],Tabla79[],2,FALSE)</f>
        <v>PIEDRA 6-12</v>
      </c>
      <c r="T530" s="37">
        <v>34360</v>
      </c>
      <c r="U530" s="92"/>
    </row>
    <row r="531" spans="8:21" x14ac:dyDescent="0.25">
      <c r="H531" s="34"/>
      <c r="I531" s="34" t="s">
        <v>53</v>
      </c>
      <c r="J531" s="35">
        <v>45880</v>
      </c>
      <c r="K531" s="36" t="s">
        <v>42</v>
      </c>
      <c r="L531" s="39" t="str">
        <f>VLOOKUP(Tabla810[[#This Row],[CODIGO DEL PRODUCTO]],Tabla79[],2,FALSE)</f>
        <v>ARENA FINA</v>
      </c>
      <c r="M531" s="37">
        <v>507682</v>
      </c>
      <c r="O531" s="76">
        <v>101650</v>
      </c>
      <c r="P531" s="76" t="s">
        <v>254</v>
      </c>
      <c r="Q531" s="77">
        <v>45811</v>
      </c>
      <c r="R531" s="78" t="s">
        <v>43</v>
      </c>
      <c r="S531" s="36" t="str">
        <f>VLOOKUP(Tabla911[[#This Row],[CODIGO DEL PRODUCTO]],Tabla79[],2,FALSE)</f>
        <v>PIEDRA 6-20</v>
      </c>
      <c r="T531" s="37">
        <v>34780</v>
      </c>
      <c r="U531" s="92"/>
    </row>
    <row r="532" spans="8:21" x14ac:dyDescent="0.25">
      <c r="H532" s="34"/>
      <c r="I532" s="34" t="s">
        <v>53</v>
      </c>
      <c r="J532" s="35">
        <v>45881</v>
      </c>
      <c r="K532" s="36" t="s">
        <v>40</v>
      </c>
      <c r="L532" s="39" t="str">
        <f>VLOOKUP(Tabla810[[#This Row],[CODIGO DEL PRODUCTO]],Tabla79[],2,FALSE)</f>
        <v>PIEDRA 0-6</v>
      </c>
      <c r="M532" s="37">
        <v>335346</v>
      </c>
      <c r="O532" s="76">
        <v>101652</v>
      </c>
      <c r="P532" s="76" t="s">
        <v>156</v>
      </c>
      <c r="Q532" s="77">
        <v>45811</v>
      </c>
      <c r="R532" s="78" t="s">
        <v>43</v>
      </c>
      <c r="S532" s="36" t="str">
        <f>VLOOKUP(Tabla911[[#This Row],[CODIGO DEL PRODUCTO]],Tabla79[],2,FALSE)</f>
        <v>PIEDRA 6-20</v>
      </c>
      <c r="T532" s="37">
        <v>35000</v>
      </c>
      <c r="U532" s="92"/>
    </row>
    <row r="533" spans="8:21" x14ac:dyDescent="0.25">
      <c r="H533" s="34"/>
      <c r="I533" s="34" t="s">
        <v>53</v>
      </c>
      <c r="J533" s="35">
        <v>45882</v>
      </c>
      <c r="K533" s="36" t="s">
        <v>286</v>
      </c>
      <c r="L533" s="39" t="str">
        <f>VLOOKUP(Tabla810[[#This Row],[CODIGO DEL PRODUCTO]],Tabla79[],2,FALSE)</f>
        <v>CPF 40 AVELLANEDA</v>
      </c>
      <c r="M533" s="37">
        <v>245470</v>
      </c>
      <c r="O533" s="76">
        <v>2632126</v>
      </c>
      <c r="P533" s="76" t="s">
        <v>65</v>
      </c>
      <c r="Q533" s="77">
        <v>45811</v>
      </c>
      <c r="R533" s="78" t="s">
        <v>286</v>
      </c>
      <c r="S533" s="36" t="str">
        <f>VLOOKUP(Tabla911[[#This Row],[CODIGO DEL PRODUCTO]],Tabla79[],2,FALSE)</f>
        <v>CPF 40 AVELLANEDA</v>
      </c>
      <c r="T533" s="72">
        <v>35900</v>
      </c>
      <c r="U533" s="92"/>
    </row>
    <row r="534" spans="8:21" x14ac:dyDescent="0.25">
      <c r="H534" s="34"/>
      <c r="I534" s="34" t="s">
        <v>53</v>
      </c>
      <c r="J534" s="35">
        <v>45883</v>
      </c>
      <c r="K534" s="36" t="s">
        <v>50</v>
      </c>
      <c r="L534" s="39" t="str">
        <f>VLOOKUP(Tabla810[[#This Row],[CODIGO DEL PRODUCTO]],Tabla79[],2,FALSE)</f>
        <v>MIRA SET 453 (ADITIVO)</v>
      </c>
      <c r="M534" s="37">
        <v>0.11</v>
      </c>
      <c r="O534" s="76">
        <v>100755</v>
      </c>
      <c r="P534" s="76" t="s">
        <v>235</v>
      </c>
      <c r="Q534" s="77">
        <v>45812</v>
      </c>
      <c r="R534" s="78" t="s">
        <v>42</v>
      </c>
      <c r="S534" s="36" t="str">
        <f>VLOOKUP(Tabla911[[#This Row],[CODIGO DEL PRODUCTO]],Tabla79[],2,FALSE)</f>
        <v>ARENA FINA</v>
      </c>
      <c r="T534" s="72">
        <v>36700</v>
      </c>
      <c r="U534" s="92"/>
    </row>
    <row r="535" spans="8:21" x14ac:dyDescent="0.25">
      <c r="H535" s="34"/>
      <c r="I535" s="34" t="s">
        <v>53</v>
      </c>
      <c r="J535" s="35">
        <v>45884</v>
      </c>
      <c r="K535" s="36" t="s">
        <v>48</v>
      </c>
      <c r="L535" s="39" t="str">
        <f>VLOOKUP(Tabla810[[#This Row],[CODIGO DEL PRODUCTO]],Tabla79[],2,FALSE)</f>
        <v>PIEDRA 6-12</v>
      </c>
      <c r="M535" s="37">
        <v>34494</v>
      </c>
      <c r="O535" s="76">
        <v>100760</v>
      </c>
      <c r="P535" s="76" t="s">
        <v>235</v>
      </c>
      <c r="Q535" s="77">
        <v>45812</v>
      </c>
      <c r="R535" s="78" t="s">
        <v>42</v>
      </c>
      <c r="S535" s="36" t="str">
        <f>VLOOKUP(Tabla911[[#This Row],[CODIGO DEL PRODUCTO]],Tabla79[],2,FALSE)</f>
        <v>ARENA FINA</v>
      </c>
      <c r="T535" s="37">
        <v>37200</v>
      </c>
      <c r="U535" s="92"/>
    </row>
    <row r="536" spans="8:21" x14ac:dyDescent="0.25">
      <c r="H536" s="34"/>
      <c r="I536" s="34" t="s">
        <v>53</v>
      </c>
      <c r="J536" s="35">
        <v>45885</v>
      </c>
      <c r="K536" s="36" t="s">
        <v>43</v>
      </c>
      <c r="L536" s="39" t="str">
        <f>VLOOKUP(Tabla810[[#This Row],[CODIGO DEL PRODUCTO]],Tabla79[],2,FALSE)</f>
        <v>PIEDRA 6-20</v>
      </c>
      <c r="M536" s="37">
        <v>816470</v>
      </c>
      <c r="O536" s="76">
        <v>100762</v>
      </c>
      <c r="P536" s="76" t="s">
        <v>370</v>
      </c>
      <c r="Q536" s="77">
        <v>45812</v>
      </c>
      <c r="R536" s="78" t="s">
        <v>42</v>
      </c>
      <c r="S536" s="36" t="str">
        <f>VLOOKUP(Tabla911[[#This Row],[CODIGO DEL PRODUCTO]],Tabla79[],2,FALSE)</f>
        <v>ARENA FINA</v>
      </c>
      <c r="T536" s="37">
        <v>35960</v>
      </c>
      <c r="U536" s="92"/>
    </row>
    <row r="537" spans="8:21" x14ac:dyDescent="0.25">
      <c r="H537" s="34"/>
      <c r="I537" s="34" t="s">
        <v>53</v>
      </c>
      <c r="J537" s="35">
        <v>45885</v>
      </c>
      <c r="K537" s="36" t="s">
        <v>46</v>
      </c>
      <c r="L537" s="39" t="str">
        <f>VLOOKUP(Tabla810[[#This Row],[CODIGO DEL PRODUCTO]],Tabla79[],2,FALSE)</f>
        <v>PIEDRA 10-30</v>
      </c>
      <c r="M537" s="37">
        <v>2996</v>
      </c>
      <c r="O537" s="76">
        <v>101665</v>
      </c>
      <c r="P537" s="76" t="s">
        <v>355</v>
      </c>
      <c r="Q537" s="77">
        <v>45812</v>
      </c>
      <c r="R537" s="78" t="s">
        <v>48</v>
      </c>
      <c r="S537" s="36" t="str">
        <f>VLOOKUP(Tabla911[[#This Row],[CODIGO DEL PRODUCTO]],Tabla79[],2,FALSE)</f>
        <v>PIEDRA 6-12</v>
      </c>
      <c r="T537" s="37">
        <v>34340</v>
      </c>
      <c r="U537" s="92"/>
    </row>
    <row r="538" spans="8:21" x14ac:dyDescent="0.25">
      <c r="H538" s="34"/>
      <c r="I538" s="34" t="s">
        <v>53</v>
      </c>
      <c r="J538" s="35">
        <v>45885</v>
      </c>
      <c r="K538" s="36" t="s">
        <v>425</v>
      </c>
      <c r="L538" s="39" t="str">
        <f>VLOOKUP(Tabla810[[#This Row],[CODIGO DEL PRODUCTO]],Tabla79[],2,FALSE)</f>
        <v>W351R</v>
      </c>
      <c r="M538" s="37">
        <v>1298.48</v>
      </c>
      <c r="O538" s="76">
        <v>101670</v>
      </c>
      <c r="P538" s="76" t="s">
        <v>155</v>
      </c>
      <c r="Q538" s="77">
        <v>45812</v>
      </c>
      <c r="R538" s="78" t="s">
        <v>43</v>
      </c>
      <c r="S538" s="36" t="str">
        <f>VLOOKUP(Tabla911[[#This Row],[CODIGO DEL PRODUCTO]],Tabla79[],2,FALSE)</f>
        <v>PIEDRA 6-20</v>
      </c>
      <c r="T538" s="37">
        <v>34320</v>
      </c>
      <c r="U538" s="92"/>
    </row>
    <row r="539" spans="8:21" x14ac:dyDescent="0.25">
      <c r="H539" s="34">
        <v>12000</v>
      </c>
      <c r="I539" s="34" t="s">
        <v>513</v>
      </c>
      <c r="J539" s="35">
        <v>45890</v>
      </c>
      <c r="K539" s="36" t="s">
        <v>42</v>
      </c>
      <c r="L539" s="39" t="str">
        <f>VLOOKUP(Tabla810[[#This Row],[CODIGO DEL PRODUCTO]],Tabla79[],2,FALSE)</f>
        <v>ARENA FINA</v>
      </c>
      <c r="M539" s="37">
        <v>5000</v>
      </c>
      <c r="O539" s="76">
        <v>101682</v>
      </c>
      <c r="P539" s="76" t="s">
        <v>218</v>
      </c>
      <c r="Q539" s="77">
        <v>45812</v>
      </c>
      <c r="R539" s="78" t="s">
        <v>43</v>
      </c>
      <c r="S539" s="36" t="str">
        <f>VLOOKUP(Tabla911[[#This Row],[CODIGO DEL PRODUCTO]],Tabla79[],2,FALSE)</f>
        <v>PIEDRA 6-20</v>
      </c>
      <c r="T539" s="37">
        <v>35360</v>
      </c>
      <c r="U539" s="92"/>
    </row>
    <row r="540" spans="8:21" x14ac:dyDescent="0.25">
      <c r="H540" s="34">
        <v>12009</v>
      </c>
      <c r="I540" s="34" t="s">
        <v>514</v>
      </c>
      <c r="J540" s="35">
        <v>45890</v>
      </c>
      <c r="K540" s="36" t="s">
        <v>42</v>
      </c>
      <c r="L540" s="39" t="str">
        <f>VLOOKUP(Tabla810[[#This Row],[CODIGO DEL PRODUCTO]],Tabla79[],2,FALSE)</f>
        <v>ARENA FINA</v>
      </c>
      <c r="M540" s="37">
        <v>36580</v>
      </c>
      <c r="O540" s="76">
        <v>101687</v>
      </c>
      <c r="P540" s="76" t="s">
        <v>156</v>
      </c>
      <c r="Q540" s="77">
        <v>45812</v>
      </c>
      <c r="R540" s="78" t="s">
        <v>43</v>
      </c>
      <c r="S540" s="36" t="str">
        <f>VLOOKUP(Tabla911[[#This Row],[CODIGO DEL PRODUCTO]],Tabla79[],2,FALSE)</f>
        <v>PIEDRA 6-20</v>
      </c>
      <c r="T540" s="37">
        <v>34300</v>
      </c>
      <c r="U540" s="92"/>
    </row>
    <row r="541" spans="8:21" x14ac:dyDescent="0.25">
      <c r="H541" s="34">
        <v>12010</v>
      </c>
      <c r="I541" s="34" t="s">
        <v>426</v>
      </c>
      <c r="J541" s="35">
        <v>45890</v>
      </c>
      <c r="K541" s="36" t="s">
        <v>43</v>
      </c>
      <c r="L541" s="39" t="str">
        <f>VLOOKUP(Tabla810[[#This Row],[CODIGO DEL PRODUCTO]],Tabla79[],2,FALSE)</f>
        <v>PIEDRA 6-20</v>
      </c>
      <c r="M541" s="37">
        <v>5000</v>
      </c>
      <c r="O541" s="76">
        <v>101689</v>
      </c>
      <c r="P541" s="76" t="s">
        <v>234</v>
      </c>
      <c r="Q541" s="77">
        <v>45812</v>
      </c>
      <c r="R541" s="78" t="s">
        <v>43</v>
      </c>
      <c r="S541" s="36" t="str">
        <f>VLOOKUP(Tabla911[[#This Row],[CODIGO DEL PRODUCTO]],Tabla79[],2,FALSE)</f>
        <v>PIEDRA 6-20</v>
      </c>
      <c r="T541" s="37">
        <v>34280</v>
      </c>
      <c r="U541" s="92"/>
    </row>
    <row r="542" spans="8:21" x14ac:dyDescent="0.25">
      <c r="H542" s="34">
        <v>12011</v>
      </c>
      <c r="I542" s="34" t="s">
        <v>515</v>
      </c>
      <c r="J542" s="35">
        <v>45891</v>
      </c>
      <c r="K542" s="36" t="s">
        <v>42</v>
      </c>
      <c r="L542" s="39" t="str">
        <f>VLOOKUP(Tabla810[[#This Row],[CODIGO DEL PRODUCTO]],Tabla79[],2,FALSE)</f>
        <v>ARENA FINA</v>
      </c>
      <c r="M542" s="37">
        <v>1000</v>
      </c>
      <c r="O542" s="76">
        <v>101690</v>
      </c>
      <c r="P542" s="76" t="s">
        <v>254</v>
      </c>
      <c r="Q542" s="77">
        <v>45812</v>
      </c>
      <c r="R542" s="78" t="s">
        <v>43</v>
      </c>
      <c r="S542" s="36" t="str">
        <f>VLOOKUP(Tabla911[[#This Row],[CODIGO DEL PRODUCTO]],Tabla79[],2,FALSE)</f>
        <v>PIEDRA 6-20</v>
      </c>
      <c r="T542" s="37">
        <v>35200</v>
      </c>
      <c r="U542" s="92"/>
    </row>
    <row r="543" spans="8:21" x14ac:dyDescent="0.25">
      <c r="H543" s="34"/>
      <c r="I543" s="34" t="s">
        <v>515</v>
      </c>
      <c r="J543" s="35">
        <v>45891</v>
      </c>
      <c r="K543" s="36" t="s">
        <v>43</v>
      </c>
      <c r="L543" s="39" t="str">
        <f>VLOOKUP(Tabla810[[#This Row],[CODIGO DEL PRODUCTO]],Tabla79[],2,FALSE)</f>
        <v>PIEDRA 6-20</v>
      </c>
      <c r="M543" s="37">
        <v>1000</v>
      </c>
      <c r="O543" s="76">
        <v>2632642</v>
      </c>
      <c r="P543" s="76" t="s">
        <v>65</v>
      </c>
      <c r="Q543" s="77">
        <v>45812</v>
      </c>
      <c r="R543" s="78" t="s">
        <v>286</v>
      </c>
      <c r="S543" s="36" t="str">
        <f>VLOOKUP(Tabla911[[#This Row],[CODIGO DEL PRODUCTO]],Tabla79[],2,FALSE)</f>
        <v>CPF 40 AVELLANEDA</v>
      </c>
      <c r="T543" s="37">
        <v>36280</v>
      </c>
      <c r="U543" s="92"/>
    </row>
    <row r="544" spans="8:21" x14ac:dyDescent="0.25">
      <c r="H544" s="34">
        <v>254</v>
      </c>
      <c r="I544" s="34" t="s">
        <v>517</v>
      </c>
      <c r="J544" s="35">
        <v>45891</v>
      </c>
      <c r="K544" s="36" t="s">
        <v>43</v>
      </c>
      <c r="L544" s="39" t="str">
        <f>VLOOKUP(Tabla810[[#This Row],[CODIGO DEL PRODUCTO]],Tabla79[],2,FALSE)</f>
        <v>PIEDRA 6-20</v>
      </c>
      <c r="M544" s="37">
        <v>6000</v>
      </c>
      <c r="O544" s="76">
        <v>101698</v>
      </c>
      <c r="P544" s="76" t="s">
        <v>355</v>
      </c>
      <c r="Q544" s="77">
        <v>45812</v>
      </c>
      <c r="R544" s="78" t="s">
        <v>43</v>
      </c>
      <c r="S544" s="36" t="str">
        <f>VLOOKUP(Tabla911[[#This Row],[CODIGO DEL PRODUCTO]],Tabla79[],2,FALSE)</f>
        <v>PIEDRA 6-20</v>
      </c>
      <c r="T544" s="37">
        <v>34560</v>
      </c>
      <c r="U544" s="92"/>
    </row>
    <row r="545" spans="8:24" x14ac:dyDescent="0.25">
      <c r="H545" s="34">
        <v>12014</v>
      </c>
      <c r="I545" s="34" t="s">
        <v>298</v>
      </c>
      <c r="J545" s="35">
        <v>45891</v>
      </c>
      <c r="K545" s="36" t="s">
        <v>42</v>
      </c>
      <c r="L545" s="39" t="str">
        <f>VLOOKUP(Tabla810[[#This Row],[CODIGO DEL PRODUCTO]],Tabla79[],2,FALSE)</f>
        <v>ARENA FINA</v>
      </c>
      <c r="M545" s="37">
        <v>4000</v>
      </c>
      <c r="O545" s="76">
        <v>100773</v>
      </c>
      <c r="P545" s="76" t="s">
        <v>235</v>
      </c>
      <c r="Q545" s="77">
        <v>45813</v>
      </c>
      <c r="R545" s="78" t="s">
        <v>42</v>
      </c>
      <c r="S545" s="36" t="str">
        <f>VLOOKUP(Tabla911[[#This Row],[CODIGO DEL PRODUCTO]],Tabla79[],2,FALSE)</f>
        <v>ARENA FINA</v>
      </c>
      <c r="T545" s="37">
        <v>36640</v>
      </c>
      <c r="U545" s="92"/>
    </row>
    <row r="546" spans="8:24" x14ac:dyDescent="0.25">
      <c r="H546" s="34">
        <v>12026</v>
      </c>
      <c r="I546" s="34" t="s">
        <v>474</v>
      </c>
      <c r="J546" s="35">
        <v>45891</v>
      </c>
      <c r="K546" s="36" t="s">
        <v>42</v>
      </c>
      <c r="L546" s="39" t="str">
        <f>VLOOKUP(Tabla810[[#This Row],[CODIGO DEL PRODUCTO]],Tabla79[],2,FALSE)</f>
        <v>ARENA FINA</v>
      </c>
      <c r="M546" s="37">
        <v>5000</v>
      </c>
      <c r="O546" s="76">
        <v>100779</v>
      </c>
      <c r="P546" s="76" t="s">
        <v>370</v>
      </c>
      <c r="Q546" s="77">
        <v>45813</v>
      </c>
      <c r="R546" s="78" t="s">
        <v>42</v>
      </c>
      <c r="S546" s="36" t="str">
        <f>VLOOKUP(Tabla911[[#This Row],[CODIGO DEL PRODUCTO]],Tabla79[],2,FALSE)</f>
        <v>ARENA FINA</v>
      </c>
      <c r="T546" s="37">
        <v>36040</v>
      </c>
      <c r="U546" s="92"/>
    </row>
    <row r="547" spans="8:24" x14ac:dyDescent="0.25">
      <c r="H547" s="34">
        <v>12030</v>
      </c>
      <c r="I547" s="34" t="s">
        <v>514</v>
      </c>
      <c r="J547" s="35">
        <v>45891</v>
      </c>
      <c r="K547" s="36" t="s">
        <v>42</v>
      </c>
      <c r="L547" s="39" t="str">
        <f>VLOOKUP(Tabla810[[#This Row],[CODIGO DEL PRODUCTO]],Tabla79[],2,FALSE)</f>
        <v>ARENA FINA</v>
      </c>
      <c r="M547" s="37">
        <v>32260</v>
      </c>
      <c r="O547" s="76">
        <v>100780</v>
      </c>
      <c r="P547" s="76" t="s">
        <v>235</v>
      </c>
      <c r="Q547" s="77">
        <v>45813</v>
      </c>
      <c r="R547" s="78" t="s">
        <v>42</v>
      </c>
      <c r="S547" s="36" t="str">
        <f>VLOOKUP(Tabla911[[#This Row],[CODIGO DEL PRODUCTO]],Tabla79[],2,FALSE)</f>
        <v>ARENA FINA</v>
      </c>
      <c r="T547" s="37">
        <v>35460</v>
      </c>
      <c r="U547" s="92"/>
    </row>
    <row r="548" spans="8:24" x14ac:dyDescent="0.25">
      <c r="H548" s="34">
        <v>12042</v>
      </c>
      <c r="I548" s="34" t="s">
        <v>518</v>
      </c>
      <c r="J548" s="35">
        <v>45892</v>
      </c>
      <c r="K548" s="36" t="s">
        <v>42</v>
      </c>
      <c r="L548" s="39" t="str">
        <f>VLOOKUP(Tabla810[[#This Row],[CODIGO DEL PRODUCTO]],Tabla79[],2,FALSE)</f>
        <v>ARENA FINA</v>
      </c>
      <c r="M548" s="37">
        <v>2000</v>
      </c>
      <c r="O548" s="76">
        <v>101704</v>
      </c>
      <c r="P548" s="76" t="s">
        <v>155</v>
      </c>
      <c r="Q548" s="77">
        <v>45813</v>
      </c>
      <c r="R548" s="78" t="s">
        <v>43</v>
      </c>
      <c r="S548" s="36" t="str">
        <f>VLOOKUP(Tabla911[[#This Row],[CODIGO DEL PRODUCTO]],Tabla79[],2,FALSE)</f>
        <v>PIEDRA 6-20</v>
      </c>
      <c r="T548" s="37">
        <v>34520</v>
      </c>
      <c r="U548" s="92"/>
    </row>
    <row r="549" spans="8:24" x14ac:dyDescent="0.25">
      <c r="H549" s="34"/>
      <c r="I549" s="34" t="s">
        <v>53</v>
      </c>
      <c r="J549" s="35">
        <v>45887</v>
      </c>
      <c r="K549" s="36" t="s">
        <v>42</v>
      </c>
      <c r="L549" s="39" t="str">
        <f>VLOOKUP(Tabla810[[#This Row],[CODIGO DEL PRODUCTO]],Tabla79[],2,FALSE)</f>
        <v>ARENA FINA</v>
      </c>
      <c r="M549" s="37">
        <v>234532</v>
      </c>
      <c r="O549" s="76">
        <v>101725</v>
      </c>
      <c r="P549" s="76" t="s">
        <v>254</v>
      </c>
      <c r="Q549" s="77">
        <v>45813</v>
      </c>
      <c r="R549" s="78" t="s">
        <v>43</v>
      </c>
      <c r="S549" s="36" t="str">
        <f>VLOOKUP(Tabla911[[#This Row],[CODIGO DEL PRODUCTO]],Tabla79[],2,FALSE)</f>
        <v>PIEDRA 6-20</v>
      </c>
      <c r="T549" s="37">
        <v>35220</v>
      </c>
      <c r="U549" s="92"/>
    </row>
    <row r="550" spans="8:24" x14ac:dyDescent="0.25">
      <c r="H550" s="34"/>
      <c r="I550" s="34" t="s">
        <v>53</v>
      </c>
      <c r="J550" s="35">
        <v>45888</v>
      </c>
      <c r="K550" s="36" t="s">
        <v>40</v>
      </c>
      <c r="L550" s="39" t="str">
        <f>VLOOKUP(Tabla810[[#This Row],[CODIGO DEL PRODUCTO]],Tabla79[],2,FALSE)</f>
        <v>PIEDRA 0-6</v>
      </c>
      <c r="M550" s="37">
        <v>160548</v>
      </c>
      <c r="O550" s="76">
        <v>101727</v>
      </c>
      <c r="P550" s="76" t="s">
        <v>156</v>
      </c>
      <c r="Q550" s="77">
        <v>45813</v>
      </c>
      <c r="R550" s="78" t="s">
        <v>43</v>
      </c>
      <c r="S550" s="36" t="str">
        <f>VLOOKUP(Tabla911[[#This Row],[CODIGO DEL PRODUCTO]],Tabla79[],2,FALSE)</f>
        <v>PIEDRA 6-20</v>
      </c>
      <c r="T550" s="37">
        <v>35480</v>
      </c>
      <c r="U550" s="92"/>
    </row>
    <row r="551" spans="8:24" x14ac:dyDescent="0.25">
      <c r="H551" s="34"/>
      <c r="I551" s="34" t="s">
        <v>53</v>
      </c>
      <c r="J551" s="35">
        <v>45889</v>
      </c>
      <c r="K551" s="36" t="s">
        <v>286</v>
      </c>
      <c r="L551" s="39" t="str">
        <f>VLOOKUP(Tabla810[[#This Row],[CODIGO DEL PRODUCTO]],Tabla79[],2,FALSE)</f>
        <v>CPF 40 AVELLANEDA</v>
      </c>
      <c r="M551" s="37">
        <v>117226</v>
      </c>
      <c r="O551" s="76">
        <v>2632946</v>
      </c>
      <c r="P551" s="76" t="s">
        <v>65</v>
      </c>
      <c r="Q551" s="77">
        <v>45813</v>
      </c>
      <c r="R551" s="78" t="s">
        <v>286</v>
      </c>
      <c r="S551" s="36" t="str">
        <f>VLOOKUP(Tabla911[[#This Row],[CODIGO DEL PRODUCTO]],Tabla79[],2,FALSE)</f>
        <v>CPF 40 AVELLANEDA</v>
      </c>
      <c r="T551" s="37">
        <v>36500</v>
      </c>
      <c r="U551" s="92"/>
    </row>
    <row r="552" spans="8:24" x14ac:dyDescent="0.25">
      <c r="H552" s="34"/>
      <c r="I552" s="34" t="s">
        <v>53</v>
      </c>
      <c r="J552" s="35">
        <v>45890</v>
      </c>
      <c r="K552" s="36" t="s">
        <v>48</v>
      </c>
      <c r="L552" s="39" t="str">
        <f>VLOOKUP(Tabla810[[#This Row],[CODIGO DEL PRODUCTO]],Tabla79[],2,FALSE)</f>
        <v>PIEDRA 6-12</v>
      </c>
      <c r="M552" s="37">
        <v>64885</v>
      </c>
      <c r="O552" s="76">
        <v>1904</v>
      </c>
      <c r="P552" s="76" t="s">
        <v>235</v>
      </c>
      <c r="Q552" s="77">
        <v>45814</v>
      </c>
      <c r="R552" s="78" t="s">
        <v>42</v>
      </c>
      <c r="S552" s="36" t="str">
        <f>VLOOKUP(Tabla911[[#This Row],[CODIGO DEL PRODUCTO]],Tabla79[],2,FALSE)</f>
        <v>ARENA FINA</v>
      </c>
      <c r="T552" s="37">
        <v>37220</v>
      </c>
      <c r="U552" s="92"/>
      <c r="V552" s="7">
        <v>45814</v>
      </c>
      <c r="W552" t="s">
        <v>415</v>
      </c>
      <c r="X552" t="s">
        <v>416</v>
      </c>
    </row>
    <row r="553" spans="8:24" x14ac:dyDescent="0.25">
      <c r="H553" s="34"/>
      <c r="I553" s="34" t="s">
        <v>53</v>
      </c>
      <c r="J553" s="35">
        <v>45891</v>
      </c>
      <c r="K553" s="36" t="s">
        <v>43</v>
      </c>
      <c r="L553" s="39" t="str">
        <f>VLOOKUP(Tabla810[[#This Row],[CODIGO DEL PRODUCTO]],Tabla79[],2,FALSE)</f>
        <v>PIEDRA 6-20</v>
      </c>
      <c r="M553" s="37">
        <v>292080</v>
      </c>
      <c r="O553" s="76">
        <v>1908</v>
      </c>
      <c r="P553" s="76" t="s">
        <v>370</v>
      </c>
      <c r="Q553" s="77">
        <v>45814</v>
      </c>
      <c r="R553" s="78" t="s">
        <v>42</v>
      </c>
      <c r="S553" s="36" t="str">
        <f>VLOOKUP(Tabla911[[#This Row],[CODIGO DEL PRODUCTO]],Tabla79[],2,FALSE)</f>
        <v>ARENA FINA</v>
      </c>
      <c r="T553" s="37">
        <v>35780</v>
      </c>
      <c r="U553" s="92"/>
    </row>
    <row r="554" spans="8:24" x14ac:dyDescent="0.25">
      <c r="H554" s="34"/>
      <c r="I554" s="34" t="s">
        <v>53</v>
      </c>
      <c r="J554" s="35">
        <v>45892</v>
      </c>
      <c r="K554" s="36" t="s">
        <v>425</v>
      </c>
      <c r="L554" s="39" t="str">
        <f>VLOOKUP(Tabla810[[#This Row],[CODIGO DEL PRODUCTO]],Tabla79[],2,FALSE)</f>
        <v>W351R</v>
      </c>
      <c r="M554" s="37">
        <v>650.89</v>
      </c>
      <c r="O554" s="76">
        <v>1910</v>
      </c>
      <c r="P554" s="76" t="s">
        <v>235</v>
      </c>
      <c r="Q554" s="77">
        <v>45814</v>
      </c>
      <c r="R554" s="78" t="s">
        <v>42</v>
      </c>
      <c r="S554" s="36" t="str">
        <f>VLOOKUP(Tabla911[[#This Row],[CODIGO DEL PRODUCTO]],Tabla79[],2,FALSE)</f>
        <v>ARENA FINA</v>
      </c>
      <c r="T554" s="37">
        <v>35900</v>
      </c>
      <c r="U554" s="92"/>
    </row>
    <row r="555" spans="8:24" x14ac:dyDescent="0.25">
      <c r="H555" s="34">
        <v>260</v>
      </c>
      <c r="I555" s="34" t="s">
        <v>403</v>
      </c>
      <c r="J555" s="35">
        <v>45894</v>
      </c>
      <c r="K555" s="36" t="s">
        <v>43</v>
      </c>
      <c r="L555" s="39" t="str">
        <f>VLOOKUP(Tabla810[[#This Row],[CODIGO DEL PRODUCTO]],Tabla79[],2,FALSE)</f>
        <v>PIEDRA 6-20</v>
      </c>
      <c r="M555" s="37">
        <v>1000</v>
      </c>
      <c r="O555" s="76">
        <v>101735</v>
      </c>
      <c r="P555" s="76" t="s">
        <v>155</v>
      </c>
      <c r="Q555" s="77">
        <v>45814</v>
      </c>
      <c r="R555" s="78" t="s">
        <v>43</v>
      </c>
      <c r="S555" s="36" t="str">
        <f>VLOOKUP(Tabla911[[#This Row],[CODIGO DEL PRODUCTO]],Tabla79[],2,FALSE)</f>
        <v>PIEDRA 6-20</v>
      </c>
      <c r="T555" s="37">
        <v>34480</v>
      </c>
      <c r="U555" s="92"/>
    </row>
    <row r="556" spans="8:24" x14ac:dyDescent="0.25">
      <c r="H556" s="34">
        <v>12046</v>
      </c>
      <c r="I556" s="34" t="s">
        <v>478</v>
      </c>
      <c r="J556" s="35">
        <v>45894</v>
      </c>
      <c r="K556" s="36" t="s">
        <v>42</v>
      </c>
      <c r="L556" s="39" t="str">
        <f>VLOOKUP(Tabla810[[#This Row],[CODIGO DEL PRODUCTO]],Tabla79[],2,FALSE)</f>
        <v>ARENA FINA</v>
      </c>
      <c r="M556" s="37">
        <v>2000</v>
      </c>
      <c r="O556" s="76">
        <v>101744</v>
      </c>
      <c r="P556" s="76" t="s">
        <v>355</v>
      </c>
      <c r="Q556" s="77">
        <v>45814</v>
      </c>
      <c r="R556" s="78" t="s">
        <v>43</v>
      </c>
      <c r="S556" s="36" t="str">
        <f>VLOOKUP(Tabla911[[#This Row],[CODIGO DEL PRODUCTO]],Tabla79[],2,FALSE)</f>
        <v>PIEDRA 6-20</v>
      </c>
      <c r="T556" s="37">
        <v>34900</v>
      </c>
      <c r="U556" s="92"/>
    </row>
    <row r="557" spans="8:24" x14ac:dyDescent="0.25">
      <c r="H557" s="34"/>
      <c r="I557" s="34" t="s">
        <v>478</v>
      </c>
      <c r="J557" s="35">
        <v>45894</v>
      </c>
      <c r="K557" s="36" t="s">
        <v>43</v>
      </c>
      <c r="L557" s="39" t="str">
        <f>VLOOKUP(Tabla810[[#This Row],[CODIGO DEL PRODUCTO]],Tabla79[],2,FALSE)</f>
        <v>PIEDRA 6-20</v>
      </c>
      <c r="M557" s="37">
        <v>2000</v>
      </c>
      <c r="O557" s="76">
        <v>101745</v>
      </c>
      <c r="P557" s="76" t="s">
        <v>218</v>
      </c>
      <c r="Q557" s="77">
        <v>45814</v>
      </c>
      <c r="R557" s="78" t="s">
        <v>43</v>
      </c>
      <c r="S557" s="36" t="str">
        <f>VLOOKUP(Tabla911[[#This Row],[CODIGO DEL PRODUCTO]],Tabla79[],2,FALSE)</f>
        <v>PIEDRA 6-20</v>
      </c>
      <c r="T557" s="37">
        <v>34880</v>
      </c>
      <c r="U557" s="92"/>
    </row>
    <row r="558" spans="8:24" x14ac:dyDescent="0.25">
      <c r="H558" s="34">
        <v>12050</v>
      </c>
      <c r="I558" s="34" t="s">
        <v>519</v>
      </c>
      <c r="J558" s="35">
        <v>45894</v>
      </c>
      <c r="K558" s="36" t="s">
        <v>42</v>
      </c>
      <c r="L558" s="39" t="str">
        <f>VLOOKUP(Tabla810[[#This Row],[CODIGO DEL PRODUCTO]],Tabla79[],2,FALSE)</f>
        <v>ARENA FINA</v>
      </c>
      <c r="M558" s="37">
        <v>4000</v>
      </c>
      <c r="O558" s="76">
        <v>101752</v>
      </c>
      <c r="P558" s="76" t="s">
        <v>156</v>
      </c>
      <c r="Q558" s="77">
        <v>45814</v>
      </c>
      <c r="R558" s="78" t="s">
        <v>43</v>
      </c>
      <c r="S558" s="36" t="str">
        <f>VLOOKUP(Tabla911[[#This Row],[CODIGO DEL PRODUCTO]],Tabla79[],2,FALSE)</f>
        <v>PIEDRA 6-20</v>
      </c>
      <c r="T558" s="37">
        <v>35220</v>
      </c>
      <c r="U558" s="92"/>
    </row>
    <row r="559" spans="8:24" x14ac:dyDescent="0.25">
      <c r="H559" s="34"/>
      <c r="I559" s="34" t="s">
        <v>519</v>
      </c>
      <c r="J559" s="35">
        <v>45894</v>
      </c>
      <c r="K559" s="36" t="s">
        <v>43</v>
      </c>
      <c r="L559" s="39" t="str">
        <f>VLOOKUP(Tabla810[[#This Row],[CODIGO DEL PRODUCTO]],Tabla79[],2,FALSE)</f>
        <v>PIEDRA 6-20</v>
      </c>
      <c r="M559" s="37">
        <v>1000</v>
      </c>
      <c r="O559" s="76">
        <v>101760</v>
      </c>
      <c r="P559" s="76" t="s">
        <v>254</v>
      </c>
      <c r="Q559" s="77">
        <v>45814</v>
      </c>
      <c r="R559" s="78" t="s">
        <v>43</v>
      </c>
      <c r="S559" s="36" t="str">
        <f>VLOOKUP(Tabla911[[#This Row],[CODIGO DEL PRODUCTO]],Tabla79[],2,FALSE)</f>
        <v>PIEDRA 6-20</v>
      </c>
      <c r="T559" s="37">
        <v>34740</v>
      </c>
      <c r="U559" s="92"/>
    </row>
    <row r="560" spans="8:24" x14ac:dyDescent="0.25">
      <c r="H560" s="34">
        <v>12056</v>
      </c>
      <c r="I560" s="34" t="s">
        <v>520</v>
      </c>
      <c r="J560" s="35">
        <v>45894</v>
      </c>
      <c r="K560" s="36" t="s">
        <v>42</v>
      </c>
      <c r="L560" s="39" t="str">
        <f>VLOOKUP(Tabla810[[#This Row],[CODIGO DEL PRODUCTO]],Tabla79[],2,FALSE)</f>
        <v>ARENA FINA</v>
      </c>
      <c r="M560" s="37">
        <v>2000</v>
      </c>
      <c r="O560" s="76">
        <v>137844</v>
      </c>
      <c r="P560" s="76" t="s">
        <v>118</v>
      </c>
      <c r="Q560" s="77">
        <v>45814</v>
      </c>
      <c r="R560" s="78" t="s">
        <v>43</v>
      </c>
      <c r="S560" s="36" t="str">
        <f>VLOOKUP(Tabla911[[#This Row],[CODIGO DEL PRODUCTO]],Tabla79[],2,FALSE)</f>
        <v>PIEDRA 6-20</v>
      </c>
      <c r="T560" s="37">
        <v>34520</v>
      </c>
      <c r="U560" s="92"/>
    </row>
    <row r="561" spans="8:24" x14ac:dyDescent="0.25">
      <c r="H561" s="34"/>
      <c r="I561" s="34" t="s">
        <v>520</v>
      </c>
      <c r="J561" s="35">
        <v>45894</v>
      </c>
      <c r="K561" s="36" t="s">
        <v>43</v>
      </c>
      <c r="L561" s="39" t="str">
        <f>VLOOKUP(Tabla810[[#This Row],[CODIGO DEL PRODUCTO]],Tabla79[],2,FALSE)</f>
        <v>PIEDRA 6-20</v>
      </c>
      <c r="M561" s="37">
        <v>1000</v>
      </c>
      <c r="O561" s="76">
        <v>2633254</v>
      </c>
      <c r="P561" s="76" t="s">
        <v>65</v>
      </c>
      <c r="Q561" s="77">
        <v>45814</v>
      </c>
      <c r="R561" s="78" t="s">
        <v>286</v>
      </c>
      <c r="S561" s="36" t="str">
        <f>VLOOKUP(Tabla911[[#This Row],[CODIGO DEL PRODUCTO]],Tabla79[],2,FALSE)</f>
        <v>CPF 40 AVELLANEDA</v>
      </c>
      <c r="T561" s="37">
        <v>36100</v>
      </c>
      <c r="U561" s="92"/>
    </row>
    <row r="562" spans="8:24" x14ac:dyDescent="0.25">
      <c r="H562" s="34">
        <v>12067</v>
      </c>
      <c r="I562" s="34" t="s">
        <v>426</v>
      </c>
      <c r="J562" s="35">
        <v>45895</v>
      </c>
      <c r="K562" s="36" t="s">
        <v>42</v>
      </c>
      <c r="L562" s="39" t="str">
        <f>VLOOKUP(Tabla810[[#This Row],[CODIGO DEL PRODUCTO]],Tabla79[],2,FALSE)</f>
        <v>ARENA FINA</v>
      </c>
      <c r="M562" s="37">
        <v>5000</v>
      </c>
      <c r="O562" s="76">
        <v>1557</v>
      </c>
      <c r="P562" s="76" t="s">
        <v>235</v>
      </c>
      <c r="Q562" s="77">
        <v>45815</v>
      </c>
      <c r="R562" s="78" t="s">
        <v>42</v>
      </c>
      <c r="S562" s="36" t="str">
        <f>VLOOKUP(Tabla911[[#This Row],[CODIGO DEL PRODUCTO]],Tabla79[],2,FALSE)</f>
        <v>ARENA FINA</v>
      </c>
      <c r="T562" s="37">
        <v>36620</v>
      </c>
      <c r="U562" s="92"/>
      <c r="V562" s="7">
        <v>45815</v>
      </c>
      <c r="W562" t="s">
        <v>417</v>
      </c>
      <c r="X562" t="s">
        <v>418</v>
      </c>
    </row>
    <row r="563" spans="8:24" x14ac:dyDescent="0.25">
      <c r="H563" s="34">
        <v>12077</v>
      </c>
      <c r="I563" s="34" t="s">
        <v>521</v>
      </c>
      <c r="J563" s="35">
        <v>45895</v>
      </c>
      <c r="K563" s="36" t="s">
        <v>43</v>
      </c>
      <c r="L563" s="39" t="str">
        <f>VLOOKUP(Tabla810[[#This Row],[CODIGO DEL PRODUCTO]],Tabla79[],2,FALSE)</f>
        <v>PIEDRA 6-20</v>
      </c>
      <c r="M563" s="37">
        <v>5100</v>
      </c>
      <c r="O563" s="76">
        <v>1565</v>
      </c>
      <c r="P563" s="76" t="s">
        <v>235</v>
      </c>
      <c r="Q563" s="77">
        <v>45817</v>
      </c>
      <c r="R563" s="78" t="s">
        <v>42</v>
      </c>
      <c r="S563" s="36" t="str">
        <f>VLOOKUP(Tabla911[[#This Row],[CODIGO DEL PRODUCTO]],Tabla79[],2,FALSE)</f>
        <v>ARENA FINA</v>
      </c>
      <c r="T563" s="37">
        <v>36020</v>
      </c>
      <c r="U563" s="92"/>
    </row>
    <row r="564" spans="8:24" x14ac:dyDescent="0.25">
      <c r="H564" s="34">
        <v>12085</v>
      </c>
      <c r="I564" s="34" t="s">
        <v>522</v>
      </c>
      <c r="J564" s="35">
        <v>45895</v>
      </c>
      <c r="K564" s="36" t="s">
        <v>42</v>
      </c>
      <c r="L564" s="39" t="str">
        <f>VLOOKUP(Tabla810[[#This Row],[CODIGO DEL PRODUCTO]],Tabla79[],2,FALSE)</f>
        <v>ARENA FINA</v>
      </c>
      <c r="M564" s="37">
        <v>4000</v>
      </c>
      <c r="O564" s="76">
        <v>1571</v>
      </c>
      <c r="P564" s="76" t="s">
        <v>370</v>
      </c>
      <c r="Q564" s="77">
        <v>45817</v>
      </c>
      <c r="R564" s="78" t="s">
        <v>42</v>
      </c>
      <c r="S564" s="36" t="str">
        <f>VLOOKUP(Tabla911[[#This Row],[CODIGO DEL PRODUCTO]],Tabla79[],2,FALSE)</f>
        <v>ARENA FINA</v>
      </c>
      <c r="T564" s="37">
        <v>35920</v>
      </c>
      <c r="U564" s="92"/>
    </row>
    <row r="565" spans="8:24" x14ac:dyDescent="0.25">
      <c r="H565" s="34">
        <v>12089</v>
      </c>
      <c r="I565" s="34" t="s">
        <v>523</v>
      </c>
      <c r="J565" s="35">
        <v>45895</v>
      </c>
      <c r="K565" s="36" t="s">
        <v>43</v>
      </c>
      <c r="L565" s="39" t="str">
        <f>VLOOKUP(Tabla810[[#This Row],[CODIGO DEL PRODUCTO]],Tabla79[],2,FALSE)</f>
        <v>PIEDRA 6-20</v>
      </c>
      <c r="M565" s="37">
        <v>500</v>
      </c>
      <c r="O565" s="76">
        <v>1572</v>
      </c>
      <c r="P565" s="76" t="s">
        <v>235</v>
      </c>
      <c r="Q565" s="77">
        <v>45817</v>
      </c>
      <c r="R565" s="78" t="s">
        <v>42</v>
      </c>
      <c r="S565" s="36" t="str">
        <f>VLOOKUP(Tabla911[[#This Row],[CODIGO DEL PRODUCTO]],Tabla79[],2,FALSE)</f>
        <v>ARENA FINA</v>
      </c>
      <c r="T565" s="37">
        <v>36160</v>
      </c>
      <c r="U565" s="92"/>
    </row>
    <row r="566" spans="8:24" x14ac:dyDescent="0.25">
      <c r="H566" s="34">
        <v>12094</v>
      </c>
      <c r="I566" s="34" t="s">
        <v>514</v>
      </c>
      <c r="J566" s="35">
        <v>45895</v>
      </c>
      <c r="K566" s="36" t="s">
        <v>42</v>
      </c>
      <c r="L566" s="39" t="str">
        <f>VLOOKUP(Tabla810[[#This Row],[CODIGO DEL PRODUCTO]],Tabla79[],2,FALSE)</f>
        <v>ARENA FINA</v>
      </c>
      <c r="M566" s="37">
        <v>32920</v>
      </c>
      <c r="O566" s="76">
        <v>101777</v>
      </c>
      <c r="P566" s="76" t="s">
        <v>252</v>
      </c>
      <c r="Q566" s="77">
        <v>45817</v>
      </c>
      <c r="R566" s="78" t="s">
        <v>43</v>
      </c>
      <c r="S566" s="36" t="str">
        <f>VLOOKUP(Tabla911[[#This Row],[CODIGO DEL PRODUCTO]],Tabla79[],2,FALSE)</f>
        <v>PIEDRA 6-20</v>
      </c>
      <c r="T566" s="37">
        <v>35840</v>
      </c>
      <c r="U566" s="92"/>
    </row>
    <row r="567" spans="8:24" x14ac:dyDescent="0.25">
      <c r="H567" s="34">
        <v>12104</v>
      </c>
      <c r="I567" s="34" t="s">
        <v>478</v>
      </c>
      <c r="J567" s="35">
        <v>45896</v>
      </c>
      <c r="K567" s="36" t="s">
        <v>43</v>
      </c>
      <c r="L567" s="39" t="str">
        <f>VLOOKUP(Tabla810[[#This Row],[CODIGO DEL PRODUCTO]],Tabla79[],2,FALSE)</f>
        <v>PIEDRA 6-20</v>
      </c>
      <c r="M567" s="37">
        <v>2000</v>
      </c>
      <c r="O567" s="76">
        <v>101786</v>
      </c>
      <c r="P567" s="76" t="s">
        <v>234</v>
      </c>
      <c r="Q567" s="77">
        <v>45817</v>
      </c>
      <c r="R567" s="78" t="s">
        <v>43</v>
      </c>
      <c r="S567" s="36" t="str">
        <f>VLOOKUP(Tabla911[[#This Row],[CODIGO DEL PRODUCTO]],Tabla79[],2,FALSE)</f>
        <v>PIEDRA 6-20</v>
      </c>
      <c r="T567" s="37">
        <v>35100</v>
      </c>
      <c r="U567" s="92"/>
    </row>
    <row r="568" spans="8:24" x14ac:dyDescent="0.25">
      <c r="H568" s="34"/>
      <c r="I568" s="34" t="s">
        <v>478</v>
      </c>
      <c r="J568" s="35">
        <v>45896</v>
      </c>
      <c r="K568" s="36" t="s">
        <v>42</v>
      </c>
      <c r="L568" s="39" t="str">
        <f>VLOOKUP(Tabla810[[#This Row],[CODIGO DEL PRODUCTO]],Tabla79[],2,FALSE)</f>
        <v>ARENA FINA</v>
      </c>
      <c r="M568" s="37">
        <v>2000</v>
      </c>
      <c r="O568" s="76">
        <v>101787</v>
      </c>
      <c r="P568" s="76" t="s">
        <v>155</v>
      </c>
      <c r="Q568" s="77">
        <v>45817</v>
      </c>
      <c r="R568" s="78" t="s">
        <v>43</v>
      </c>
      <c r="S568" s="36" t="str">
        <f>VLOOKUP(Tabla911[[#This Row],[CODIGO DEL PRODUCTO]],Tabla79[],2,FALSE)</f>
        <v>PIEDRA 6-20</v>
      </c>
      <c r="T568" s="37">
        <v>34320</v>
      </c>
      <c r="U568" s="92"/>
    </row>
    <row r="569" spans="8:24" x14ac:dyDescent="0.25">
      <c r="H569" s="34">
        <v>12113</v>
      </c>
      <c r="I569" s="34" t="s">
        <v>524</v>
      </c>
      <c r="J569" s="35">
        <v>45896</v>
      </c>
      <c r="K569" s="36" t="s">
        <v>42</v>
      </c>
      <c r="L569" s="39" t="str">
        <f>VLOOKUP(Tabla810[[#This Row],[CODIGO DEL PRODUCTO]],Tabla79[],2,FALSE)</f>
        <v>ARENA FINA</v>
      </c>
      <c r="M569" s="37">
        <v>4000</v>
      </c>
      <c r="O569" s="76">
        <v>101798</v>
      </c>
      <c r="P569" s="76" t="s">
        <v>254</v>
      </c>
      <c r="Q569" s="77">
        <v>45817</v>
      </c>
      <c r="R569" s="78" t="s">
        <v>43</v>
      </c>
      <c r="S569" s="36" t="str">
        <f>VLOOKUP(Tabla911[[#This Row],[CODIGO DEL PRODUCTO]],Tabla79[],2,FALSE)</f>
        <v>PIEDRA 6-20</v>
      </c>
      <c r="T569" s="37">
        <v>34640</v>
      </c>
      <c r="U569" s="92"/>
    </row>
    <row r="570" spans="8:24" x14ac:dyDescent="0.25">
      <c r="H570" s="34">
        <v>12122</v>
      </c>
      <c r="I570" s="34" t="s">
        <v>524</v>
      </c>
      <c r="J570" s="35">
        <v>45896</v>
      </c>
      <c r="K570" s="36" t="s">
        <v>43</v>
      </c>
      <c r="L570" s="39" t="str">
        <f>VLOOKUP(Tabla810[[#This Row],[CODIGO DEL PRODUCTO]],Tabla79[],2,FALSE)</f>
        <v>PIEDRA 6-20</v>
      </c>
      <c r="M570" s="37">
        <v>4000</v>
      </c>
      <c r="O570" s="76">
        <v>2633764</v>
      </c>
      <c r="P570" s="76" t="s">
        <v>65</v>
      </c>
      <c r="Q570" s="77">
        <v>45817</v>
      </c>
      <c r="R570" s="78" t="s">
        <v>286</v>
      </c>
      <c r="S570" s="36" t="str">
        <f>VLOOKUP(Tabla911[[#This Row],[CODIGO DEL PRODUCTO]],Tabla79[],2,FALSE)</f>
        <v>CPF 40 AVELLANEDA</v>
      </c>
      <c r="T570" s="37">
        <v>36280</v>
      </c>
      <c r="U570" s="92"/>
    </row>
    <row r="571" spans="8:24" x14ac:dyDescent="0.25">
      <c r="H571" s="34">
        <v>12132</v>
      </c>
      <c r="I571" s="34" t="s">
        <v>478</v>
      </c>
      <c r="J571" s="35">
        <v>45896</v>
      </c>
      <c r="K571" s="36" t="s">
        <v>42</v>
      </c>
      <c r="L571" s="39" t="str">
        <f>VLOOKUP(Tabla810[[#This Row],[CODIGO DEL PRODUCTO]],Tabla79[],2,FALSE)</f>
        <v>ARENA FINA</v>
      </c>
      <c r="M571" s="37">
        <v>4000</v>
      </c>
      <c r="O571" s="76">
        <v>1587</v>
      </c>
      <c r="P571" s="76" t="s">
        <v>235</v>
      </c>
      <c r="Q571" s="77">
        <v>45818</v>
      </c>
      <c r="R571" s="78" t="s">
        <v>42</v>
      </c>
      <c r="S571" s="36" t="str">
        <f>VLOOKUP(Tabla911[[#This Row],[CODIGO DEL PRODUCTO]],Tabla79[],2,FALSE)</f>
        <v>ARENA FINA</v>
      </c>
      <c r="T571" s="37">
        <v>35100</v>
      </c>
      <c r="U571" s="92"/>
      <c r="V571" s="7">
        <v>45818</v>
      </c>
      <c r="W571" t="s">
        <v>421</v>
      </c>
      <c r="X571" t="s">
        <v>422</v>
      </c>
    </row>
    <row r="572" spans="8:24" x14ac:dyDescent="0.25">
      <c r="H572" s="34">
        <v>12158</v>
      </c>
      <c r="I572" s="34" t="s">
        <v>442</v>
      </c>
      <c r="J572" s="35">
        <v>45897</v>
      </c>
      <c r="K572" s="36" t="s">
        <v>46</v>
      </c>
      <c r="L572" s="39" t="str">
        <f>VLOOKUP(Tabla810[[#This Row],[CODIGO DEL PRODUCTO]],Tabla79[],2,FALSE)</f>
        <v>PIEDRA 10-30</v>
      </c>
      <c r="M572" s="37">
        <v>25000</v>
      </c>
      <c r="O572" s="76">
        <v>1590</v>
      </c>
      <c r="P572" s="76" t="s">
        <v>370</v>
      </c>
      <c r="Q572" s="77">
        <v>45818</v>
      </c>
      <c r="R572" s="78" t="s">
        <v>42</v>
      </c>
      <c r="S572" s="36" t="str">
        <f>VLOOKUP(Tabla911[[#This Row],[CODIGO DEL PRODUCTO]],Tabla79[],2,FALSE)</f>
        <v>ARENA FINA</v>
      </c>
      <c r="T572" s="37">
        <v>35980</v>
      </c>
      <c r="U572" s="92"/>
    </row>
    <row r="573" spans="8:24" x14ac:dyDescent="0.25">
      <c r="H573" s="34">
        <v>12168</v>
      </c>
      <c r="I573" s="34" t="s">
        <v>442</v>
      </c>
      <c r="J573" s="35">
        <v>45897</v>
      </c>
      <c r="K573" s="36" t="s">
        <v>42</v>
      </c>
      <c r="L573" s="39" t="str">
        <f>VLOOKUP(Tabla810[[#This Row],[CODIGO DEL PRODUCTO]],Tabla79[],2,FALSE)</f>
        <v>ARENA FINA</v>
      </c>
      <c r="M573" s="37">
        <v>5000</v>
      </c>
      <c r="O573" s="76">
        <v>1591</v>
      </c>
      <c r="P573" s="76" t="s">
        <v>235</v>
      </c>
      <c r="Q573" s="77">
        <v>45818</v>
      </c>
      <c r="R573" s="78" t="s">
        <v>42</v>
      </c>
      <c r="S573" s="36" t="str">
        <f>VLOOKUP(Tabla911[[#This Row],[CODIGO DEL PRODUCTO]],Tabla79[],2,FALSE)</f>
        <v>ARENA FINA</v>
      </c>
      <c r="T573" s="37">
        <v>36580</v>
      </c>
      <c r="U573" s="92"/>
    </row>
    <row r="574" spans="8:24" x14ac:dyDescent="0.25">
      <c r="H574" s="34">
        <v>12170</v>
      </c>
      <c r="I574" s="34" t="s">
        <v>474</v>
      </c>
      <c r="J574" s="35">
        <v>45897</v>
      </c>
      <c r="K574" s="36" t="s">
        <v>42</v>
      </c>
      <c r="L574" s="39" t="str">
        <f>VLOOKUP(Tabla810[[#This Row],[CODIGO DEL PRODUCTO]],Tabla79[],2,FALSE)</f>
        <v>ARENA FINA</v>
      </c>
      <c r="M574" s="37">
        <v>5000</v>
      </c>
      <c r="O574" s="76">
        <v>101810</v>
      </c>
      <c r="P574" s="76" t="s">
        <v>252</v>
      </c>
      <c r="Q574" s="77">
        <v>45818</v>
      </c>
      <c r="R574" s="78" t="s">
        <v>43</v>
      </c>
      <c r="S574" s="36" t="str">
        <f>VLOOKUP(Tabla911[[#This Row],[CODIGO DEL PRODUCTO]],Tabla79[],2,FALSE)</f>
        <v>PIEDRA 6-20</v>
      </c>
      <c r="T574" s="37">
        <v>35500</v>
      </c>
      <c r="U574" s="92"/>
    </row>
    <row r="575" spans="8:24" x14ac:dyDescent="0.25">
      <c r="H575" s="34">
        <v>12172</v>
      </c>
      <c r="I575" s="34" t="s">
        <v>525</v>
      </c>
      <c r="J575" s="35">
        <v>45897</v>
      </c>
      <c r="K575" s="36" t="s">
        <v>468</v>
      </c>
      <c r="L575" s="39" t="str">
        <f>VLOOKUP(Tabla810[[#This Row],[CODIGO DEL PRODUCTO]],Tabla79[],2,FALSE)</f>
        <v>ESTABILIZADO 0-100 X TN</v>
      </c>
      <c r="M575" s="37">
        <v>28940</v>
      </c>
      <c r="O575" s="76">
        <v>101816</v>
      </c>
      <c r="P575" s="76" t="s">
        <v>155</v>
      </c>
      <c r="Q575" s="77">
        <v>45818</v>
      </c>
      <c r="R575" s="78" t="s">
        <v>43</v>
      </c>
      <c r="S575" s="36" t="str">
        <f>VLOOKUP(Tabla911[[#This Row],[CODIGO DEL PRODUCTO]],Tabla79[],2,FALSE)</f>
        <v>PIEDRA 6-20</v>
      </c>
      <c r="T575" s="37">
        <v>34220</v>
      </c>
      <c r="U575" s="92"/>
    </row>
    <row r="576" spans="8:24" x14ac:dyDescent="0.25">
      <c r="H576" s="34">
        <v>12183</v>
      </c>
      <c r="I576" s="34" t="s">
        <v>478</v>
      </c>
      <c r="J576" s="35">
        <v>45897</v>
      </c>
      <c r="K576" s="36" t="s">
        <v>43</v>
      </c>
      <c r="L576" s="39" t="str">
        <f>VLOOKUP(Tabla810[[#This Row],[CODIGO DEL PRODUCTO]],Tabla79[],2,FALSE)</f>
        <v>PIEDRA 6-20</v>
      </c>
      <c r="M576" s="37">
        <v>3000</v>
      </c>
      <c r="O576" s="76">
        <v>101817</v>
      </c>
      <c r="P576" s="76" t="s">
        <v>234</v>
      </c>
      <c r="Q576" s="77">
        <v>45818</v>
      </c>
      <c r="R576" s="78" t="s">
        <v>43</v>
      </c>
      <c r="S576" s="36" t="str">
        <f>VLOOKUP(Tabla911[[#This Row],[CODIGO DEL PRODUCTO]],Tabla79[],2,FALSE)</f>
        <v>PIEDRA 6-20</v>
      </c>
      <c r="T576" s="37">
        <v>34480</v>
      </c>
      <c r="U576" s="92"/>
    </row>
    <row r="577" spans="8:21" x14ac:dyDescent="0.25">
      <c r="H577" s="34">
        <v>12185</v>
      </c>
      <c r="I577" s="34" t="s">
        <v>514</v>
      </c>
      <c r="J577" s="35">
        <v>45897</v>
      </c>
      <c r="K577" s="36" t="s">
        <v>42</v>
      </c>
      <c r="L577" s="39" t="str">
        <f>VLOOKUP(Tabla810[[#This Row],[CODIGO DEL PRODUCTO]],Tabla79[],2,FALSE)</f>
        <v>ARENA FINA</v>
      </c>
      <c r="M577" s="37">
        <v>37780</v>
      </c>
      <c r="O577" s="76">
        <v>101833</v>
      </c>
      <c r="P577" s="76" t="s">
        <v>156</v>
      </c>
      <c r="Q577" s="77">
        <v>45818</v>
      </c>
      <c r="R577" s="78" t="s">
        <v>48</v>
      </c>
      <c r="S577" s="36" t="str">
        <f>VLOOKUP(Tabla911[[#This Row],[CODIGO DEL PRODUCTO]],Tabla79[],2,FALSE)</f>
        <v>PIEDRA 6-12</v>
      </c>
      <c r="T577" s="37">
        <v>35600</v>
      </c>
      <c r="U577" s="92"/>
    </row>
    <row r="578" spans="8:21" x14ac:dyDescent="0.25">
      <c r="H578" s="34">
        <v>294</v>
      </c>
      <c r="I578" s="34" t="s">
        <v>458</v>
      </c>
      <c r="J578" s="35">
        <v>45898</v>
      </c>
      <c r="K578" s="36" t="s">
        <v>42</v>
      </c>
      <c r="L578" s="39" t="str">
        <f>VLOOKUP(Tabla810[[#This Row],[CODIGO DEL PRODUCTO]],Tabla79[],2,FALSE)</f>
        <v>ARENA FINA</v>
      </c>
      <c r="M578" s="37">
        <v>2000</v>
      </c>
      <c r="O578" s="76">
        <v>101834</v>
      </c>
      <c r="P578" s="76" t="s">
        <v>254</v>
      </c>
      <c r="Q578" s="77">
        <v>45818</v>
      </c>
      <c r="R578" s="78" t="s">
        <v>43</v>
      </c>
      <c r="S578" s="36" t="str">
        <f>VLOOKUP(Tabla911[[#This Row],[CODIGO DEL PRODUCTO]],Tabla79[],2,FALSE)</f>
        <v>PIEDRA 6-20</v>
      </c>
      <c r="T578" s="37">
        <v>34620</v>
      </c>
      <c r="U578" s="92"/>
    </row>
    <row r="579" spans="8:21" x14ac:dyDescent="0.25">
      <c r="H579" s="34">
        <v>12211</v>
      </c>
      <c r="I579" s="34" t="s">
        <v>474</v>
      </c>
      <c r="J579" s="35">
        <v>45898</v>
      </c>
      <c r="K579" s="36" t="s">
        <v>42</v>
      </c>
      <c r="L579" s="39" t="str">
        <f>VLOOKUP(Tabla810[[#This Row],[CODIGO DEL PRODUCTO]],Tabla79[],2,FALSE)</f>
        <v>ARENA FINA</v>
      </c>
      <c r="M579" s="37">
        <v>23540</v>
      </c>
      <c r="O579" s="76">
        <v>2634056</v>
      </c>
      <c r="P579" s="76" t="s">
        <v>65</v>
      </c>
      <c r="Q579" s="77">
        <v>45818</v>
      </c>
      <c r="R579" s="78" t="s">
        <v>286</v>
      </c>
      <c r="S579" s="36" t="str">
        <f>VLOOKUP(Tabla911[[#This Row],[CODIGO DEL PRODUCTO]],Tabla79[],2,FALSE)</f>
        <v>CPF 40 AVELLANEDA</v>
      </c>
      <c r="T579" s="37">
        <v>35900</v>
      </c>
      <c r="U579" s="92"/>
    </row>
    <row r="580" spans="8:21" x14ac:dyDescent="0.25">
      <c r="H580" s="34">
        <v>12220</v>
      </c>
      <c r="I580" s="34" t="s">
        <v>474</v>
      </c>
      <c r="J580" s="35">
        <v>45898</v>
      </c>
      <c r="K580" s="36" t="s">
        <v>43</v>
      </c>
      <c r="L580" s="39" t="str">
        <f>VLOOKUP(Tabla810[[#This Row],[CODIGO DEL PRODUCTO]],Tabla79[],2,FALSE)</f>
        <v>PIEDRA 6-20</v>
      </c>
      <c r="M580" s="37">
        <v>23180</v>
      </c>
      <c r="O580" s="76">
        <v>100791</v>
      </c>
      <c r="P580" s="76" t="s">
        <v>235</v>
      </c>
      <c r="Q580" s="77">
        <v>45819</v>
      </c>
      <c r="R580" s="78" t="s">
        <v>42</v>
      </c>
      <c r="S580" s="36" t="str">
        <f>VLOOKUP(Tabla911[[#This Row],[CODIGO DEL PRODUCTO]],Tabla79[],2,FALSE)</f>
        <v>ARENA FINA</v>
      </c>
      <c r="T580" s="37">
        <v>37800</v>
      </c>
      <c r="U580" s="92"/>
    </row>
    <row r="581" spans="8:21" x14ac:dyDescent="0.25">
      <c r="H581" s="34">
        <v>12226</v>
      </c>
      <c r="I581" s="34" t="s">
        <v>526</v>
      </c>
      <c r="J581" s="35">
        <v>45898</v>
      </c>
      <c r="K581" s="36" t="s">
        <v>43</v>
      </c>
      <c r="L581" s="39" t="str">
        <f>VLOOKUP(Tabla810[[#This Row],[CODIGO DEL PRODUCTO]],Tabla79[],2,FALSE)</f>
        <v>PIEDRA 6-20</v>
      </c>
      <c r="M581" s="37">
        <v>2000</v>
      </c>
      <c r="O581" s="76">
        <v>100798</v>
      </c>
      <c r="P581" s="76" t="s">
        <v>235</v>
      </c>
      <c r="Q581" s="77">
        <v>45819</v>
      </c>
      <c r="R581" s="78" t="s">
        <v>42</v>
      </c>
      <c r="S581" s="36" t="str">
        <f>VLOOKUP(Tabla911[[#This Row],[CODIGO DEL PRODUCTO]],Tabla79[],2,FALSE)</f>
        <v>ARENA FINA</v>
      </c>
      <c r="T581" s="37">
        <v>37760</v>
      </c>
      <c r="U581" s="92"/>
    </row>
    <row r="582" spans="8:21" x14ac:dyDescent="0.25">
      <c r="H582" s="34">
        <v>12231</v>
      </c>
      <c r="I582" s="34" t="s">
        <v>527</v>
      </c>
      <c r="J582" s="35">
        <v>45898</v>
      </c>
      <c r="K582" s="36" t="s">
        <v>372</v>
      </c>
      <c r="L582" s="39" t="str">
        <f>VLOOKUP(Tabla810[[#This Row],[CODIGO DEL PRODUCTO]],Tabla79[],2,FALSE)</f>
        <v xml:space="preserve">ESTABILIZADO GRANULOMETRICO 0/20 </v>
      </c>
      <c r="M582" s="37">
        <v>14000</v>
      </c>
      <c r="O582" s="76">
        <v>100799</v>
      </c>
      <c r="P582" s="76" t="s">
        <v>370</v>
      </c>
      <c r="Q582" s="77">
        <v>45819</v>
      </c>
      <c r="R582" s="78" t="s">
        <v>42</v>
      </c>
      <c r="S582" s="36" t="str">
        <f>VLOOKUP(Tabla911[[#This Row],[CODIGO DEL PRODUCTO]],Tabla79[],2,FALSE)</f>
        <v>ARENA FINA</v>
      </c>
      <c r="T582" s="37">
        <v>34740</v>
      </c>
      <c r="U582" s="92"/>
    </row>
    <row r="583" spans="8:21" x14ac:dyDescent="0.25">
      <c r="H583" s="34">
        <v>12238</v>
      </c>
      <c r="I583" s="34" t="s">
        <v>514</v>
      </c>
      <c r="J583" s="35">
        <v>45899</v>
      </c>
      <c r="K583" s="36" t="s">
        <v>43</v>
      </c>
      <c r="L583" s="39" t="str">
        <f>VLOOKUP(Tabla810[[#This Row],[CODIGO DEL PRODUCTO]],Tabla79[],2,FALSE)</f>
        <v>PIEDRA 6-20</v>
      </c>
      <c r="M583" s="37">
        <v>35800</v>
      </c>
      <c r="O583" s="76">
        <v>101840</v>
      </c>
      <c r="P583" s="76" t="s">
        <v>252</v>
      </c>
      <c r="Q583" s="77">
        <v>45819</v>
      </c>
      <c r="R583" s="78" t="s">
        <v>43</v>
      </c>
      <c r="S583" s="36" t="str">
        <f>VLOOKUP(Tabla911[[#This Row],[CODIGO DEL PRODUCTO]],Tabla79[],2,FALSE)</f>
        <v>PIEDRA 6-20</v>
      </c>
      <c r="T583" s="37">
        <v>35840</v>
      </c>
      <c r="U583" s="92"/>
    </row>
    <row r="584" spans="8:21" x14ac:dyDescent="0.25">
      <c r="H584" s="34">
        <v>12248</v>
      </c>
      <c r="I584" s="34" t="s">
        <v>514</v>
      </c>
      <c r="J584" s="35">
        <v>45899</v>
      </c>
      <c r="K584" s="36" t="s">
        <v>42</v>
      </c>
      <c r="L584" s="39" t="str">
        <f>VLOOKUP(Tabla810[[#This Row],[CODIGO DEL PRODUCTO]],Tabla79[],2,FALSE)</f>
        <v>ARENA FINA</v>
      </c>
      <c r="M584" s="37">
        <v>36600</v>
      </c>
      <c r="O584" s="76">
        <v>101847</v>
      </c>
      <c r="P584" s="76" t="s">
        <v>155</v>
      </c>
      <c r="Q584" s="77">
        <v>45819</v>
      </c>
      <c r="R584" s="78" t="s">
        <v>43</v>
      </c>
      <c r="S584" s="36" t="str">
        <f>VLOOKUP(Tabla911[[#This Row],[CODIGO DEL PRODUCTO]],Tabla79[],2,FALSE)</f>
        <v>PIEDRA 6-20</v>
      </c>
      <c r="T584" s="37">
        <v>34340</v>
      </c>
      <c r="U584" s="92"/>
    </row>
    <row r="585" spans="8:21" x14ac:dyDescent="0.25">
      <c r="H585" s="34"/>
      <c r="I585" s="34" t="s">
        <v>53</v>
      </c>
      <c r="J585" s="35">
        <v>45892</v>
      </c>
      <c r="K585" s="36" t="s">
        <v>42</v>
      </c>
      <c r="L585" s="39" t="str">
        <f>VLOOKUP(Tabla810[[#This Row],[CODIGO DEL PRODUCTO]],Tabla79[],2,FALSE)</f>
        <v>ARENA FINA</v>
      </c>
      <c r="M585" s="37">
        <v>714517</v>
      </c>
      <c r="O585" s="76">
        <v>101868</v>
      </c>
      <c r="P585" s="76" t="s">
        <v>156</v>
      </c>
      <c r="Q585" s="77">
        <v>45819</v>
      </c>
      <c r="R585" s="78" t="s">
        <v>48</v>
      </c>
      <c r="S585" s="36" t="str">
        <f>VLOOKUP(Tabla911[[#This Row],[CODIGO DEL PRODUCTO]],Tabla79[],2,FALSE)</f>
        <v>PIEDRA 6-12</v>
      </c>
      <c r="T585" s="37">
        <v>35640</v>
      </c>
      <c r="U585" s="92"/>
    </row>
    <row r="586" spans="8:21" x14ac:dyDescent="0.25">
      <c r="H586" s="34"/>
      <c r="I586" s="34" t="s">
        <v>53</v>
      </c>
      <c r="J586" s="35">
        <v>45893</v>
      </c>
      <c r="K586" s="36" t="s">
        <v>40</v>
      </c>
      <c r="L586" s="39" t="str">
        <f>VLOOKUP(Tabla810[[#This Row],[CODIGO DEL PRODUCTO]],Tabla79[],2,FALSE)</f>
        <v>PIEDRA 0-6</v>
      </c>
      <c r="M586" s="37">
        <v>483504</v>
      </c>
      <c r="O586" s="76">
        <v>101869</v>
      </c>
      <c r="P586" s="76" t="s">
        <v>254</v>
      </c>
      <c r="Q586" s="77">
        <v>45819</v>
      </c>
      <c r="R586" s="78" t="s">
        <v>43</v>
      </c>
      <c r="S586" s="36" t="str">
        <f>VLOOKUP(Tabla911[[#This Row],[CODIGO DEL PRODUCTO]],Tabla79[],2,FALSE)</f>
        <v>PIEDRA 6-20</v>
      </c>
      <c r="T586" s="37">
        <v>35260</v>
      </c>
      <c r="U586" s="92"/>
    </row>
    <row r="587" spans="8:21" x14ac:dyDescent="0.25">
      <c r="H587" s="34"/>
      <c r="I587" s="34" t="s">
        <v>53</v>
      </c>
      <c r="J587" s="35">
        <v>45894</v>
      </c>
      <c r="K587" s="36" t="s">
        <v>286</v>
      </c>
      <c r="L587" s="39" t="str">
        <f>VLOOKUP(Tabla810[[#This Row],[CODIGO DEL PRODUCTO]],Tabla79[],2,FALSE)</f>
        <v>CPF 40 AVELLANEDA</v>
      </c>
      <c r="M587" s="37">
        <v>355852</v>
      </c>
      <c r="O587" s="76">
        <v>2634329</v>
      </c>
      <c r="P587" s="76" t="s">
        <v>65</v>
      </c>
      <c r="Q587" s="77">
        <v>45819</v>
      </c>
      <c r="R587" s="78" t="s">
        <v>286</v>
      </c>
      <c r="S587" s="36" t="str">
        <f>VLOOKUP(Tabla911[[#This Row],[CODIGO DEL PRODUCTO]],Tabla79[],2,FALSE)</f>
        <v>CPF 40 AVELLANEDA</v>
      </c>
      <c r="T587" s="37">
        <v>36460</v>
      </c>
      <c r="U587" s="92"/>
    </row>
    <row r="588" spans="8:21" x14ac:dyDescent="0.25">
      <c r="H588" s="34"/>
      <c r="I588" s="34" t="s">
        <v>53</v>
      </c>
      <c r="J588" s="35">
        <v>45895</v>
      </c>
      <c r="K588" s="36" t="s">
        <v>48</v>
      </c>
      <c r="L588" s="39" t="str">
        <f>VLOOKUP(Tabla810[[#This Row],[CODIGO DEL PRODUCTO]],Tabla79[],2,FALSE)</f>
        <v>PIEDRA 6-12</v>
      </c>
      <c r="M588" s="37">
        <v>173467</v>
      </c>
      <c r="O588" s="76">
        <v>100806</v>
      </c>
      <c r="P588" s="76" t="s">
        <v>235</v>
      </c>
      <c r="Q588" s="77">
        <v>45820</v>
      </c>
      <c r="R588" s="78" t="s">
        <v>42</v>
      </c>
      <c r="S588" s="36" t="str">
        <f>VLOOKUP(Tabla911[[#This Row],[CODIGO DEL PRODUCTO]],Tabla79[],2,FALSE)</f>
        <v>ARENA FINA</v>
      </c>
      <c r="T588" s="37">
        <v>37440</v>
      </c>
      <c r="U588" s="92"/>
    </row>
    <row r="589" spans="8:21" x14ac:dyDescent="0.25">
      <c r="H589" s="34"/>
      <c r="I589" s="34" t="s">
        <v>53</v>
      </c>
      <c r="J589" s="35">
        <v>45896</v>
      </c>
      <c r="K589" s="36" t="s">
        <v>43</v>
      </c>
      <c r="L589" s="39" t="str">
        <f>VLOOKUP(Tabla810[[#This Row],[CODIGO DEL PRODUCTO]],Tabla79[],2,FALSE)</f>
        <v>PIEDRA 6-20</v>
      </c>
      <c r="M589" s="37">
        <v>902202</v>
      </c>
      <c r="O589" s="76">
        <v>100809</v>
      </c>
      <c r="P589" s="76" t="s">
        <v>370</v>
      </c>
      <c r="Q589" s="77">
        <v>45820</v>
      </c>
      <c r="R589" s="78" t="s">
        <v>42</v>
      </c>
      <c r="S589" s="36" t="str">
        <f>VLOOKUP(Tabla911[[#This Row],[CODIGO DEL PRODUCTO]],Tabla79[],2,FALSE)</f>
        <v>ARENA FINA</v>
      </c>
      <c r="T589" s="37">
        <v>35640</v>
      </c>
      <c r="U589" s="92"/>
    </row>
    <row r="590" spans="8:21" x14ac:dyDescent="0.25">
      <c r="H590" s="34"/>
      <c r="I590" s="34" t="s">
        <v>53</v>
      </c>
      <c r="J590" s="35">
        <v>45900</v>
      </c>
      <c r="K590" s="36" t="s">
        <v>425</v>
      </c>
      <c r="L590" s="39" t="str">
        <f>VLOOKUP(Tabla810[[#This Row],[CODIGO DEL PRODUCTO]],Tabla79[],2,FALSE)</f>
        <v>W351R</v>
      </c>
      <c r="M590" s="37">
        <v>2027.47</v>
      </c>
      <c r="O590" s="76">
        <v>100810</v>
      </c>
      <c r="P590" s="76" t="s">
        <v>235</v>
      </c>
      <c r="Q590" s="77">
        <v>45820</v>
      </c>
      <c r="R590" s="78" t="s">
        <v>42</v>
      </c>
      <c r="S590" s="36" t="str">
        <f>VLOOKUP(Tabla911[[#This Row],[CODIGO DEL PRODUCTO]],Tabla79[],2,FALSE)</f>
        <v>ARENA FINA</v>
      </c>
      <c r="T590" s="37">
        <v>35920</v>
      </c>
      <c r="U590" s="92"/>
    </row>
    <row r="591" spans="8:21" x14ac:dyDescent="0.25">
      <c r="H591" s="34">
        <v>12256</v>
      </c>
      <c r="I591" s="34" t="s">
        <v>474</v>
      </c>
      <c r="J591" s="35">
        <v>45901</v>
      </c>
      <c r="K591" s="36" t="s">
        <v>42</v>
      </c>
      <c r="L591" s="39" t="str">
        <f>VLOOKUP(Tabla810[[#This Row],[CODIGO DEL PRODUCTO]],Tabla79[],2,FALSE)</f>
        <v>ARENA FINA</v>
      </c>
      <c r="M591" s="37">
        <v>5000</v>
      </c>
      <c r="O591" s="76">
        <v>101887</v>
      </c>
      <c r="P591" s="76" t="s">
        <v>155</v>
      </c>
      <c r="Q591" s="77">
        <v>45820</v>
      </c>
      <c r="R591" s="78" t="s">
        <v>43</v>
      </c>
      <c r="S591" s="36" t="str">
        <f>VLOOKUP(Tabla911[[#This Row],[CODIGO DEL PRODUCTO]],Tabla79[],2,FALSE)</f>
        <v>PIEDRA 6-20</v>
      </c>
      <c r="T591" s="37">
        <v>33900</v>
      </c>
      <c r="U591" s="92"/>
    </row>
    <row r="592" spans="8:21" x14ac:dyDescent="0.25">
      <c r="H592" s="34">
        <v>12258</v>
      </c>
      <c r="I592" s="34" t="s">
        <v>474</v>
      </c>
      <c r="J592" s="35">
        <v>45901</v>
      </c>
      <c r="K592" s="36" t="s">
        <v>42</v>
      </c>
      <c r="L592" s="39" t="str">
        <f>VLOOKUP(Tabla810[[#This Row],[CODIGO DEL PRODUCTO]],Tabla79[],2,FALSE)</f>
        <v>ARENA FINA</v>
      </c>
      <c r="M592" s="37">
        <v>5000</v>
      </c>
      <c r="O592" s="76">
        <v>101911</v>
      </c>
      <c r="P592" s="76" t="s">
        <v>156</v>
      </c>
      <c r="Q592" s="77">
        <v>45820</v>
      </c>
      <c r="R592" s="78" t="s">
        <v>48</v>
      </c>
      <c r="S592" s="36" t="str">
        <f>VLOOKUP(Tabla911[[#This Row],[CODIGO DEL PRODUCTO]],Tabla79[],2,FALSE)</f>
        <v>PIEDRA 6-12</v>
      </c>
      <c r="T592" s="37">
        <v>34820</v>
      </c>
      <c r="U592" s="92"/>
    </row>
    <row r="593" spans="8:21" x14ac:dyDescent="0.25">
      <c r="H593" s="34">
        <v>12269</v>
      </c>
      <c r="I593" s="34" t="s">
        <v>534</v>
      </c>
      <c r="J593" s="35">
        <v>45902</v>
      </c>
      <c r="K593" s="36" t="s">
        <v>42</v>
      </c>
      <c r="L593" s="39" t="str">
        <f>VLOOKUP(Tabla810[[#This Row],[CODIGO DEL PRODUCTO]],Tabla79[],2,FALSE)</f>
        <v>ARENA FINA</v>
      </c>
      <c r="M593" s="37">
        <v>2000</v>
      </c>
      <c r="O593" s="76">
        <v>101915</v>
      </c>
      <c r="P593" s="76" t="s">
        <v>254</v>
      </c>
      <c r="Q593" s="77">
        <v>45820</v>
      </c>
      <c r="R593" s="78" t="s">
        <v>43</v>
      </c>
      <c r="S593" s="36" t="str">
        <f>VLOOKUP(Tabla911[[#This Row],[CODIGO DEL PRODUCTO]],Tabla79[],2,FALSE)</f>
        <v>PIEDRA 6-20</v>
      </c>
      <c r="T593" s="37">
        <v>34220</v>
      </c>
      <c r="U593" s="92"/>
    </row>
    <row r="594" spans="8:21" x14ac:dyDescent="0.25">
      <c r="H594" s="34"/>
      <c r="I594" s="34" t="s">
        <v>534</v>
      </c>
      <c r="J594" s="35">
        <v>45902</v>
      </c>
      <c r="K594" s="36" t="s">
        <v>43</v>
      </c>
      <c r="L594" s="39" t="str">
        <f>VLOOKUP(Tabla810[[#This Row],[CODIGO DEL PRODUCTO]],Tabla79[],2,FALSE)</f>
        <v>PIEDRA 6-20</v>
      </c>
      <c r="M594" s="37">
        <v>3000</v>
      </c>
      <c r="O594" s="76">
        <v>138211</v>
      </c>
      <c r="P594" s="76" t="s">
        <v>162</v>
      </c>
      <c r="Q594" s="77">
        <v>45820</v>
      </c>
      <c r="R594" s="78" t="s">
        <v>43</v>
      </c>
      <c r="S594" s="36" t="str">
        <f>VLOOKUP(Tabla911[[#This Row],[CODIGO DEL PRODUCTO]],Tabla79[],2,FALSE)</f>
        <v>PIEDRA 6-20</v>
      </c>
      <c r="T594" s="37">
        <v>35260</v>
      </c>
      <c r="U594" s="92"/>
    </row>
    <row r="595" spans="8:21" x14ac:dyDescent="0.25">
      <c r="H595" s="34">
        <v>12274</v>
      </c>
      <c r="I595" s="34" t="s">
        <v>535</v>
      </c>
      <c r="J595" s="35">
        <v>45902</v>
      </c>
      <c r="K595" s="36" t="s">
        <v>40</v>
      </c>
      <c r="L595" s="39" t="str">
        <f>VLOOKUP(Tabla810[[#This Row],[CODIGO DEL PRODUCTO]],Tabla79[],2,FALSE)</f>
        <v>PIEDRA 0-6</v>
      </c>
      <c r="M595" s="37">
        <v>1000</v>
      </c>
      <c r="O595" s="76">
        <v>2634655</v>
      </c>
      <c r="P595" s="76" t="s">
        <v>65</v>
      </c>
      <c r="Q595" s="77">
        <v>45820</v>
      </c>
      <c r="R595" s="78" t="s">
        <v>286</v>
      </c>
      <c r="S595" s="36" t="str">
        <f>VLOOKUP(Tabla911[[#This Row],[CODIGO DEL PRODUCTO]],Tabla79[],2,FALSE)</f>
        <v>CPF 40 AVELLANEDA</v>
      </c>
      <c r="T595" s="37">
        <v>36140</v>
      </c>
      <c r="U595" s="92"/>
    </row>
    <row r="596" spans="8:21" x14ac:dyDescent="0.25">
      <c r="H596" s="34">
        <v>12280</v>
      </c>
      <c r="I596" s="34" t="s">
        <v>514</v>
      </c>
      <c r="J596" s="35">
        <v>45902</v>
      </c>
      <c r="K596" s="36" t="s">
        <v>42</v>
      </c>
      <c r="L596" s="39" t="str">
        <f>VLOOKUP(Tabla810[[#This Row],[CODIGO DEL PRODUCTO]],Tabla79[],2,FALSE)</f>
        <v>ARENA FINA</v>
      </c>
      <c r="M596" s="37">
        <v>34340</v>
      </c>
      <c r="O596" s="76">
        <v>100818</v>
      </c>
      <c r="P596" s="76" t="s">
        <v>235</v>
      </c>
      <c r="Q596" s="77">
        <v>45821</v>
      </c>
      <c r="R596" s="78" t="s">
        <v>42</v>
      </c>
      <c r="S596" s="36" t="str">
        <f>VLOOKUP(Tabla911[[#This Row],[CODIGO DEL PRODUCTO]],Tabla79[],2,FALSE)</f>
        <v>ARENA FINA</v>
      </c>
      <c r="T596" s="37">
        <v>34500</v>
      </c>
      <c r="U596" s="92"/>
    </row>
    <row r="597" spans="8:21" x14ac:dyDescent="0.25">
      <c r="H597" s="34">
        <v>12294</v>
      </c>
      <c r="I597" s="34" t="s">
        <v>540</v>
      </c>
      <c r="J597" s="35">
        <v>45903</v>
      </c>
      <c r="K597" s="36" t="s">
        <v>46</v>
      </c>
      <c r="L597" s="39" t="str">
        <f>VLOOKUP(Tabla810[[#This Row],[CODIGO DEL PRODUCTO]],Tabla79[],2,FALSE)</f>
        <v>PIEDRA 10-30</v>
      </c>
      <c r="M597" s="37">
        <v>43000</v>
      </c>
      <c r="O597" s="76">
        <v>100824</v>
      </c>
      <c r="P597" s="76" t="s">
        <v>370</v>
      </c>
      <c r="Q597" s="77">
        <v>45821</v>
      </c>
      <c r="R597" s="78" t="s">
        <v>42</v>
      </c>
      <c r="S597" s="36" t="str">
        <f>VLOOKUP(Tabla911[[#This Row],[CODIGO DEL PRODUCTO]],Tabla79[],2,FALSE)</f>
        <v>ARENA FINA</v>
      </c>
      <c r="T597" s="37">
        <v>34640</v>
      </c>
      <c r="U597" s="92"/>
    </row>
    <row r="598" spans="8:21" x14ac:dyDescent="0.25">
      <c r="H598" s="34">
        <v>12283</v>
      </c>
      <c r="I598" s="34" t="s">
        <v>541</v>
      </c>
      <c r="J598" s="35">
        <v>45903</v>
      </c>
      <c r="K598" s="36" t="s">
        <v>42</v>
      </c>
      <c r="L598" s="39" t="str">
        <f>VLOOKUP(Tabla810[[#This Row],[CODIGO DEL PRODUCTO]],Tabla79[],2,FALSE)</f>
        <v>ARENA FINA</v>
      </c>
      <c r="M598" s="37">
        <v>5000</v>
      </c>
      <c r="O598" s="76">
        <v>100825</v>
      </c>
      <c r="P598" s="76" t="s">
        <v>235</v>
      </c>
      <c r="Q598" s="77">
        <v>45821</v>
      </c>
      <c r="R598" s="78" t="s">
        <v>42</v>
      </c>
      <c r="S598" s="36" t="str">
        <f>VLOOKUP(Tabla911[[#This Row],[CODIGO DEL PRODUCTO]],Tabla79[],2,FALSE)</f>
        <v>ARENA FINA</v>
      </c>
      <c r="T598" s="37">
        <v>35140</v>
      </c>
      <c r="U598" s="92"/>
    </row>
    <row r="599" spans="8:21" x14ac:dyDescent="0.25">
      <c r="H599" s="34">
        <v>12284</v>
      </c>
      <c r="I599" s="34" t="s">
        <v>514</v>
      </c>
      <c r="J599" s="35">
        <v>45903</v>
      </c>
      <c r="K599" s="36" t="s">
        <v>42</v>
      </c>
      <c r="L599" s="39" t="str">
        <f>VLOOKUP(Tabla810[[#This Row],[CODIGO DEL PRODUCTO]],Tabla79[],2,FALSE)</f>
        <v>ARENA FINA</v>
      </c>
      <c r="M599" s="37">
        <v>39420</v>
      </c>
      <c r="O599" s="76">
        <v>101932</v>
      </c>
      <c r="P599" s="76" t="s">
        <v>252</v>
      </c>
      <c r="Q599" s="77">
        <v>45821</v>
      </c>
      <c r="R599" s="78" t="s">
        <v>43</v>
      </c>
      <c r="S599" s="36" t="str">
        <f>VLOOKUP(Tabla911[[#This Row],[CODIGO DEL PRODUCTO]],Tabla79[],2,FALSE)</f>
        <v>PIEDRA 6-20</v>
      </c>
      <c r="T599" s="37">
        <v>35100</v>
      </c>
      <c r="U599" s="92"/>
    </row>
    <row r="600" spans="8:21" x14ac:dyDescent="0.25">
      <c r="H600" s="34">
        <v>317</v>
      </c>
      <c r="I600" s="34" t="s">
        <v>522</v>
      </c>
      <c r="J600" s="35">
        <v>45904</v>
      </c>
      <c r="K600" s="36" t="s">
        <v>42</v>
      </c>
      <c r="L600" s="39" t="str">
        <f>VLOOKUP(Tabla810[[#This Row],[CODIGO DEL PRODUCTO]],Tabla79[],2,FALSE)</f>
        <v>ARENA FINA</v>
      </c>
      <c r="M600" s="37">
        <v>4000</v>
      </c>
      <c r="O600" s="76">
        <v>101934</v>
      </c>
      <c r="P600" s="76" t="s">
        <v>155</v>
      </c>
      <c r="Q600" s="77">
        <v>45821</v>
      </c>
      <c r="R600" s="78" t="s">
        <v>43</v>
      </c>
      <c r="S600" s="36" t="str">
        <f>VLOOKUP(Tabla911[[#This Row],[CODIGO DEL PRODUCTO]],Tabla79[],2,FALSE)</f>
        <v>PIEDRA 6-20</v>
      </c>
      <c r="T600" s="37">
        <v>33640</v>
      </c>
      <c r="U600" s="92"/>
    </row>
    <row r="601" spans="8:21" x14ac:dyDescent="0.25">
      <c r="H601" s="34">
        <v>12298</v>
      </c>
      <c r="I601" s="34" t="s">
        <v>542</v>
      </c>
      <c r="J601" s="35">
        <v>45904</v>
      </c>
      <c r="K601" s="36" t="s">
        <v>42</v>
      </c>
      <c r="L601" s="39" t="str">
        <f>VLOOKUP(Tabla810[[#This Row],[CODIGO DEL PRODUCTO]],Tabla79[],2,FALSE)</f>
        <v>ARENA FINA</v>
      </c>
      <c r="M601" s="37">
        <v>2000</v>
      </c>
      <c r="O601" s="76">
        <v>101962</v>
      </c>
      <c r="P601" s="76" t="s">
        <v>156</v>
      </c>
      <c r="Q601" s="77">
        <v>45821</v>
      </c>
      <c r="R601" s="78" t="s">
        <v>48</v>
      </c>
      <c r="S601" s="36" t="str">
        <f>VLOOKUP(Tabla911[[#This Row],[CODIGO DEL PRODUCTO]],Tabla79[],2,FALSE)</f>
        <v>PIEDRA 6-12</v>
      </c>
      <c r="T601" s="37">
        <v>35060</v>
      </c>
      <c r="U601" s="92"/>
    </row>
    <row r="602" spans="8:21" x14ac:dyDescent="0.25">
      <c r="H602" s="34">
        <v>12300</v>
      </c>
      <c r="I602" s="34" t="s">
        <v>514</v>
      </c>
      <c r="J602" s="35">
        <v>45904</v>
      </c>
      <c r="K602" s="36" t="s">
        <v>42</v>
      </c>
      <c r="L602" s="39" t="str">
        <f>VLOOKUP(Tabla810[[#This Row],[CODIGO DEL PRODUCTO]],Tabla79[],2,FALSE)</f>
        <v>ARENA FINA</v>
      </c>
      <c r="M602" s="37">
        <v>39400</v>
      </c>
      <c r="O602" s="76">
        <v>101963</v>
      </c>
      <c r="P602" s="76" t="s">
        <v>254</v>
      </c>
      <c r="Q602" s="77">
        <v>45821</v>
      </c>
      <c r="R602" s="78" t="s">
        <v>43</v>
      </c>
      <c r="S602" s="36" t="str">
        <f>VLOOKUP(Tabla911[[#This Row],[CODIGO DEL PRODUCTO]],Tabla79[],2,FALSE)</f>
        <v>PIEDRA 6-20</v>
      </c>
      <c r="T602" s="37">
        <v>33960</v>
      </c>
      <c r="U602" s="92"/>
    </row>
    <row r="603" spans="8:21" x14ac:dyDescent="0.25">
      <c r="H603" s="34">
        <v>12304</v>
      </c>
      <c r="I603" s="34" t="s">
        <v>507</v>
      </c>
      <c r="J603" s="35">
        <v>45904</v>
      </c>
      <c r="K603" s="36" t="s">
        <v>42</v>
      </c>
      <c r="L603" s="39" t="str">
        <f>VLOOKUP(Tabla810[[#This Row],[CODIGO DEL PRODUCTO]],Tabla79[],2,FALSE)</f>
        <v>ARENA FINA</v>
      </c>
      <c r="M603" s="37">
        <v>2000</v>
      </c>
      <c r="O603" s="76">
        <v>2634978</v>
      </c>
      <c r="P603" s="76" t="s">
        <v>65</v>
      </c>
      <c r="Q603" s="77">
        <v>45821</v>
      </c>
      <c r="R603" s="78" t="s">
        <v>286</v>
      </c>
      <c r="S603" s="36" t="str">
        <f>VLOOKUP(Tabla911[[#This Row],[CODIGO DEL PRODUCTO]],Tabla79[],2,FALSE)</f>
        <v>CPF 40 AVELLANEDA</v>
      </c>
      <c r="T603" s="37">
        <v>36240</v>
      </c>
      <c r="U603" s="92"/>
    </row>
    <row r="604" spans="8:21" x14ac:dyDescent="0.25">
      <c r="H604" s="34">
        <v>318</v>
      </c>
      <c r="I604" s="34" t="s">
        <v>522</v>
      </c>
      <c r="J604" s="35">
        <v>45905</v>
      </c>
      <c r="K604" s="36" t="s">
        <v>42</v>
      </c>
      <c r="L604" s="39" t="str">
        <f>VLOOKUP(Tabla810[[#This Row],[CODIGO DEL PRODUCTO]],Tabla79[],2,FALSE)</f>
        <v>ARENA FINA</v>
      </c>
      <c r="M604" s="37">
        <v>4000</v>
      </c>
      <c r="O604" s="76">
        <v>100834</v>
      </c>
      <c r="P604" s="76" t="s">
        <v>235</v>
      </c>
      <c r="Q604" s="77">
        <v>45822</v>
      </c>
      <c r="R604" s="78" t="s">
        <v>42</v>
      </c>
      <c r="S604" s="36" t="str">
        <f>VLOOKUP(Tabla911[[#This Row],[CODIGO DEL PRODUCTO]],Tabla79[],2,FALSE)</f>
        <v>ARENA FINA</v>
      </c>
      <c r="T604" s="37">
        <v>36520</v>
      </c>
      <c r="U604" s="92"/>
    </row>
    <row r="605" spans="8:21" x14ac:dyDescent="0.25">
      <c r="H605" s="34">
        <v>12320</v>
      </c>
      <c r="I605" s="34" t="s">
        <v>524</v>
      </c>
      <c r="J605" s="35">
        <v>45905</v>
      </c>
      <c r="K605" s="36" t="s">
        <v>42</v>
      </c>
      <c r="L605" s="39" t="str">
        <f>VLOOKUP(Tabla810[[#This Row],[CODIGO DEL PRODUCTO]],Tabla79[],2,FALSE)</f>
        <v>ARENA FINA</v>
      </c>
      <c r="M605" s="37">
        <v>5000</v>
      </c>
      <c r="O605" s="76">
        <v>138388</v>
      </c>
      <c r="P605" s="76" t="s">
        <v>364</v>
      </c>
      <c r="Q605" s="77">
        <v>45822</v>
      </c>
      <c r="R605" s="78" t="s">
        <v>43</v>
      </c>
      <c r="S605" s="36" t="str">
        <f>VLOOKUP(Tabla911[[#This Row],[CODIGO DEL PRODUCTO]],Tabla79[],2,FALSE)</f>
        <v>PIEDRA 6-20</v>
      </c>
      <c r="T605" s="37">
        <v>35560</v>
      </c>
      <c r="U605" s="92"/>
    </row>
    <row r="606" spans="8:21" x14ac:dyDescent="0.25">
      <c r="H606" s="34">
        <v>12321</v>
      </c>
      <c r="I606" s="34" t="s">
        <v>514</v>
      </c>
      <c r="J606" s="35">
        <v>45905</v>
      </c>
      <c r="K606" s="36" t="s">
        <v>42</v>
      </c>
      <c r="L606" s="39" t="str">
        <f>VLOOKUP(Tabla810[[#This Row],[CODIGO DEL PRODUCTO]],Tabla79[],2,FALSE)</f>
        <v>ARENA FINA</v>
      </c>
      <c r="M606" s="37">
        <v>39060</v>
      </c>
      <c r="O606" s="76">
        <v>138413</v>
      </c>
      <c r="P606" s="76" t="s">
        <v>296</v>
      </c>
      <c r="Q606" s="77">
        <v>45822</v>
      </c>
      <c r="R606" s="78" t="s">
        <v>43</v>
      </c>
      <c r="S606" s="36" t="str">
        <f>VLOOKUP(Tabla911[[#This Row],[CODIGO DEL PRODUCTO]],Tabla79[],2,FALSE)</f>
        <v>PIEDRA 6-20</v>
      </c>
      <c r="T606" s="37">
        <v>35520</v>
      </c>
      <c r="U606" s="92"/>
    </row>
    <row r="607" spans="8:21" x14ac:dyDescent="0.25">
      <c r="H607" s="34">
        <v>12332</v>
      </c>
      <c r="I607" s="34" t="s">
        <v>471</v>
      </c>
      <c r="J607" s="35">
        <v>45905</v>
      </c>
      <c r="K607" s="36" t="s">
        <v>42</v>
      </c>
      <c r="L607" s="39" t="str">
        <f>VLOOKUP(Tabla810[[#This Row],[CODIGO DEL PRODUCTO]],Tabla79[],2,FALSE)</f>
        <v>ARENA FINA</v>
      </c>
      <c r="M607" s="37">
        <v>5000</v>
      </c>
      <c r="O607" s="76">
        <v>2635169</v>
      </c>
      <c r="P607" s="76" t="s">
        <v>65</v>
      </c>
      <c r="Q607" s="77">
        <v>45822</v>
      </c>
      <c r="R607" s="78" t="s">
        <v>286</v>
      </c>
      <c r="S607" s="36" t="str">
        <f>VLOOKUP(Tabla911[[#This Row],[CODIGO DEL PRODUCTO]],Tabla79[],2,FALSE)</f>
        <v>CPF 40 AVELLANEDA</v>
      </c>
      <c r="T607" s="37">
        <v>35760</v>
      </c>
      <c r="U607" s="92"/>
    </row>
    <row r="608" spans="8:21" x14ac:dyDescent="0.25">
      <c r="H608" s="34">
        <v>12334</v>
      </c>
      <c r="I608" s="34" t="s">
        <v>534</v>
      </c>
      <c r="J608" s="35">
        <v>45905</v>
      </c>
      <c r="K608" s="36" t="s">
        <v>42</v>
      </c>
      <c r="L608" s="39" t="str">
        <f>VLOOKUP(Tabla810[[#This Row],[CODIGO DEL PRODUCTO]],Tabla79[],2,FALSE)</f>
        <v>ARENA FINA</v>
      </c>
      <c r="M608" s="37">
        <v>3000</v>
      </c>
      <c r="O608" s="76">
        <v>100837</v>
      </c>
      <c r="P608" s="76" t="s">
        <v>235</v>
      </c>
      <c r="Q608" s="77">
        <v>45825</v>
      </c>
      <c r="R608" s="78" t="s">
        <v>42</v>
      </c>
      <c r="S608" s="36" t="str">
        <f>VLOOKUP(Tabla911[[#This Row],[CODIGO DEL PRODUCTO]],Tabla79[],2,FALSE)</f>
        <v>ARENA FINA</v>
      </c>
      <c r="T608" s="37">
        <v>37700</v>
      </c>
      <c r="U608" s="92"/>
    </row>
    <row r="609" spans="8:21" x14ac:dyDescent="0.25">
      <c r="H609" s="34">
        <v>12338</v>
      </c>
      <c r="I609" s="34" t="s">
        <v>524</v>
      </c>
      <c r="J609" s="35">
        <v>45905</v>
      </c>
      <c r="K609" s="36" t="s">
        <v>43</v>
      </c>
      <c r="L609" s="39" t="str">
        <f>VLOOKUP(Tabla810[[#This Row],[CODIGO DEL PRODUCTO]],Tabla79[],2,FALSE)</f>
        <v>PIEDRA 6-20</v>
      </c>
      <c r="M609" s="37">
        <v>5000</v>
      </c>
      <c r="O609" s="76">
        <v>101978</v>
      </c>
      <c r="P609" s="76" t="s">
        <v>155</v>
      </c>
      <c r="Q609" s="77">
        <v>45825</v>
      </c>
      <c r="R609" s="78" t="s">
        <v>43</v>
      </c>
      <c r="S609" s="36" t="str">
        <f>VLOOKUP(Tabla911[[#This Row],[CODIGO DEL PRODUCTO]],Tabla79[],2,FALSE)</f>
        <v>PIEDRA 6-20</v>
      </c>
      <c r="T609" s="37">
        <v>34740</v>
      </c>
      <c r="U609" s="92"/>
    </row>
    <row r="610" spans="8:21" x14ac:dyDescent="0.25">
      <c r="H610" s="34">
        <v>12350</v>
      </c>
      <c r="I610" s="34" t="s">
        <v>541</v>
      </c>
      <c r="J610" s="35">
        <v>45906</v>
      </c>
      <c r="K610" s="36" t="s">
        <v>42</v>
      </c>
      <c r="L610" s="39" t="str">
        <f>VLOOKUP(Tabla810[[#This Row],[CODIGO DEL PRODUCTO]],Tabla79[],2,FALSE)</f>
        <v>ARENA FINA</v>
      </c>
      <c r="M610" s="37">
        <v>5000</v>
      </c>
      <c r="O610" s="76">
        <v>101997</v>
      </c>
      <c r="P610" s="76" t="s">
        <v>355</v>
      </c>
      <c r="Q610" s="77">
        <v>45825</v>
      </c>
      <c r="R610" s="78" t="s">
        <v>43</v>
      </c>
      <c r="S610" s="36" t="str">
        <f>VLOOKUP(Tabla911[[#This Row],[CODIGO DEL PRODUCTO]],Tabla79[],2,FALSE)</f>
        <v>PIEDRA 6-20</v>
      </c>
      <c r="T610" s="37">
        <v>34860</v>
      </c>
      <c r="U610" s="92"/>
    </row>
    <row r="611" spans="8:21" x14ac:dyDescent="0.25">
      <c r="H611" s="34">
        <v>12358</v>
      </c>
      <c r="I611" s="34" t="s">
        <v>514</v>
      </c>
      <c r="J611" s="35">
        <v>45906</v>
      </c>
      <c r="K611" s="36" t="s">
        <v>43</v>
      </c>
      <c r="L611" s="39" t="str">
        <f>VLOOKUP(Tabla810[[#This Row],[CODIGO DEL PRODUCTO]],Tabla79[],2,FALSE)</f>
        <v>PIEDRA 6-20</v>
      </c>
      <c r="M611" s="37">
        <v>36620</v>
      </c>
      <c r="O611" s="76">
        <v>102003</v>
      </c>
      <c r="P611" s="76" t="s">
        <v>160</v>
      </c>
      <c r="Q611" s="77">
        <v>45825</v>
      </c>
      <c r="R611" s="78" t="s">
        <v>43</v>
      </c>
      <c r="S611" s="36" t="str">
        <f>VLOOKUP(Tabla911[[#This Row],[CODIGO DEL PRODUCTO]],Tabla79[],2,FALSE)</f>
        <v>PIEDRA 6-20</v>
      </c>
      <c r="T611" s="37">
        <v>35140</v>
      </c>
      <c r="U611" s="92"/>
    </row>
    <row r="612" spans="8:21" x14ac:dyDescent="0.25">
      <c r="H612" s="34">
        <v>12362</v>
      </c>
      <c r="I612" s="34" t="s">
        <v>514</v>
      </c>
      <c r="J612" s="35">
        <v>45906</v>
      </c>
      <c r="K612" s="36" t="s">
        <v>42</v>
      </c>
      <c r="L612" s="39" t="str">
        <f>VLOOKUP(Tabla810[[#This Row],[CODIGO DEL PRODUCTO]],Tabla79[],2,FALSE)</f>
        <v>ARENA FINA</v>
      </c>
      <c r="M612" s="37">
        <v>31060</v>
      </c>
      <c r="O612" s="76">
        <v>102008</v>
      </c>
      <c r="P612" s="76" t="s">
        <v>234</v>
      </c>
      <c r="Q612" s="77">
        <v>45825</v>
      </c>
      <c r="R612" s="78" t="s">
        <v>43</v>
      </c>
      <c r="S612" s="36" t="str">
        <f>VLOOKUP(Tabla911[[#This Row],[CODIGO DEL PRODUCTO]],Tabla79[],2,FALSE)</f>
        <v>PIEDRA 6-20</v>
      </c>
      <c r="T612" s="37">
        <v>35520</v>
      </c>
      <c r="U612" s="92"/>
    </row>
    <row r="613" spans="8:21" x14ac:dyDescent="0.25">
      <c r="H613" s="34"/>
      <c r="I613" s="34" t="s">
        <v>53</v>
      </c>
      <c r="J613" s="35">
        <v>45901</v>
      </c>
      <c r="K613" s="36" t="s">
        <v>42</v>
      </c>
      <c r="L613" s="39" t="str">
        <f>VLOOKUP(Tabla810[[#This Row],[CODIGO DEL PRODUCTO]],Tabla79[],2,FALSE)</f>
        <v>ARENA FINA</v>
      </c>
      <c r="M613" s="37">
        <v>221156</v>
      </c>
      <c r="O613" s="76">
        <v>102015</v>
      </c>
      <c r="P613" s="76" t="s">
        <v>156</v>
      </c>
      <c r="Q613" s="77">
        <v>45825</v>
      </c>
      <c r="R613" s="78" t="s">
        <v>48</v>
      </c>
      <c r="S613" s="36" t="str">
        <f>VLOOKUP(Tabla911[[#This Row],[CODIGO DEL PRODUCTO]],Tabla79[],2,FALSE)</f>
        <v>PIEDRA 6-12</v>
      </c>
      <c r="T613" s="37">
        <v>35200</v>
      </c>
      <c r="U613" s="92"/>
    </row>
    <row r="614" spans="8:21" x14ac:dyDescent="0.25">
      <c r="H614" s="34"/>
      <c r="I614" s="34" t="s">
        <v>53</v>
      </c>
      <c r="J614" s="35">
        <v>45902</v>
      </c>
      <c r="K614" s="36" t="s">
        <v>40</v>
      </c>
      <c r="L614" s="39" t="str">
        <f>VLOOKUP(Tabla810[[#This Row],[CODIGO DEL PRODUCTO]],Tabla79[],2,FALSE)</f>
        <v>PIEDRA 0-6</v>
      </c>
      <c r="M614" s="37">
        <v>141647</v>
      </c>
      <c r="O614" s="76">
        <v>100845</v>
      </c>
      <c r="P614" s="76" t="s">
        <v>235</v>
      </c>
      <c r="Q614" s="77">
        <v>45826</v>
      </c>
      <c r="R614" s="78" t="s">
        <v>42</v>
      </c>
      <c r="S614" s="36" t="str">
        <f>VLOOKUP(Tabla911[[#This Row],[CODIGO DEL PRODUCTO]],Tabla79[],2,FALSE)</f>
        <v>ARENA FINA</v>
      </c>
      <c r="T614" s="37">
        <v>35500</v>
      </c>
      <c r="U614" s="92"/>
    </row>
    <row r="615" spans="8:21" x14ac:dyDescent="0.25">
      <c r="H615" s="34"/>
      <c r="I615" s="34" t="s">
        <v>53</v>
      </c>
      <c r="J615" s="35">
        <v>45903</v>
      </c>
      <c r="K615" s="36" t="s">
        <v>286</v>
      </c>
      <c r="L615" s="39" t="str">
        <f>VLOOKUP(Tabla810[[#This Row],[CODIGO DEL PRODUCTO]],Tabla79[],2,FALSE)</f>
        <v>CPF 40 AVELLANEDA</v>
      </c>
      <c r="M615" s="37">
        <v>106797</v>
      </c>
      <c r="O615" s="76">
        <v>100850</v>
      </c>
      <c r="P615" s="76" t="s">
        <v>370</v>
      </c>
      <c r="Q615" s="77">
        <v>45826</v>
      </c>
      <c r="R615" s="78" t="s">
        <v>42</v>
      </c>
      <c r="S615" s="36" t="str">
        <f>VLOOKUP(Tabla911[[#This Row],[CODIGO DEL PRODUCTO]],Tabla79[],2,FALSE)</f>
        <v>ARENA FINA</v>
      </c>
      <c r="T615" s="37">
        <v>35460</v>
      </c>
      <c r="U615" s="92"/>
    </row>
    <row r="616" spans="8:21" x14ac:dyDescent="0.25">
      <c r="H616" s="34"/>
      <c r="I616" s="34" t="s">
        <v>53</v>
      </c>
      <c r="J616" s="35">
        <v>45904</v>
      </c>
      <c r="K616" s="36" t="s">
        <v>48</v>
      </c>
      <c r="L616" s="39" t="str">
        <f>VLOOKUP(Tabla810[[#This Row],[CODIGO DEL PRODUCTO]],Tabla79[],2,FALSE)</f>
        <v>PIEDRA 6-12</v>
      </c>
      <c r="M616" s="37">
        <v>30273</v>
      </c>
      <c r="O616" s="76">
        <v>100851</v>
      </c>
      <c r="P616" s="76" t="s">
        <v>235</v>
      </c>
      <c r="Q616" s="77">
        <v>45826</v>
      </c>
      <c r="R616" s="78" t="s">
        <v>42</v>
      </c>
      <c r="S616" s="36" t="str">
        <f>VLOOKUP(Tabla911[[#This Row],[CODIGO DEL PRODUCTO]],Tabla79[],2,FALSE)</f>
        <v>ARENA FINA</v>
      </c>
      <c r="T616" s="37">
        <v>33440</v>
      </c>
      <c r="U616" s="92"/>
    </row>
    <row r="617" spans="8:21" x14ac:dyDescent="0.25">
      <c r="H617" s="34"/>
      <c r="I617" s="34" t="s">
        <v>53</v>
      </c>
      <c r="J617" s="35">
        <v>45905</v>
      </c>
      <c r="K617" s="36" t="s">
        <v>43</v>
      </c>
      <c r="L617" s="39" t="str">
        <f>VLOOKUP(Tabla810[[#This Row],[CODIGO DEL PRODUCTO]],Tabla79[],2,FALSE)</f>
        <v>PIEDRA 6-20</v>
      </c>
      <c r="M617" s="37">
        <v>289205</v>
      </c>
      <c r="O617" s="76">
        <v>102045</v>
      </c>
      <c r="P617" s="76" t="s">
        <v>238</v>
      </c>
      <c r="Q617" s="77">
        <v>45826</v>
      </c>
      <c r="R617" s="78" t="s">
        <v>43</v>
      </c>
      <c r="S617" s="36" t="str">
        <f>VLOOKUP(Tabla911[[#This Row],[CODIGO DEL PRODUCTO]],Tabla79[],2,FALSE)</f>
        <v>PIEDRA 6-20</v>
      </c>
      <c r="T617" s="72">
        <v>33780</v>
      </c>
      <c r="U617" s="92"/>
    </row>
    <row r="618" spans="8:21" x14ac:dyDescent="0.25">
      <c r="H618" s="34"/>
      <c r="I618" s="34" t="s">
        <v>53</v>
      </c>
      <c r="J618" s="35">
        <v>45906</v>
      </c>
      <c r="K618" s="36" t="s">
        <v>425</v>
      </c>
      <c r="L618" s="39" t="str">
        <f>VLOOKUP(Tabla810[[#This Row],[CODIGO DEL PRODUCTO]],Tabla79[],2,FALSE)</f>
        <v>W351R</v>
      </c>
      <c r="M618" s="37">
        <v>569.49</v>
      </c>
      <c r="O618" s="76">
        <v>102053</v>
      </c>
      <c r="P618" s="76" t="s">
        <v>355</v>
      </c>
      <c r="Q618" s="77">
        <v>45826</v>
      </c>
      <c r="R618" s="78" t="s">
        <v>43</v>
      </c>
      <c r="S618" s="36" t="str">
        <f>VLOOKUP(Tabla911[[#This Row],[CODIGO DEL PRODUCTO]],Tabla79[],2,FALSE)</f>
        <v>PIEDRA 6-20</v>
      </c>
      <c r="T618" s="37">
        <v>34420</v>
      </c>
      <c r="U618" s="92"/>
    </row>
    <row r="619" spans="8:21" x14ac:dyDescent="0.25">
      <c r="H619" s="34">
        <v>12366</v>
      </c>
      <c r="I619" s="34" t="s">
        <v>495</v>
      </c>
      <c r="J619" s="35">
        <v>45908</v>
      </c>
      <c r="K619" s="36" t="s">
        <v>42</v>
      </c>
      <c r="L619" s="39" t="str">
        <f>VLOOKUP(Tabla810[[#This Row],[CODIGO DEL PRODUCTO]],Tabla79[],2,FALSE)</f>
        <v>ARENA FINA</v>
      </c>
      <c r="M619" s="37">
        <v>3000</v>
      </c>
      <c r="O619" s="76">
        <v>102060</v>
      </c>
      <c r="P619" s="76" t="s">
        <v>160</v>
      </c>
      <c r="Q619" s="77">
        <v>45826</v>
      </c>
      <c r="R619" s="78" t="s">
        <v>43</v>
      </c>
      <c r="S619" s="36" t="str">
        <f>VLOOKUP(Tabla911[[#This Row],[CODIGO DEL PRODUCTO]],Tabla79[],2,FALSE)</f>
        <v>PIEDRA 6-20</v>
      </c>
      <c r="T619" s="37">
        <v>34900</v>
      </c>
      <c r="U619" s="92"/>
    </row>
    <row r="620" spans="8:21" x14ac:dyDescent="0.25">
      <c r="H620" s="34"/>
      <c r="I620" s="34" t="s">
        <v>495</v>
      </c>
      <c r="J620" s="35">
        <v>45908</v>
      </c>
      <c r="K620" s="36" t="s">
        <v>43</v>
      </c>
      <c r="L620" s="39" t="str">
        <f>VLOOKUP(Tabla810[[#This Row],[CODIGO DEL PRODUCTO]],Tabla79[],2,FALSE)</f>
        <v>PIEDRA 6-20</v>
      </c>
      <c r="M620" s="37">
        <v>3000</v>
      </c>
      <c r="O620" s="76">
        <v>102069</v>
      </c>
      <c r="P620" s="76" t="s">
        <v>156</v>
      </c>
      <c r="Q620" s="77">
        <v>45826</v>
      </c>
      <c r="R620" s="78" t="s">
        <v>48</v>
      </c>
      <c r="S620" s="36" t="str">
        <f>VLOOKUP(Tabla911[[#This Row],[CODIGO DEL PRODUCTO]],Tabla79[],2,FALSE)</f>
        <v>PIEDRA 6-12</v>
      </c>
      <c r="T620" s="37">
        <v>34800</v>
      </c>
      <c r="U620" s="92"/>
    </row>
    <row r="621" spans="8:21" x14ac:dyDescent="0.25">
      <c r="H621" s="34">
        <v>12385</v>
      </c>
      <c r="I621" s="34" t="s">
        <v>514</v>
      </c>
      <c r="J621" s="35">
        <v>45908</v>
      </c>
      <c r="K621" s="36" t="s">
        <v>43</v>
      </c>
      <c r="L621" s="39" t="str">
        <f>VLOOKUP(Tabla810[[#This Row],[CODIGO DEL PRODUCTO]],Tabla79[],2,FALSE)</f>
        <v>PIEDRA 6-20</v>
      </c>
      <c r="M621" s="37">
        <v>36620</v>
      </c>
      <c r="O621" s="76">
        <v>138504</v>
      </c>
      <c r="P621" s="76" t="s">
        <v>119</v>
      </c>
      <c r="Q621" s="77">
        <v>45826</v>
      </c>
      <c r="R621" s="78" t="s">
        <v>46</v>
      </c>
      <c r="S621" s="36" t="str">
        <f>VLOOKUP(Tabla911[[#This Row],[CODIGO DEL PRODUCTO]],Tabla79[],2,FALSE)</f>
        <v>PIEDRA 10-30</v>
      </c>
      <c r="T621" s="37">
        <v>35680</v>
      </c>
      <c r="U621" s="92"/>
    </row>
    <row r="622" spans="8:21" x14ac:dyDescent="0.25">
      <c r="H622" s="34">
        <v>12389</v>
      </c>
      <c r="I622" s="34" t="s">
        <v>478</v>
      </c>
      <c r="J622" s="35">
        <v>45908</v>
      </c>
      <c r="K622" s="36" t="s">
        <v>42</v>
      </c>
      <c r="L622" s="39" t="str">
        <f>VLOOKUP(Tabla810[[#This Row],[CODIGO DEL PRODUCTO]],Tabla79[],2,FALSE)</f>
        <v>ARENA FINA</v>
      </c>
      <c r="M622" s="37">
        <v>2000</v>
      </c>
      <c r="O622" s="76">
        <v>2635501</v>
      </c>
      <c r="P622" s="76" t="s">
        <v>65</v>
      </c>
      <c r="Q622" s="77">
        <v>45826</v>
      </c>
      <c r="R622" s="78" t="s">
        <v>286</v>
      </c>
      <c r="S622" s="36" t="str">
        <f>VLOOKUP(Tabla911[[#This Row],[CODIGO DEL PRODUCTO]],Tabla79[],2,FALSE)</f>
        <v>CPF 40 AVELLANEDA</v>
      </c>
      <c r="T622" s="37">
        <v>35820</v>
      </c>
      <c r="U622" s="92"/>
    </row>
    <row r="623" spans="8:21" x14ac:dyDescent="0.25">
      <c r="H623" s="34"/>
      <c r="I623" s="34" t="s">
        <v>478</v>
      </c>
      <c r="J623" s="35">
        <v>45908</v>
      </c>
      <c r="K623" s="36" t="s">
        <v>43</v>
      </c>
      <c r="L623" s="39" t="str">
        <f>VLOOKUP(Tabla810[[#This Row],[CODIGO DEL PRODUCTO]],Tabla79[],2,FALSE)</f>
        <v>PIEDRA 6-20</v>
      </c>
      <c r="M623" s="37">
        <v>2000</v>
      </c>
      <c r="O623" s="76">
        <v>100859</v>
      </c>
      <c r="P623" s="76" t="s">
        <v>235</v>
      </c>
      <c r="Q623" s="77">
        <v>45827</v>
      </c>
      <c r="R623" s="78" t="s">
        <v>42</v>
      </c>
      <c r="S623" s="36" t="str">
        <f>VLOOKUP(Tabla911[[#This Row],[CODIGO DEL PRODUCTO]],Tabla79[],2,FALSE)</f>
        <v>ARENA FINA</v>
      </c>
      <c r="T623" s="37">
        <v>36180</v>
      </c>
      <c r="U623" s="92"/>
    </row>
    <row r="624" spans="8:21" x14ac:dyDescent="0.25">
      <c r="H624" s="34">
        <v>12399</v>
      </c>
      <c r="I624" s="34" t="s">
        <v>442</v>
      </c>
      <c r="J624" s="35">
        <v>45908</v>
      </c>
      <c r="K624" s="36" t="s">
        <v>372</v>
      </c>
      <c r="L624" s="39" t="str">
        <f>VLOOKUP(Tabla810[[#This Row],[CODIGO DEL PRODUCTO]],Tabla79[],2,FALSE)</f>
        <v xml:space="preserve">ESTABILIZADO GRANULOMETRICO 0/20 </v>
      </c>
      <c r="M624" s="37">
        <v>5000</v>
      </c>
      <c r="O624" s="76">
        <v>100864</v>
      </c>
      <c r="P624" s="76" t="s">
        <v>370</v>
      </c>
      <c r="Q624" s="77">
        <v>45827</v>
      </c>
      <c r="R624" s="78" t="s">
        <v>42</v>
      </c>
      <c r="S624" s="36" t="str">
        <f>VLOOKUP(Tabla911[[#This Row],[CODIGO DEL PRODUCTO]],Tabla79[],2,FALSE)</f>
        <v>ARENA FINA</v>
      </c>
      <c r="T624" s="37">
        <v>35460</v>
      </c>
      <c r="U624" s="92"/>
    </row>
    <row r="625" spans="8:21" x14ac:dyDescent="0.25">
      <c r="H625" s="34">
        <v>12414</v>
      </c>
      <c r="I625" s="34" t="s">
        <v>514</v>
      </c>
      <c r="J625" s="35">
        <v>45909</v>
      </c>
      <c r="K625" s="36" t="s">
        <v>42</v>
      </c>
      <c r="L625" s="39" t="str">
        <f>VLOOKUP(Tabla810[[#This Row],[CODIGO DEL PRODUCTO]],Tabla79[],2,FALSE)</f>
        <v>ARENA FINA</v>
      </c>
      <c r="M625" s="37">
        <v>38340</v>
      </c>
      <c r="O625" s="76">
        <v>100865</v>
      </c>
      <c r="P625" s="76" t="s">
        <v>235</v>
      </c>
      <c r="Q625" s="77">
        <v>45827</v>
      </c>
      <c r="R625" s="78" t="s">
        <v>42</v>
      </c>
      <c r="S625" s="36" t="str">
        <f>VLOOKUP(Tabla911[[#This Row],[CODIGO DEL PRODUCTO]],Tabla79[],2,FALSE)</f>
        <v>ARENA FINA</v>
      </c>
      <c r="T625" s="37">
        <v>36860</v>
      </c>
      <c r="U625" s="92"/>
    </row>
    <row r="626" spans="8:21" x14ac:dyDescent="0.25">
      <c r="H626" s="34">
        <v>12420</v>
      </c>
      <c r="I626" s="34" t="s">
        <v>553</v>
      </c>
      <c r="J626" s="35">
        <v>45909</v>
      </c>
      <c r="K626" s="36" t="s">
        <v>42</v>
      </c>
      <c r="L626" s="39" t="str">
        <f>VLOOKUP(Tabla810[[#This Row],[CODIGO DEL PRODUCTO]],Tabla79[],2,FALSE)</f>
        <v>ARENA FINA</v>
      </c>
      <c r="M626" s="37">
        <v>5000</v>
      </c>
      <c r="O626" s="76">
        <v>102092</v>
      </c>
      <c r="P626" s="76" t="s">
        <v>355</v>
      </c>
      <c r="Q626" s="77">
        <v>45827</v>
      </c>
      <c r="R626" s="78" t="s">
        <v>43</v>
      </c>
      <c r="S626" s="36" t="str">
        <f>VLOOKUP(Tabla911[[#This Row],[CODIGO DEL PRODUCTO]],Tabla79[],2,FALSE)</f>
        <v>PIEDRA 6-20</v>
      </c>
      <c r="T626" s="37">
        <v>34880</v>
      </c>
      <c r="U626" s="92"/>
    </row>
    <row r="627" spans="8:21" x14ac:dyDescent="0.25">
      <c r="H627" s="34">
        <v>12433</v>
      </c>
      <c r="I627" s="34" t="s">
        <v>471</v>
      </c>
      <c r="J627" s="35">
        <v>45909</v>
      </c>
      <c r="K627" s="36" t="s">
        <v>42</v>
      </c>
      <c r="L627" s="39" t="str">
        <f>VLOOKUP(Tabla810[[#This Row],[CODIGO DEL PRODUCTO]],Tabla79[],2,FALSE)</f>
        <v>ARENA FINA</v>
      </c>
      <c r="M627" s="37">
        <v>5000</v>
      </c>
      <c r="O627" s="76">
        <v>102102</v>
      </c>
      <c r="P627" s="76" t="s">
        <v>160</v>
      </c>
      <c r="Q627" s="77">
        <v>45827</v>
      </c>
      <c r="R627" s="78" t="s">
        <v>43</v>
      </c>
      <c r="S627" s="36" t="str">
        <f>VLOOKUP(Tabla911[[#This Row],[CODIGO DEL PRODUCTO]],Tabla79[],2,FALSE)</f>
        <v>PIEDRA 6-20</v>
      </c>
      <c r="T627" s="37">
        <v>34580</v>
      </c>
      <c r="U627" s="92"/>
    </row>
    <row r="628" spans="8:21" x14ac:dyDescent="0.25">
      <c r="H628" s="34">
        <v>12453</v>
      </c>
      <c r="I628" s="34" t="s">
        <v>465</v>
      </c>
      <c r="J628" s="35">
        <v>45910</v>
      </c>
      <c r="K628" s="36" t="s">
        <v>42</v>
      </c>
      <c r="L628" s="39" t="str">
        <f>VLOOKUP(Tabla810[[#This Row],[CODIGO DEL PRODUCTO]],Tabla79[],2,FALSE)</f>
        <v>ARENA FINA</v>
      </c>
      <c r="M628" s="37">
        <v>4000</v>
      </c>
      <c r="O628" s="76">
        <v>102110</v>
      </c>
      <c r="P628" s="76" t="s">
        <v>156</v>
      </c>
      <c r="Q628" s="77">
        <v>45827</v>
      </c>
      <c r="R628" s="78" t="s">
        <v>48</v>
      </c>
      <c r="S628" s="36" t="str">
        <f>VLOOKUP(Tabla911[[#This Row],[CODIGO DEL PRODUCTO]],Tabla79[],2,FALSE)</f>
        <v>PIEDRA 6-12</v>
      </c>
      <c r="T628" s="37">
        <v>34200</v>
      </c>
      <c r="U628" s="92"/>
    </row>
    <row r="629" spans="8:21" x14ac:dyDescent="0.25">
      <c r="H629" s="34"/>
      <c r="I629" s="34" t="s">
        <v>465</v>
      </c>
      <c r="J629" s="35">
        <v>45910</v>
      </c>
      <c r="K629" s="36" t="s">
        <v>43</v>
      </c>
      <c r="L629" s="39" t="str">
        <f>VLOOKUP(Tabla810[[#This Row],[CODIGO DEL PRODUCTO]],Tabla79[],2,FALSE)</f>
        <v>PIEDRA 6-20</v>
      </c>
      <c r="M629" s="37">
        <v>2000</v>
      </c>
      <c r="O629" s="76">
        <v>138584</v>
      </c>
      <c r="P629" s="76" t="s">
        <v>296</v>
      </c>
      <c r="Q629" s="77">
        <v>45827</v>
      </c>
      <c r="R629" s="78" t="s">
        <v>43</v>
      </c>
      <c r="S629" s="36" t="str">
        <f>VLOOKUP(Tabla911[[#This Row],[CODIGO DEL PRODUCTO]],Tabla79[],2,FALSE)</f>
        <v>PIEDRA 6-20</v>
      </c>
      <c r="T629" s="37">
        <v>35800</v>
      </c>
      <c r="U629" s="92"/>
    </row>
    <row r="630" spans="8:21" x14ac:dyDescent="0.25">
      <c r="H630" s="34">
        <v>12463</v>
      </c>
      <c r="I630" s="34" t="s">
        <v>298</v>
      </c>
      <c r="J630" s="35">
        <v>45910</v>
      </c>
      <c r="K630" s="36" t="s">
        <v>42</v>
      </c>
      <c r="L630" s="39" t="str">
        <f>VLOOKUP(Tabla810[[#This Row],[CODIGO DEL PRODUCTO]],Tabla79[],2,FALSE)</f>
        <v>ARENA FINA</v>
      </c>
      <c r="M630" s="37">
        <v>4000</v>
      </c>
      <c r="O630" s="76">
        <v>138598</v>
      </c>
      <c r="P630" s="76" t="s">
        <v>213</v>
      </c>
      <c r="Q630" s="77">
        <v>45827</v>
      </c>
      <c r="R630" s="78" t="s">
        <v>43</v>
      </c>
      <c r="S630" s="36" t="str">
        <f>VLOOKUP(Tabla911[[#This Row],[CODIGO DEL PRODUCTO]],Tabla79[],2,FALSE)</f>
        <v>PIEDRA 6-20</v>
      </c>
      <c r="T630" s="37">
        <v>34940</v>
      </c>
      <c r="U630" s="92"/>
    </row>
    <row r="631" spans="8:21" x14ac:dyDescent="0.25">
      <c r="H631" s="34">
        <v>12486</v>
      </c>
      <c r="I631" s="34" t="s">
        <v>514</v>
      </c>
      <c r="J631" s="35">
        <v>45910</v>
      </c>
      <c r="K631" s="36" t="s">
        <v>42</v>
      </c>
      <c r="L631" s="39" t="str">
        <f>VLOOKUP(Tabla810[[#This Row],[CODIGO DEL PRODUCTO]],Tabla79[],2,FALSE)</f>
        <v>ARENA FINA</v>
      </c>
      <c r="M631" s="37">
        <v>35840</v>
      </c>
      <c r="O631" s="76">
        <v>2636077</v>
      </c>
      <c r="P631" s="76" t="s">
        <v>65</v>
      </c>
      <c r="Q631" s="77">
        <v>45827</v>
      </c>
      <c r="R631" s="78" t="s">
        <v>286</v>
      </c>
      <c r="S631" s="36" t="str">
        <f>VLOOKUP(Tabla911[[#This Row],[CODIGO DEL PRODUCTO]],Tabla79[],2,FALSE)</f>
        <v>CPF 40 AVELLANEDA</v>
      </c>
      <c r="T631" s="37">
        <v>35840</v>
      </c>
      <c r="U631" s="92"/>
    </row>
    <row r="632" spans="8:21" ht="14.25" customHeight="1" x14ac:dyDescent="0.25">
      <c r="H632" s="34">
        <v>12556</v>
      </c>
      <c r="I632" s="34" t="s">
        <v>413</v>
      </c>
      <c r="J632" s="35">
        <v>45912</v>
      </c>
      <c r="K632" s="36" t="s">
        <v>42</v>
      </c>
      <c r="L632" s="39" t="str">
        <f>VLOOKUP(Tabla810[[#This Row],[CODIGO DEL PRODUCTO]],Tabla79[],2,FALSE)</f>
        <v>ARENA FINA</v>
      </c>
      <c r="M632" s="37">
        <v>4000</v>
      </c>
      <c r="O632" s="76">
        <v>100872</v>
      </c>
      <c r="P632" s="76" t="s">
        <v>235</v>
      </c>
      <c r="Q632" s="77">
        <v>45828</v>
      </c>
      <c r="R632" s="78" t="s">
        <v>42</v>
      </c>
      <c r="S632" s="36" t="str">
        <f>VLOOKUP(Tabla911[[#This Row],[CODIGO DEL PRODUCTO]],Tabla79[],2,FALSE)</f>
        <v>ARENA FINA</v>
      </c>
      <c r="T632" s="37">
        <v>36600</v>
      </c>
      <c r="U632" s="92"/>
    </row>
    <row r="633" spans="8:21" x14ac:dyDescent="0.25">
      <c r="H633" s="34">
        <v>12559</v>
      </c>
      <c r="I633" s="34" t="s">
        <v>514</v>
      </c>
      <c r="J633" s="35">
        <v>45912</v>
      </c>
      <c r="K633" s="36" t="s">
        <v>42</v>
      </c>
      <c r="L633" s="39" t="str">
        <f>VLOOKUP(Tabla810[[#This Row],[CODIGO DEL PRODUCTO]],Tabla79[],2,FALSE)</f>
        <v>ARENA FINA</v>
      </c>
      <c r="M633" s="37">
        <v>37320</v>
      </c>
      <c r="O633" s="76">
        <v>102140</v>
      </c>
      <c r="P633" s="76" t="s">
        <v>155</v>
      </c>
      <c r="Q633" s="77">
        <v>45828</v>
      </c>
      <c r="R633" s="78" t="s">
        <v>43</v>
      </c>
      <c r="S633" s="36" t="str">
        <f>VLOOKUP(Tabla911[[#This Row],[CODIGO DEL PRODUCTO]],Tabla79[],2,FALSE)</f>
        <v>PIEDRA 6-20</v>
      </c>
      <c r="T633" s="37">
        <v>34440</v>
      </c>
      <c r="U633" s="92"/>
    </row>
    <row r="634" spans="8:21" x14ac:dyDescent="0.25">
      <c r="H634" s="34">
        <v>12571</v>
      </c>
      <c r="I634" s="34" t="s">
        <v>524</v>
      </c>
      <c r="J634" s="35">
        <v>45912</v>
      </c>
      <c r="K634" s="36" t="s">
        <v>43</v>
      </c>
      <c r="L634" s="39" t="str">
        <f>VLOOKUP(Tabla810[[#This Row],[CODIGO DEL PRODUCTO]],Tabla79[],2,FALSE)</f>
        <v>PIEDRA 6-20</v>
      </c>
      <c r="M634" s="37">
        <v>5000</v>
      </c>
      <c r="O634" s="76">
        <v>138668</v>
      </c>
      <c r="P634" s="76" t="s">
        <v>140</v>
      </c>
      <c r="Q634" s="77">
        <v>45828</v>
      </c>
      <c r="R634" s="78" t="s">
        <v>40</v>
      </c>
      <c r="S634" s="36" t="str">
        <f>VLOOKUP(Tabla911[[#This Row],[CODIGO DEL PRODUCTO]],Tabla79[],2,FALSE)</f>
        <v>PIEDRA 0-6</v>
      </c>
      <c r="T634" s="37">
        <v>35280</v>
      </c>
      <c r="U634" s="92"/>
    </row>
    <row r="635" spans="8:21" x14ac:dyDescent="0.25">
      <c r="H635" s="34">
        <v>12574</v>
      </c>
      <c r="I635" s="34" t="s">
        <v>558</v>
      </c>
      <c r="J635" s="35">
        <v>45912</v>
      </c>
      <c r="K635" s="36" t="s">
        <v>42</v>
      </c>
      <c r="L635" s="39" t="str">
        <f>VLOOKUP(Tabla810[[#This Row],[CODIGO DEL PRODUCTO]],Tabla79[],2,FALSE)</f>
        <v>ARENA FINA</v>
      </c>
      <c r="M635" s="37">
        <v>2000</v>
      </c>
      <c r="O635" s="76">
        <v>138679</v>
      </c>
      <c r="P635" s="76" t="s">
        <v>364</v>
      </c>
      <c r="Q635" s="77">
        <v>45828</v>
      </c>
      <c r="R635" s="78" t="s">
        <v>43</v>
      </c>
      <c r="S635" s="36" t="str">
        <f>VLOOKUP(Tabla911[[#This Row],[CODIGO DEL PRODUCTO]],Tabla79[],2,FALSE)</f>
        <v>PIEDRA 6-20</v>
      </c>
      <c r="T635" s="37">
        <v>34860</v>
      </c>
      <c r="U635" s="92"/>
    </row>
    <row r="636" spans="8:21" x14ac:dyDescent="0.25">
      <c r="H636" s="34"/>
      <c r="I636" s="34" t="s">
        <v>558</v>
      </c>
      <c r="J636" s="35">
        <v>45912</v>
      </c>
      <c r="K636" s="36" t="s">
        <v>43</v>
      </c>
      <c r="L636" s="39" t="str">
        <f>VLOOKUP(Tabla810[[#This Row],[CODIGO DEL PRODUCTO]],Tabla79[],2,FALSE)</f>
        <v>PIEDRA 6-20</v>
      </c>
      <c r="M636" s="37">
        <v>2000</v>
      </c>
      <c r="O636" s="76">
        <v>138691</v>
      </c>
      <c r="P636" s="76" t="s">
        <v>342</v>
      </c>
      <c r="Q636" s="77">
        <v>45828</v>
      </c>
      <c r="R636" s="78" t="s">
        <v>43</v>
      </c>
      <c r="S636" s="36" t="str">
        <f>VLOOKUP(Tabla911[[#This Row],[CODIGO DEL PRODUCTO]],Tabla79[],2,FALSE)</f>
        <v>PIEDRA 6-20</v>
      </c>
      <c r="T636" s="37">
        <v>35380</v>
      </c>
      <c r="U636" s="92"/>
    </row>
    <row r="637" spans="8:21" x14ac:dyDescent="0.25">
      <c r="H637" s="34">
        <v>12582</v>
      </c>
      <c r="I637" s="34" t="s">
        <v>524</v>
      </c>
      <c r="J637" s="35">
        <v>45912</v>
      </c>
      <c r="K637" s="36" t="s">
        <v>42</v>
      </c>
      <c r="L637" s="39" t="str">
        <f>VLOOKUP(Tabla810[[#This Row],[CODIGO DEL PRODUCTO]],Tabla79[],2,FALSE)</f>
        <v>ARENA FINA</v>
      </c>
      <c r="M637" s="37">
        <v>5000</v>
      </c>
      <c r="O637" s="76">
        <v>2636302</v>
      </c>
      <c r="P637" s="76" t="s">
        <v>65</v>
      </c>
      <c r="Q637" s="77">
        <v>45828</v>
      </c>
      <c r="R637" s="78" t="s">
        <v>286</v>
      </c>
      <c r="S637" s="36" t="str">
        <f>VLOOKUP(Tabla911[[#This Row],[CODIGO DEL PRODUCTO]],Tabla79[],2,FALSE)</f>
        <v>CPF 40 AVELLANEDA</v>
      </c>
      <c r="T637" s="37">
        <v>36080</v>
      </c>
      <c r="U637" s="92"/>
    </row>
    <row r="638" spans="8:21" x14ac:dyDescent="0.25">
      <c r="H638" s="34">
        <v>12595</v>
      </c>
      <c r="I638" s="34" t="s">
        <v>494</v>
      </c>
      <c r="J638" s="35">
        <v>45912</v>
      </c>
      <c r="K638" s="36" t="s">
        <v>42</v>
      </c>
      <c r="L638" s="39" t="str">
        <f>VLOOKUP(Tabla810[[#This Row],[CODIGO DEL PRODUCTO]],Tabla79[],2,FALSE)</f>
        <v>ARENA FINA</v>
      </c>
      <c r="M638" s="37">
        <v>2000</v>
      </c>
      <c r="O638" s="76">
        <v>100877</v>
      </c>
      <c r="P638" s="76" t="s">
        <v>235</v>
      </c>
      <c r="Q638" s="77">
        <v>45831</v>
      </c>
      <c r="R638" s="78" t="s">
        <v>42</v>
      </c>
      <c r="S638" s="36" t="str">
        <f>VLOOKUP(Tabla911[[#This Row],[CODIGO DEL PRODUCTO]],Tabla79[],2,FALSE)</f>
        <v>ARENA FINA</v>
      </c>
      <c r="T638" s="37">
        <v>36580</v>
      </c>
      <c r="U638" s="92"/>
    </row>
    <row r="639" spans="8:21" x14ac:dyDescent="0.25">
      <c r="H639" s="34">
        <v>12598</v>
      </c>
      <c r="I639" s="34" t="s">
        <v>447</v>
      </c>
      <c r="J639" s="35">
        <v>45912</v>
      </c>
      <c r="K639" s="36" t="s">
        <v>43</v>
      </c>
      <c r="L639" s="39" t="str">
        <f>VLOOKUP(Tabla810[[#This Row],[CODIGO DEL PRODUCTO]],Tabla79[],2,FALSE)</f>
        <v>PIEDRA 6-20</v>
      </c>
      <c r="M639" s="37">
        <v>8000</v>
      </c>
      <c r="O639" s="76">
        <v>102161</v>
      </c>
      <c r="P639" s="76" t="s">
        <v>252</v>
      </c>
      <c r="Q639" s="77">
        <v>45831</v>
      </c>
      <c r="R639" s="78" t="s">
        <v>40</v>
      </c>
      <c r="S639" s="36" t="str">
        <f>VLOOKUP(Tabla911[[#This Row],[CODIGO DEL PRODUCTO]],Tabla79[],2,FALSE)</f>
        <v>PIEDRA 0-6</v>
      </c>
      <c r="T639" s="37">
        <v>34600</v>
      </c>
      <c r="U639" s="92"/>
    </row>
    <row r="640" spans="8:21" x14ac:dyDescent="0.25">
      <c r="H640" s="34">
        <v>12621</v>
      </c>
      <c r="I640" s="34" t="s">
        <v>474</v>
      </c>
      <c r="J640" s="35">
        <v>45913</v>
      </c>
      <c r="K640" s="36" t="s">
        <v>42</v>
      </c>
      <c r="L640" s="39" t="str">
        <f>VLOOKUP(Tabla810[[#This Row],[CODIGO DEL PRODUCTO]],Tabla79[],2,FALSE)</f>
        <v>ARENA FINA</v>
      </c>
      <c r="M640" s="37">
        <v>5000</v>
      </c>
      <c r="O640" s="76">
        <v>102178</v>
      </c>
      <c r="P640" s="76" t="s">
        <v>355</v>
      </c>
      <c r="Q640" s="77">
        <v>45831</v>
      </c>
      <c r="R640" s="78" t="s">
        <v>40</v>
      </c>
      <c r="S640" s="36" t="str">
        <f>VLOOKUP(Tabla911[[#This Row],[CODIGO DEL PRODUCTO]],Tabla79[],2,FALSE)</f>
        <v>PIEDRA 0-6</v>
      </c>
      <c r="T640" s="37">
        <v>34960</v>
      </c>
      <c r="U640" s="92"/>
    </row>
    <row r="641" spans="8:24" x14ac:dyDescent="0.25">
      <c r="H641" s="34">
        <v>12627</v>
      </c>
      <c r="I641" s="34" t="s">
        <v>559</v>
      </c>
      <c r="J641" s="35">
        <v>45913</v>
      </c>
      <c r="K641" s="36" t="s">
        <v>42</v>
      </c>
      <c r="L641" s="39" t="str">
        <f>VLOOKUP(Tabla810[[#This Row],[CODIGO DEL PRODUCTO]],Tabla79[],2,FALSE)</f>
        <v>ARENA FINA</v>
      </c>
      <c r="M641" s="37">
        <v>2000</v>
      </c>
      <c r="O641" s="76">
        <v>102195</v>
      </c>
      <c r="P641" s="76" t="s">
        <v>238</v>
      </c>
      <c r="Q641" s="77">
        <v>45831</v>
      </c>
      <c r="R641" s="78" t="s">
        <v>43</v>
      </c>
      <c r="S641" s="36" t="str">
        <f>VLOOKUP(Tabla911[[#This Row],[CODIGO DEL PRODUCTO]],Tabla79[],2,FALSE)</f>
        <v>PIEDRA 6-20</v>
      </c>
      <c r="T641" s="37">
        <v>34160</v>
      </c>
      <c r="U641" s="92"/>
    </row>
    <row r="642" spans="8:24" x14ac:dyDescent="0.25">
      <c r="H642" s="34">
        <v>12632</v>
      </c>
      <c r="I642" s="34" t="s">
        <v>514</v>
      </c>
      <c r="J642" s="35">
        <v>45913</v>
      </c>
      <c r="K642" s="36" t="s">
        <v>42</v>
      </c>
      <c r="L642" s="39" t="str">
        <f>VLOOKUP(Tabla810[[#This Row],[CODIGO DEL PRODUCTO]],Tabla79[],2,FALSE)</f>
        <v>ARENA FINA</v>
      </c>
      <c r="M642" s="37">
        <v>37920</v>
      </c>
      <c r="O642" s="76">
        <v>102199</v>
      </c>
      <c r="P642" s="76" t="s">
        <v>156</v>
      </c>
      <c r="Q642" s="77">
        <v>45831</v>
      </c>
      <c r="R642" s="78" t="s">
        <v>48</v>
      </c>
      <c r="S642" s="36" t="str">
        <f>VLOOKUP(Tabla911[[#This Row],[CODIGO DEL PRODUCTO]],Tabla79[],2,FALSE)</f>
        <v>PIEDRA 6-12</v>
      </c>
      <c r="T642" s="37">
        <v>35720</v>
      </c>
      <c r="U642" s="92"/>
    </row>
    <row r="643" spans="8:24" x14ac:dyDescent="0.25">
      <c r="H643" s="34"/>
      <c r="I643" s="34" t="s">
        <v>53</v>
      </c>
      <c r="J643" s="35">
        <v>45908</v>
      </c>
      <c r="K643" s="36" t="s">
        <v>42</v>
      </c>
      <c r="L643" s="39" t="str">
        <f>VLOOKUP(Tabla810[[#This Row],[CODIGO DEL PRODUCTO]],Tabla79[],2,FALSE)</f>
        <v>ARENA FINA</v>
      </c>
      <c r="M643" s="37">
        <v>767556</v>
      </c>
      <c r="O643" s="76">
        <v>138733</v>
      </c>
      <c r="P643" s="76" t="s">
        <v>296</v>
      </c>
      <c r="Q643" s="77">
        <v>45831</v>
      </c>
      <c r="R643" s="78" t="s">
        <v>40</v>
      </c>
      <c r="S643" s="36" t="str">
        <f>VLOOKUP(Tabla911[[#This Row],[CODIGO DEL PRODUCTO]],Tabla79[],2,FALSE)</f>
        <v>PIEDRA 0-6</v>
      </c>
      <c r="T643" s="37">
        <v>35700</v>
      </c>
      <c r="U643" s="92"/>
    </row>
    <row r="644" spans="8:24" x14ac:dyDescent="0.25">
      <c r="H644" s="34"/>
      <c r="I644" s="34" t="s">
        <v>53</v>
      </c>
      <c r="J644" s="35">
        <v>45909</v>
      </c>
      <c r="K644" s="36" t="s">
        <v>40</v>
      </c>
      <c r="L644" s="39" t="str">
        <f>VLOOKUP(Tabla810[[#This Row],[CODIGO DEL PRODUCTO]],Tabla79[],2,FALSE)</f>
        <v>PIEDRA 0-6</v>
      </c>
      <c r="M644" s="37">
        <v>512367</v>
      </c>
      <c r="O644" s="76">
        <v>2636460</v>
      </c>
      <c r="P644" s="76" t="s">
        <v>65</v>
      </c>
      <c r="Q644" s="77">
        <v>45831</v>
      </c>
      <c r="R644" s="78" t="s">
        <v>286</v>
      </c>
      <c r="S644" s="36" t="str">
        <f>VLOOKUP(Tabla911[[#This Row],[CODIGO DEL PRODUCTO]],Tabla79[],2,FALSE)</f>
        <v>CPF 40 AVELLANEDA</v>
      </c>
      <c r="T644" s="37">
        <v>35500</v>
      </c>
      <c r="U644" s="92"/>
    </row>
    <row r="645" spans="8:24" x14ac:dyDescent="0.25">
      <c r="H645" s="34"/>
      <c r="I645" s="34" t="s">
        <v>53</v>
      </c>
      <c r="J645" s="35">
        <v>45910</v>
      </c>
      <c r="K645" s="36" t="s">
        <v>286</v>
      </c>
      <c r="L645" s="39" t="str">
        <f>VLOOKUP(Tabla810[[#This Row],[CODIGO DEL PRODUCTO]],Tabla79[],2,FALSE)</f>
        <v>CPF 40 AVELLANEDA</v>
      </c>
      <c r="M645" s="37">
        <v>376941</v>
      </c>
      <c r="O645" s="76">
        <v>100890</v>
      </c>
      <c r="P645" s="76" t="s">
        <v>235</v>
      </c>
      <c r="Q645" s="77">
        <v>45832</v>
      </c>
      <c r="R645" s="78" t="s">
        <v>42</v>
      </c>
      <c r="S645" s="36" t="str">
        <f>VLOOKUP(Tabla911[[#This Row],[CODIGO DEL PRODUCTO]],Tabla79[],2,FALSE)</f>
        <v>ARENA FINA</v>
      </c>
      <c r="T645" s="37">
        <v>37300</v>
      </c>
      <c r="U645" s="92"/>
      <c r="V645" s="7">
        <v>45832</v>
      </c>
      <c r="W645" t="s">
        <v>430</v>
      </c>
      <c r="X645" t="s">
        <v>431</v>
      </c>
    </row>
    <row r="646" spans="8:24" x14ac:dyDescent="0.25">
      <c r="H646" s="34"/>
      <c r="I646" s="34" t="s">
        <v>53</v>
      </c>
      <c r="J646" s="35">
        <v>45911</v>
      </c>
      <c r="K646" s="36" t="s">
        <v>50</v>
      </c>
      <c r="L646" s="39" t="str">
        <f>VLOOKUP(Tabla810[[#This Row],[CODIGO DEL PRODUCTO]],Tabla79[],2,FALSE)</f>
        <v>MIRA SET 453 (ADITIVO)</v>
      </c>
      <c r="M646" s="37">
        <v>2.76</v>
      </c>
      <c r="O646" s="76">
        <v>102222</v>
      </c>
      <c r="P646" s="76" t="s">
        <v>252</v>
      </c>
      <c r="Q646" s="77">
        <v>45832</v>
      </c>
      <c r="R646" s="78" t="s">
        <v>40</v>
      </c>
      <c r="S646" s="36" t="str">
        <f>VLOOKUP(Tabla911[[#This Row],[CODIGO DEL PRODUCTO]],Tabla79[],2,FALSE)</f>
        <v>PIEDRA 0-6</v>
      </c>
      <c r="T646" s="37">
        <v>35820</v>
      </c>
      <c r="U646" s="92"/>
    </row>
    <row r="647" spans="8:24" x14ac:dyDescent="0.25">
      <c r="H647" s="34"/>
      <c r="I647" s="34" t="s">
        <v>53</v>
      </c>
      <c r="J647" s="35">
        <v>45912</v>
      </c>
      <c r="K647" s="36" t="s">
        <v>48</v>
      </c>
      <c r="L647" s="39" t="str">
        <f>VLOOKUP(Tabla810[[#This Row],[CODIGO DEL PRODUCTO]],Tabla79[],2,FALSE)</f>
        <v>PIEDRA 6-12</v>
      </c>
      <c r="M647" s="37">
        <v>153524</v>
      </c>
      <c r="O647" s="76">
        <v>2636878</v>
      </c>
      <c r="P647" s="76" t="s">
        <v>65</v>
      </c>
      <c r="Q647" s="77">
        <v>45832</v>
      </c>
      <c r="R647" s="78" t="s">
        <v>286</v>
      </c>
      <c r="S647" s="36" t="str">
        <f>VLOOKUP(Tabla911[[#This Row],[CODIGO DEL PRODUCTO]],Tabla79[],2,FALSE)</f>
        <v>CPF 40 AVELLANEDA</v>
      </c>
      <c r="T647" s="37">
        <v>35980</v>
      </c>
      <c r="U647" s="92"/>
    </row>
    <row r="648" spans="8:24" x14ac:dyDescent="0.25">
      <c r="H648" s="34"/>
      <c r="I648" s="34" t="s">
        <v>53</v>
      </c>
      <c r="J648" s="35">
        <v>45913</v>
      </c>
      <c r="K648" s="36" t="s">
        <v>43</v>
      </c>
      <c r="L648" s="39" t="str">
        <f>VLOOKUP(Tabla810[[#This Row],[CODIGO DEL PRODUCTO]],Tabla79[],2,FALSE)</f>
        <v>PIEDRA 6-20</v>
      </c>
      <c r="M648" s="37">
        <v>1024824</v>
      </c>
      <c r="O648" s="76">
        <v>100904</v>
      </c>
      <c r="P648" s="76" t="s">
        <v>235</v>
      </c>
      <c r="Q648" s="77">
        <v>45833</v>
      </c>
      <c r="R648" s="78" t="s">
        <v>42</v>
      </c>
      <c r="S648" s="36" t="str">
        <f>VLOOKUP(Tabla911[[#This Row],[CODIGO DEL PRODUCTO]],Tabla79[],2,FALSE)</f>
        <v>ARENA FINA</v>
      </c>
      <c r="T648" s="37">
        <v>36800</v>
      </c>
      <c r="U648" s="92"/>
    </row>
    <row r="649" spans="8:24" x14ac:dyDescent="0.25">
      <c r="H649" s="34"/>
      <c r="I649" s="34" t="s">
        <v>53</v>
      </c>
      <c r="J649" s="35">
        <v>45913</v>
      </c>
      <c r="K649" s="36" t="s">
        <v>425</v>
      </c>
      <c r="L649" s="39" t="str">
        <f>VLOOKUP(Tabla810[[#This Row],[CODIGO DEL PRODUCTO]],Tabla79[],2,FALSE)</f>
        <v>W351R</v>
      </c>
      <c r="M649" s="37">
        <v>2025.76</v>
      </c>
      <c r="O649" s="76">
        <v>2637204</v>
      </c>
      <c r="P649" s="76" t="s">
        <v>65</v>
      </c>
      <c r="Q649" s="77">
        <v>45833</v>
      </c>
      <c r="R649" s="78" t="s">
        <v>286</v>
      </c>
      <c r="S649" s="36" t="str">
        <f>VLOOKUP(Tabla911[[#This Row],[CODIGO DEL PRODUCTO]],Tabla79[],2,FALSE)</f>
        <v>CPF 40 AVELLANEDA</v>
      </c>
      <c r="T649" s="37">
        <v>36300</v>
      </c>
      <c r="U649" s="92"/>
    </row>
    <row r="650" spans="8:24" x14ac:dyDescent="0.25">
      <c r="H650" s="34">
        <v>12649</v>
      </c>
      <c r="I650" s="34" t="s">
        <v>514</v>
      </c>
      <c r="J650" s="35">
        <v>45915</v>
      </c>
      <c r="K650" s="36" t="s">
        <v>42</v>
      </c>
      <c r="L650" s="39" t="str">
        <f>VLOOKUP(Tabla810[[#This Row],[CODIGO DEL PRODUCTO]],Tabla79[],2,FALSE)</f>
        <v>ARENA FINA</v>
      </c>
      <c r="M650" s="37">
        <v>38540</v>
      </c>
      <c r="O650" s="76">
        <v>100883</v>
      </c>
      <c r="P650" s="76" t="s">
        <v>235</v>
      </c>
      <c r="Q650" s="77">
        <v>45834</v>
      </c>
      <c r="R650" s="78" t="s">
        <v>42</v>
      </c>
      <c r="S650" s="36" t="str">
        <f>VLOOKUP(Tabla911[[#This Row],[CODIGO DEL PRODUCTO]],Tabla79[],2,FALSE)</f>
        <v>ARENA FINA</v>
      </c>
      <c r="T650" s="37">
        <v>36280</v>
      </c>
      <c r="U650" s="92"/>
      <c r="V650" s="7">
        <v>45834</v>
      </c>
      <c r="W650" t="s">
        <v>445</v>
      </c>
      <c r="X650" t="s">
        <v>446</v>
      </c>
    </row>
    <row r="651" spans="8:24" x14ac:dyDescent="0.25">
      <c r="H651" s="34">
        <v>12650</v>
      </c>
      <c r="I651" s="34" t="s">
        <v>534</v>
      </c>
      <c r="J651" s="35">
        <v>45916</v>
      </c>
      <c r="K651" s="36" t="s">
        <v>42</v>
      </c>
      <c r="L651" s="39" t="str">
        <f>VLOOKUP(Tabla810[[#This Row],[CODIGO DEL PRODUCTO]],Tabla79[],2,FALSE)</f>
        <v>ARENA FINA</v>
      </c>
      <c r="M651" s="37">
        <v>2000</v>
      </c>
      <c r="O651" s="76">
        <v>100916</v>
      </c>
      <c r="P651" s="76" t="s">
        <v>235</v>
      </c>
      <c r="Q651" s="77">
        <v>45834</v>
      </c>
      <c r="R651" s="78" t="s">
        <v>42</v>
      </c>
      <c r="S651" s="36" t="str">
        <f>VLOOKUP(Tabla911[[#This Row],[CODIGO DEL PRODUCTO]],Tabla79[],2,FALSE)</f>
        <v>ARENA FINA</v>
      </c>
      <c r="T651" s="37">
        <v>36440</v>
      </c>
      <c r="U651" s="92"/>
    </row>
    <row r="652" spans="8:24" x14ac:dyDescent="0.25">
      <c r="H652" s="34">
        <v>12678</v>
      </c>
      <c r="I652" s="34" t="s">
        <v>524</v>
      </c>
      <c r="J652" s="35">
        <v>45917</v>
      </c>
      <c r="K652" s="36" t="s">
        <v>42</v>
      </c>
      <c r="L652" s="39" t="str">
        <f>VLOOKUP(Tabla810[[#This Row],[CODIGO DEL PRODUCTO]],Tabla79[],2,FALSE)</f>
        <v>ARENA FINA</v>
      </c>
      <c r="M652" s="37">
        <v>6000</v>
      </c>
      <c r="O652" s="76">
        <v>100923</v>
      </c>
      <c r="P652" s="76" t="s">
        <v>235</v>
      </c>
      <c r="Q652" s="77">
        <v>45834</v>
      </c>
      <c r="R652" s="78" t="s">
        <v>42</v>
      </c>
      <c r="S652" s="36" t="str">
        <f>VLOOKUP(Tabla911[[#This Row],[CODIGO DEL PRODUCTO]],Tabla79[],2,FALSE)</f>
        <v>ARENA FINA</v>
      </c>
      <c r="T652" s="37">
        <v>36180</v>
      </c>
      <c r="U652" s="92"/>
    </row>
    <row r="653" spans="8:24" x14ac:dyDescent="0.25">
      <c r="H653" s="34">
        <v>12680</v>
      </c>
      <c r="I653" s="34" t="s">
        <v>558</v>
      </c>
      <c r="J653" s="35">
        <v>45917</v>
      </c>
      <c r="K653" s="36" t="s">
        <v>42</v>
      </c>
      <c r="L653" s="39" t="str">
        <f>VLOOKUP(Tabla810[[#This Row],[CODIGO DEL PRODUCTO]],Tabla79[],2,FALSE)</f>
        <v>ARENA FINA</v>
      </c>
      <c r="M653" s="37">
        <v>2000</v>
      </c>
      <c r="O653" s="76">
        <v>2637530</v>
      </c>
      <c r="P653" s="76" t="s">
        <v>65</v>
      </c>
      <c r="Q653" s="77">
        <v>45834</v>
      </c>
      <c r="R653" s="78" t="s">
        <v>286</v>
      </c>
      <c r="S653" s="36" t="str">
        <f>VLOOKUP(Tabla911[[#This Row],[CODIGO DEL PRODUCTO]],Tabla79[],2,FALSE)</f>
        <v>CPF 40 AVELLANEDA</v>
      </c>
      <c r="T653" s="37">
        <v>36000</v>
      </c>
      <c r="U653" s="92"/>
    </row>
    <row r="654" spans="8:24" x14ac:dyDescent="0.25">
      <c r="H654" s="34"/>
      <c r="I654" s="34" t="s">
        <v>558</v>
      </c>
      <c r="J654" s="35">
        <v>45917</v>
      </c>
      <c r="K654" s="36" t="s">
        <v>43</v>
      </c>
      <c r="L654" s="39" t="str">
        <f>VLOOKUP(Tabla810[[#This Row],[CODIGO DEL PRODUCTO]],Tabla79[],2,FALSE)</f>
        <v>PIEDRA 6-20</v>
      </c>
      <c r="M654" s="37">
        <v>2000</v>
      </c>
      <c r="O654" s="76">
        <v>100928</v>
      </c>
      <c r="P654" s="76" t="s">
        <v>235</v>
      </c>
      <c r="Q654" s="77">
        <v>45835</v>
      </c>
      <c r="R654" s="78" t="s">
        <v>42</v>
      </c>
      <c r="S654" s="36" t="str">
        <f>VLOOKUP(Tabla911[[#This Row],[CODIGO DEL PRODUCTO]],Tabla79[],2,FALSE)</f>
        <v>ARENA FINA</v>
      </c>
      <c r="T654" s="37">
        <v>39200</v>
      </c>
      <c r="U654" s="92"/>
    </row>
    <row r="655" spans="8:24" x14ac:dyDescent="0.25">
      <c r="H655" s="34">
        <v>12694</v>
      </c>
      <c r="I655" s="34" t="s">
        <v>471</v>
      </c>
      <c r="J655" s="35">
        <v>45917</v>
      </c>
      <c r="K655" s="36" t="s">
        <v>42</v>
      </c>
      <c r="L655" s="39" t="str">
        <f>VLOOKUP(Tabla810[[#This Row],[CODIGO DEL PRODUCTO]],Tabla79[],2,FALSE)</f>
        <v>ARENA FINA</v>
      </c>
      <c r="M655" s="37">
        <v>2500</v>
      </c>
      <c r="O655" s="76">
        <v>100938</v>
      </c>
      <c r="P655" s="76" t="s">
        <v>235</v>
      </c>
      <c r="Q655" s="77">
        <v>45835</v>
      </c>
      <c r="R655" s="78" t="s">
        <v>42</v>
      </c>
      <c r="S655" s="36" t="str">
        <f>VLOOKUP(Tabla911[[#This Row],[CODIGO DEL PRODUCTO]],Tabla79[],2,FALSE)</f>
        <v>ARENA FINA</v>
      </c>
      <c r="T655" s="37">
        <v>37160</v>
      </c>
      <c r="U655" s="92"/>
    </row>
    <row r="656" spans="8:24" x14ac:dyDescent="0.25">
      <c r="H656" s="34">
        <v>12695</v>
      </c>
      <c r="I656" s="34" t="s">
        <v>471</v>
      </c>
      <c r="J656" s="35">
        <v>45917</v>
      </c>
      <c r="K656" s="36" t="s">
        <v>42</v>
      </c>
      <c r="L656" s="39" t="str">
        <f>VLOOKUP(Tabla810[[#This Row],[CODIGO DEL PRODUCTO]],Tabla79[],2,FALSE)</f>
        <v>ARENA FINA</v>
      </c>
      <c r="M656" s="37">
        <v>2500</v>
      </c>
      <c r="O656" s="76">
        <v>2637841</v>
      </c>
      <c r="P656" s="76" t="s">
        <v>65</v>
      </c>
      <c r="Q656" s="77">
        <v>45835</v>
      </c>
      <c r="R656" s="78" t="s">
        <v>286</v>
      </c>
      <c r="S656" s="36" t="str">
        <f>VLOOKUP(Tabla911[[#This Row],[CODIGO DEL PRODUCTO]],Tabla79[],2,FALSE)</f>
        <v>CPF 40 AVELLANEDA</v>
      </c>
      <c r="T656" s="37">
        <v>36020</v>
      </c>
      <c r="U656" s="92"/>
    </row>
    <row r="657" spans="8:24" x14ac:dyDescent="0.25">
      <c r="H657" s="34">
        <v>12714</v>
      </c>
      <c r="I657" s="34" t="s">
        <v>524</v>
      </c>
      <c r="J657" s="35">
        <v>45917</v>
      </c>
      <c r="K657" s="36" t="s">
        <v>43</v>
      </c>
      <c r="L657" s="39" t="str">
        <f>VLOOKUP(Tabla810[[#This Row],[CODIGO DEL PRODUCTO]],Tabla79[],2,FALSE)</f>
        <v>PIEDRA 6-20</v>
      </c>
      <c r="M657" s="37">
        <v>2000</v>
      </c>
      <c r="O657" s="76">
        <v>100944</v>
      </c>
      <c r="P657" s="76" t="s">
        <v>235</v>
      </c>
      <c r="Q657" s="77">
        <v>45836</v>
      </c>
      <c r="R657" s="78" t="s">
        <v>42</v>
      </c>
      <c r="S657" s="36" t="str">
        <f>VLOOKUP(Tabla911[[#This Row],[CODIGO DEL PRODUCTO]],Tabla79[],2,FALSE)</f>
        <v>ARENA FINA</v>
      </c>
      <c r="T657" s="37">
        <v>39260</v>
      </c>
      <c r="U657" s="92"/>
    </row>
    <row r="658" spans="8:24" x14ac:dyDescent="0.25">
      <c r="H658" s="34">
        <v>12715</v>
      </c>
      <c r="I658" s="34" t="s">
        <v>553</v>
      </c>
      <c r="J658" s="35">
        <v>45917</v>
      </c>
      <c r="K658" s="36" t="s">
        <v>42</v>
      </c>
      <c r="L658" s="39" t="str">
        <f>VLOOKUP(Tabla810[[#This Row],[CODIGO DEL PRODUCTO]],Tabla79[],2,FALSE)</f>
        <v>ARENA FINA</v>
      </c>
      <c r="M658" s="37">
        <v>5000</v>
      </c>
      <c r="O658" s="76">
        <v>2638043</v>
      </c>
      <c r="P658" s="76" t="s">
        <v>65</v>
      </c>
      <c r="Q658" s="77">
        <v>45836</v>
      </c>
      <c r="R658" s="78" t="s">
        <v>286</v>
      </c>
      <c r="S658" s="36" t="str">
        <f>VLOOKUP(Tabla911[[#This Row],[CODIGO DEL PRODUCTO]],Tabla79[],2,FALSE)</f>
        <v>CPF 40 AVELLANEDA</v>
      </c>
      <c r="T658" s="37">
        <v>36160</v>
      </c>
      <c r="U658" s="92"/>
    </row>
    <row r="659" spans="8:24" x14ac:dyDescent="0.25">
      <c r="H659" s="34">
        <v>12735</v>
      </c>
      <c r="I659" s="34" t="s">
        <v>514</v>
      </c>
      <c r="J659" s="35">
        <v>45917</v>
      </c>
      <c r="K659" s="36" t="s">
        <v>42</v>
      </c>
      <c r="L659" s="39" t="str">
        <f>VLOOKUP(Tabla810[[#This Row],[CODIGO DEL PRODUCTO]],Tabla79[],2,FALSE)</f>
        <v>ARENA FINA</v>
      </c>
      <c r="M659" s="37">
        <v>37740</v>
      </c>
      <c r="O659" s="76">
        <v>100949</v>
      </c>
      <c r="P659" s="76" t="s">
        <v>235</v>
      </c>
      <c r="Q659" s="77">
        <v>45838</v>
      </c>
      <c r="R659" s="78" t="s">
        <v>42</v>
      </c>
      <c r="S659" s="36" t="str">
        <f>VLOOKUP(Tabla911[[#This Row],[CODIGO DEL PRODUCTO]],Tabla79[],2,FALSE)</f>
        <v>ARENA FINA</v>
      </c>
      <c r="T659" s="37">
        <v>37120</v>
      </c>
      <c r="U659" s="92"/>
      <c r="V659" s="7">
        <v>45838</v>
      </c>
      <c r="W659" t="s">
        <v>432</v>
      </c>
      <c r="X659" t="s">
        <v>433</v>
      </c>
    </row>
    <row r="660" spans="8:24" x14ac:dyDescent="0.25">
      <c r="H660" s="34">
        <v>12755</v>
      </c>
      <c r="I660" s="34" t="s">
        <v>558</v>
      </c>
      <c r="J660" s="35">
        <v>45918</v>
      </c>
      <c r="K660" s="36" t="s">
        <v>43</v>
      </c>
      <c r="L660" s="39" t="str">
        <f>VLOOKUP(Tabla810[[#This Row],[CODIGO DEL PRODUCTO]],Tabla79[],2,FALSE)</f>
        <v>PIEDRA 6-20</v>
      </c>
      <c r="M660" s="37">
        <v>19980</v>
      </c>
      <c r="O660" s="76">
        <v>100953</v>
      </c>
      <c r="P660" s="76" t="s">
        <v>370</v>
      </c>
      <c r="Q660" s="77">
        <v>45838</v>
      </c>
      <c r="R660" s="78" t="s">
        <v>42</v>
      </c>
      <c r="S660" s="36" t="str">
        <f>VLOOKUP(Tabla911[[#This Row],[CODIGO DEL PRODUCTO]],Tabla79[],2,FALSE)</f>
        <v>ARENA FINA</v>
      </c>
      <c r="T660" s="37">
        <v>36160</v>
      </c>
      <c r="U660" s="92"/>
    </row>
    <row r="661" spans="8:24" x14ac:dyDescent="0.25">
      <c r="H661" s="34">
        <v>12765</v>
      </c>
      <c r="I661" s="34" t="s">
        <v>564</v>
      </c>
      <c r="J661" s="35">
        <v>45918</v>
      </c>
      <c r="K661" s="36" t="s">
        <v>459</v>
      </c>
      <c r="L661" s="39" t="e">
        <f>VLOOKUP(Tabla810[[#This Row],[CODIGO DEL PRODUCTO]],Tabla79[],2,FALSE)</f>
        <v>#N/A</v>
      </c>
      <c r="M661" s="37">
        <v>500</v>
      </c>
      <c r="O661" s="76">
        <v>100954</v>
      </c>
      <c r="P661" s="76" t="s">
        <v>235</v>
      </c>
      <c r="Q661" s="77">
        <v>45838</v>
      </c>
      <c r="R661" s="78" t="s">
        <v>42</v>
      </c>
      <c r="S661" s="36" t="str">
        <f>VLOOKUP(Tabla911[[#This Row],[CODIGO DEL PRODUCTO]],Tabla79[],2,FALSE)</f>
        <v>ARENA FINA</v>
      </c>
      <c r="T661" s="37">
        <v>37800</v>
      </c>
      <c r="U661" s="92"/>
    </row>
    <row r="662" spans="8:24" x14ac:dyDescent="0.25">
      <c r="H662" s="34">
        <v>12767</v>
      </c>
      <c r="I662" s="34" t="s">
        <v>478</v>
      </c>
      <c r="J662" s="35">
        <v>45918</v>
      </c>
      <c r="K662" s="36" t="s">
        <v>42</v>
      </c>
      <c r="L662" s="39" t="str">
        <f>VLOOKUP(Tabla810[[#This Row],[CODIGO DEL PRODUCTO]],Tabla79[],2,FALSE)</f>
        <v>ARENA FINA</v>
      </c>
      <c r="M662" s="37">
        <v>3000</v>
      </c>
      <c r="O662" s="76">
        <v>102397</v>
      </c>
      <c r="P662" s="76" t="s">
        <v>254</v>
      </c>
      <c r="Q662" s="77">
        <v>45838</v>
      </c>
      <c r="R662" s="78" t="s">
        <v>40</v>
      </c>
      <c r="S662" s="36" t="str">
        <f>VLOOKUP(Tabla911[[#This Row],[CODIGO DEL PRODUCTO]],Tabla79[],2,FALSE)</f>
        <v>PIEDRA 0-6</v>
      </c>
      <c r="T662" s="37">
        <v>34320</v>
      </c>
      <c r="U662" s="92"/>
    </row>
    <row r="663" spans="8:24" x14ac:dyDescent="0.25">
      <c r="H663" s="34">
        <v>12772</v>
      </c>
      <c r="I663" s="34" t="s">
        <v>522</v>
      </c>
      <c r="J663" s="35">
        <v>45918</v>
      </c>
      <c r="K663" s="36" t="s">
        <v>42</v>
      </c>
      <c r="L663" s="39" t="str">
        <f>VLOOKUP(Tabla810[[#This Row],[CODIGO DEL PRODUCTO]],Tabla79[],2,FALSE)</f>
        <v>ARENA FINA</v>
      </c>
      <c r="M663" s="37">
        <v>4000</v>
      </c>
      <c r="O663" s="76">
        <v>2338369</v>
      </c>
      <c r="P663" s="76" t="s">
        <v>65</v>
      </c>
      <c r="Q663" s="77">
        <v>45838</v>
      </c>
      <c r="R663" s="78" t="s">
        <v>286</v>
      </c>
      <c r="S663" s="36" t="str">
        <f>VLOOKUP(Tabla911[[#This Row],[CODIGO DEL PRODUCTO]],Tabla79[],2,FALSE)</f>
        <v>CPF 40 AVELLANEDA</v>
      </c>
      <c r="T663" s="37">
        <v>36100</v>
      </c>
      <c r="U663" s="92"/>
    </row>
    <row r="664" spans="8:24" x14ac:dyDescent="0.25">
      <c r="H664" s="34">
        <v>12774</v>
      </c>
      <c r="I664" s="34" t="s">
        <v>564</v>
      </c>
      <c r="J664" s="35">
        <v>45918</v>
      </c>
      <c r="K664" s="36" t="s">
        <v>42</v>
      </c>
      <c r="L664" s="39" t="str">
        <f>VLOOKUP(Tabla810[[#This Row],[CODIGO DEL PRODUCTO]],Tabla79[],2,FALSE)</f>
        <v>ARENA FINA</v>
      </c>
      <c r="M664" s="37">
        <v>500</v>
      </c>
      <c r="O664" s="76">
        <v>100966</v>
      </c>
      <c r="P664" s="76" t="s">
        <v>235</v>
      </c>
      <c r="Q664" s="77">
        <v>45839</v>
      </c>
      <c r="R664" s="78" t="s">
        <v>42</v>
      </c>
      <c r="S664" s="36" t="str">
        <f>VLOOKUP(Tabla911[[#This Row],[CODIGO DEL PRODUCTO]],Tabla79[],2,FALSE)</f>
        <v>ARENA FINA</v>
      </c>
      <c r="T664" s="37">
        <v>36040</v>
      </c>
      <c r="U664" s="92"/>
    </row>
    <row r="665" spans="8:24" x14ac:dyDescent="0.25">
      <c r="H665" s="34"/>
      <c r="I665" s="34" t="s">
        <v>53</v>
      </c>
      <c r="J665" s="35">
        <v>45915</v>
      </c>
      <c r="K665" s="36" t="s">
        <v>42</v>
      </c>
      <c r="L665" s="39" t="str">
        <f>VLOOKUP(Tabla810[[#This Row],[CODIGO DEL PRODUCTO]],Tabla79[],2,FALSE)</f>
        <v>ARENA FINA</v>
      </c>
      <c r="M665" s="37">
        <v>443258</v>
      </c>
      <c r="O665" s="76">
        <v>100972</v>
      </c>
      <c r="P665" s="76" t="s">
        <v>370</v>
      </c>
      <c r="Q665" s="77">
        <v>45839</v>
      </c>
      <c r="R665" s="78" t="s">
        <v>42</v>
      </c>
      <c r="S665" s="36" t="str">
        <f>VLOOKUP(Tabla911[[#This Row],[CODIGO DEL PRODUCTO]],Tabla79[],2,FALSE)</f>
        <v>ARENA FINA</v>
      </c>
      <c r="T665" s="37">
        <v>37000</v>
      </c>
      <c r="U665" s="92"/>
    </row>
    <row r="666" spans="8:24" x14ac:dyDescent="0.25">
      <c r="H666" s="34"/>
      <c r="I666" s="34" t="s">
        <v>53</v>
      </c>
      <c r="J666" s="35">
        <v>45916</v>
      </c>
      <c r="K666" s="36" t="s">
        <v>40</v>
      </c>
      <c r="L666" s="39" t="str">
        <f>VLOOKUP(Tabla810[[#This Row],[CODIGO DEL PRODUCTO]],Tabla79[],2,FALSE)</f>
        <v>PIEDRA 0-6</v>
      </c>
      <c r="M666" s="37">
        <v>287424</v>
      </c>
      <c r="O666" s="76">
        <v>100975</v>
      </c>
      <c r="P666" s="76" t="s">
        <v>235</v>
      </c>
      <c r="Q666" s="77">
        <v>45839</v>
      </c>
      <c r="R666" s="78" t="s">
        <v>42</v>
      </c>
      <c r="S666" s="36" t="str">
        <f>VLOOKUP(Tabla911[[#This Row],[CODIGO DEL PRODUCTO]],Tabla79[],2,FALSE)</f>
        <v>ARENA FINA</v>
      </c>
      <c r="T666" s="37">
        <v>35700</v>
      </c>
      <c r="U666" s="92"/>
    </row>
    <row r="667" spans="8:24" x14ac:dyDescent="0.25">
      <c r="H667" s="34"/>
      <c r="I667" s="34" t="s">
        <v>53</v>
      </c>
      <c r="J667" s="35">
        <v>45917</v>
      </c>
      <c r="K667" s="36" t="s">
        <v>286</v>
      </c>
      <c r="L667" s="39" t="str">
        <f>VLOOKUP(Tabla810[[#This Row],[CODIGO DEL PRODUCTO]],Tabla79[],2,FALSE)</f>
        <v>CPF 40 AVELLANEDA</v>
      </c>
      <c r="M667" s="37">
        <v>214299</v>
      </c>
      <c r="O667" s="76">
        <v>2638657</v>
      </c>
      <c r="P667" s="76" t="s">
        <v>65</v>
      </c>
      <c r="Q667" s="77">
        <v>45839</v>
      </c>
      <c r="R667" s="78" t="s">
        <v>286</v>
      </c>
      <c r="S667" s="36" t="str">
        <f>VLOOKUP(Tabla911[[#This Row],[CODIGO DEL PRODUCTO]],Tabla79[],2,FALSE)</f>
        <v>CPF 40 AVELLANEDA</v>
      </c>
      <c r="T667" s="37">
        <v>36120</v>
      </c>
      <c r="U667" s="92"/>
    </row>
    <row r="668" spans="8:24" x14ac:dyDescent="0.25">
      <c r="H668" s="34"/>
      <c r="I668" s="34" t="s">
        <v>53</v>
      </c>
      <c r="J668" s="35">
        <v>45918</v>
      </c>
      <c r="K668" s="36" t="s">
        <v>48</v>
      </c>
      <c r="L668" s="39" t="str">
        <f>VLOOKUP(Tabla810[[#This Row],[CODIGO DEL PRODUCTO]],Tabla79[],2,FALSE)</f>
        <v>PIEDRA 6-12</v>
      </c>
      <c r="M668" s="37">
        <v>48786</v>
      </c>
      <c r="O668" s="76">
        <v>100981</v>
      </c>
      <c r="P668" s="76" t="s">
        <v>443</v>
      </c>
      <c r="Q668" s="77">
        <v>45840</v>
      </c>
      <c r="R668" s="78" t="s">
        <v>42</v>
      </c>
      <c r="S668" s="36" t="str">
        <f>VLOOKUP(Tabla911[[#This Row],[CODIGO DEL PRODUCTO]],Tabla79[],2,FALSE)</f>
        <v>ARENA FINA</v>
      </c>
      <c r="T668" s="37">
        <v>37140</v>
      </c>
      <c r="U668" s="92"/>
    </row>
    <row r="669" spans="8:24" x14ac:dyDescent="0.25">
      <c r="H669" s="34"/>
      <c r="I669" s="34" t="s">
        <v>53</v>
      </c>
      <c r="J669" s="35">
        <v>45919</v>
      </c>
      <c r="K669" s="36" t="s">
        <v>43</v>
      </c>
      <c r="L669" s="39" t="str">
        <f>VLOOKUP(Tabla810[[#This Row],[CODIGO DEL PRODUCTO]],Tabla79[],2,FALSE)</f>
        <v>PIEDRA 6-20</v>
      </c>
      <c r="M669" s="37">
        <v>611029</v>
      </c>
      <c r="O669" s="76">
        <v>2638960</v>
      </c>
      <c r="P669" s="76" t="s">
        <v>65</v>
      </c>
      <c r="Q669" s="77">
        <v>45840</v>
      </c>
      <c r="R669" s="78" t="s">
        <v>286</v>
      </c>
      <c r="S669" s="36" t="str">
        <f>VLOOKUP(Tabla911[[#This Row],[CODIGO DEL PRODUCTO]],Tabla79[],2,FALSE)</f>
        <v>CPF 40 AVELLANEDA</v>
      </c>
      <c r="T669" s="37">
        <v>36020</v>
      </c>
      <c r="U669" s="92"/>
    </row>
    <row r="670" spans="8:24" x14ac:dyDescent="0.25">
      <c r="H670" s="34"/>
      <c r="I670" s="34" t="s">
        <v>53</v>
      </c>
      <c r="J670" s="35">
        <v>45919</v>
      </c>
      <c r="K670" s="36" t="s">
        <v>425</v>
      </c>
      <c r="L670" s="39" t="str">
        <f>VLOOKUP(Tabla810[[#This Row],[CODIGO DEL PRODUCTO]],Tabla79[],2,FALSE)</f>
        <v>W351R</v>
      </c>
      <c r="M670" s="37">
        <v>1143.83</v>
      </c>
      <c r="O670" s="76">
        <v>102512</v>
      </c>
      <c r="P670" s="76" t="s">
        <v>254</v>
      </c>
      <c r="Q670" s="77">
        <v>45841</v>
      </c>
      <c r="R670" s="78" t="s">
        <v>40</v>
      </c>
      <c r="S670" s="36" t="str">
        <f>VLOOKUP(Tabla911[[#This Row],[CODIGO DEL PRODUCTO]],Tabla79[],2,FALSE)</f>
        <v>PIEDRA 0-6</v>
      </c>
      <c r="T670" s="37">
        <v>34480</v>
      </c>
      <c r="U670" s="92"/>
    </row>
    <row r="671" spans="8:24" x14ac:dyDescent="0.25">
      <c r="H671" s="34">
        <v>12756</v>
      </c>
      <c r="I671" s="34" t="s">
        <v>558</v>
      </c>
      <c r="J671" s="35">
        <v>45918</v>
      </c>
      <c r="K671" s="36" t="s">
        <v>42</v>
      </c>
      <c r="L671" s="39" t="str">
        <f>VLOOKUP(Tabla810[[#This Row],[CODIGO DEL PRODUCTO]],Tabla79[],2,FALSE)</f>
        <v>ARENA FINA</v>
      </c>
      <c r="M671" s="37">
        <v>21860</v>
      </c>
      <c r="O671" s="76">
        <v>2639291</v>
      </c>
      <c r="P671" s="76" t="s">
        <v>65</v>
      </c>
      <c r="Q671" s="77">
        <v>45841</v>
      </c>
      <c r="R671" s="78" t="s">
        <v>286</v>
      </c>
      <c r="S671" s="36" t="str">
        <f>VLOOKUP(Tabla911[[#This Row],[CODIGO DEL PRODUCTO]],Tabla79[],2,FALSE)</f>
        <v>CPF 40 AVELLANEDA</v>
      </c>
      <c r="T671" s="37">
        <v>36000</v>
      </c>
      <c r="U671" s="92"/>
    </row>
    <row r="672" spans="8:24" x14ac:dyDescent="0.25">
      <c r="H672" s="34">
        <v>12782</v>
      </c>
      <c r="I672" s="34" t="s">
        <v>510</v>
      </c>
      <c r="J672" s="35">
        <v>45918</v>
      </c>
      <c r="K672" s="36" t="s">
        <v>42</v>
      </c>
      <c r="L672" s="39" t="str">
        <f>VLOOKUP(Tabla810[[#This Row],[CODIGO DEL PRODUCTO]],Tabla79[],2,FALSE)</f>
        <v>ARENA FINA</v>
      </c>
      <c r="M672" s="37">
        <v>2000</v>
      </c>
      <c r="O672" s="76">
        <v>30209</v>
      </c>
      <c r="P672" s="76" t="s">
        <v>449</v>
      </c>
      <c r="Q672" s="77">
        <v>45838</v>
      </c>
      <c r="R672" s="78" t="s">
        <v>425</v>
      </c>
      <c r="S672" s="36" t="str">
        <f>VLOOKUP(Tabla911[[#This Row],[CODIGO DEL PRODUCTO]],Tabla79[],2,FALSE)</f>
        <v>W351R</v>
      </c>
      <c r="T672" s="37">
        <v>3000</v>
      </c>
      <c r="U672" s="92"/>
    </row>
    <row r="673" spans="8:21" x14ac:dyDescent="0.25">
      <c r="H673" s="34"/>
      <c r="I673" s="34" t="s">
        <v>510</v>
      </c>
      <c r="J673" s="35">
        <v>45918</v>
      </c>
      <c r="K673" s="36" t="s">
        <v>43</v>
      </c>
      <c r="L673" s="39" t="str">
        <f>VLOOKUP(Tabla810[[#This Row],[CODIGO DEL PRODUCTO]],Tabla79[],2,FALSE)</f>
        <v>PIEDRA 6-20</v>
      </c>
      <c r="M673" s="37">
        <v>2000</v>
      </c>
      <c r="O673" s="76">
        <v>29829</v>
      </c>
      <c r="P673" s="76" t="s">
        <v>449</v>
      </c>
      <c r="Q673" s="77">
        <v>45832</v>
      </c>
      <c r="R673" s="78" t="s">
        <v>450</v>
      </c>
      <c r="S673" s="36" t="str">
        <f>VLOOKUP(Tabla911[[#This Row],[CODIGO DEL PRODUCTO]],Tabla79[],2,FALSE)</f>
        <v>W500R</v>
      </c>
      <c r="T673" s="37">
        <v>1000</v>
      </c>
      <c r="U673" s="92"/>
    </row>
    <row r="674" spans="8:21" x14ac:dyDescent="0.25">
      <c r="H674" s="34">
        <v>18598</v>
      </c>
      <c r="I674" s="34" t="s">
        <v>514</v>
      </c>
      <c r="J674" s="35">
        <v>45919</v>
      </c>
      <c r="K674" s="36" t="s">
        <v>42</v>
      </c>
      <c r="L674" s="39" t="str">
        <f>VLOOKUP(Tabla810[[#This Row],[CODIGO DEL PRODUCTO]],Tabla79[],2,FALSE)</f>
        <v>ARENA FINA</v>
      </c>
      <c r="M674" s="37">
        <v>38920</v>
      </c>
      <c r="O674" s="76">
        <v>100999</v>
      </c>
      <c r="P674" s="76" t="s">
        <v>370</v>
      </c>
      <c r="Q674" s="77">
        <v>45842</v>
      </c>
      <c r="R674" s="78" t="s">
        <v>42</v>
      </c>
      <c r="S674" s="36" t="str">
        <f>VLOOKUP(Tabla911[[#This Row],[CODIGO DEL PRODUCTO]],Tabla79[],2,FALSE)</f>
        <v>ARENA FINA</v>
      </c>
      <c r="T674" s="37">
        <v>33700</v>
      </c>
      <c r="U674" s="92"/>
    </row>
    <row r="675" spans="8:21" x14ac:dyDescent="0.25">
      <c r="H675" s="34">
        <v>18641</v>
      </c>
      <c r="I675" s="34" t="s">
        <v>514</v>
      </c>
      <c r="J675" s="35">
        <v>45920</v>
      </c>
      <c r="K675" s="36" t="s">
        <v>42</v>
      </c>
      <c r="L675" s="39" t="str">
        <f>VLOOKUP(Tabla810[[#This Row],[CODIGO DEL PRODUCTO]],Tabla79[],2,FALSE)</f>
        <v>ARENA FINA</v>
      </c>
      <c r="M675" s="37">
        <v>35500</v>
      </c>
      <c r="O675" s="76">
        <v>101010</v>
      </c>
      <c r="P675" s="76" t="s">
        <v>235</v>
      </c>
      <c r="Q675" s="77">
        <v>45843</v>
      </c>
      <c r="R675" s="78" t="s">
        <v>42</v>
      </c>
      <c r="S675" s="36" t="str">
        <f>VLOOKUP(Tabla911[[#This Row],[CODIGO DEL PRODUCTO]],Tabla79[],2,FALSE)</f>
        <v>ARENA FINA</v>
      </c>
      <c r="T675" s="37">
        <v>35920</v>
      </c>
      <c r="U675" s="92"/>
    </row>
    <row r="676" spans="8:21" x14ac:dyDescent="0.25">
      <c r="H676" s="34">
        <v>12804</v>
      </c>
      <c r="I676" s="34" t="s">
        <v>514</v>
      </c>
      <c r="J676" s="35">
        <v>45920</v>
      </c>
      <c r="K676" s="36" t="s">
        <v>42</v>
      </c>
      <c r="L676" s="39" t="str">
        <f>VLOOKUP(Tabla810[[#This Row],[CODIGO DEL PRODUCTO]],Tabla79[],2,FALSE)</f>
        <v>ARENA FINA</v>
      </c>
      <c r="M676" s="37">
        <v>36300</v>
      </c>
      <c r="O676" s="76">
        <v>102545</v>
      </c>
      <c r="P676" s="76" t="s">
        <v>254</v>
      </c>
      <c r="Q676" s="77">
        <v>45841</v>
      </c>
      <c r="R676" s="78" t="s">
        <v>40</v>
      </c>
      <c r="S676" s="36" t="str">
        <f>VLOOKUP(Tabla911[[#This Row],[CODIGO DEL PRODUCTO]],Tabla79[],2,FALSE)</f>
        <v>PIEDRA 0-6</v>
      </c>
      <c r="T676" s="37">
        <v>34740</v>
      </c>
      <c r="U676" s="92"/>
    </row>
    <row r="677" spans="8:21" x14ac:dyDescent="0.25">
      <c r="H677" s="34">
        <v>12815</v>
      </c>
      <c r="I677" s="34" t="s">
        <v>541</v>
      </c>
      <c r="J677" s="35">
        <v>45922</v>
      </c>
      <c r="K677" s="36" t="s">
        <v>42</v>
      </c>
      <c r="L677" s="39" t="str">
        <f>VLOOKUP(Tabla810[[#This Row],[CODIGO DEL PRODUCTO]],Tabla79[],2,FALSE)</f>
        <v>ARENA FINA</v>
      </c>
      <c r="M677" s="37">
        <v>5000</v>
      </c>
      <c r="O677" s="76">
        <v>139513</v>
      </c>
      <c r="P677" s="76" t="s">
        <v>296</v>
      </c>
      <c r="Q677" s="77">
        <v>45842</v>
      </c>
      <c r="R677" s="78" t="s">
        <v>40</v>
      </c>
      <c r="S677" s="36" t="str">
        <f>VLOOKUP(Tabla911[[#This Row],[CODIGO DEL PRODUCTO]],Tabla79[],2,FALSE)</f>
        <v>PIEDRA 0-6</v>
      </c>
      <c r="T677" s="37">
        <v>35660</v>
      </c>
      <c r="U677" s="92"/>
    </row>
    <row r="678" spans="8:21" x14ac:dyDescent="0.25">
      <c r="H678" s="34">
        <v>12818</v>
      </c>
      <c r="I678" s="34" t="s">
        <v>541</v>
      </c>
      <c r="J678" s="35">
        <v>45922</v>
      </c>
      <c r="K678" s="36" t="s">
        <v>43</v>
      </c>
      <c r="L678" s="39" t="str">
        <f>VLOOKUP(Tabla810[[#This Row],[CODIGO DEL PRODUCTO]],Tabla79[],2,FALSE)</f>
        <v>PIEDRA 6-20</v>
      </c>
      <c r="M678" s="37">
        <v>5000</v>
      </c>
      <c r="O678" s="76">
        <v>2639571</v>
      </c>
      <c r="P678" s="76" t="s">
        <v>65</v>
      </c>
      <c r="Q678" s="77">
        <v>45842</v>
      </c>
      <c r="R678" s="78" t="s">
        <v>286</v>
      </c>
      <c r="S678" s="36" t="str">
        <f>VLOOKUP(Tabla911[[#This Row],[CODIGO DEL PRODUCTO]],Tabla79[],2,FALSE)</f>
        <v>CPF 40 AVELLANEDA</v>
      </c>
      <c r="T678" s="37">
        <v>35800</v>
      </c>
      <c r="U678" s="92"/>
    </row>
    <row r="679" spans="8:21" x14ac:dyDescent="0.25">
      <c r="H679" s="34">
        <v>12827</v>
      </c>
      <c r="I679" s="34" t="s">
        <v>514</v>
      </c>
      <c r="J679" s="35">
        <v>45922</v>
      </c>
      <c r="K679" s="36" t="s">
        <v>42</v>
      </c>
      <c r="L679" s="39" t="str">
        <f>VLOOKUP(Tabla810[[#This Row],[CODIGO DEL PRODUCTO]],Tabla79[],2,FALSE)</f>
        <v>ARENA FINA</v>
      </c>
      <c r="M679" s="37">
        <v>38380</v>
      </c>
      <c r="O679" s="76">
        <v>2639709</v>
      </c>
      <c r="P679" s="76" t="s">
        <v>65</v>
      </c>
      <c r="Q679" s="77">
        <v>45843</v>
      </c>
      <c r="R679" s="78" t="s">
        <v>286</v>
      </c>
      <c r="S679" s="36" t="str">
        <f>VLOOKUP(Tabla911[[#This Row],[CODIGO DEL PRODUCTO]],Tabla79[],2,FALSE)</f>
        <v>CPF 40 AVELLANEDA</v>
      </c>
      <c r="T679" s="37">
        <v>36140</v>
      </c>
      <c r="U679" s="92"/>
    </row>
    <row r="680" spans="8:21" x14ac:dyDescent="0.25">
      <c r="H680" s="34">
        <v>12838</v>
      </c>
      <c r="I680" s="34" t="s">
        <v>471</v>
      </c>
      <c r="J680" s="35">
        <v>45923</v>
      </c>
      <c r="K680" s="36" t="s">
        <v>42</v>
      </c>
      <c r="L680" s="39" t="str">
        <f>VLOOKUP(Tabla810[[#This Row],[CODIGO DEL PRODUCTO]],Tabla79[],2,FALSE)</f>
        <v>ARENA FINA</v>
      </c>
      <c r="M680" s="37">
        <v>5000</v>
      </c>
      <c r="O680" s="76">
        <v>101017</v>
      </c>
      <c r="P680" s="76" t="s">
        <v>235</v>
      </c>
      <c r="Q680" s="77">
        <v>45845</v>
      </c>
      <c r="R680" s="78" t="s">
        <v>42</v>
      </c>
      <c r="S680" s="36" t="str">
        <f>VLOOKUP(Tabla911[[#This Row],[CODIGO DEL PRODUCTO]],Tabla79[],2,FALSE)</f>
        <v>ARENA FINA</v>
      </c>
      <c r="T680" s="37">
        <v>36040</v>
      </c>
      <c r="U680" s="92"/>
    </row>
    <row r="681" spans="8:21" x14ac:dyDescent="0.25">
      <c r="H681" s="34">
        <v>12865</v>
      </c>
      <c r="I681" s="34" t="s">
        <v>514</v>
      </c>
      <c r="J681" s="35">
        <v>45923</v>
      </c>
      <c r="K681" s="36" t="s">
        <v>42</v>
      </c>
      <c r="L681" s="39" t="str">
        <f>VLOOKUP(Tabla810[[#This Row],[CODIGO DEL PRODUCTO]],Tabla79[],2,FALSE)</f>
        <v>ARENA FINA</v>
      </c>
      <c r="M681" s="37">
        <v>36480</v>
      </c>
      <c r="O681" s="76">
        <v>101025</v>
      </c>
      <c r="P681" s="76" t="s">
        <v>370</v>
      </c>
      <c r="Q681" s="77">
        <v>45845</v>
      </c>
      <c r="R681" s="78" t="s">
        <v>42</v>
      </c>
      <c r="S681" s="36" t="str">
        <f>VLOOKUP(Tabla911[[#This Row],[CODIGO DEL PRODUCTO]],Tabla79[],2,FALSE)</f>
        <v>ARENA FINA</v>
      </c>
      <c r="T681" s="37">
        <v>34420</v>
      </c>
      <c r="U681" s="92"/>
    </row>
    <row r="682" spans="8:21" x14ac:dyDescent="0.25">
      <c r="H682" s="34">
        <v>12871</v>
      </c>
      <c r="I682" s="34" t="s">
        <v>572</v>
      </c>
      <c r="J682" s="35">
        <v>45924</v>
      </c>
      <c r="K682" s="36" t="s">
        <v>42</v>
      </c>
      <c r="L682" s="39" t="str">
        <f>VLOOKUP(Tabla810[[#This Row],[CODIGO DEL PRODUCTO]],Tabla79[],2,FALSE)</f>
        <v>ARENA FINA</v>
      </c>
      <c r="M682" s="37">
        <v>5000</v>
      </c>
      <c r="O682" s="76">
        <v>101026</v>
      </c>
      <c r="P682" s="76" t="s">
        <v>235</v>
      </c>
      <c r="Q682" s="77">
        <v>45845</v>
      </c>
      <c r="R682" s="78" t="s">
        <v>42</v>
      </c>
      <c r="S682" s="36" t="str">
        <f>VLOOKUP(Tabla911[[#This Row],[CODIGO DEL PRODUCTO]],Tabla79[],2,FALSE)</f>
        <v>ARENA FINA</v>
      </c>
      <c r="T682" s="37">
        <v>36300</v>
      </c>
      <c r="U682" s="92"/>
    </row>
    <row r="683" spans="8:21" x14ac:dyDescent="0.25">
      <c r="H683" s="34">
        <v>12880</v>
      </c>
      <c r="I683" s="34" t="s">
        <v>510</v>
      </c>
      <c r="J683" s="35">
        <v>45924</v>
      </c>
      <c r="K683" s="36" t="s">
        <v>42</v>
      </c>
      <c r="L683" s="39" t="str">
        <f>VLOOKUP(Tabla810[[#This Row],[CODIGO DEL PRODUCTO]],Tabla79[],2,FALSE)</f>
        <v>ARENA FINA</v>
      </c>
      <c r="M683" s="37">
        <v>5000</v>
      </c>
      <c r="O683" s="76">
        <v>102630</v>
      </c>
      <c r="P683" s="76" t="s">
        <v>254</v>
      </c>
      <c r="Q683" s="77">
        <v>45845</v>
      </c>
      <c r="R683" s="78" t="s">
        <v>40</v>
      </c>
      <c r="S683" s="36" t="str">
        <f>VLOOKUP(Tabla911[[#This Row],[CODIGO DEL PRODUCTO]],Tabla79[],2,FALSE)</f>
        <v>PIEDRA 0-6</v>
      </c>
      <c r="T683" s="37">
        <v>34300</v>
      </c>
      <c r="U683" s="92"/>
    </row>
    <row r="684" spans="8:21" x14ac:dyDescent="0.25">
      <c r="H684" s="34">
        <v>12882</v>
      </c>
      <c r="I684" s="34" t="s">
        <v>572</v>
      </c>
      <c r="J684" s="35">
        <v>45924</v>
      </c>
      <c r="K684" s="36" t="s">
        <v>43</v>
      </c>
      <c r="L684" s="39" t="str">
        <f>VLOOKUP(Tabla810[[#This Row],[CODIGO DEL PRODUCTO]],Tabla79[],2,FALSE)</f>
        <v>PIEDRA 6-20</v>
      </c>
      <c r="M684" s="37">
        <v>5000</v>
      </c>
      <c r="O684" s="76">
        <v>139563</v>
      </c>
      <c r="P684" s="76" t="s">
        <v>296</v>
      </c>
      <c r="Q684" s="77">
        <v>45845</v>
      </c>
      <c r="R684" s="78" t="s">
        <v>40</v>
      </c>
      <c r="S684" s="36" t="str">
        <f>VLOOKUP(Tabla911[[#This Row],[CODIGO DEL PRODUCTO]],Tabla79[],2,FALSE)</f>
        <v>PIEDRA 0-6</v>
      </c>
      <c r="T684" s="37">
        <v>34420</v>
      </c>
      <c r="U684" s="92"/>
    </row>
    <row r="685" spans="8:21" x14ac:dyDescent="0.25">
      <c r="H685" s="34">
        <v>12886</v>
      </c>
      <c r="I685" s="34" t="s">
        <v>510</v>
      </c>
      <c r="J685" s="35">
        <v>45924</v>
      </c>
      <c r="K685" s="36" t="s">
        <v>43</v>
      </c>
      <c r="L685" s="39" t="str">
        <f>VLOOKUP(Tabla810[[#This Row],[CODIGO DEL PRODUCTO]],Tabla79[],2,FALSE)</f>
        <v>PIEDRA 6-20</v>
      </c>
      <c r="M685" s="37">
        <v>5000</v>
      </c>
      <c r="O685" s="76">
        <v>2640038</v>
      </c>
      <c r="P685" s="76" t="s">
        <v>65</v>
      </c>
      <c r="Q685" s="77">
        <v>45845</v>
      </c>
      <c r="R685" s="78" t="s">
        <v>286</v>
      </c>
      <c r="S685" s="36" t="str">
        <f>VLOOKUP(Tabla911[[#This Row],[CODIGO DEL PRODUCTO]],Tabla79[],2,FALSE)</f>
        <v>CPF 40 AVELLANEDA</v>
      </c>
      <c r="T685" s="37">
        <v>36200</v>
      </c>
      <c r="U685" s="92"/>
    </row>
    <row r="686" spans="8:21" x14ac:dyDescent="0.25">
      <c r="H686" s="34">
        <v>12920</v>
      </c>
      <c r="I686" s="34" t="s">
        <v>572</v>
      </c>
      <c r="J686" s="35">
        <v>45925</v>
      </c>
      <c r="K686" s="36" t="s">
        <v>42</v>
      </c>
      <c r="L686" s="39" t="str">
        <f>VLOOKUP(Tabla810[[#This Row],[CODIGO DEL PRODUCTO]],Tabla79[],2,FALSE)</f>
        <v>ARENA FINA</v>
      </c>
      <c r="M686" s="37">
        <v>3000</v>
      </c>
      <c r="O686" s="76">
        <v>101035</v>
      </c>
      <c r="P686" s="76" t="s">
        <v>235</v>
      </c>
      <c r="Q686" s="77">
        <v>45845</v>
      </c>
      <c r="R686" s="78" t="s">
        <v>42</v>
      </c>
      <c r="S686" s="36" t="str">
        <f>VLOOKUP(Tabla911[[#This Row],[CODIGO DEL PRODUCTO]],Tabla79[],2,FALSE)</f>
        <v>ARENA FINA</v>
      </c>
      <c r="T686" s="37">
        <v>37380</v>
      </c>
      <c r="U686" s="92"/>
    </row>
    <row r="687" spans="8:21" x14ac:dyDescent="0.25">
      <c r="H687" s="34">
        <v>12913</v>
      </c>
      <c r="I687" s="34" t="s">
        <v>514</v>
      </c>
      <c r="J687" s="35">
        <v>45924</v>
      </c>
      <c r="K687" s="36" t="s">
        <v>42</v>
      </c>
      <c r="L687" s="39" t="str">
        <f>VLOOKUP(Tabla810[[#This Row],[CODIGO DEL PRODUCTO]],Tabla79[],2,FALSE)</f>
        <v>ARENA FINA</v>
      </c>
      <c r="M687" s="37">
        <v>37760</v>
      </c>
      <c r="O687" s="76">
        <v>101039</v>
      </c>
      <c r="P687" s="76" t="s">
        <v>235</v>
      </c>
      <c r="Q687" s="77">
        <v>45845</v>
      </c>
      <c r="R687" s="78" t="s">
        <v>42</v>
      </c>
      <c r="S687" s="36" t="str">
        <f>VLOOKUP(Tabla911[[#This Row],[CODIGO DEL PRODUCTO]],Tabla79[],2,FALSE)</f>
        <v>ARENA FINA</v>
      </c>
      <c r="T687" s="37">
        <v>37220</v>
      </c>
      <c r="U687" s="92"/>
    </row>
    <row r="688" spans="8:21" x14ac:dyDescent="0.25">
      <c r="H688" s="34">
        <v>12928</v>
      </c>
      <c r="I688" s="34" t="s">
        <v>522</v>
      </c>
      <c r="J688" s="35">
        <v>45925</v>
      </c>
      <c r="K688" s="36" t="s">
        <v>43</v>
      </c>
      <c r="L688" s="39" t="str">
        <f>VLOOKUP(Tabla810[[#This Row],[CODIGO DEL PRODUCTO]],Tabla79[],2,FALSE)</f>
        <v>PIEDRA 6-20</v>
      </c>
      <c r="M688" s="37">
        <v>4000</v>
      </c>
      <c r="O688" s="76">
        <v>101040</v>
      </c>
      <c r="P688" s="76" t="s">
        <v>370</v>
      </c>
      <c r="Q688" s="77">
        <v>45846</v>
      </c>
      <c r="R688" s="78" t="s">
        <v>42</v>
      </c>
      <c r="S688" s="36" t="str">
        <f>VLOOKUP(Tabla911[[#This Row],[CODIGO DEL PRODUCTO]],Tabla79[],2,FALSE)</f>
        <v>ARENA FINA</v>
      </c>
      <c r="T688" s="37">
        <v>35160</v>
      </c>
      <c r="U688" s="92"/>
    </row>
    <row r="689" spans="8:24" x14ac:dyDescent="0.25">
      <c r="H689" s="34">
        <v>12937</v>
      </c>
      <c r="I689" s="34" t="s">
        <v>522</v>
      </c>
      <c r="J689" s="35">
        <v>45925</v>
      </c>
      <c r="K689" s="36" t="s">
        <v>42</v>
      </c>
      <c r="L689" s="39" t="str">
        <f>VLOOKUP(Tabla810[[#This Row],[CODIGO DEL PRODUCTO]],Tabla79[],2,FALSE)</f>
        <v>ARENA FINA</v>
      </c>
      <c r="M689" s="37">
        <v>1000</v>
      </c>
      <c r="O689" s="76">
        <v>102646</v>
      </c>
      <c r="P689" s="76" t="s">
        <v>234</v>
      </c>
      <c r="Q689" s="77">
        <v>45846</v>
      </c>
      <c r="R689" s="78" t="s">
        <v>40</v>
      </c>
      <c r="S689" s="36" t="str">
        <f>VLOOKUP(Tabla911[[#This Row],[CODIGO DEL PRODUCTO]],Tabla79[],2,FALSE)</f>
        <v>PIEDRA 0-6</v>
      </c>
      <c r="T689" s="37">
        <v>35660</v>
      </c>
      <c r="U689" s="92"/>
    </row>
    <row r="690" spans="8:24" x14ac:dyDescent="0.25">
      <c r="H690" s="34">
        <v>332</v>
      </c>
      <c r="I690" s="34" t="s">
        <v>522</v>
      </c>
      <c r="J690" s="35">
        <v>45925</v>
      </c>
      <c r="K690" s="36" t="s">
        <v>42</v>
      </c>
      <c r="L690" s="39" t="str">
        <f>VLOOKUP(Tabla810[[#This Row],[CODIGO DEL PRODUCTO]],Tabla79[],2,FALSE)</f>
        <v>ARENA FINA</v>
      </c>
      <c r="M690" s="37">
        <v>2000</v>
      </c>
      <c r="O690" s="76">
        <v>102688</v>
      </c>
      <c r="P690" s="76" t="s">
        <v>254</v>
      </c>
      <c r="Q690" s="77">
        <v>45846</v>
      </c>
      <c r="R690" s="78" t="s">
        <v>40</v>
      </c>
      <c r="S690" s="36" t="str">
        <f>VLOOKUP(Tabla911[[#This Row],[CODIGO DEL PRODUCTO]],Tabla79[],2,FALSE)</f>
        <v>PIEDRA 0-6</v>
      </c>
      <c r="T690" s="37">
        <v>33720</v>
      </c>
      <c r="U690" s="92"/>
    </row>
    <row r="691" spans="8:24" x14ac:dyDescent="0.25">
      <c r="H691" s="34">
        <v>12943</v>
      </c>
      <c r="I691" s="34" t="s">
        <v>522</v>
      </c>
      <c r="J691" s="35">
        <v>45925</v>
      </c>
      <c r="K691" s="36" t="s">
        <v>42</v>
      </c>
      <c r="L691" s="39" t="str">
        <f>VLOOKUP(Tabla810[[#This Row],[CODIGO DEL PRODUCTO]],Tabla79[],2,FALSE)</f>
        <v>ARENA FINA</v>
      </c>
      <c r="M691" s="37">
        <v>2000</v>
      </c>
      <c r="O691" s="76">
        <v>2640446</v>
      </c>
      <c r="P691" s="76" t="s">
        <v>65</v>
      </c>
      <c r="Q691" s="77">
        <v>45847</v>
      </c>
      <c r="R691" s="78" t="s">
        <v>286</v>
      </c>
      <c r="S691" s="36" t="str">
        <f>VLOOKUP(Tabla911[[#This Row],[CODIGO DEL PRODUCTO]],Tabla79[],2,FALSE)</f>
        <v>CPF 40 AVELLANEDA</v>
      </c>
      <c r="T691" s="37">
        <v>36260</v>
      </c>
      <c r="U691" s="92"/>
    </row>
    <row r="692" spans="8:24" x14ac:dyDescent="0.25">
      <c r="H692" s="34">
        <v>12966</v>
      </c>
      <c r="I692" s="34" t="s">
        <v>522</v>
      </c>
      <c r="J692" s="35">
        <v>45926</v>
      </c>
      <c r="K692" s="36" t="s">
        <v>42</v>
      </c>
      <c r="L692" s="39" t="str">
        <f>VLOOKUP(Tabla810[[#This Row],[CODIGO DEL PRODUCTO]],Tabla79[],2,FALSE)</f>
        <v>ARENA FINA</v>
      </c>
      <c r="M692" s="37">
        <v>2000</v>
      </c>
      <c r="O692" s="76">
        <v>101051</v>
      </c>
      <c r="P692" s="76" t="s">
        <v>235</v>
      </c>
      <c r="Q692" s="77">
        <v>45848</v>
      </c>
      <c r="R692" s="78" t="s">
        <v>42</v>
      </c>
      <c r="S692" s="36" t="str">
        <f>VLOOKUP(Tabla911[[#This Row],[CODIGO DEL PRODUCTO]],Tabla79[],2,FALSE)</f>
        <v>ARENA FINA</v>
      </c>
      <c r="T692" s="37">
        <v>37220</v>
      </c>
      <c r="U692" s="92"/>
    </row>
    <row r="693" spans="8:24" x14ac:dyDescent="0.25">
      <c r="H693" s="34">
        <v>12969</v>
      </c>
      <c r="I693" s="34" t="s">
        <v>510</v>
      </c>
      <c r="J693" s="35">
        <v>45926</v>
      </c>
      <c r="K693" s="36" t="s">
        <v>43</v>
      </c>
      <c r="L693" s="39" t="str">
        <f>VLOOKUP(Tabla810[[#This Row],[CODIGO DEL PRODUCTO]],Tabla79[],2,FALSE)</f>
        <v>PIEDRA 6-20</v>
      </c>
      <c r="M693" s="37">
        <v>5000</v>
      </c>
      <c r="O693" s="76">
        <v>101057</v>
      </c>
      <c r="P693" s="76" t="s">
        <v>235</v>
      </c>
      <c r="Q693" s="77">
        <v>45848</v>
      </c>
      <c r="R693" s="78" t="s">
        <v>42</v>
      </c>
      <c r="S693" s="36" t="str">
        <f>VLOOKUP(Tabla911[[#This Row],[CODIGO DEL PRODUCTO]],Tabla79[],2,FALSE)</f>
        <v>ARENA FINA</v>
      </c>
      <c r="T693" s="37">
        <v>36980</v>
      </c>
      <c r="U693" s="92"/>
    </row>
    <row r="694" spans="8:24" x14ac:dyDescent="0.25">
      <c r="H694" s="34">
        <v>12976</v>
      </c>
      <c r="I694" s="34" t="s">
        <v>572</v>
      </c>
      <c r="J694" s="35">
        <v>45926</v>
      </c>
      <c r="K694" s="36" t="s">
        <v>43</v>
      </c>
      <c r="L694" s="39" t="str">
        <f>VLOOKUP(Tabla810[[#This Row],[CODIGO DEL PRODUCTO]],Tabla79[],2,FALSE)</f>
        <v>PIEDRA 6-20</v>
      </c>
      <c r="M694" s="37">
        <v>5000</v>
      </c>
      <c r="O694" s="76">
        <v>101058</v>
      </c>
      <c r="P694" s="76" t="s">
        <v>370</v>
      </c>
      <c r="Q694" s="77">
        <v>45848</v>
      </c>
      <c r="R694" s="78" t="s">
        <v>42</v>
      </c>
      <c r="S694" s="36" t="str">
        <f>VLOOKUP(Tabla911[[#This Row],[CODIGO DEL PRODUCTO]],Tabla79[],2,FALSE)</f>
        <v>ARENA FINA</v>
      </c>
      <c r="T694" s="37">
        <v>36160</v>
      </c>
      <c r="U694" s="92"/>
    </row>
    <row r="695" spans="8:24" x14ac:dyDescent="0.25">
      <c r="H695" s="34">
        <v>13010</v>
      </c>
      <c r="I695" s="34" t="s">
        <v>514</v>
      </c>
      <c r="J695" s="35">
        <v>45926</v>
      </c>
      <c r="K695" s="36" t="s">
        <v>42</v>
      </c>
      <c r="L695" s="39" t="str">
        <f>VLOOKUP(Tabla810[[#This Row],[CODIGO DEL PRODUCTO]],Tabla79[],2,FALSE)</f>
        <v>ARENA FINA</v>
      </c>
      <c r="M695" s="37">
        <v>41220</v>
      </c>
      <c r="O695" s="76">
        <v>2640567</v>
      </c>
      <c r="P695" s="76" t="s">
        <v>65</v>
      </c>
      <c r="Q695" s="77">
        <v>45848</v>
      </c>
      <c r="R695" s="78" t="s">
        <v>286</v>
      </c>
      <c r="S695" s="36" t="str">
        <f>VLOOKUP(Tabla911[[#This Row],[CODIGO DEL PRODUCTO]],Tabla79[],2,FALSE)</f>
        <v>CPF 40 AVELLANEDA</v>
      </c>
      <c r="T695" s="37">
        <v>36060</v>
      </c>
      <c r="U695" s="92"/>
    </row>
    <row r="696" spans="8:24" x14ac:dyDescent="0.25">
      <c r="H696" s="34">
        <v>13012</v>
      </c>
      <c r="I696" s="34" t="s">
        <v>514</v>
      </c>
      <c r="J696" s="35">
        <v>45927</v>
      </c>
      <c r="K696" s="36" t="s">
        <v>42</v>
      </c>
      <c r="L696" s="39" t="str">
        <f>VLOOKUP(Tabla810[[#This Row],[CODIGO DEL PRODUCTO]],Tabla79[],2,FALSE)</f>
        <v>ARENA FINA</v>
      </c>
      <c r="M696" s="37">
        <v>38600</v>
      </c>
      <c r="O696" s="76">
        <v>30484</v>
      </c>
      <c r="P696" s="76" t="s">
        <v>449</v>
      </c>
      <c r="Q696" s="77">
        <v>45845</v>
      </c>
      <c r="R696" s="78" t="s">
        <v>425</v>
      </c>
      <c r="S696" s="36" t="str">
        <f>VLOOKUP(Tabla911[[#This Row],[CODIGO DEL PRODUCTO]],Tabla79[],2,FALSE)</f>
        <v>W351R</v>
      </c>
      <c r="T696" s="37">
        <v>2000</v>
      </c>
      <c r="U696" s="92"/>
    </row>
    <row r="697" spans="8:24" x14ac:dyDescent="0.25">
      <c r="H697" s="34"/>
      <c r="I697" s="34" t="s">
        <v>53</v>
      </c>
      <c r="J697" s="35">
        <v>45922</v>
      </c>
      <c r="K697" s="36" t="s">
        <v>42</v>
      </c>
      <c r="L697" s="39" t="str">
        <f>VLOOKUP(Tabla810[[#This Row],[CODIGO DEL PRODUCTO]],Tabla79[],2,FALSE)</f>
        <v>ARENA FINA</v>
      </c>
      <c r="M697" s="37">
        <v>548169</v>
      </c>
      <c r="O697" s="76">
        <v>101067</v>
      </c>
      <c r="P697" s="76" t="s">
        <v>235</v>
      </c>
      <c r="Q697" s="77">
        <v>45849</v>
      </c>
      <c r="R697" s="78" t="s">
        <v>42</v>
      </c>
      <c r="S697" s="36" t="str">
        <f>VLOOKUP(Tabla911[[#This Row],[CODIGO DEL PRODUCTO]],Tabla79[],2,FALSE)</f>
        <v>ARENA FINA</v>
      </c>
      <c r="T697" s="37">
        <v>37140</v>
      </c>
      <c r="U697" s="92"/>
    </row>
    <row r="698" spans="8:24" x14ac:dyDescent="0.25">
      <c r="H698" s="34"/>
      <c r="I698" s="34" t="s">
        <v>53</v>
      </c>
      <c r="J698" s="35">
        <v>45923</v>
      </c>
      <c r="K698" s="36" t="s">
        <v>40</v>
      </c>
      <c r="L698" s="39" t="str">
        <f>VLOOKUP(Tabla810[[#This Row],[CODIGO DEL PRODUCTO]],Tabla79[],2,FALSE)</f>
        <v>PIEDRA 0-6</v>
      </c>
      <c r="M698" s="37">
        <v>367095</v>
      </c>
      <c r="O698" s="76">
        <v>101072</v>
      </c>
      <c r="P698" s="76" t="s">
        <v>370</v>
      </c>
      <c r="Q698" s="77">
        <v>45849</v>
      </c>
      <c r="R698" s="78" t="s">
        <v>42</v>
      </c>
      <c r="S698" s="36" t="str">
        <f>VLOOKUP(Tabla911[[#This Row],[CODIGO DEL PRODUCTO]],Tabla79[],2,FALSE)</f>
        <v>ARENA FINA</v>
      </c>
      <c r="T698" s="37">
        <v>36140</v>
      </c>
      <c r="U698" s="92"/>
    </row>
    <row r="699" spans="8:24" x14ac:dyDescent="0.25">
      <c r="H699" s="34"/>
      <c r="I699" s="34" t="s">
        <v>53</v>
      </c>
      <c r="J699" s="35">
        <v>45924</v>
      </c>
      <c r="K699" s="36" t="s">
        <v>286</v>
      </c>
      <c r="L699" s="39" t="str">
        <f>VLOOKUP(Tabla810[[#This Row],[CODIGO DEL PRODUCTO]],Tabla79[],2,FALSE)</f>
        <v>CPF 40 AVELLANEDA</v>
      </c>
      <c r="M699" s="37">
        <v>270689</v>
      </c>
      <c r="O699" s="76">
        <v>826</v>
      </c>
      <c r="P699" s="76" t="s">
        <v>235</v>
      </c>
      <c r="Q699" s="77">
        <v>45849</v>
      </c>
      <c r="R699" s="78" t="s">
        <v>42</v>
      </c>
      <c r="S699" s="36" t="str">
        <f>VLOOKUP(Tabla911[[#This Row],[CODIGO DEL PRODUCTO]],Tabla79[],2,FALSE)</f>
        <v>ARENA FINA</v>
      </c>
      <c r="T699" s="37">
        <v>36120</v>
      </c>
      <c r="U699" s="92"/>
    </row>
    <row r="700" spans="8:24" x14ac:dyDescent="0.25">
      <c r="H700" s="34"/>
      <c r="I700" s="34" t="s">
        <v>53</v>
      </c>
      <c r="J700" s="35">
        <v>45925</v>
      </c>
      <c r="K700" s="36" t="s">
        <v>48</v>
      </c>
      <c r="L700" s="39" t="str">
        <f>VLOOKUP(Tabla810[[#This Row],[CODIGO DEL PRODUCTO]],Tabla79[],2,FALSE)</f>
        <v>PIEDRA 6-12</v>
      </c>
      <c r="M700" s="37">
        <v>116389</v>
      </c>
      <c r="O700" s="76">
        <v>102742</v>
      </c>
      <c r="P700" s="76" t="s">
        <v>254</v>
      </c>
      <c r="Q700" s="77">
        <v>45849</v>
      </c>
      <c r="R700" s="78" t="s">
        <v>40</v>
      </c>
      <c r="S700" s="36" t="str">
        <f>VLOOKUP(Tabla911[[#This Row],[CODIGO DEL PRODUCTO]],Tabla79[],2,FALSE)</f>
        <v>PIEDRA 0-6</v>
      </c>
      <c r="T700" s="37">
        <v>34980</v>
      </c>
      <c r="U700" s="92"/>
    </row>
    <row r="701" spans="8:24" x14ac:dyDescent="0.25">
      <c r="H701" s="34"/>
      <c r="I701" s="34" t="s">
        <v>53</v>
      </c>
      <c r="J701" s="35">
        <v>45926</v>
      </c>
      <c r="K701" s="36" t="s">
        <v>43</v>
      </c>
      <c r="L701" s="39" t="str">
        <f>VLOOKUP(Tabla810[[#This Row],[CODIGO DEL PRODUCTO]],Tabla79[],2,FALSE)</f>
        <v>PIEDRA 6-20</v>
      </c>
      <c r="M701" s="37">
        <v>599842</v>
      </c>
      <c r="O701" s="76">
        <v>2640602</v>
      </c>
      <c r="P701" s="76" t="s">
        <v>296</v>
      </c>
      <c r="Q701" s="77">
        <v>45849</v>
      </c>
      <c r="R701" s="78" t="s">
        <v>286</v>
      </c>
      <c r="S701" s="36" t="str">
        <f>VLOOKUP(Tabla911[[#This Row],[CODIGO DEL PRODUCTO]],Tabla79[],2,FALSE)</f>
        <v>CPF 40 AVELLANEDA</v>
      </c>
      <c r="T701" s="37">
        <v>36520</v>
      </c>
      <c r="U701" s="92"/>
    </row>
    <row r="702" spans="8:24" x14ac:dyDescent="0.25">
      <c r="H702" s="34"/>
      <c r="I702" s="34" t="s">
        <v>53</v>
      </c>
      <c r="J702" s="35">
        <v>45927</v>
      </c>
      <c r="K702" s="36" t="s">
        <v>46</v>
      </c>
      <c r="L702" s="39" t="str">
        <f>VLOOKUP(Tabla810[[#This Row],[CODIGO DEL PRODUCTO]],Tabla79[],2,FALSE)</f>
        <v>PIEDRA 10-30</v>
      </c>
      <c r="M702" s="37">
        <v>16287</v>
      </c>
      <c r="O702" s="76">
        <v>2640754</v>
      </c>
      <c r="P702" s="76" t="s">
        <v>65</v>
      </c>
      <c r="Q702" s="77">
        <v>45849</v>
      </c>
      <c r="R702" s="78" t="s">
        <v>286</v>
      </c>
      <c r="S702" s="36" t="str">
        <f>VLOOKUP(Tabla911[[#This Row],[CODIGO DEL PRODUCTO]],Tabla79[],2,FALSE)</f>
        <v>CPF 40 AVELLANEDA</v>
      </c>
      <c r="T702" s="37">
        <v>35880</v>
      </c>
      <c r="U702" s="92"/>
    </row>
    <row r="703" spans="8:24" x14ac:dyDescent="0.25">
      <c r="H703" s="34"/>
      <c r="I703" s="34" t="s">
        <v>53</v>
      </c>
      <c r="J703" s="35">
        <v>45927</v>
      </c>
      <c r="K703" s="36" t="s">
        <v>425</v>
      </c>
      <c r="L703" s="39" t="str">
        <f>VLOOKUP(Tabla810[[#This Row],[CODIGO DEL PRODUCTO]],Tabla79[],2,FALSE)</f>
        <v>W351R</v>
      </c>
      <c r="M703" s="37">
        <v>1502.21</v>
      </c>
      <c r="O703" s="76">
        <v>101079</v>
      </c>
      <c r="P703" s="76" t="s">
        <v>235</v>
      </c>
      <c r="Q703" s="77">
        <v>45850</v>
      </c>
      <c r="R703" s="78" t="s">
        <v>42</v>
      </c>
      <c r="S703" s="36" t="str">
        <f>VLOOKUP(Tabla911[[#This Row],[CODIGO DEL PRODUCTO]],Tabla79[],2,FALSE)</f>
        <v>ARENA FINA</v>
      </c>
      <c r="T703" s="37">
        <v>37120</v>
      </c>
      <c r="U703" s="92"/>
      <c r="V703" s="7">
        <v>45850</v>
      </c>
      <c r="W703" t="s">
        <v>460</v>
      </c>
      <c r="X703" t="s">
        <v>461</v>
      </c>
    </row>
    <row r="704" spans="8:24" x14ac:dyDescent="0.25">
      <c r="H704" s="34">
        <v>13014</v>
      </c>
      <c r="I704" s="34" t="s">
        <v>471</v>
      </c>
      <c r="J704" s="35">
        <v>45929</v>
      </c>
      <c r="K704" s="36" t="s">
        <v>42</v>
      </c>
      <c r="L704" s="39" t="str">
        <f>VLOOKUP(Tabla810[[#This Row],[CODIGO DEL PRODUCTO]],Tabla79[],2,FALSE)</f>
        <v>ARENA FINA</v>
      </c>
      <c r="M704" s="37">
        <v>5000</v>
      </c>
      <c r="O704" s="76">
        <v>102790</v>
      </c>
      <c r="P704" s="78" t="s">
        <v>150</v>
      </c>
      <c r="Q704" s="77">
        <v>45850</v>
      </c>
      <c r="R704" s="78" t="s">
        <v>40</v>
      </c>
      <c r="S704" s="36" t="str">
        <f>VLOOKUP(Tabla911[[#This Row],[CODIGO DEL PRODUCTO]],Tabla79[],2,FALSE)</f>
        <v>PIEDRA 0-6</v>
      </c>
      <c r="T704" s="37">
        <v>35000</v>
      </c>
      <c r="U704" s="78"/>
    </row>
    <row r="705" spans="8:24" x14ac:dyDescent="0.25">
      <c r="H705" s="34">
        <v>13028</v>
      </c>
      <c r="I705" s="34" t="s">
        <v>474</v>
      </c>
      <c r="J705" s="35">
        <v>45929</v>
      </c>
      <c r="K705" s="36" t="s">
        <v>42</v>
      </c>
      <c r="L705" s="39" t="str">
        <f>VLOOKUP(Tabla810[[#This Row],[CODIGO DEL PRODUCTO]],Tabla79[],2,FALSE)</f>
        <v>ARENA FINA</v>
      </c>
      <c r="M705" s="37">
        <v>5000</v>
      </c>
      <c r="O705" s="76">
        <v>139841</v>
      </c>
      <c r="P705" s="78" t="s">
        <v>119</v>
      </c>
      <c r="Q705" s="77">
        <v>45850</v>
      </c>
      <c r="R705" s="78" t="s">
        <v>40</v>
      </c>
      <c r="S705" s="36" t="str">
        <f>VLOOKUP(Tabla911[[#This Row],[CODIGO DEL PRODUCTO]],Tabla79[],2,FALSE)</f>
        <v>PIEDRA 0-6</v>
      </c>
      <c r="T705" s="37">
        <v>34420</v>
      </c>
      <c r="U705" s="78"/>
    </row>
    <row r="706" spans="8:24" x14ac:dyDescent="0.25">
      <c r="H706" s="34">
        <v>13031</v>
      </c>
      <c r="I706" s="34" t="s">
        <v>522</v>
      </c>
      <c r="J706" s="35">
        <v>45929</v>
      </c>
      <c r="K706" s="36" t="s">
        <v>42</v>
      </c>
      <c r="L706" s="39" t="str">
        <f>VLOOKUP(Tabla810[[#This Row],[CODIGO DEL PRODUCTO]],Tabla79[],2,FALSE)</f>
        <v>ARENA FINA</v>
      </c>
      <c r="M706" s="37">
        <v>7000</v>
      </c>
      <c r="O706" s="76">
        <v>2640942</v>
      </c>
      <c r="P706" s="78" t="s">
        <v>65</v>
      </c>
      <c r="Q706" s="77">
        <v>45850</v>
      </c>
      <c r="R706" s="78" t="s">
        <v>286</v>
      </c>
      <c r="S706" s="36" t="str">
        <f>VLOOKUP(Tabla911[[#This Row],[CODIGO DEL PRODUCTO]],Tabla79[],2,FALSE)</f>
        <v>CPF 40 AVELLANEDA</v>
      </c>
      <c r="T706" s="37">
        <v>35820</v>
      </c>
      <c r="U706" s="78"/>
    </row>
    <row r="707" spans="8:24" x14ac:dyDescent="0.25">
      <c r="H707" s="34">
        <v>13033</v>
      </c>
      <c r="I707" s="34" t="s">
        <v>514</v>
      </c>
      <c r="J707" s="35">
        <v>45929</v>
      </c>
      <c r="K707" s="36" t="s">
        <v>42</v>
      </c>
      <c r="L707" s="39" t="str">
        <f>VLOOKUP(Tabla810[[#This Row],[CODIGO DEL PRODUCTO]],Tabla79[],2,FALSE)</f>
        <v>ARENA FINA</v>
      </c>
      <c r="M707" s="37">
        <v>41200</v>
      </c>
      <c r="O707" s="76">
        <v>101084</v>
      </c>
      <c r="P707" s="78" t="s">
        <v>235</v>
      </c>
      <c r="Q707" s="77">
        <v>45852</v>
      </c>
      <c r="R707" s="78" t="s">
        <v>42</v>
      </c>
      <c r="S707" s="36" t="str">
        <f>VLOOKUP(Tabla911[[#This Row],[CODIGO DEL PRODUCTO]],Tabla79[],2,FALSE)</f>
        <v>ARENA FINA</v>
      </c>
      <c r="T707" s="37">
        <v>37260</v>
      </c>
      <c r="U707" s="78"/>
      <c r="V707" s="7">
        <v>45852</v>
      </c>
      <c r="W707" t="s">
        <v>463</v>
      </c>
      <c r="X707" t="s">
        <v>464</v>
      </c>
    </row>
    <row r="708" spans="8:24" x14ac:dyDescent="0.25">
      <c r="H708" s="34">
        <v>13036</v>
      </c>
      <c r="I708" s="34" t="s">
        <v>522</v>
      </c>
      <c r="J708" s="35">
        <v>45930</v>
      </c>
      <c r="K708" s="36" t="s">
        <v>42</v>
      </c>
      <c r="L708" s="39" t="str">
        <f>VLOOKUP(Tabla810[[#This Row],[CODIGO DEL PRODUCTO]],Tabla79[],2,FALSE)</f>
        <v>ARENA FINA</v>
      </c>
      <c r="M708" s="37">
        <v>7000</v>
      </c>
      <c r="O708" s="76">
        <v>101091</v>
      </c>
      <c r="P708" s="78" t="s">
        <v>370</v>
      </c>
      <c r="Q708" s="77">
        <v>45852</v>
      </c>
      <c r="R708" s="78" t="s">
        <v>42</v>
      </c>
      <c r="S708" s="36" t="str">
        <f>VLOOKUP(Tabla911[[#This Row],[CODIGO DEL PRODUCTO]],Tabla79[],2,FALSE)</f>
        <v>ARENA FINA</v>
      </c>
      <c r="T708" s="37">
        <v>34840</v>
      </c>
      <c r="U708" s="78"/>
    </row>
    <row r="709" spans="8:24" x14ac:dyDescent="0.25">
      <c r="H709" s="34">
        <v>13045</v>
      </c>
      <c r="I709" s="34" t="s">
        <v>572</v>
      </c>
      <c r="J709" s="35">
        <v>45930</v>
      </c>
      <c r="K709" s="36" t="s">
        <v>43</v>
      </c>
      <c r="L709" s="39" t="str">
        <f>VLOOKUP(Tabla810[[#This Row],[CODIGO DEL PRODUCTO]],Tabla79[],2,FALSE)</f>
        <v>PIEDRA 6-20</v>
      </c>
      <c r="M709" s="37">
        <v>5000</v>
      </c>
      <c r="O709" s="76">
        <v>101092</v>
      </c>
      <c r="P709" s="78" t="s">
        <v>235</v>
      </c>
      <c r="Q709" s="77">
        <v>45852</v>
      </c>
      <c r="R709" s="78" t="s">
        <v>42</v>
      </c>
      <c r="S709" s="36" t="str">
        <f>VLOOKUP(Tabla911[[#This Row],[CODIGO DEL PRODUCTO]],Tabla79[],2,FALSE)</f>
        <v>ARENA FINA</v>
      </c>
      <c r="T709" s="37">
        <v>36220</v>
      </c>
      <c r="U709" s="78"/>
    </row>
    <row r="710" spans="8:24" x14ac:dyDescent="0.25">
      <c r="H710" s="34">
        <v>13052</v>
      </c>
      <c r="I710" s="34" t="s">
        <v>574</v>
      </c>
      <c r="J710" s="35">
        <v>45930</v>
      </c>
      <c r="K710" s="36" t="s">
        <v>372</v>
      </c>
      <c r="L710" s="39" t="str">
        <f>VLOOKUP(Tabla810[[#This Row],[CODIGO DEL PRODUCTO]],Tabla79[],2,FALSE)</f>
        <v xml:space="preserve">ESTABILIZADO GRANULOMETRICO 0/20 </v>
      </c>
      <c r="M710" s="37">
        <v>7000</v>
      </c>
      <c r="O710" s="76">
        <v>139865</v>
      </c>
      <c r="P710" s="78" t="s">
        <v>296</v>
      </c>
      <c r="Q710" s="77">
        <v>45852</v>
      </c>
      <c r="R710" s="78" t="s">
        <v>40</v>
      </c>
      <c r="S710" s="36" t="str">
        <f>VLOOKUP(Tabla911[[#This Row],[CODIGO DEL PRODUCTO]],Tabla79[],2,FALSE)</f>
        <v>PIEDRA 0-6</v>
      </c>
      <c r="T710" s="37">
        <v>35760</v>
      </c>
      <c r="U710" s="78"/>
    </row>
    <row r="711" spans="8:24" x14ac:dyDescent="0.25">
      <c r="H711" s="34">
        <v>13060</v>
      </c>
      <c r="I711" s="34" t="s">
        <v>522</v>
      </c>
      <c r="J711" s="35">
        <v>45930</v>
      </c>
      <c r="K711" s="36" t="s">
        <v>43</v>
      </c>
      <c r="L711" s="39" t="str">
        <f>VLOOKUP(Tabla810[[#This Row],[CODIGO DEL PRODUCTO]],Tabla79[],2,FALSE)</f>
        <v>PIEDRA 6-20</v>
      </c>
      <c r="M711" s="37">
        <v>5000</v>
      </c>
      <c r="O711" s="76">
        <v>2641431</v>
      </c>
      <c r="P711" s="78" t="s">
        <v>65</v>
      </c>
      <c r="Q711" s="77">
        <v>45852</v>
      </c>
      <c r="R711" s="78" t="s">
        <v>286</v>
      </c>
      <c r="S711" s="36" t="str">
        <f>VLOOKUP(Tabla911[[#This Row],[CODIGO DEL PRODUCTO]],Tabla79[],2,FALSE)</f>
        <v>CPF 40 AVELLANEDA</v>
      </c>
      <c r="T711" s="37">
        <v>36080</v>
      </c>
      <c r="U711" s="78"/>
    </row>
    <row r="712" spans="8:24" x14ac:dyDescent="0.25">
      <c r="H712" s="34">
        <v>13062</v>
      </c>
      <c r="I712" s="34" t="s">
        <v>574</v>
      </c>
      <c r="J712" s="35">
        <v>45930</v>
      </c>
      <c r="K712" s="36" t="s">
        <v>372</v>
      </c>
      <c r="L712" s="39" t="str">
        <f>VLOOKUP(Tabla810[[#This Row],[CODIGO DEL PRODUCTO]],Tabla79[],2,FALSE)</f>
        <v xml:space="preserve">ESTABILIZADO GRANULOMETRICO 0/20 </v>
      </c>
      <c r="M712" s="37">
        <v>7000</v>
      </c>
      <c r="O712" s="76">
        <v>101101</v>
      </c>
      <c r="P712" s="78" t="s">
        <v>235</v>
      </c>
      <c r="Q712" s="77">
        <v>45853</v>
      </c>
      <c r="R712" s="78" t="s">
        <v>42</v>
      </c>
      <c r="S712" s="36" t="str">
        <f>VLOOKUP(Tabla911[[#This Row],[CODIGO DEL PRODUCTO]],Tabla79[],2,FALSE)</f>
        <v>ARENA FINA</v>
      </c>
      <c r="T712" s="37">
        <v>37980</v>
      </c>
      <c r="U712" s="78"/>
    </row>
    <row r="713" spans="8:24" x14ac:dyDescent="0.25">
      <c r="H713" s="34">
        <v>13065</v>
      </c>
      <c r="I713" s="34" t="s">
        <v>574</v>
      </c>
      <c r="J713" s="35">
        <v>45930</v>
      </c>
      <c r="K713" s="36" t="s">
        <v>372</v>
      </c>
      <c r="L713" s="39" t="str">
        <f>VLOOKUP(Tabla810[[#This Row],[CODIGO DEL PRODUCTO]],Tabla79[],2,FALSE)</f>
        <v xml:space="preserve">ESTABILIZADO GRANULOMETRICO 0/20 </v>
      </c>
      <c r="M713" s="37">
        <v>7000</v>
      </c>
      <c r="O713" s="76">
        <v>101107</v>
      </c>
      <c r="P713" s="78" t="s">
        <v>235</v>
      </c>
      <c r="Q713" s="77">
        <v>45853</v>
      </c>
      <c r="R713" s="78" t="s">
        <v>42</v>
      </c>
      <c r="S713" s="36" t="str">
        <f>VLOOKUP(Tabla911[[#This Row],[CODIGO DEL PRODUCTO]],Tabla79[],2,FALSE)</f>
        <v>ARENA FINA</v>
      </c>
      <c r="T713" s="37">
        <v>38740</v>
      </c>
      <c r="U713" s="78"/>
    </row>
    <row r="714" spans="8:24" x14ac:dyDescent="0.25">
      <c r="H714" s="34">
        <v>13066</v>
      </c>
      <c r="I714" s="34" t="s">
        <v>574</v>
      </c>
      <c r="J714" s="35">
        <v>45930</v>
      </c>
      <c r="K714" s="36" t="s">
        <v>372</v>
      </c>
      <c r="L714" s="39" t="str">
        <f>VLOOKUP(Tabla810[[#This Row],[CODIGO DEL PRODUCTO]],Tabla79[],2,FALSE)</f>
        <v xml:space="preserve">ESTABILIZADO GRANULOMETRICO 0/20 </v>
      </c>
      <c r="M714" s="37">
        <v>7000</v>
      </c>
      <c r="O714" s="76">
        <v>101108</v>
      </c>
      <c r="P714" s="78" t="s">
        <v>370</v>
      </c>
      <c r="Q714" s="77">
        <v>45853</v>
      </c>
      <c r="R714" s="78" t="s">
        <v>42</v>
      </c>
      <c r="S714" s="36" t="str">
        <f>VLOOKUP(Tabla911[[#This Row],[CODIGO DEL PRODUCTO]],Tabla79[],2,FALSE)</f>
        <v>ARENA FINA</v>
      </c>
      <c r="T714" s="37">
        <v>36040</v>
      </c>
      <c r="U714" s="78"/>
    </row>
    <row r="715" spans="8:24" x14ac:dyDescent="0.25">
      <c r="H715" s="34">
        <v>13072</v>
      </c>
      <c r="I715" s="34" t="s">
        <v>514</v>
      </c>
      <c r="J715" s="35">
        <v>45930</v>
      </c>
      <c r="K715" s="36" t="s">
        <v>42</v>
      </c>
      <c r="L715" s="39" t="str">
        <f>VLOOKUP(Tabla810[[#This Row],[CODIGO DEL PRODUCTO]],Tabla79[],2,FALSE)</f>
        <v>ARENA FINA</v>
      </c>
      <c r="M715" s="37">
        <v>35780</v>
      </c>
      <c r="O715" s="76">
        <v>102841</v>
      </c>
      <c r="P715" s="78" t="s">
        <v>234</v>
      </c>
      <c r="Q715" s="77">
        <v>45853</v>
      </c>
      <c r="R715" s="78" t="s">
        <v>40</v>
      </c>
      <c r="S715" s="36" t="str">
        <f>VLOOKUP(Tabla911[[#This Row],[CODIGO DEL PRODUCTO]],Tabla79[],2,FALSE)</f>
        <v>PIEDRA 0-6</v>
      </c>
      <c r="T715" s="37">
        <v>35000</v>
      </c>
      <c r="U715" s="78"/>
    </row>
    <row r="716" spans="8:24" x14ac:dyDescent="0.25">
      <c r="H716" s="34">
        <v>13073</v>
      </c>
      <c r="I716" s="34" t="s">
        <v>573</v>
      </c>
      <c r="J716" s="35">
        <v>45930</v>
      </c>
      <c r="K716" s="36" t="s">
        <v>42</v>
      </c>
      <c r="L716" s="39" t="str">
        <f>VLOOKUP(Tabla810[[#This Row],[CODIGO DEL PRODUCTO]],Tabla79[],2,FALSE)</f>
        <v>ARENA FINA</v>
      </c>
      <c r="M716" s="37">
        <v>5000</v>
      </c>
      <c r="O716" s="76">
        <v>102842</v>
      </c>
      <c r="P716" s="78" t="s">
        <v>150</v>
      </c>
      <c r="Q716" s="77">
        <v>45853</v>
      </c>
      <c r="R716" s="78" t="s">
        <v>40</v>
      </c>
      <c r="S716" s="36" t="str">
        <f>VLOOKUP(Tabla911[[#This Row],[CODIGO DEL PRODUCTO]],Tabla79[],2,FALSE)</f>
        <v>PIEDRA 0-6</v>
      </c>
      <c r="T716" s="37">
        <v>34500</v>
      </c>
      <c r="U716" s="78"/>
    </row>
    <row r="717" spans="8:24" x14ac:dyDescent="0.25">
      <c r="H717" s="34">
        <v>13074</v>
      </c>
      <c r="I717" s="34" t="s">
        <v>573</v>
      </c>
      <c r="J717" s="35">
        <v>45930</v>
      </c>
      <c r="K717" s="36" t="s">
        <v>43</v>
      </c>
      <c r="L717" s="39" t="str">
        <f>VLOOKUP(Tabla810[[#This Row],[CODIGO DEL PRODUCTO]],Tabla79[],2,FALSE)</f>
        <v>PIEDRA 6-20</v>
      </c>
      <c r="M717" s="37">
        <v>5000</v>
      </c>
      <c r="O717" s="76">
        <v>2641732</v>
      </c>
      <c r="P717" s="78" t="s">
        <v>65</v>
      </c>
      <c r="Q717" s="77">
        <v>45853</v>
      </c>
      <c r="R717" s="78" t="s">
        <v>286</v>
      </c>
      <c r="S717" s="36" t="str">
        <f>VLOOKUP(Tabla911[[#This Row],[CODIGO DEL PRODUCTO]],Tabla79[],2,FALSE)</f>
        <v>CPF 40 AVELLANEDA</v>
      </c>
      <c r="T717" s="37">
        <v>36320</v>
      </c>
      <c r="U717" s="78"/>
    </row>
    <row r="718" spans="8:24" x14ac:dyDescent="0.25">
      <c r="H718" s="34"/>
      <c r="I718" s="34" t="s">
        <v>53</v>
      </c>
      <c r="J718" s="35">
        <v>45929</v>
      </c>
      <c r="K718" s="36" t="s">
        <v>42</v>
      </c>
      <c r="L718" s="39" t="str">
        <f>VLOOKUP(Tabla810[[#This Row],[CODIGO DEL PRODUCTO]],Tabla79[],2,FALSE)</f>
        <v>ARENA FINA</v>
      </c>
      <c r="M718" s="37">
        <v>165027</v>
      </c>
      <c r="O718" s="76">
        <v>101116</v>
      </c>
      <c r="P718" s="78" t="s">
        <v>235</v>
      </c>
      <c r="Q718" s="77">
        <v>45854</v>
      </c>
      <c r="R718" s="78" t="s">
        <v>42</v>
      </c>
      <c r="S718" s="36" t="str">
        <f>VLOOKUP(Tabla911[[#This Row],[CODIGO DEL PRODUCTO]],Tabla79[],2,FALSE)</f>
        <v>ARENA FINA</v>
      </c>
      <c r="T718" s="37">
        <v>36960</v>
      </c>
      <c r="U718" s="78"/>
    </row>
    <row r="719" spans="8:24" x14ac:dyDescent="0.25">
      <c r="H719" s="34"/>
      <c r="I719" s="34" t="s">
        <v>53</v>
      </c>
      <c r="J719" s="35">
        <v>45929</v>
      </c>
      <c r="K719" s="36" t="s">
        <v>40</v>
      </c>
      <c r="L719" s="39" t="str">
        <f>VLOOKUP(Tabla810[[#This Row],[CODIGO DEL PRODUCTO]],Tabla79[],2,FALSE)</f>
        <v>PIEDRA 0-6</v>
      </c>
      <c r="M719" s="37">
        <v>108641</v>
      </c>
      <c r="O719" s="76">
        <v>101123</v>
      </c>
      <c r="P719" s="78" t="s">
        <v>235</v>
      </c>
      <c r="Q719" s="77">
        <v>45854</v>
      </c>
      <c r="R719" s="78" t="s">
        <v>42</v>
      </c>
      <c r="S719" s="36" t="str">
        <f>VLOOKUP(Tabla911[[#This Row],[CODIGO DEL PRODUCTO]],Tabla79[],2,FALSE)</f>
        <v>ARENA FINA</v>
      </c>
      <c r="T719" s="37">
        <v>36260</v>
      </c>
      <c r="U719" s="78"/>
    </row>
    <row r="720" spans="8:24" x14ac:dyDescent="0.25">
      <c r="H720" s="34"/>
      <c r="I720" s="34" t="s">
        <v>53</v>
      </c>
      <c r="J720" s="35">
        <v>45929</v>
      </c>
      <c r="K720" s="36" t="s">
        <v>286</v>
      </c>
      <c r="L720" s="39" t="str">
        <f>VLOOKUP(Tabla810[[#This Row],[CODIGO DEL PRODUCTO]],Tabla79[],2,FALSE)</f>
        <v>CPF 40 AVELLANEDA</v>
      </c>
      <c r="M720" s="37">
        <v>75897</v>
      </c>
      <c r="O720" s="76">
        <v>101124</v>
      </c>
      <c r="P720" s="78" t="s">
        <v>370</v>
      </c>
      <c r="Q720" s="77">
        <v>45854</v>
      </c>
      <c r="R720" s="78" t="s">
        <v>42</v>
      </c>
      <c r="S720" s="36" t="str">
        <f>VLOOKUP(Tabla911[[#This Row],[CODIGO DEL PRODUCTO]],Tabla79[],2,FALSE)</f>
        <v>ARENA FINA</v>
      </c>
      <c r="T720" s="37">
        <v>35720</v>
      </c>
      <c r="U720" s="78"/>
    </row>
    <row r="721" spans="8:21" x14ac:dyDescent="0.25">
      <c r="H721" s="34"/>
      <c r="I721" s="34" t="s">
        <v>53</v>
      </c>
      <c r="J721" s="35">
        <v>45930</v>
      </c>
      <c r="K721" s="36" t="s">
        <v>48</v>
      </c>
      <c r="L721" s="39" t="str">
        <f>VLOOKUP(Tabla810[[#This Row],[CODIGO DEL PRODUCTO]],Tabla79[],2,FALSE)</f>
        <v>PIEDRA 6-12</v>
      </c>
      <c r="M721" s="37">
        <v>40824</v>
      </c>
      <c r="O721" s="76">
        <v>102879</v>
      </c>
      <c r="P721" s="78" t="s">
        <v>150</v>
      </c>
      <c r="Q721" s="77">
        <v>45854</v>
      </c>
      <c r="R721" s="78" t="s">
        <v>40</v>
      </c>
      <c r="S721" s="36" t="str">
        <f>VLOOKUP(Tabla911[[#This Row],[CODIGO DEL PRODUCTO]],Tabla79[],2,FALSE)</f>
        <v>PIEDRA 0-6</v>
      </c>
      <c r="T721" s="37">
        <v>35420</v>
      </c>
      <c r="U721" s="78"/>
    </row>
    <row r="722" spans="8:21" x14ac:dyDescent="0.25">
      <c r="H722" s="34"/>
      <c r="I722" s="34" t="s">
        <v>53</v>
      </c>
      <c r="J722" s="35">
        <v>45930</v>
      </c>
      <c r="K722" s="36" t="s">
        <v>43</v>
      </c>
      <c r="L722" s="39" t="str">
        <f>VLOOKUP(Tabla810[[#This Row],[CODIGO DEL PRODUCTO]],Tabla79[],2,FALSE)</f>
        <v>PIEDRA 6-20</v>
      </c>
      <c r="M722" s="37">
        <v>190110</v>
      </c>
      <c r="O722" s="76">
        <v>102883</v>
      </c>
      <c r="P722" s="78" t="s">
        <v>234</v>
      </c>
      <c r="Q722" s="77">
        <v>45854</v>
      </c>
      <c r="R722" s="78" t="s">
        <v>40</v>
      </c>
      <c r="S722" s="36" t="str">
        <f>VLOOKUP(Tabla911[[#This Row],[CODIGO DEL PRODUCTO]],Tabla79[],2,FALSE)</f>
        <v>PIEDRA 0-6</v>
      </c>
      <c r="T722" s="37">
        <v>35740</v>
      </c>
      <c r="U722" s="78"/>
    </row>
    <row r="723" spans="8:21" x14ac:dyDescent="0.25">
      <c r="H723" s="34"/>
      <c r="I723" s="34" t="s">
        <v>53</v>
      </c>
      <c r="J723" s="35">
        <v>45930</v>
      </c>
      <c r="K723" s="36" t="s">
        <v>425</v>
      </c>
      <c r="L723" s="39" t="str">
        <f>VLOOKUP(Tabla810[[#This Row],[CODIGO DEL PRODUCTO]],Tabla79[],2,FALSE)</f>
        <v>W351R</v>
      </c>
      <c r="M723" s="37">
        <v>428.36</v>
      </c>
      <c r="O723" s="76">
        <v>2642043</v>
      </c>
      <c r="P723" s="78" t="s">
        <v>65</v>
      </c>
      <c r="Q723" s="77">
        <v>45854</v>
      </c>
      <c r="R723" s="78" t="s">
        <v>286</v>
      </c>
      <c r="S723" s="36" t="str">
        <f>VLOOKUP(Tabla911[[#This Row],[CODIGO DEL PRODUCTO]],Tabla79[],2,FALSE)</f>
        <v>CPF 40 AVELLANEDA</v>
      </c>
      <c r="T723" s="37">
        <v>35860</v>
      </c>
      <c r="U723" s="78"/>
    </row>
    <row r="724" spans="8:21" x14ac:dyDescent="0.25">
      <c r="H724" s="34">
        <v>13077</v>
      </c>
      <c r="I724" s="34" t="s">
        <v>471</v>
      </c>
      <c r="J724" s="35">
        <v>45931</v>
      </c>
      <c r="K724" s="36" t="s">
        <v>42</v>
      </c>
      <c r="L724" s="39" t="str">
        <f>VLOOKUP(Tabla810[[#This Row],[CODIGO DEL PRODUCTO]],Tabla79[],2,FALSE)</f>
        <v>ARENA FINA</v>
      </c>
      <c r="M724" s="37">
        <v>5000</v>
      </c>
      <c r="O724" s="76">
        <v>101134</v>
      </c>
      <c r="P724" s="78" t="s">
        <v>235</v>
      </c>
      <c r="Q724" s="77">
        <v>45855</v>
      </c>
      <c r="R724" s="78" t="s">
        <v>42</v>
      </c>
      <c r="S724" s="36" t="str">
        <f>VLOOKUP(Tabla911[[#This Row],[CODIGO DEL PRODUCTO]],Tabla79[],2,FALSE)</f>
        <v>ARENA FINA</v>
      </c>
      <c r="T724" s="37">
        <v>37420</v>
      </c>
      <c r="U724" s="78"/>
    </row>
    <row r="725" spans="8:21" x14ac:dyDescent="0.25">
      <c r="H725" s="34">
        <v>13086</v>
      </c>
      <c r="I725" s="34" t="s">
        <v>574</v>
      </c>
      <c r="J725" s="35">
        <v>45931</v>
      </c>
      <c r="K725" s="36" t="s">
        <v>372</v>
      </c>
      <c r="L725" s="39" t="str">
        <f>VLOOKUP(Tabla810[[#This Row],[CODIGO DEL PRODUCTO]],Tabla79[],2,FALSE)</f>
        <v xml:space="preserve">ESTABILIZADO GRANULOMETRICO 0/20 </v>
      </c>
      <c r="M725" s="37">
        <v>20500</v>
      </c>
      <c r="O725" s="76">
        <v>101139</v>
      </c>
      <c r="P725" s="78" t="s">
        <v>370</v>
      </c>
      <c r="Q725" s="77">
        <v>45855</v>
      </c>
      <c r="R725" s="78" t="s">
        <v>42</v>
      </c>
      <c r="S725" s="36" t="str">
        <f>VLOOKUP(Tabla911[[#This Row],[CODIGO DEL PRODUCTO]],Tabla79[],2,FALSE)</f>
        <v>ARENA FINA</v>
      </c>
      <c r="T725" s="37">
        <v>36860</v>
      </c>
      <c r="U725" s="78"/>
    </row>
    <row r="726" spans="8:21" x14ac:dyDescent="0.25">
      <c r="H726" s="34">
        <v>13110</v>
      </c>
      <c r="I726" s="34" t="s">
        <v>564</v>
      </c>
      <c r="J726" s="35">
        <v>45931</v>
      </c>
      <c r="K726" s="36" t="s">
        <v>42</v>
      </c>
      <c r="L726" s="39" t="str">
        <f>VLOOKUP(Tabla810[[#This Row],[CODIGO DEL PRODUCTO]],Tabla79[],2,FALSE)</f>
        <v>ARENA FINA</v>
      </c>
      <c r="M726" s="37">
        <v>4000</v>
      </c>
      <c r="O726" s="76">
        <v>101140</v>
      </c>
      <c r="P726" s="78" t="s">
        <v>235</v>
      </c>
      <c r="Q726" s="77">
        <v>45855</v>
      </c>
      <c r="R726" s="78" t="s">
        <v>42</v>
      </c>
      <c r="S726" s="36" t="str">
        <f>VLOOKUP(Tabla911[[#This Row],[CODIGO DEL PRODUCTO]],Tabla79[],2,FALSE)</f>
        <v>ARENA FINA</v>
      </c>
      <c r="T726" s="37">
        <v>37820</v>
      </c>
      <c r="U726" s="78"/>
    </row>
    <row r="727" spans="8:21" x14ac:dyDescent="0.25">
      <c r="H727" s="34">
        <v>13115</v>
      </c>
      <c r="I727" s="34" t="s">
        <v>584</v>
      </c>
      <c r="J727" s="35">
        <v>45931</v>
      </c>
      <c r="K727" s="36" t="s">
        <v>42</v>
      </c>
      <c r="L727" s="39" t="str">
        <f>VLOOKUP(Tabla810[[#This Row],[CODIGO DEL PRODUCTO]],Tabla79[],2,FALSE)</f>
        <v>ARENA FINA</v>
      </c>
      <c r="M727" s="37">
        <v>3000</v>
      </c>
      <c r="O727" s="76">
        <v>102926</v>
      </c>
      <c r="P727" s="78" t="s">
        <v>150</v>
      </c>
      <c r="Q727" s="77">
        <v>45855</v>
      </c>
      <c r="R727" s="78" t="s">
        <v>40</v>
      </c>
      <c r="S727" s="36" t="str">
        <f>VLOOKUP(Tabla911[[#This Row],[CODIGO DEL PRODUCTO]],Tabla79[],2,FALSE)</f>
        <v>PIEDRA 0-6</v>
      </c>
      <c r="T727" s="37">
        <v>35240</v>
      </c>
      <c r="U727" s="78"/>
    </row>
    <row r="728" spans="8:21" x14ac:dyDescent="0.25">
      <c r="H728" s="34"/>
      <c r="I728" s="34" t="s">
        <v>584</v>
      </c>
      <c r="J728" s="35">
        <v>45931</v>
      </c>
      <c r="K728" s="36" t="s">
        <v>43</v>
      </c>
      <c r="L728" s="39" t="str">
        <f>VLOOKUP(Tabla810[[#This Row],[CODIGO DEL PRODUCTO]],Tabla79[],2,FALSE)</f>
        <v>PIEDRA 6-20</v>
      </c>
      <c r="M728" s="37">
        <v>2000</v>
      </c>
      <c r="O728" s="76">
        <v>102929</v>
      </c>
      <c r="P728" s="78" t="s">
        <v>234</v>
      </c>
      <c r="Q728" s="77">
        <v>45855</v>
      </c>
      <c r="R728" s="78" t="s">
        <v>40</v>
      </c>
      <c r="S728" s="36" t="str">
        <f>VLOOKUP(Tabla911[[#This Row],[CODIGO DEL PRODUCTO]],Tabla79[],2,FALSE)</f>
        <v>PIEDRA 0-6</v>
      </c>
      <c r="T728" s="37">
        <v>35160</v>
      </c>
      <c r="U728" s="78"/>
    </row>
    <row r="729" spans="8:21" x14ac:dyDescent="0.25">
      <c r="H729" s="34">
        <v>13085</v>
      </c>
      <c r="I729" s="34" t="s">
        <v>574</v>
      </c>
      <c r="J729" s="35">
        <v>45931</v>
      </c>
      <c r="K729" s="36" t="s">
        <v>372</v>
      </c>
      <c r="L729" s="39" t="str">
        <f>VLOOKUP(Tabla810[[#This Row],[CODIGO DEL PRODUCTO]],Tabla79[],2,FALSE)</f>
        <v xml:space="preserve">ESTABILIZADO GRANULOMETRICO 0/20 </v>
      </c>
      <c r="M729" s="37">
        <v>7000</v>
      </c>
      <c r="O729" s="76">
        <v>2642318</v>
      </c>
      <c r="P729" s="78" t="s">
        <v>65</v>
      </c>
      <c r="Q729" s="77">
        <v>45855</v>
      </c>
      <c r="R729" s="78" t="s">
        <v>286</v>
      </c>
      <c r="S729" s="36" t="str">
        <f>VLOOKUP(Tabla911[[#This Row],[CODIGO DEL PRODUCTO]],Tabla79[],2,FALSE)</f>
        <v>CPF 40 AVELLANEDA</v>
      </c>
      <c r="T729" s="37">
        <v>36160</v>
      </c>
      <c r="U729" s="78"/>
    </row>
    <row r="730" spans="8:21" x14ac:dyDescent="0.25">
      <c r="H730" s="34">
        <v>13116</v>
      </c>
      <c r="I730" s="34" t="s">
        <v>514</v>
      </c>
      <c r="J730" s="35">
        <v>45931</v>
      </c>
      <c r="K730" s="36" t="s">
        <v>42</v>
      </c>
      <c r="L730" s="39" t="str">
        <f>VLOOKUP(Tabla810[[#This Row],[CODIGO DEL PRODUCTO]],Tabla79[],2,FALSE)</f>
        <v>ARENA FINA</v>
      </c>
      <c r="M730" s="37">
        <v>39120</v>
      </c>
      <c r="O730" s="76">
        <v>31228</v>
      </c>
      <c r="P730" s="78" t="s">
        <v>449</v>
      </c>
      <c r="Q730" s="77">
        <v>45859</v>
      </c>
      <c r="R730" s="78" t="s">
        <v>425</v>
      </c>
      <c r="S730" s="36" t="str">
        <f>VLOOKUP(Tabla911[[#This Row],[CODIGO DEL PRODUCTO]],Tabla79[],2,FALSE)</f>
        <v>W351R</v>
      </c>
      <c r="T730" s="37">
        <v>2000</v>
      </c>
      <c r="U730" s="78"/>
    </row>
    <row r="731" spans="8:21" x14ac:dyDescent="0.25">
      <c r="H731" s="34">
        <v>13145</v>
      </c>
      <c r="I731" s="34" t="s">
        <v>553</v>
      </c>
      <c r="J731" s="35">
        <v>45932</v>
      </c>
      <c r="K731" s="36" t="s">
        <v>42</v>
      </c>
      <c r="L731" s="39" t="str">
        <f>VLOOKUP(Tabla810[[#This Row],[CODIGO DEL PRODUCTO]],Tabla79[],2,FALSE)</f>
        <v>ARENA FINA</v>
      </c>
      <c r="M731" s="37">
        <v>5000</v>
      </c>
      <c r="O731" s="76">
        <v>31403</v>
      </c>
      <c r="P731" s="78" t="s">
        <v>449</v>
      </c>
      <c r="Q731" s="77">
        <v>45862</v>
      </c>
      <c r="R731" s="78" t="s">
        <v>481</v>
      </c>
      <c r="S731" s="36" t="str">
        <f>VLOOKUP(Tabla911[[#This Row],[CODIGO DEL PRODUCTO]],Tabla79[],2,FALSE)</f>
        <v>RDC DRUMS 200 KG</v>
      </c>
      <c r="T731" s="37">
        <v>1000</v>
      </c>
      <c r="U731" s="78"/>
    </row>
    <row r="732" spans="8:21" x14ac:dyDescent="0.25">
      <c r="H732" s="34">
        <v>13155</v>
      </c>
      <c r="I732" s="34" t="s">
        <v>514</v>
      </c>
      <c r="J732" s="35">
        <v>45932</v>
      </c>
      <c r="K732" s="36" t="s">
        <v>42</v>
      </c>
      <c r="L732" s="39" t="str">
        <f>VLOOKUP(Tabla810[[#This Row],[CODIGO DEL PRODUCTO]],Tabla79[],2,FALSE)</f>
        <v>ARENA FINA</v>
      </c>
      <c r="M732" s="37">
        <v>39260</v>
      </c>
      <c r="O732" s="76">
        <v>101148</v>
      </c>
      <c r="P732" s="78" t="s">
        <v>235</v>
      </c>
      <c r="Q732" s="77">
        <v>45856</v>
      </c>
      <c r="R732" s="78" t="s">
        <v>42</v>
      </c>
      <c r="S732" s="36" t="str">
        <f>VLOOKUP(Tabla911[[#This Row],[CODIGO DEL PRODUCTO]],Tabla79[],2,FALSE)</f>
        <v>ARENA FINA</v>
      </c>
      <c r="T732" s="37">
        <v>38780</v>
      </c>
      <c r="U732" s="78"/>
    </row>
    <row r="733" spans="8:21" x14ac:dyDescent="0.25">
      <c r="H733" s="34">
        <v>13157</v>
      </c>
      <c r="I733" s="34" t="s">
        <v>522</v>
      </c>
      <c r="J733" s="35">
        <v>45932</v>
      </c>
      <c r="K733" s="36" t="s">
        <v>43</v>
      </c>
      <c r="L733" s="39" t="str">
        <f>VLOOKUP(Tabla810[[#This Row],[CODIGO DEL PRODUCTO]],Tabla79[],2,FALSE)</f>
        <v>PIEDRA 6-20</v>
      </c>
      <c r="M733" s="37">
        <v>4000</v>
      </c>
      <c r="O733" s="76">
        <v>101154</v>
      </c>
      <c r="P733" s="78" t="s">
        <v>235</v>
      </c>
      <c r="Q733" s="77">
        <v>45856</v>
      </c>
      <c r="R733" s="78" t="s">
        <v>42</v>
      </c>
      <c r="S733" s="36" t="str">
        <f>VLOOKUP(Tabla911[[#This Row],[CODIGO DEL PRODUCTO]],Tabla79[],2,FALSE)</f>
        <v>ARENA FINA</v>
      </c>
      <c r="T733" s="37">
        <v>36700</v>
      </c>
      <c r="U733" s="78"/>
    </row>
    <row r="734" spans="8:21" x14ac:dyDescent="0.25">
      <c r="H734" s="34">
        <v>13183</v>
      </c>
      <c r="I734" s="34" t="s">
        <v>478</v>
      </c>
      <c r="J734" s="35">
        <v>45933</v>
      </c>
      <c r="K734" s="36" t="s">
        <v>42</v>
      </c>
      <c r="L734" s="39" t="str">
        <f>VLOOKUP(Tabla810[[#This Row],[CODIGO DEL PRODUCTO]],Tabla79[],2,FALSE)</f>
        <v>ARENA FINA</v>
      </c>
      <c r="M734" s="37">
        <v>2000</v>
      </c>
      <c r="O734" s="76">
        <v>101155</v>
      </c>
      <c r="P734" s="78" t="s">
        <v>370</v>
      </c>
      <c r="Q734" s="77">
        <v>45856</v>
      </c>
      <c r="R734" s="78" t="s">
        <v>42</v>
      </c>
      <c r="S734" s="36" t="str">
        <f>VLOOKUP(Tabla911[[#This Row],[CODIGO DEL PRODUCTO]],Tabla79[],2,FALSE)</f>
        <v>ARENA FINA</v>
      </c>
      <c r="T734" s="37">
        <v>35300</v>
      </c>
      <c r="U734" s="78"/>
    </row>
    <row r="735" spans="8:21" x14ac:dyDescent="0.25">
      <c r="H735" s="34"/>
      <c r="I735" s="34" t="s">
        <v>478</v>
      </c>
      <c r="J735" s="35">
        <v>45933</v>
      </c>
      <c r="K735" s="36" t="s">
        <v>43</v>
      </c>
      <c r="L735" s="39" t="str">
        <f>VLOOKUP(Tabla810[[#This Row],[CODIGO DEL PRODUCTO]],Tabla79[],2,FALSE)</f>
        <v>PIEDRA 6-20</v>
      </c>
      <c r="M735" s="37">
        <v>2000</v>
      </c>
      <c r="O735" s="76">
        <v>102979</v>
      </c>
      <c r="P735" s="78" t="s">
        <v>150</v>
      </c>
      <c r="Q735" s="77">
        <v>45856</v>
      </c>
      <c r="R735" s="78" t="s">
        <v>40</v>
      </c>
      <c r="S735" s="36" t="str">
        <f>VLOOKUP(Tabla911[[#This Row],[CODIGO DEL PRODUCTO]],Tabla79[],2,FALSE)</f>
        <v>PIEDRA 0-6</v>
      </c>
      <c r="T735" s="37">
        <v>34960</v>
      </c>
      <c r="U735" s="78"/>
    </row>
    <row r="736" spans="8:21" x14ac:dyDescent="0.25">
      <c r="H736" s="34">
        <v>13197</v>
      </c>
      <c r="I736" s="34" t="s">
        <v>541</v>
      </c>
      <c r="J736" s="35">
        <v>45933</v>
      </c>
      <c r="K736" s="36" t="s">
        <v>42</v>
      </c>
      <c r="L736" s="39" t="str">
        <f>VLOOKUP(Tabla810[[#This Row],[CODIGO DEL PRODUCTO]],Tabla79[],2,FALSE)</f>
        <v>ARENA FINA</v>
      </c>
      <c r="M736" s="37">
        <v>5000</v>
      </c>
      <c r="O736" s="76">
        <v>2642576</v>
      </c>
      <c r="P736" s="78" t="s">
        <v>65</v>
      </c>
      <c r="Q736" s="77">
        <v>45856</v>
      </c>
      <c r="R736" s="78" t="s">
        <v>286</v>
      </c>
      <c r="S736" s="36" t="str">
        <f>VLOOKUP(Tabla911[[#This Row],[CODIGO DEL PRODUCTO]],Tabla79[],2,FALSE)</f>
        <v>CPF 40 AVELLANEDA</v>
      </c>
      <c r="T736" s="37">
        <v>36100</v>
      </c>
      <c r="U736" s="78"/>
    </row>
    <row r="737" spans="8:21" x14ac:dyDescent="0.25">
      <c r="H737" s="34">
        <v>13203</v>
      </c>
      <c r="I737" s="34" t="s">
        <v>494</v>
      </c>
      <c r="J737" s="35">
        <v>45933</v>
      </c>
      <c r="K737" s="36" t="s">
        <v>43</v>
      </c>
      <c r="L737" s="39" t="str">
        <f>VLOOKUP(Tabla810[[#This Row],[CODIGO DEL PRODUCTO]],Tabla79[],2,FALSE)</f>
        <v>PIEDRA 6-20</v>
      </c>
      <c r="M737" s="37">
        <v>2000</v>
      </c>
      <c r="O737" s="76">
        <v>101163</v>
      </c>
      <c r="P737" s="78" t="s">
        <v>235</v>
      </c>
      <c r="Q737" s="77">
        <v>45857</v>
      </c>
      <c r="R737" s="78" t="s">
        <v>42</v>
      </c>
      <c r="S737" s="36" t="str">
        <f>VLOOKUP(Tabla911[[#This Row],[CODIGO DEL PRODUCTO]],Tabla79[],2,FALSE)</f>
        <v>ARENA FINA</v>
      </c>
      <c r="T737" s="37">
        <v>37280</v>
      </c>
      <c r="U737" s="78"/>
    </row>
    <row r="738" spans="8:21" x14ac:dyDescent="0.25">
      <c r="H738" s="34"/>
      <c r="I738" s="34" t="s">
        <v>494</v>
      </c>
      <c r="J738" s="35">
        <v>45933</v>
      </c>
      <c r="K738" s="36" t="s">
        <v>42</v>
      </c>
      <c r="L738" s="39" t="str">
        <f>VLOOKUP(Tabla810[[#This Row],[CODIGO DEL PRODUCTO]],Tabla79[],2,FALSE)</f>
        <v>ARENA FINA</v>
      </c>
      <c r="M738" s="37">
        <v>1000</v>
      </c>
      <c r="O738" s="76">
        <v>103029</v>
      </c>
      <c r="P738" s="78" t="s">
        <v>150</v>
      </c>
      <c r="Q738" s="77">
        <v>45857</v>
      </c>
      <c r="R738" s="78" t="s">
        <v>40</v>
      </c>
      <c r="S738" s="36" t="str">
        <f>VLOOKUP(Tabla911[[#This Row],[CODIGO DEL PRODUCTO]],Tabla79[],2,FALSE)</f>
        <v>PIEDRA 0-6</v>
      </c>
      <c r="T738" s="37">
        <v>34560</v>
      </c>
      <c r="U738" s="78"/>
    </row>
    <row r="739" spans="8:21" x14ac:dyDescent="0.25">
      <c r="H739" s="34">
        <v>13215</v>
      </c>
      <c r="I739" s="34" t="s">
        <v>522</v>
      </c>
      <c r="J739" s="35">
        <v>45933</v>
      </c>
      <c r="K739" s="36" t="s">
        <v>42</v>
      </c>
      <c r="L739" s="39" t="str">
        <f>VLOOKUP(Tabla810[[#This Row],[CODIGO DEL PRODUCTO]],Tabla79[],2,FALSE)</f>
        <v>ARENA FINA</v>
      </c>
      <c r="M739" s="37">
        <v>4000</v>
      </c>
      <c r="O739" s="76">
        <v>101169</v>
      </c>
      <c r="P739" s="78" t="s">
        <v>235</v>
      </c>
      <c r="Q739" s="77">
        <v>45859</v>
      </c>
      <c r="R739" s="78" t="s">
        <v>42</v>
      </c>
      <c r="S739" s="36" t="str">
        <f>VLOOKUP(Tabla911[[#This Row],[CODIGO DEL PRODUCTO]],Tabla79[],2,FALSE)</f>
        <v>ARENA FINA</v>
      </c>
      <c r="T739" s="37">
        <v>38220</v>
      </c>
      <c r="U739" s="78"/>
    </row>
    <row r="740" spans="8:21" x14ac:dyDescent="0.25">
      <c r="H740" s="34"/>
      <c r="I740" s="34" t="s">
        <v>522</v>
      </c>
      <c r="J740" s="35">
        <v>45933</v>
      </c>
      <c r="K740" s="36" t="s">
        <v>43</v>
      </c>
      <c r="L740" s="39" t="str">
        <f>VLOOKUP(Tabla810[[#This Row],[CODIGO DEL PRODUCTO]],Tabla79[],2,FALSE)</f>
        <v>PIEDRA 6-20</v>
      </c>
      <c r="M740" s="37">
        <v>1000</v>
      </c>
      <c r="O740" s="76">
        <v>101174</v>
      </c>
      <c r="P740" s="78" t="s">
        <v>370</v>
      </c>
      <c r="Q740" s="77">
        <v>45859</v>
      </c>
      <c r="R740" s="78" t="s">
        <v>42</v>
      </c>
      <c r="S740" s="36" t="str">
        <f>VLOOKUP(Tabla911[[#This Row],[CODIGO DEL PRODUCTO]],Tabla79[],2,FALSE)</f>
        <v>ARENA FINA</v>
      </c>
      <c r="T740" s="37">
        <v>34980</v>
      </c>
      <c r="U740" s="78"/>
    </row>
    <row r="741" spans="8:21" x14ac:dyDescent="0.25">
      <c r="H741" s="34">
        <v>13222</v>
      </c>
      <c r="I741" s="34" t="s">
        <v>573</v>
      </c>
      <c r="J741" s="35">
        <v>45934</v>
      </c>
      <c r="K741" s="36" t="s">
        <v>43</v>
      </c>
      <c r="L741" s="39" t="str">
        <f>VLOOKUP(Tabla810[[#This Row],[CODIGO DEL PRODUCTO]],Tabla79[],2,FALSE)</f>
        <v>PIEDRA 6-20</v>
      </c>
      <c r="M741" s="37">
        <v>5000</v>
      </c>
      <c r="O741" s="76">
        <v>101175</v>
      </c>
      <c r="P741" s="78" t="s">
        <v>235</v>
      </c>
      <c r="Q741" s="77">
        <v>45859</v>
      </c>
      <c r="R741" s="78" t="s">
        <v>42</v>
      </c>
      <c r="S741" s="36" t="str">
        <f>VLOOKUP(Tabla911[[#This Row],[CODIGO DEL PRODUCTO]],Tabla79[],2,FALSE)</f>
        <v>ARENA FINA</v>
      </c>
      <c r="T741" s="37">
        <v>37440</v>
      </c>
      <c r="U741" s="78"/>
    </row>
    <row r="742" spans="8:21" x14ac:dyDescent="0.25">
      <c r="H742" s="34">
        <v>13224</v>
      </c>
      <c r="I742" s="34" t="s">
        <v>573</v>
      </c>
      <c r="J742" s="35">
        <v>45934</v>
      </c>
      <c r="K742" s="36" t="s">
        <v>42</v>
      </c>
      <c r="L742" s="39" t="str">
        <f>VLOOKUP(Tabla810[[#This Row],[CODIGO DEL PRODUCTO]],Tabla79[],2,FALSE)</f>
        <v>ARENA FINA</v>
      </c>
      <c r="M742" s="37">
        <v>5000</v>
      </c>
      <c r="O742" s="76">
        <v>103055</v>
      </c>
      <c r="P742" s="78" t="s">
        <v>355</v>
      </c>
      <c r="Q742" s="77">
        <v>45859</v>
      </c>
      <c r="R742" s="78" t="s">
        <v>43</v>
      </c>
      <c r="S742" s="36" t="str">
        <f>VLOOKUP(Tabla911[[#This Row],[CODIGO DEL PRODUCTO]],Tabla79[],2,FALSE)</f>
        <v>PIEDRA 6-20</v>
      </c>
      <c r="T742" s="37">
        <v>35420</v>
      </c>
      <c r="U742" s="78"/>
    </row>
    <row r="743" spans="8:21" x14ac:dyDescent="0.25">
      <c r="H743" s="34">
        <v>13226</v>
      </c>
      <c r="I743" s="34" t="s">
        <v>585</v>
      </c>
      <c r="J743" s="35">
        <v>45934</v>
      </c>
      <c r="K743" s="36" t="s">
        <v>42</v>
      </c>
      <c r="L743" s="39" t="str">
        <f>VLOOKUP(Tabla810[[#This Row],[CODIGO DEL PRODUCTO]],Tabla79[],2,FALSE)</f>
        <v>ARENA FINA</v>
      </c>
      <c r="M743" s="37">
        <v>2000</v>
      </c>
      <c r="O743" s="76">
        <v>103066</v>
      </c>
      <c r="P743" s="78" t="s">
        <v>375</v>
      </c>
      <c r="Q743" s="77">
        <v>45859</v>
      </c>
      <c r="R743" s="78" t="s">
        <v>43</v>
      </c>
      <c r="S743" s="36" t="str">
        <f>VLOOKUP(Tabla911[[#This Row],[CODIGO DEL PRODUCTO]],Tabla79[],2,FALSE)</f>
        <v>PIEDRA 6-20</v>
      </c>
      <c r="T743" s="37">
        <v>34760</v>
      </c>
      <c r="U743" s="78"/>
    </row>
    <row r="744" spans="8:21" x14ac:dyDescent="0.25">
      <c r="H744" s="34">
        <v>13231</v>
      </c>
      <c r="I744" s="34" t="s">
        <v>514</v>
      </c>
      <c r="J744" s="35">
        <v>45934</v>
      </c>
      <c r="K744" s="36" t="s">
        <v>42</v>
      </c>
      <c r="L744" s="39" t="str">
        <f>VLOOKUP(Tabla810[[#This Row],[CODIGO DEL PRODUCTO]],Tabla79[],2,FALSE)</f>
        <v>ARENA FINA</v>
      </c>
      <c r="M744" s="37">
        <v>40900</v>
      </c>
      <c r="O744" s="76">
        <v>2642978</v>
      </c>
      <c r="P744" s="78" t="s">
        <v>65</v>
      </c>
      <c r="Q744" s="77">
        <v>45859</v>
      </c>
      <c r="R744" s="78" t="s">
        <v>286</v>
      </c>
      <c r="S744" s="36" t="str">
        <f>VLOOKUP(Tabla911[[#This Row],[CODIGO DEL PRODUCTO]],Tabla79[],2,FALSE)</f>
        <v>CPF 40 AVELLANEDA</v>
      </c>
      <c r="T744" s="37">
        <v>36120</v>
      </c>
      <c r="U744" s="78"/>
    </row>
    <row r="745" spans="8:21" x14ac:dyDescent="0.25">
      <c r="H745" s="34">
        <v>13238</v>
      </c>
      <c r="I745" s="34" t="s">
        <v>585</v>
      </c>
      <c r="J745" s="35">
        <v>45934</v>
      </c>
      <c r="K745" s="36" t="s">
        <v>42</v>
      </c>
      <c r="L745" s="39" t="str">
        <f>VLOOKUP(Tabla810[[#This Row],[CODIGO DEL PRODUCTO]],Tabla79[],2,FALSE)</f>
        <v>ARENA FINA</v>
      </c>
      <c r="M745" s="37">
        <v>2000</v>
      </c>
      <c r="O745" s="76">
        <v>101185</v>
      </c>
      <c r="P745" s="78" t="s">
        <v>370</v>
      </c>
      <c r="Q745" s="77">
        <v>45860</v>
      </c>
      <c r="R745" s="78" t="s">
        <v>42</v>
      </c>
      <c r="S745" s="36" t="str">
        <f>VLOOKUP(Tabla911[[#This Row],[CODIGO DEL PRODUCTO]],Tabla79[],2,FALSE)</f>
        <v>ARENA FINA</v>
      </c>
      <c r="T745" s="37">
        <v>34640</v>
      </c>
      <c r="U745" s="78"/>
    </row>
    <row r="746" spans="8:21" x14ac:dyDescent="0.25">
      <c r="H746" s="34">
        <v>13239</v>
      </c>
      <c r="I746" s="34" t="s">
        <v>514</v>
      </c>
      <c r="J746" s="35">
        <v>45934</v>
      </c>
      <c r="K746" s="36" t="s">
        <v>42</v>
      </c>
      <c r="L746" s="39" t="str">
        <f>VLOOKUP(Tabla810[[#This Row],[CODIGO DEL PRODUCTO]],Tabla79[],2,FALSE)</f>
        <v>ARENA FINA</v>
      </c>
      <c r="M746" s="37">
        <v>39480</v>
      </c>
      <c r="O746" s="76">
        <v>102987</v>
      </c>
      <c r="P746" s="78" t="s">
        <v>234</v>
      </c>
      <c r="Q746" s="77">
        <v>45860</v>
      </c>
      <c r="R746" s="78" t="s">
        <v>40</v>
      </c>
      <c r="S746" s="36" t="str">
        <f>VLOOKUP(Tabla911[[#This Row],[CODIGO DEL PRODUCTO]],Tabla79[],2,FALSE)</f>
        <v>PIEDRA 0-6</v>
      </c>
      <c r="T746" s="37">
        <v>35100</v>
      </c>
      <c r="U746" s="78"/>
    </row>
    <row r="747" spans="8:21" x14ac:dyDescent="0.25">
      <c r="H747" s="34">
        <v>13241</v>
      </c>
      <c r="I747" s="34" t="s">
        <v>495</v>
      </c>
      <c r="J747" s="35">
        <v>45936</v>
      </c>
      <c r="K747" s="36" t="s">
        <v>42</v>
      </c>
      <c r="L747" s="39" t="str">
        <f>VLOOKUP(Tabla810[[#This Row],[CODIGO DEL PRODUCTO]],Tabla79[],2,FALSE)</f>
        <v>ARENA FINA</v>
      </c>
      <c r="M747" s="37">
        <v>5000</v>
      </c>
      <c r="O747" s="76">
        <v>103074</v>
      </c>
      <c r="P747" s="78" t="s">
        <v>150</v>
      </c>
      <c r="Q747" s="77">
        <v>45860</v>
      </c>
      <c r="R747" s="78" t="s">
        <v>40</v>
      </c>
      <c r="S747" s="36" t="str">
        <f>VLOOKUP(Tabla911[[#This Row],[CODIGO DEL PRODUCTO]],Tabla79[],2,FALSE)</f>
        <v>PIEDRA 0-6</v>
      </c>
      <c r="T747" s="37">
        <v>34300</v>
      </c>
      <c r="U747" s="78"/>
    </row>
    <row r="748" spans="8:21" x14ac:dyDescent="0.25">
      <c r="H748" s="34">
        <v>13242</v>
      </c>
      <c r="I748" s="34" t="s">
        <v>495</v>
      </c>
      <c r="J748" s="35">
        <v>45936</v>
      </c>
      <c r="K748" s="36" t="s">
        <v>43</v>
      </c>
      <c r="L748" s="39" t="str">
        <f>VLOOKUP(Tabla810[[#This Row],[CODIGO DEL PRODUCTO]],Tabla79[],2,FALSE)</f>
        <v>PIEDRA 6-20</v>
      </c>
      <c r="M748" s="37">
        <v>5000</v>
      </c>
      <c r="O748" s="76">
        <v>103081</v>
      </c>
      <c r="P748" s="78" t="s">
        <v>355</v>
      </c>
      <c r="Q748" s="77">
        <v>45860</v>
      </c>
      <c r="R748" s="78" t="s">
        <v>43</v>
      </c>
      <c r="S748" s="36" t="str">
        <f>VLOOKUP(Tabla911[[#This Row],[CODIGO DEL PRODUCTO]],Tabla79[],2,FALSE)</f>
        <v>PIEDRA 6-20</v>
      </c>
      <c r="T748" s="37">
        <v>35040</v>
      </c>
      <c r="U748" s="78"/>
    </row>
    <row r="749" spans="8:21" x14ac:dyDescent="0.25">
      <c r="H749" s="34">
        <v>13259</v>
      </c>
      <c r="I749" s="34" t="s">
        <v>514</v>
      </c>
      <c r="J749" s="35">
        <v>45936</v>
      </c>
      <c r="K749" s="36" t="s">
        <v>42</v>
      </c>
      <c r="L749" s="39" t="str">
        <f>VLOOKUP(Tabla810[[#This Row],[CODIGO DEL PRODUCTO]],Tabla79[],2,FALSE)</f>
        <v>ARENA FINA</v>
      </c>
      <c r="M749" s="37">
        <v>41940</v>
      </c>
      <c r="O749" s="76">
        <v>103090</v>
      </c>
      <c r="P749" s="78" t="s">
        <v>375</v>
      </c>
      <c r="Q749" s="77">
        <v>45860</v>
      </c>
      <c r="R749" s="78" t="s">
        <v>43</v>
      </c>
      <c r="S749" s="36" t="str">
        <f>VLOOKUP(Tabla911[[#This Row],[CODIGO DEL PRODUCTO]],Tabla79[],2,FALSE)</f>
        <v>PIEDRA 6-20</v>
      </c>
      <c r="T749" s="37">
        <v>34980</v>
      </c>
      <c r="U749" s="78"/>
    </row>
    <row r="750" spans="8:21" x14ac:dyDescent="0.25">
      <c r="H750" s="34">
        <v>13266</v>
      </c>
      <c r="I750" s="34" t="s">
        <v>495</v>
      </c>
      <c r="J750" s="35">
        <v>45937</v>
      </c>
      <c r="K750" s="36" t="s">
        <v>42</v>
      </c>
      <c r="L750" s="39" t="str">
        <f>VLOOKUP(Tabla810[[#This Row],[CODIGO DEL PRODUCTO]],Tabla79[],2,FALSE)</f>
        <v>ARENA FINA</v>
      </c>
      <c r="M750" s="37">
        <v>5000</v>
      </c>
      <c r="O750" s="76">
        <v>103108</v>
      </c>
      <c r="P750" s="78" t="s">
        <v>234</v>
      </c>
      <c r="Q750" s="77">
        <v>45860</v>
      </c>
      <c r="R750" s="78" t="s">
        <v>40</v>
      </c>
      <c r="S750" s="36" t="str">
        <f>VLOOKUP(Tabla911[[#This Row],[CODIGO DEL PRODUCTO]],Tabla79[],2,FALSE)</f>
        <v>PIEDRA 0-6</v>
      </c>
      <c r="T750" s="37">
        <v>35320</v>
      </c>
      <c r="U750" s="78"/>
    </row>
    <row r="751" spans="8:21" x14ac:dyDescent="0.25">
      <c r="H751" s="34">
        <v>13274</v>
      </c>
      <c r="I751" s="34" t="s">
        <v>495</v>
      </c>
      <c r="J751" s="35">
        <v>45937</v>
      </c>
      <c r="K751" s="36" t="s">
        <v>43</v>
      </c>
      <c r="L751" s="39" t="str">
        <f>VLOOKUP(Tabla810[[#This Row],[CODIGO DEL PRODUCTO]],Tabla79[],2,FALSE)</f>
        <v>PIEDRA 6-20</v>
      </c>
      <c r="M751" s="37">
        <v>5000</v>
      </c>
      <c r="O751" s="76">
        <v>2643235</v>
      </c>
      <c r="P751" s="78" t="s">
        <v>65</v>
      </c>
      <c r="Q751" s="77">
        <v>45860</v>
      </c>
      <c r="R751" s="78" t="s">
        <v>286</v>
      </c>
      <c r="S751" s="36" t="str">
        <f>VLOOKUP(Tabla911[[#This Row],[CODIGO DEL PRODUCTO]],Tabla79[],2,FALSE)</f>
        <v>CPF 40 AVELLANEDA</v>
      </c>
      <c r="T751" s="37">
        <v>35700</v>
      </c>
      <c r="U751" s="78"/>
    </row>
    <row r="752" spans="8:21" x14ac:dyDescent="0.25">
      <c r="H752" s="34">
        <v>13276</v>
      </c>
      <c r="I752" s="34" t="s">
        <v>403</v>
      </c>
      <c r="J752" s="35">
        <v>45937</v>
      </c>
      <c r="K752" s="36" t="s">
        <v>42</v>
      </c>
      <c r="L752" s="39" t="str">
        <f>VLOOKUP(Tabla810[[#This Row],[CODIGO DEL PRODUCTO]],Tabla79[],2,FALSE)</f>
        <v>ARENA FINA</v>
      </c>
      <c r="M752" s="37">
        <v>5000</v>
      </c>
      <c r="O752" s="76">
        <v>103104</v>
      </c>
      <c r="P752" s="78" t="s">
        <v>150</v>
      </c>
      <c r="Q752" s="77">
        <v>45861</v>
      </c>
      <c r="R752" s="78" t="s">
        <v>40</v>
      </c>
      <c r="S752" s="36" t="str">
        <f>VLOOKUP(Tabla911[[#This Row],[CODIGO DEL PRODUCTO]],Tabla79[],2,FALSE)</f>
        <v>PIEDRA 0-6</v>
      </c>
      <c r="T752" s="37">
        <v>34960</v>
      </c>
      <c r="U752" s="78"/>
    </row>
    <row r="753" spans="8:24" x14ac:dyDescent="0.25">
      <c r="H753" s="34">
        <v>13294</v>
      </c>
      <c r="I753" s="34" t="s">
        <v>471</v>
      </c>
      <c r="J753" s="35">
        <v>45937</v>
      </c>
      <c r="K753" s="36" t="s">
        <v>42</v>
      </c>
      <c r="L753" s="39" t="str">
        <f>VLOOKUP(Tabla810[[#This Row],[CODIGO DEL PRODUCTO]],Tabla79[],2,FALSE)</f>
        <v>ARENA FINA</v>
      </c>
      <c r="M753" s="37">
        <v>4000</v>
      </c>
      <c r="O753" s="76">
        <v>103112</v>
      </c>
      <c r="P753" s="78" t="s">
        <v>355</v>
      </c>
      <c r="Q753" s="77">
        <v>45861</v>
      </c>
      <c r="R753" s="78" t="s">
        <v>43</v>
      </c>
      <c r="S753" s="36" t="str">
        <f>VLOOKUP(Tabla911[[#This Row],[CODIGO DEL PRODUCTO]],Tabla79[],2,FALSE)</f>
        <v>PIEDRA 6-20</v>
      </c>
      <c r="T753" s="37">
        <v>35440</v>
      </c>
      <c r="U753" s="78"/>
    </row>
    <row r="754" spans="8:24" x14ac:dyDescent="0.25">
      <c r="H754" s="34">
        <v>13299</v>
      </c>
      <c r="I754" s="34" t="s">
        <v>403</v>
      </c>
      <c r="J754" s="35">
        <v>45937</v>
      </c>
      <c r="K754" s="36" t="s">
        <v>43</v>
      </c>
      <c r="L754" s="39" t="str">
        <f>VLOOKUP(Tabla810[[#This Row],[CODIGO DEL PRODUCTO]],Tabla79[],2,FALSE)</f>
        <v>PIEDRA 6-20</v>
      </c>
      <c r="M754" s="37">
        <v>5000</v>
      </c>
      <c r="O754" s="76">
        <v>103114</v>
      </c>
      <c r="P754" s="78" t="s">
        <v>375</v>
      </c>
      <c r="Q754" s="77">
        <v>45861</v>
      </c>
      <c r="R754" s="78" t="s">
        <v>43</v>
      </c>
      <c r="S754" s="36" t="str">
        <f>VLOOKUP(Tabla911[[#This Row],[CODIGO DEL PRODUCTO]],Tabla79[],2,FALSE)</f>
        <v>PIEDRA 6-20</v>
      </c>
      <c r="T754" s="37">
        <v>34740</v>
      </c>
      <c r="U754" s="78"/>
    </row>
    <row r="755" spans="8:24" x14ac:dyDescent="0.25">
      <c r="H755" s="34">
        <v>13300</v>
      </c>
      <c r="I755" s="34" t="s">
        <v>403</v>
      </c>
      <c r="J755" s="35">
        <v>45937</v>
      </c>
      <c r="K755" s="36" t="s">
        <v>43</v>
      </c>
      <c r="L755" s="39" t="str">
        <f>VLOOKUP(Tabla810[[#This Row],[CODIGO DEL PRODUCTO]],Tabla79[],2,FALSE)</f>
        <v>PIEDRA 6-20</v>
      </c>
      <c r="M755" s="37">
        <v>3000</v>
      </c>
      <c r="O755" s="76">
        <v>2643438</v>
      </c>
      <c r="P755" s="78" t="s">
        <v>65</v>
      </c>
      <c r="Q755" s="77">
        <v>45861</v>
      </c>
      <c r="R755" s="78" t="s">
        <v>286</v>
      </c>
      <c r="S755" s="36" t="str">
        <f>VLOOKUP(Tabla911[[#This Row],[CODIGO DEL PRODUCTO]],Tabla79[],2,FALSE)</f>
        <v>CPF 40 AVELLANEDA</v>
      </c>
      <c r="T755" s="37">
        <v>35240</v>
      </c>
      <c r="U755" s="78"/>
    </row>
    <row r="756" spans="8:24" x14ac:dyDescent="0.25">
      <c r="H756" s="34">
        <v>13302</v>
      </c>
      <c r="I756" s="34" t="s">
        <v>514</v>
      </c>
      <c r="J756" s="35">
        <v>45937</v>
      </c>
      <c r="K756" s="36" t="s">
        <v>42</v>
      </c>
      <c r="L756" s="39" t="str">
        <f>VLOOKUP(Tabla810[[#This Row],[CODIGO DEL PRODUCTO]],Tabla79[],2,FALSE)</f>
        <v>ARENA FINA</v>
      </c>
      <c r="M756" s="37">
        <v>36260</v>
      </c>
      <c r="O756" s="76">
        <v>2643608</v>
      </c>
      <c r="P756" s="78" t="s">
        <v>65</v>
      </c>
      <c r="Q756" s="77">
        <v>45861</v>
      </c>
      <c r="R756" s="78" t="s">
        <v>286</v>
      </c>
      <c r="S756" s="36" t="str">
        <f>VLOOKUP(Tabla911[[#This Row],[CODIGO DEL PRODUCTO]],Tabla79[],2,FALSE)</f>
        <v>CPF 40 AVELLANEDA</v>
      </c>
      <c r="T756" s="37">
        <v>36360</v>
      </c>
      <c r="U756" s="78"/>
    </row>
    <row r="757" spans="8:24" x14ac:dyDescent="0.25">
      <c r="H757" s="34"/>
      <c r="I757" s="34" t="s">
        <v>53</v>
      </c>
      <c r="J757" s="35">
        <v>45931</v>
      </c>
      <c r="K757" s="36" t="s">
        <v>42</v>
      </c>
      <c r="L757" s="39" t="str">
        <f>VLOOKUP(Tabla810[[#This Row],[CODIGO DEL PRODUCTO]],Tabla79[],2,FALSE)</f>
        <v>ARENA FINA</v>
      </c>
      <c r="M757" s="37">
        <v>486808</v>
      </c>
      <c r="O757" s="76">
        <v>103130</v>
      </c>
      <c r="P757" s="78" t="s">
        <v>150</v>
      </c>
      <c r="Q757" s="77">
        <v>45862</v>
      </c>
      <c r="R757" s="78" t="s">
        <v>40</v>
      </c>
      <c r="S757" s="36" t="str">
        <f>VLOOKUP(Tabla911[[#This Row],[CODIGO DEL PRODUCTO]],Tabla79[],2,FALSE)</f>
        <v>PIEDRA 0-6</v>
      </c>
      <c r="T757" s="37">
        <v>34860</v>
      </c>
      <c r="U757" s="78"/>
      <c r="V757" s="7">
        <v>45862</v>
      </c>
      <c r="W757" t="s">
        <v>484</v>
      </c>
      <c r="X757" t="s">
        <v>485</v>
      </c>
    </row>
    <row r="758" spans="8:24" x14ac:dyDescent="0.25">
      <c r="H758" s="34"/>
      <c r="I758" s="34" t="s">
        <v>53</v>
      </c>
      <c r="J758" s="35">
        <v>45932</v>
      </c>
      <c r="K758" s="36" t="s">
        <v>40</v>
      </c>
      <c r="L758" s="39" t="str">
        <f>VLOOKUP(Tabla810[[#This Row],[CODIGO DEL PRODUCTO]],Tabla79[],2,FALSE)</f>
        <v>PIEDRA 0-6</v>
      </c>
      <c r="M758" s="37">
        <v>323611</v>
      </c>
      <c r="O758" s="76">
        <v>103134</v>
      </c>
      <c r="P758" s="78" t="s">
        <v>234</v>
      </c>
      <c r="Q758" s="77">
        <v>45862</v>
      </c>
      <c r="R758" s="78" t="s">
        <v>40</v>
      </c>
      <c r="S758" s="36" t="str">
        <f>VLOOKUP(Tabla911[[#This Row],[CODIGO DEL PRODUCTO]],Tabla79[],2,FALSE)</f>
        <v>PIEDRA 0-6</v>
      </c>
      <c r="T758" s="37">
        <v>34460</v>
      </c>
      <c r="U758" s="78"/>
    </row>
    <row r="759" spans="8:24" x14ac:dyDescent="0.25">
      <c r="H759" s="34"/>
      <c r="I759" s="34" t="s">
        <v>53</v>
      </c>
      <c r="J759" s="35">
        <v>45933</v>
      </c>
      <c r="K759" s="36" t="s">
        <v>286</v>
      </c>
      <c r="L759" s="39" t="str">
        <f>VLOOKUP(Tabla810[[#This Row],[CODIGO DEL PRODUCTO]],Tabla79[],2,FALSE)</f>
        <v>CPF 40 AVELLANEDA</v>
      </c>
      <c r="M759" s="37">
        <v>232788</v>
      </c>
      <c r="O759" s="76">
        <v>103144</v>
      </c>
      <c r="P759" s="78" t="s">
        <v>375</v>
      </c>
      <c r="Q759" s="77">
        <v>45862</v>
      </c>
      <c r="R759" s="78" t="s">
        <v>43</v>
      </c>
      <c r="S759" s="36" t="str">
        <f>VLOOKUP(Tabla911[[#This Row],[CODIGO DEL PRODUCTO]],Tabla79[],2,FALSE)</f>
        <v>PIEDRA 6-20</v>
      </c>
      <c r="T759" s="37">
        <v>34700</v>
      </c>
      <c r="U759" s="78"/>
    </row>
    <row r="760" spans="8:24" x14ac:dyDescent="0.25">
      <c r="H760" s="34"/>
      <c r="I760" s="34" t="s">
        <v>53</v>
      </c>
      <c r="J760" s="35">
        <v>45934</v>
      </c>
      <c r="K760" s="36" t="s">
        <v>48</v>
      </c>
      <c r="L760" s="39" t="str">
        <f>VLOOKUP(Tabla810[[#This Row],[CODIGO DEL PRODUCTO]],Tabla79[],2,FALSE)</f>
        <v>PIEDRA 6-12</v>
      </c>
      <c r="M760" s="37">
        <v>150273</v>
      </c>
      <c r="O760" s="76">
        <v>103145</v>
      </c>
      <c r="P760" s="78" t="s">
        <v>355</v>
      </c>
      <c r="Q760" s="77">
        <v>45862</v>
      </c>
      <c r="R760" s="78" t="s">
        <v>43</v>
      </c>
      <c r="S760" s="36" t="str">
        <f>VLOOKUP(Tabla911[[#This Row],[CODIGO DEL PRODUCTO]],Tabla79[],2,FALSE)</f>
        <v>PIEDRA 6-20</v>
      </c>
      <c r="T760" s="37">
        <v>35160</v>
      </c>
      <c r="U760" s="78"/>
    </row>
    <row r="761" spans="8:24" x14ac:dyDescent="0.25">
      <c r="H761" s="34"/>
      <c r="I761" s="34" t="s">
        <v>53</v>
      </c>
      <c r="J761" s="35">
        <v>45934</v>
      </c>
      <c r="K761" s="36" t="s">
        <v>43</v>
      </c>
      <c r="L761" s="39" t="str">
        <f>VLOOKUP(Tabla810[[#This Row],[CODIGO DEL PRODUCTO]],Tabla79[],2,FALSE)</f>
        <v>PIEDRA 6-20</v>
      </c>
      <c r="M761" s="37">
        <v>510421</v>
      </c>
      <c r="O761" s="76">
        <v>2643794</v>
      </c>
      <c r="P761" s="78" t="s">
        <v>65</v>
      </c>
      <c r="Q761" s="77">
        <v>45862</v>
      </c>
      <c r="R761" s="78" t="s">
        <v>286</v>
      </c>
      <c r="S761" s="36" t="str">
        <f>VLOOKUP(Tabla911[[#This Row],[CODIGO DEL PRODUCTO]],Tabla79[],2,FALSE)</f>
        <v>CPF 40 AVELLANEDA</v>
      </c>
      <c r="T761" s="37">
        <v>35960</v>
      </c>
      <c r="U761" s="78"/>
    </row>
    <row r="762" spans="8:24" x14ac:dyDescent="0.25">
      <c r="H762" s="34"/>
      <c r="I762" s="34" t="s">
        <v>53</v>
      </c>
      <c r="J762" s="35">
        <v>45934</v>
      </c>
      <c r="K762" s="36" t="s">
        <v>425</v>
      </c>
      <c r="L762" s="39" t="str">
        <f>VLOOKUP(Tabla810[[#This Row],[CODIGO DEL PRODUCTO]],Tabla79[],2,FALSE)</f>
        <v>W351R</v>
      </c>
      <c r="M762" s="37">
        <v>1275.93</v>
      </c>
      <c r="O762" s="76">
        <v>103176</v>
      </c>
      <c r="P762" s="78" t="s">
        <v>234</v>
      </c>
      <c r="Q762" s="77">
        <v>45863</v>
      </c>
      <c r="R762" s="78" t="s">
        <v>40</v>
      </c>
      <c r="S762" s="36" t="str">
        <f>VLOOKUP(Tabla911[[#This Row],[CODIGO DEL PRODUCTO]],Tabla79[],2,FALSE)</f>
        <v>PIEDRA 0-6</v>
      </c>
      <c r="T762" s="37">
        <v>35580</v>
      </c>
      <c r="U762" s="78"/>
    </row>
    <row r="763" spans="8:24" x14ac:dyDescent="0.25">
      <c r="H763" s="34">
        <v>13297</v>
      </c>
      <c r="I763" s="34" t="s">
        <v>478</v>
      </c>
      <c r="J763" s="35">
        <v>45937</v>
      </c>
      <c r="K763" s="36" t="s">
        <v>42</v>
      </c>
      <c r="L763" s="39" t="str">
        <f>VLOOKUP(Tabla810[[#This Row],[CODIGO DEL PRODUCTO]],Tabla79[],2,FALSE)</f>
        <v>ARENA FINA</v>
      </c>
      <c r="M763" s="37">
        <v>2000</v>
      </c>
      <c r="O763" s="76">
        <v>103178</v>
      </c>
      <c r="P763" s="78" t="s">
        <v>150</v>
      </c>
      <c r="Q763" s="77">
        <v>45863</v>
      </c>
      <c r="R763" s="78" t="s">
        <v>40</v>
      </c>
      <c r="S763" s="36" t="str">
        <f>VLOOKUP(Tabla911[[#This Row],[CODIGO DEL PRODUCTO]],Tabla79[],2,FALSE)</f>
        <v>PIEDRA 0-6</v>
      </c>
      <c r="T763" s="37">
        <v>34860</v>
      </c>
      <c r="U763" s="78"/>
    </row>
    <row r="764" spans="8:24" x14ac:dyDescent="0.25">
      <c r="H764" s="34"/>
      <c r="I764" s="34" t="s">
        <v>478</v>
      </c>
      <c r="J764" s="35">
        <v>45937</v>
      </c>
      <c r="K764" s="36" t="s">
        <v>43</v>
      </c>
      <c r="L764" s="39" t="str">
        <f>VLOOKUP(Tabla810[[#This Row],[CODIGO DEL PRODUCTO]],Tabla79[],2,FALSE)</f>
        <v>PIEDRA 6-20</v>
      </c>
      <c r="M764" s="37">
        <v>2000</v>
      </c>
      <c r="O764" s="76">
        <v>103183</v>
      </c>
      <c r="P764" s="78" t="s">
        <v>355</v>
      </c>
      <c r="Q764" s="77">
        <v>45863</v>
      </c>
      <c r="R764" s="78" t="s">
        <v>43</v>
      </c>
      <c r="S764" s="36" t="str">
        <f>VLOOKUP(Tabla911[[#This Row],[CODIGO DEL PRODUCTO]],Tabla79[],2,FALSE)</f>
        <v>PIEDRA 6-20</v>
      </c>
      <c r="T764" s="37">
        <v>34600</v>
      </c>
      <c r="U764" s="78"/>
    </row>
    <row r="765" spans="8:24" x14ac:dyDescent="0.25">
      <c r="H765" s="34">
        <v>13303</v>
      </c>
      <c r="I765" s="34" t="s">
        <v>474</v>
      </c>
      <c r="J765" s="35">
        <v>45938</v>
      </c>
      <c r="K765" s="36" t="s">
        <v>42</v>
      </c>
      <c r="L765" s="39" t="str">
        <f>VLOOKUP(Tabla810[[#This Row],[CODIGO DEL PRODUCTO]],Tabla79[],2,FALSE)</f>
        <v>ARENA FINA</v>
      </c>
      <c r="M765" s="37">
        <v>5000</v>
      </c>
      <c r="O765" s="76">
        <v>103185</v>
      </c>
      <c r="P765" s="78" t="s">
        <v>375</v>
      </c>
      <c r="Q765" s="77">
        <v>45863</v>
      </c>
      <c r="R765" s="78" t="s">
        <v>43</v>
      </c>
      <c r="S765" s="36" t="str">
        <f>VLOOKUP(Tabla911[[#This Row],[CODIGO DEL PRODUCTO]],Tabla79[],2,FALSE)</f>
        <v>PIEDRA 6-20</v>
      </c>
      <c r="T765" s="37">
        <v>34580</v>
      </c>
      <c r="U765" s="78"/>
    </row>
    <row r="766" spans="8:24" x14ac:dyDescent="0.25">
      <c r="H766" s="34">
        <v>13313</v>
      </c>
      <c r="I766" s="34" t="s">
        <v>588</v>
      </c>
      <c r="J766" s="35">
        <v>45938</v>
      </c>
      <c r="K766" s="36" t="s">
        <v>42</v>
      </c>
      <c r="L766" s="39" t="str">
        <f>VLOOKUP(Tabla810[[#This Row],[CODIGO DEL PRODUCTO]],Tabla79[],2,FALSE)</f>
        <v>ARENA FINA</v>
      </c>
      <c r="M766" s="37">
        <v>2000</v>
      </c>
      <c r="O766" s="76">
        <v>103188</v>
      </c>
      <c r="P766" s="78" t="s">
        <v>486</v>
      </c>
      <c r="Q766" s="77">
        <v>45863</v>
      </c>
      <c r="R766" s="78" t="s">
        <v>43</v>
      </c>
      <c r="S766" s="36" t="str">
        <f>VLOOKUP(Tabla911[[#This Row],[CODIGO DEL PRODUCTO]],Tabla79[],2,FALSE)</f>
        <v>PIEDRA 6-20</v>
      </c>
      <c r="T766" s="37">
        <v>36460</v>
      </c>
      <c r="U766" s="78"/>
    </row>
    <row r="767" spans="8:24" x14ac:dyDescent="0.25">
      <c r="H767" s="34"/>
      <c r="I767" s="34" t="s">
        <v>588</v>
      </c>
      <c r="J767" s="35">
        <v>45938</v>
      </c>
      <c r="K767" s="36" t="s">
        <v>43</v>
      </c>
      <c r="L767" s="39" t="str">
        <f>VLOOKUP(Tabla810[[#This Row],[CODIGO DEL PRODUCTO]],Tabla79[],2,FALSE)</f>
        <v>PIEDRA 6-20</v>
      </c>
      <c r="M767" s="37">
        <v>2000</v>
      </c>
      <c r="O767" s="76">
        <v>2644075</v>
      </c>
      <c r="P767" s="78" t="s">
        <v>65</v>
      </c>
      <c r="Q767" s="77">
        <v>45863</v>
      </c>
      <c r="R767" s="78" t="s">
        <v>286</v>
      </c>
      <c r="S767" s="36" t="str">
        <f>VLOOKUP(Tabla911[[#This Row],[CODIGO DEL PRODUCTO]],Tabla79[],2,FALSE)</f>
        <v>CPF 40 AVELLANEDA</v>
      </c>
      <c r="T767" s="37">
        <v>35920</v>
      </c>
      <c r="U767" s="78"/>
    </row>
    <row r="768" spans="8:24" x14ac:dyDescent="0.25">
      <c r="H768" s="34">
        <v>13324</v>
      </c>
      <c r="I768" s="34" t="s">
        <v>479</v>
      </c>
      <c r="J768" s="35">
        <v>45938</v>
      </c>
      <c r="K768" s="36" t="s">
        <v>42</v>
      </c>
      <c r="L768" s="39" t="str">
        <f>VLOOKUP(Tabla810[[#This Row],[CODIGO DEL PRODUCTO]],Tabla79[],2,FALSE)</f>
        <v>ARENA FINA</v>
      </c>
      <c r="M768" s="37">
        <v>3000</v>
      </c>
      <c r="O768" s="76">
        <v>101199</v>
      </c>
      <c r="P768" s="78" t="s">
        <v>235</v>
      </c>
      <c r="Q768" s="77">
        <v>45864</v>
      </c>
      <c r="R768" s="78" t="s">
        <v>42</v>
      </c>
      <c r="S768" s="36" t="str">
        <f>VLOOKUP(Tabla911[[#This Row],[CODIGO DEL PRODUCTO]],Tabla79[],2,FALSE)</f>
        <v>ARENA FINA</v>
      </c>
      <c r="T768" s="37">
        <v>38080</v>
      </c>
      <c r="U768" s="78"/>
    </row>
    <row r="769" spans="8:21" x14ac:dyDescent="0.25">
      <c r="H769" s="34"/>
      <c r="I769" s="34" t="s">
        <v>479</v>
      </c>
      <c r="J769" s="35">
        <v>45938</v>
      </c>
      <c r="K769" s="36" t="s">
        <v>43</v>
      </c>
      <c r="L769" s="39" t="str">
        <f>VLOOKUP(Tabla810[[#This Row],[CODIGO DEL PRODUCTO]],Tabla79[],2,FALSE)</f>
        <v>PIEDRA 6-20</v>
      </c>
      <c r="M769" s="37">
        <v>3000</v>
      </c>
      <c r="O769" s="76">
        <v>140666</v>
      </c>
      <c r="P769" s="78" t="s">
        <v>296</v>
      </c>
      <c r="Q769" s="77">
        <v>45864</v>
      </c>
      <c r="R769" s="78" t="s">
        <v>40</v>
      </c>
      <c r="S769" s="36" t="str">
        <f>VLOOKUP(Tabla911[[#This Row],[CODIGO DEL PRODUCTO]],Tabla79[],2,FALSE)</f>
        <v>PIEDRA 0-6</v>
      </c>
      <c r="T769" s="37">
        <v>34840</v>
      </c>
      <c r="U769" s="78"/>
    </row>
    <row r="770" spans="8:21" x14ac:dyDescent="0.25">
      <c r="H770" s="34">
        <v>13329</v>
      </c>
      <c r="I770" s="34" t="s">
        <v>514</v>
      </c>
      <c r="J770" s="35">
        <v>45938</v>
      </c>
      <c r="K770" s="36" t="s">
        <v>42</v>
      </c>
      <c r="L770" s="39" t="str">
        <f>VLOOKUP(Tabla810[[#This Row],[CODIGO DEL PRODUCTO]],Tabla79[],2,FALSE)</f>
        <v>ARENA FINA</v>
      </c>
      <c r="M770" s="37">
        <v>38340</v>
      </c>
      <c r="O770" s="76">
        <v>2644233</v>
      </c>
      <c r="P770" s="78" t="s">
        <v>65</v>
      </c>
      <c r="Q770" s="77">
        <v>45864</v>
      </c>
      <c r="R770" s="78" t="s">
        <v>286</v>
      </c>
      <c r="S770" s="36" t="str">
        <f>VLOOKUP(Tabla911[[#This Row],[CODIGO DEL PRODUCTO]],Tabla79[],2,FALSE)</f>
        <v>CPF 40 AVELLANEDA</v>
      </c>
      <c r="T770" s="37">
        <v>35880</v>
      </c>
      <c r="U770" s="78"/>
    </row>
    <row r="771" spans="8:21" x14ac:dyDescent="0.25">
      <c r="H771" s="34"/>
      <c r="I771" s="34" t="s">
        <v>53</v>
      </c>
      <c r="J771" s="35">
        <v>45936</v>
      </c>
      <c r="K771" s="36" t="s">
        <v>42</v>
      </c>
      <c r="L771" s="39" t="str">
        <f>VLOOKUP(Tabla810[[#This Row],[CODIGO DEL PRODUCTO]],Tabla79[],2,FALSE)</f>
        <v>ARENA FINA</v>
      </c>
      <c r="M771" s="37">
        <v>524907</v>
      </c>
      <c r="O771" s="76">
        <v>101205</v>
      </c>
      <c r="P771" s="78" t="s">
        <v>235</v>
      </c>
      <c r="Q771" s="77">
        <v>45866</v>
      </c>
      <c r="R771" s="78" t="s">
        <v>42</v>
      </c>
      <c r="S771" s="36" t="str">
        <f>VLOOKUP(Tabla911[[#This Row],[CODIGO DEL PRODUCTO]],Tabla79[],2,FALSE)</f>
        <v>ARENA FINA</v>
      </c>
      <c r="T771" s="37">
        <v>36140</v>
      </c>
      <c r="U771" s="78"/>
    </row>
    <row r="772" spans="8:21" x14ac:dyDescent="0.25">
      <c r="H772" s="34"/>
      <c r="I772" s="34" t="s">
        <v>53</v>
      </c>
      <c r="J772" s="35">
        <v>45937</v>
      </c>
      <c r="K772" s="36" t="s">
        <v>40</v>
      </c>
      <c r="L772" s="39" t="str">
        <f>VLOOKUP(Tabla810[[#This Row],[CODIGO DEL PRODUCTO]],Tabla79[],2,FALSE)</f>
        <v>PIEDRA 0-6</v>
      </c>
      <c r="M772" s="37">
        <v>350697</v>
      </c>
      <c r="O772" s="76">
        <v>101212</v>
      </c>
      <c r="P772" s="78" t="s">
        <v>370</v>
      </c>
      <c r="Q772" s="77">
        <v>45866</v>
      </c>
      <c r="R772" s="78" t="s">
        <v>42</v>
      </c>
      <c r="S772" s="36" t="str">
        <f>VLOOKUP(Tabla911[[#This Row],[CODIGO DEL PRODUCTO]],Tabla79[],2,FALSE)</f>
        <v>ARENA FINA</v>
      </c>
      <c r="T772" s="37">
        <v>36960</v>
      </c>
      <c r="U772" s="78"/>
    </row>
    <row r="773" spans="8:21" x14ac:dyDescent="0.25">
      <c r="H773" s="34"/>
      <c r="I773" s="34" t="s">
        <v>53</v>
      </c>
      <c r="J773" s="35">
        <v>45938</v>
      </c>
      <c r="K773" s="36" t="s">
        <v>286</v>
      </c>
      <c r="L773" s="39" t="str">
        <f>VLOOKUP(Tabla810[[#This Row],[CODIGO DEL PRODUCTO]],Tabla79[],2,FALSE)</f>
        <v>CPF 40 AVELLANEDA</v>
      </c>
      <c r="M773" s="37">
        <v>258580</v>
      </c>
      <c r="O773" s="76">
        <v>103208</v>
      </c>
      <c r="P773" s="78" t="s">
        <v>237</v>
      </c>
      <c r="Q773" s="77">
        <v>45866</v>
      </c>
      <c r="R773" s="78" t="s">
        <v>43</v>
      </c>
      <c r="S773" s="36" t="str">
        <f>VLOOKUP(Tabla911[[#This Row],[CODIGO DEL PRODUCTO]],Tabla79[],2,FALSE)</f>
        <v>PIEDRA 6-20</v>
      </c>
      <c r="T773" s="37">
        <v>34420</v>
      </c>
      <c r="U773" s="78"/>
    </row>
    <row r="774" spans="8:21" x14ac:dyDescent="0.25">
      <c r="H774" s="34"/>
      <c r="I774" s="34" t="s">
        <v>53</v>
      </c>
      <c r="J774" s="35">
        <v>45939</v>
      </c>
      <c r="K774" s="36" t="s">
        <v>48</v>
      </c>
      <c r="L774" s="39" t="str">
        <f>VLOOKUP(Tabla810[[#This Row],[CODIGO DEL PRODUCTO]],Tabla79[],2,FALSE)</f>
        <v>PIEDRA 6-12</v>
      </c>
      <c r="M774" s="37">
        <v>172025</v>
      </c>
      <c r="O774" s="76">
        <v>103214</v>
      </c>
      <c r="P774" s="78" t="s">
        <v>155</v>
      </c>
      <c r="Q774" s="77">
        <v>45866</v>
      </c>
      <c r="R774" s="78" t="s">
        <v>43</v>
      </c>
      <c r="S774" s="36" t="str">
        <f>VLOOKUP(Tabla911[[#This Row],[CODIGO DEL PRODUCTO]],Tabla79[],2,FALSE)</f>
        <v>PIEDRA 6-20</v>
      </c>
      <c r="T774" s="37">
        <v>33940</v>
      </c>
      <c r="U774" s="78"/>
    </row>
    <row r="775" spans="8:21" x14ac:dyDescent="0.25">
      <c r="H775" s="34"/>
      <c r="I775" s="34" t="s">
        <v>53</v>
      </c>
      <c r="J775" s="35">
        <v>45940</v>
      </c>
      <c r="K775" s="36" t="s">
        <v>43</v>
      </c>
      <c r="L775" s="39" t="str">
        <f>VLOOKUP(Tabla810[[#This Row],[CODIGO DEL PRODUCTO]],Tabla79[],2,FALSE)</f>
        <v>PIEDRA 6-20</v>
      </c>
      <c r="M775" s="37">
        <v>544789</v>
      </c>
      <c r="O775" s="76">
        <v>103218</v>
      </c>
      <c r="P775" s="78" t="s">
        <v>355</v>
      </c>
      <c r="Q775" s="77">
        <v>45866</v>
      </c>
      <c r="R775" s="78" t="s">
        <v>43</v>
      </c>
      <c r="S775" s="36" t="str">
        <f>VLOOKUP(Tabla911[[#This Row],[CODIGO DEL PRODUCTO]],Tabla79[],2,FALSE)</f>
        <v>PIEDRA 6-20</v>
      </c>
      <c r="T775" s="37">
        <v>34540</v>
      </c>
      <c r="U775" s="78"/>
    </row>
    <row r="776" spans="8:21" x14ac:dyDescent="0.25">
      <c r="H776" s="34"/>
      <c r="I776" s="34" t="s">
        <v>53</v>
      </c>
      <c r="J776" s="35">
        <v>45941</v>
      </c>
      <c r="K776" s="36" t="s">
        <v>425</v>
      </c>
      <c r="L776" s="39" t="str">
        <f>VLOOKUP(Tabla810[[#This Row],[CODIGO DEL PRODUCTO]],Tabla79[],2,FALSE)</f>
        <v>W351R</v>
      </c>
      <c r="M776" s="37">
        <v>1408.3</v>
      </c>
      <c r="O776" s="76">
        <v>103224</v>
      </c>
      <c r="P776" s="78" t="s">
        <v>375</v>
      </c>
      <c r="Q776" s="77">
        <v>45866</v>
      </c>
      <c r="R776" s="78" t="s">
        <v>43</v>
      </c>
      <c r="S776" s="36" t="str">
        <f>VLOOKUP(Tabla911[[#This Row],[CODIGO DEL PRODUCTO]],Tabla79[],2,FALSE)</f>
        <v>PIEDRA 6-20</v>
      </c>
      <c r="T776" s="37">
        <v>34700</v>
      </c>
      <c r="U776" s="78"/>
    </row>
    <row r="777" spans="8:21" x14ac:dyDescent="0.25">
      <c r="H777" s="34">
        <v>13330</v>
      </c>
      <c r="I777" s="34" t="s">
        <v>442</v>
      </c>
      <c r="J777" s="35">
        <v>45939</v>
      </c>
      <c r="K777" s="36" t="s">
        <v>42</v>
      </c>
      <c r="L777" s="39" t="str">
        <f>VLOOKUP(Tabla810[[#This Row],[CODIGO DEL PRODUCTO]],Tabla79[],2,FALSE)</f>
        <v>ARENA FINA</v>
      </c>
      <c r="M777" s="37">
        <v>5000</v>
      </c>
      <c r="O777" s="76">
        <v>103228</v>
      </c>
      <c r="P777" s="78" t="s">
        <v>156</v>
      </c>
      <c r="Q777" s="77">
        <v>45866</v>
      </c>
      <c r="R777" s="78" t="s">
        <v>40</v>
      </c>
      <c r="S777" s="36" t="str">
        <f>VLOOKUP(Tabla911[[#This Row],[CODIGO DEL PRODUCTO]],Tabla79[],2,FALSE)</f>
        <v>PIEDRA 0-6</v>
      </c>
      <c r="T777" s="37">
        <v>35300</v>
      </c>
      <c r="U777" s="78"/>
    </row>
    <row r="778" spans="8:21" x14ac:dyDescent="0.25">
      <c r="H778" s="34">
        <v>13332</v>
      </c>
      <c r="I778" s="34" t="s">
        <v>589</v>
      </c>
      <c r="J778" s="35">
        <v>45939</v>
      </c>
      <c r="K778" s="36" t="s">
        <v>42</v>
      </c>
      <c r="L778" s="39" t="str">
        <f>VLOOKUP(Tabla810[[#This Row],[CODIGO DEL PRODUCTO]],Tabla79[],2,FALSE)</f>
        <v>ARENA FINA</v>
      </c>
      <c r="M778" s="37">
        <v>4000</v>
      </c>
      <c r="O778" s="76">
        <v>2644590</v>
      </c>
      <c r="P778" s="78" t="s">
        <v>65</v>
      </c>
      <c r="Q778" s="77">
        <v>45866</v>
      </c>
      <c r="R778" s="78" t="s">
        <v>286</v>
      </c>
      <c r="S778" s="36" t="str">
        <f>VLOOKUP(Tabla911[[#This Row],[CODIGO DEL PRODUCTO]],Tabla79[],2,FALSE)</f>
        <v>CPF 40 AVELLANEDA</v>
      </c>
      <c r="T778" s="37">
        <v>35700</v>
      </c>
      <c r="U778" s="78"/>
    </row>
    <row r="779" spans="8:21" x14ac:dyDescent="0.25">
      <c r="H779" s="34">
        <v>13356</v>
      </c>
      <c r="I779" s="34" t="s">
        <v>442</v>
      </c>
      <c r="J779" s="35">
        <v>45939</v>
      </c>
      <c r="K779" s="36" t="s">
        <v>46</v>
      </c>
      <c r="L779" s="39" t="str">
        <f>VLOOKUP(Tabla810[[#This Row],[CODIGO DEL PRODUCTO]],Tabla79[],2,FALSE)</f>
        <v>PIEDRA 10-30</v>
      </c>
      <c r="M779" s="37">
        <v>21960</v>
      </c>
      <c r="O779" s="76">
        <v>101228</v>
      </c>
      <c r="P779" s="78" t="s">
        <v>370</v>
      </c>
      <c r="Q779" s="77">
        <v>45867</v>
      </c>
      <c r="R779" s="78" t="s">
        <v>42</v>
      </c>
      <c r="S779" s="36" t="str">
        <f>VLOOKUP(Tabla911[[#This Row],[CODIGO DEL PRODUCTO]],Tabla79[],2,FALSE)</f>
        <v>ARENA FINA</v>
      </c>
      <c r="T779" s="37">
        <v>37660</v>
      </c>
      <c r="U779" s="78"/>
    </row>
    <row r="780" spans="8:21" x14ac:dyDescent="0.25">
      <c r="H780" s="34">
        <v>13359</v>
      </c>
      <c r="I780" s="34" t="s">
        <v>572</v>
      </c>
      <c r="J780" s="35">
        <v>45939</v>
      </c>
      <c r="K780" s="36" t="s">
        <v>43</v>
      </c>
      <c r="L780" s="39" t="str">
        <f>VLOOKUP(Tabla810[[#This Row],[CODIGO DEL PRODUCTO]],Tabla79[],2,FALSE)</f>
        <v>PIEDRA 6-20</v>
      </c>
      <c r="M780" s="37">
        <v>5000</v>
      </c>
      <c r="O780" s="76">
        <v>103246</v>
      </c>
      <c r="P780" s="78" t="s">
        <v>355</v>
      </c>
      <c r="Q780" s="77">
        <v>45867</v>
      </c>
      <c r="R780" s="78" t="s">
        <v>43</v>
      </c>
      <c r="S780" s="36" t="str">
        <f>VLOOKUP(Tabla911[[#This Row],[CODIGO DEL PRODUCTO]],Tabla79[],2,FALSE)</f>
        <v>PIEDRA 6-20</v>
      </c>
      <c r="T780" s="37">
        <v>34980</v>
      </c>
      <c r="U780" s="78"/>
    </row>
    <row r="781" spans="8:21" x14ac:dyDescent="0.25">
      <c r="H781" s="34">
        <v>13361</v>
      </c>
      <c r="I781" s="34" t="s">
        <v>588</v>
      </c>
      <c r="J781" s="35">
        <v>45939</v>
      </c>
      <c r="K781" s="36" t="s">
        <v>42</v>
      </c>
      <c r="L781" s="39" t="str">
        <f>VLOOKUP(Tabla810[[#This Row],[CODIGO DEL PRODUCTO]],Tabla79[],2,FALSE)</f>
        <v>ARENA FINA</v>
      </c>
      <c r="M781" s="37">
        <v>3000</v>
      </c>
      <c r="O781" s="76">
        <v>103252</v>
      </c>
      <c r="P781" s="78" t="s">
        <v>375</v>
      </c>
      <c r="Q781" s="77">
        <v>45867</v>
      </c>
      <c r="R781" s="78" t="s">
        <v>43</v>
      </c>
      <c r="S781" s="36" t="str">
        <f>VLOOKUP(Tabla911[[#This Row],[CODIGO DEL PRODUCTO]],Tabla79[],2,FALSE)</f>
        <v>PIEDRA 6-20</v>
      </c>
      <c r="T781" s="37">
        <v>34560</v>
      </c>
      <c r="U781" s="78"/>
    </row>
    <row r="782" spans="8:21" x14ac:dyDescent="0.25">
      <c r="H782" s="34">
        <v>13368</v>
      </c>
      <c r="I782" s="34" t="s">
        <v>573</v>
      </c>
      <c r="J782" s="35">
        <v>45939</v>
      </c>
      <c r="K782" s="36" t="s">
        <v>42</v>
      </c>
      <c r="L782" s="39" t="str">
        <f>VLOOKUP(Tabla810[[#This Row],[CODIGO DEL PRODUCTO]],Tabla79[],2,FALSE)</f>
        <v>ARENA FINA</v>
      </c>
      <c r="M782" s="37">
        <v>5000</v>
      </c>
      <c r="O782" s="76">
        <v>103257</v>
      </c>
      <c r="P782" s="78" t="s">
        <v>155</v>
      </c>
      <c r="Q782" s="77">
        <v>45867</v>
      </c>
      <c r="R782" s="78" t="s">
        <v>43</v>
      </c>
      <c r="S782" s="36" t="str">
        <f>VLOOKUP(Tabla911[[#This Row],[CODIGO DEL PRODUCTO]],Tabla79[],2,FALSE)</f>
        <v>PIEDRA 6-20</v>
      </c>
      <c r="T782" s="37">
        <v>34700</v>
      </c>
      <c r="U782" s="78"/>
    </row>
    <row r="783" spans="8:21" x14ac:dyDescent="0.25">
      <c r="H783" s="34">
        <v>13377</v>
      </c>
      <c r="I783" s="34" t="s">
        <v>572</v>
      </c>
      <c r="J783" s="35">
        <v>45939</v>
      </c>
      <c r="K783" s="36" t="s">
        <v>42</v>
      </c>
      <c r="L783" s="39" t="str">
        <f>VLOOKUP(Tabla810[[#This Row],[CODIGO DEL PRODUCTO]],Tabla79[],2,FALSE)</f>
        <v>ARENA FINA</v>
      </c>
      <c r="M783" s="37">
        <v>5000</v>
      </c>
      <c r="O783" s="76">
        <v>103261</v>
      </c>
      <c r="P783" s="78" t="s">
        <v>156</v>
      </c>
      <c r="Q783" s="77">
        <v>45867</v>
      </c>
      <c r="R783" s="78" t="s">
        <v>40</v>
      </c>
      <c r="S783" s="36" t="str">
        <f>VLOOKUP(Tabla911[[#This Row],[CODIGO DEL PRODUCTO]],Tabla79[],2,FALSE)</f>
        <v>PIEDRA 0-6</v>
      </c>
      <c r="T783" s="37">
        <v>34400</v>
      </c>
      <c r="U783" s="78"/>
    </row>
    <row r="784" spans="8:21" x14ac:dyDescent="0.25">
      <c r="H784" s="34">
        <v>13385</v>
      </c>
      <c r="I784" s="34" t="s">
        <v>514</v>
      </c>
      <c r="J784" s="35">
        <v>45939</v>
      </c>
      <c r="K784" s="36" t="s">
        <v>42</v>
      </c>
      <c r="L784" s="39" t="str">
        <f>VLOOKUP(Tabla810[[#This Row],[CODIGO DEL PRODUCTO]],Tabla79[],2,FALSE)</f>
        <v>ARENA FINA</v>
      </c>
      <c r="M784" s="37">
        <v>36400</v>
      </c>
      <c r="O784" s="76">
        <v>140787</v>
      </c>
      <c r="P784" s="78" t="s">
        <v>118</v>
      </c>
      <c r="Q784" s="77">
        <v>45867</v>
      </c>
      <c r="R784" s="78" t="s">
        <v>43</v>
      </c>
      <c r="S784" s="36" t="str">
        <f>VLOOKUP(Tabla911[[#This Row],[CODIGO DEL PRODUCTO]],Tabla79[],2,FALSE)</f>
        <v>PIEDRA 6-20</v>
      </c>
      <c r="T784" s="37">
        <v>35160</v>
      </c>
      <c r="U784" s="78"/>
    </row>
    <row r="785" spans="8:21" x14ac:dyDescent="0.25">
      <c r="H785" s="34">
        <v>13413</v>
      </c>
      <c r="I785" s="34" t="s">
        <v>56</v>
      </c>
      <c r="J785" s="35">
        <v>45940</v>
      </c>
      <c r="K785" s="36" t="s">
        <v>42</v>
      </c>
      <c r="L785" s="39" t="str">
        <f>VLOOKUP(Tabla810[[#This Row],[CODIGO DEL PRODUCTO]],Tabla79[],2,FALSE)</f>
        <v>ARENA FINA</v>
      </c>
      <c r="M785" s="37">
        <v>5000</v>
      </c>
      <c r="O785" s="76">
        <v>2644810</v>
      </c>
      <c r="P785" s="78" t="s">
        <v>65</v>
      </c>
      <c r="Q785" s="77">
        <v>45867</v>
      </c>
      <c r="R785" s="78" t="s">
        <v>286</v>
      </c>
      <c r="S785" s="36" t="str">
        <f>VLOOKUP(Tabla911[[#This Row],[CODIGO DEL PRODUCTO]],Tabla79[],2,FALSE)</f>
        <v>CPF 40 AVELLANEDA</v>
      </c>
      <c r="T785" s="37">
        <v>35900</v>
      </c>
      <c r="U785" s="78"/>
    </row>
    <row r="786" spans="8:21" x14ac:dyDescent="0.25">
      <c r="H786" s="34">
        <v>13441</v>
      </c>
      <c r="I786" s="34" t="s">
        <v>573</v>
      </c>
      <c r="J786" s="35">
        <v>45943</v>
      </c>
      <c r="K786" s="36" t="s">
        <v>42</v>
      </c>
      <c r="L786" s="39" t="str">
        <f>VLOOKUP(Tabla810[[#This Row],[CODIGO DEL PRODUCTO]],Tabla79[],2,FALSE)</f>
        <v>ARENA FINA</v>
      </c>
      <c r="M786" s="37">
        <v>5000</v>
      </c>
      <c r="O786" s="76">
        <v>2644907</v>
      </c>
      <c r="P786" s="78" t="s">
        <v>296</v>
      </c>
      <c r="Q786" s="77">
        <v>45867</v>
      </c>
      <c r="R786" s="78" t="s">
        <v>286</v>
      </c>
      <c r="S786" s="36" t="str">
        <f>VLOOKUP(Tabla911[[#This Row],[CODIGO DEL PRODUCTO]],Tabla79[],2,FALSE)</f>
        <v>CPF 40 AVELLANEDA</v>
      </c>
      <c r="T786" s="37">
        <v>36180</v>
      </c>
      <c r="U786" s="78"/>
    </row>
    <row r="787" spans="8:21" x14ac:dyDescent="0.25">
      <c r="H787" s="34">
        <v>13445</v>
      </c>
      <c r="I787" s="34" t="s">
        <v>573</v>
      </c>
      <c r="J787" s="35">
        <v>45943</v>
      </c>
      <c r="K787" s="36" t="s">
        <v>43</v>
      </c>
      <c r="L787" s="39" t="str">
        <f>VLOOKUP(Tabla810[[#This Row],[CODIGO DEL PRODUCTO]],Tabla79[],2,FALSE)</f>
        <v>PIEDRA 6-20</v>
      </c>
      <c r="M787" s="37">
        <v>5000</v>
      </c>
      <c r="O787" s="76">
        <v>829</v>
      </c>
      <c r="P787" s="78" t="s">
        <v>370</v>
      </c>
      <c r="Q787" s="77">
        <v>45868</v>
      </c>
      <c r="R787" s="78" t="s">
        <v>42</v>
      </c>
      <c r="S787" s="36" t="str">
        <f>VLOOKUP(Tabla911[[#This Row],[CODIGO DEL PRODUCTO]],Tabla79[],2,FALSE)</f>
        <v>ARENA FINA</v>
      </c>
      <c r="T787" s="37">
        <v>35720</v>
      </c>
      <c r="U787" s="78"/>
    </row>
    <row r="788" spans="8:21" x14ac:dyDescent="0.25">
      <c r="H788" s="34">
        <v>13459</v>
      </c>
      <c r="I788" s="34" t="s">
        <v>558</v>
      </c>
      <c r="J788" s="35">
        <v>45943</v>
      </c>
      <c r="K788" s="36" t="s">
        <v>42</v>
      </c>
      <c r="L788" s="39" t="str">
        <f>VLOOKUP(Tabla810[[#This Row],[CODIGO DEL PRODUCTO]],Tabla79[],2,FALSE)</f>
        <v>ARENA FINA</v>
      </c>
      <c r="M788" s="37">
        <v>32120</v>
      </c>
      <c r="O788" s="76">
        <v>103284</v>
      </c>
      <c r="P788" s="78" t="s">
        <v>237</v>
      </c>
      <c r="Q788" s="77">
        <v>45868</v>
      </c>
      <c r="R788" s="78" t="s">
        <v>43</v>
      </c>
      <c r="S788" s="36" t="str">
        <f>VLOOKUP(Tabla911[[#This Row],[CODIGO DEL PRODUCTO]],Tabla79[],2,FALSE)</f>
        <v>PIEDRA 6-20</v>
      </c>
      <c r="T788" s="37">
        <v>35180</v>
      </c>
      <c r="U788" s="78"/>
    </row>
    <row r="789" spans="8:21" x14ac:dyDescent="0.25">
      <c r="H789" s="34">
        <v>13460</v>
      </c>
      <c r="I789" s="34" t="s">
        <v>558</v>
      </c>
      <c r="J789" s="35">
        <v>45943</v>
      </c>
      <c r="K789" s="36" t="s">
        <v>46</v>
      </c>
      <c r="L789" s="39" t="str">
        <f>VLOOKUP(Tabla810[[#This Row],[CODIGO DEL PRODUCTO]],Tabla79[],2,FALSE)</f>
        <v>PIEDRA 10-30</v>
      </c>
      <c r="M789" s="37">
        <v>30340</v>
      </c>
      <c r="O789" s="76">
        <v>103288</v>
      </c>
      <c r="P789" s="78" t="s">
        <v>355</v>
      </c>
      <c r="Q789" s="77">
        <v>45868</v>
      </c>
      <c r="R789" s="78" t="s">
        <v>43</v>
      </c>
      <c r="S789" s="36" t="str">
        <f>VLOOKUP(Tabla911[[#This Row],[CODIGO DEL PRODUCTO]],Tabla79[],2,FALSE)</f>
        <v>PIEDRA 6-20</v>
      </c>
      <c r="T789" s="37">
        <v>35180</v>
      </c>
      <c r="U789" s="78"/>
    </row>
    <row r="790" spans="8:21" x14ac:dyDescent="0.25">
      <c r="H790" s="34">
        <v>13469</v>
      </c>
      <c r="I790" s="34" t="s">
        <v>465</v>
      </c>
      <c r="J790" s="35">
        <v>45944</v>
      </c>
      <c r="K790" s="36" t="s">
        <v>42</v>
      </c>
      <c r="L790" s="39" t="str">
        <f>VLOOKUP(Tabla810[[#This Row],[CODIGO DEL PRODUCTO]],Tabla79[],2,FALSE)</f>
        <v>ARENA FINA</v>
      </c>
      <c r="M790" s="37">
        <v>1000</v>
      </c>
      <c r="O790" s="76">
        <v>103290</v>
      </c>
      <c r="P790" s="78" t="s">
        <v>375</v>
      </c>
      <c r="Q790" s="77">
        <v>45868</v>
      </c>
      <c r="R790" s="78" t="s">
        <v>43</v>
      </c>
      <c r="S790" s="36" t="str">
        <f>VLOOKUP(Tabla911[[#This Row],[CODIGO DEL PRODUCTO]],Tabla79[],2,FALSE)</f>
        <v>PIEDRA 6-20</v>
      </c>
      <c r="T790" s="37">
        <v>35080</v>
      </c>
      <c r="U790" s="78"/>
    </row>
    <row r="791" spans="8:21" x14ac:dyDescent="0.25">
      <c r="H791" s="34">
        <v>13470</v>
      </c>
      <c r="I791" s="34" t="s">
        <v>403</v>
      </c>
      <c r="J791" s="35">
        <v>45944</v>
      </c>
      <c r="K791" s="36" t="s">
        <v>42</v>
      </c>
      <c r="L791" s="39" t="str">
        <f>VLOOKUP(Tabla810[[#This Row],[CODIGO DEL PRODUCTO]],Tabla79[],2,FALSE)</f>
        <v>ARENA FINA</v>
      </c>
      <c r="M791" s="37">
        <v>5000</v>
      </c>
      <c r="O791" s="76">
        <v>103293</v>
      </c>
      <c r="P791" s="78" t="s">
        <v>156</v>
      </c>
      <c r="Q791" s="77">
        <v>45868</v>
      </c>
      <c r="R791" s="78" t="s">
        <v>40</v>
      </c>
      <c r="S791" s="36" t="str">
        <f>VLOOKUP(Tabla911[[#This Row],[CODIGO DEL PRODUCTO]],Tabla79[],2,FALSE)</f>
        <v>PIEDRA 0-6</v>
      </c>
      <c r="T791" s="37">
        <v>34140</v>
      </c>
      <c r="U791" s="78"/>
    </row>
    <row r="792" spans="8:21" x14ac:dyDescent="0.25">
      <c r="H792" s="34">
        <v>13476</v>
      </c>
      <c r="I792" s="34" t="s">
        <v>413</v>
      </c>
      <c r="J792" s="35">
        <v>45944</v>
      </c>
      <c r="K792" s="36" t="s">
        <v>42</v>
      </c>
      <c r="L792" s="39" t="str">
        <f>VLOOKUP(Tabla810[[#This Row],[CODIGO DEL PRODUCTO]],Tabla79[],2,FALSE)</f>
        <v>ARENA FINA</v>
      </c>
      <c r="M792" s="37">
        <v>4000</v>
      </c>
      <c r="O792" s="76">
        <v>103298</v>
      </c>
      <c r="P792" s="78" t="s">
        <v>155</v>
      </c>
      <c r="Q792" s="77">
        <v>45868</v>
      </c>
      <c r="R792" s="78" t="s">
        <v>43</v>
      </c>
      <c r="S792" s="36" t="str">
        <f>VLOOKUP(Tabla911[[#This Row],[CODIGO DEL PRODUCTO]],Tabla79[],2,FALSE)</f>
        <v>PIEDRA 6-20</v>
      </c>
      <c r="T792" s="37">
        <v>34780</v>
      </c>
      <c r="U792" s="78"/>
    </row>
    <row r="793" spans="8:21" x14ac:dyDescent="0.25">
      <c r="H793" s="34">
        <v>13479</v>
      </c>
      <c r="I793" s="34" t="s">
        <v>383</v>
      </c>
      <c r="J793" s="35">
        <v>45944</v>
      </c>
      <c r="K793" s="36" t="s">
        <v>372</v>
      </c>
      <c r="L793" s="39" t="str">
        <f>VLOOKUP(Tabla810[[#This Row],[CODIGO DEL PRODUCTO]],Tabla79[],2,FALSE)</f>
        <v xml:space="preserve">ESTABILIZADO GRANULOMETRICO 0/20 </v>
      </c>
      <c r="M793" s="37">
        <v>3000</v>
      </c>
      <c r="O793" s="76">
        <v>2644973</v>
      </c>
      <c r="P793" s="78" t="s">
        <v>65</v>
      </c>
      <c r="Q793" s="77">
        <v>45868</v>
      </c>
      <c r="R793" s="78" t="s">
        <v>286</v>
      </c>
      <c r="S793" s="36" t="str">
        <f>VLOOKUP(Tabla911[[#This Row],[CODIGO DEL PRODUCTO]],Tabla79[],2,FALSE)</f>
        <v>CPF 40 AVELLANEDA</v>
      </c>
      <c r="T793" s="37">
        <v>35840</v>
      </c>
      <c r="U793" s="78"/>
    </row>
    <row r="794" spans="8:21" x14ac:dyDescent="0.25">
      <c r="H794" s="34">
        <v>13481</v>
      </c>
      <c r="I794" s="34" t="s">
        <v>383</v>
      </c>
      <c r="J794" s="35">
        <v>45944</v>
      </c>
      <c r="K794" s="36" t="s">
        <v>372</v>
      </c>
      <c r="L794" s="39" t="str">
        <f>VLOOKUP(Tabla810[[#This Row],[CODIGO DEL PRODUCTO]],Tabla79[],2,FALSE)</f>
        <v xml:space="preserve">ESTABILIZADO GRANULOMETRICO 0/20 </v>
      </c>
      <c r="M794" s="37">
        <v>1500</v>
      </c>
      <c r="O794" s="76">
        <v>2645172</v>
      </c>
      <c r="P794" s="78" t="s">
        <v>296</v>
      </c>
      <c r="Q794" s="77">
        <v>45868</v>
      </c>
      <c r="R794" s="78" t="s">
        <v>286</v>
      </c>
      <c r="S794" s="36" t="str">
        <f>VLOOKUP(Tabla911[[#This Row],[CODIGO DEL PRODUCTO]],Tabla79[],2,FALSE)</f>
        <v>CPF 40 AVELLANEDA</v>
      </c>
      <c r="T794" s="37">
        <v>36040</v>
      </c>
      <c r="U794" s="78"/>
    </row>
    <row r="795" spans="8:21" x14ac:dyDescent="0.25">
      <c r="H795" s="34">
        <v>13494</v>
      </c>
      <c r="I795" s="34" t="s">
        <v>590</v>
      </c>
      <c r="J795" s="35">
        <v>45944</v>
      </c>
      <c r="K795" s="36" t="s">
        <v>42</v>
      </c>
      <c r="L795" s="39" t="str">
        <f>VLOOKUP(Tabla810[[#This Row],[CODIGO DEL PRODUCTO]],Tabla79[],2,FALSE)</f>
        <v>ARENA FINA</v>
      </c>
      <c r="M795" s="37">
        <v>5000</v>
      </c>
      <c r="O795" s="76">
        <v>101252</v>
      </c>
      <c r="P795" s="78" t="s">
        <v>235</v>
      </c>
      <c r="Q795" s="77">
        <v>45869</v>
      </c>
      <c r="R795" s="78" t="s">
        <v>42</v>
      </c>
      <c r="S795" s="36" t="str">
        <f>VLOOKUP(Tabla911[[#This Row],[CODIGO DEL PRODUCTO]],Tabla79[],2,FALSE)</f>
        <v>ARENA FINA</v>
      </c>
      <c r="T795" s="37">
        <v>37120</v>
      </c>
      <c r="U795" s="78"/>
    </row>
    <row r="796" spans="8:21" x14ac:dyDescent="0.25">
      <c r="H796" s="34">
        <v>13499</v>
      </c>
      <c r="I796" s="34" t="s">
        <v>590</v>
      </c>
      <c r="J796" s="35">
        <v>45944</v>
      </c>
      <c r="K796" s="36" t="s">
        <v>42</v>
      </c>
      <c r="L796" s="39" t="str">
        <f>VLOOKUP(Tabla810[[#This Row],[CODIGO DEL PRODUCTO]],Tabla79[],2,FALSE)</f>
        <v>ARENA FINA</v>
      </c>
      <c r="M796" s="37">
        <v>4000</v>
      </c>
      <c r="O796" s="76">
        <v>101256</v>
      </c>
      <c r="P796" s="78" t="s">
        <v>370</v>
      </c>
      <c r="Q796" s="77">
        <v>45869</v>
      </c>
      <c r="R796" s="78" t="s">
        <v>42</v>
      </c>
      <c r="S796" s="36" t="str">
        <f>VLOOKUP(Tabla911[[#This Row],[CODIGO DEL PRODUCTO]],Tabla79[],2,FALSE)</f>
        <v>ARENA FINA</v>
      </c>
      <c r="T796" s="37">
        <v>35820</v>
      </c>
      <c r="U796" s="78"/>
    </row>
    <row r="797" spans="8:21" x14ac:dyDescent="0.25">
      <c r="H797" s="34">
        <v>13512</v>
      </c>
      <c r="I797" s="34" t="s">
        <v>447</v>
      </c>
      <c r="J797" s="35">
        <v>45945</v>
      </c>
      <c r="K797" s="36" t="s">
        <v>43</v>
      </c>
      <c r="L797" s="39" t="str">
        <f>VLOOKUP(Tabla810[[#This Row],[CODIGO DEL PRODUCTO]],Tabla79[],2,FALSE)</f>
        <v>PIEDRA 6-20</v>
      </c>
      <c r="M797" s="37">
        <v>34900</v>
      </c>
      <c r="O797" s="76">
        <v>103313</v>
      </c>
      <c r="P797" s="78" t="s">
        <v>237</v>
      </c>
      <c r="Q797" s="77">
        <v>45869</v>
      </c>
      <c r="R797" s="78" t="s">
        <v>43</v>
      </c>
      <c r="S797" s="36" t="str">
        <f>VLOOKUP(Tabla911[[#This Row],[CODIGO DEL PRODUCTO]],Tabla79[],2,FALSE)</f>
        <v>PIEDRA 6-20</v>
      </c>
      <c r="T797" s="37">
        <v>35100</v>
      </c>
      <c r="U797" s="78"/>
    </row>
    <row r="798" spans="8:21" x14ac:dyDescent="0.25">
      <c r="H798" s="34">
        <v>13515</v>
      </c>
      <c r="I798" s="34" t="s">
        <v>590</v>
      </c>
      <c r="J798" s="35">
        <v>45945</v>
      </c>
      <c r="K798" s="36" t="s">
        <v>42</v>
      </c>
      <c r="L798" s="39" t="str">
        <f>VLOOKUP(Tabla810[[#This Row],[CODIGO DEL PRODUCTO]],Tabla79[],2,FALSE)</f>
        <v>ARENA FINA</v>
      </c>
      <c r="M798" s="37">
        <v>5000</v>
      </c>
      <c r="O798" s="76">
        <v>103315</v>
      </c>
      <c r="P798" s="78" t="s">
        <v>355</v>
      </c>
      <c r="Q798" s="77">
        <v>45869</v>
      </c>
      <c r="R798" s="78" t="s">
        <v>43</v>
      </c>
      <c r="S798" s="36" t="str">
        <f>VLOOKUP(Tabla911[[#This Row],[CODIGO DEL PRODUCTO]],Tabla79[],2,FALSE)</f>
        <v>PIEDRA 6-20</v>
      </c>
      <c r="T798" s="37">
        <v>34720</v>
      </c>
      <c r="U798" s="78"/>
    </row>
    <row r="799" spans="8:21" x14ac:dyDescent="0.25">
      <c r="H799" s="34">
        <v>13525</v>
      </c>
      <c r="I799" s="34" t="s">
        <v>588</v>
      </c>
      <c r="J799" s="35">
        <v>45945</v>
      </c>
      <c r="K799" s="36" t="s">
        <v>42</v>
      </c>
      <c r="L799" s="39" t="str">
        <f>VLOOKUP(Tabla810[[#This Row],[CODIGO DEL PRODUCTO]],Tabla79[],2,FALSE)</f>
        <v>ARENA FINA</v>
      </c>
      <c r="M799" s="37">
        <v>5000</v>
      </c>
      <c r="O799" s="76">
        <v>103326</v>
      </c>
      <c r="P799" s="78" t="s">
        <v>375</v>
      </c>
      <c r="Q799" s="77">
        <v>45869</v>
      </c>
      <c r="R799" s="78" t="s">
        <v>43</v>
      </c>
      <c r="S799" s="36" t="str">
        <f>VLOOKUP(Tabla911[[#This Row],[CODIGO DEL PRODUCTO]],Tabla79[],2,FALSE)</f>
        <v>PIEDRA 6-20</v>
      </c>
      <c r="T799" s="37">
        <v>34580</v>
      </c>
      <c r="U799" s="78"/>
    </row>
    <row r="800" spans="8:21" x14ac:dyDescent="0.25">
      <c r="H800" s="34">
        <v>13527</v>
      </c>
      <c r="I800" s="34" t="s">
        <v>413</v>
      </c>
      <c r="J800" s="35">
        <v>45945</v>
      </c>
      <c r="K800" s="36" t="s">
        <v>42</v>
      </c>
      <c r="L800" s="39" t="str">
        <f>VLOOKUP(Tabla810[[#This Row],[CODIGO DEL PRODUCTO]],Tabla79[],2,FALSE)</f>
        <v>ARENA FINA</v>
      </c>
      <c r="M800" s="37">
        <v>5000</v>
      </c>
      <c r="O800" s="76">
        <v>103327</v>
      </c>
      <c r="P800" s="78" t="s">
        <v>156</v>
      </c>
      <c r="Q800" s="77">
        <v>45869</v>
      </c>
      <c r="R800" s="78" t="s">
        <v>40</v>
      </c>
      <c r="S800" s="36" t="str">
        <f>VLOOKUP(Tabla911[[#This Row],[CODIGO DEL PRODUCTO]],Tabla79[],2,FALSE)</f>
        <v>PIEDRA 0-6</v>
      </c>
      <c r="T800" s="37">
        <v>35600</v>
      </c>
      <c r="U800" s="78"/>
    </row>
    <row r="801" spans="8:24" x14ac:dyDescent="0.25">
      <c r="H801" s="34">
        <v>13531</v>
      </c>
      <c r="I801" s="34" t="s">
        <v>591</v>
      </c>
      <c r="J801" s="35">
        <v>45945</v>
      </c>
      <c r="K801" s="36" t="s">
        <v>43</v>
      </c>
      <c r="L801" s="39" t="str">
        <f>VLOOKUP(Tabla810[[#This Row],[CODIGO DEL PRODUCTO]],Tabla79[],2,FALSE)</f>
        <v>PIEDRA 6-20</v>
      </c>
      <c r="M801" s="37">
        <v>500</v>
      </c>
      <c r="O801" s="76">
        <v>103333</v>
      </c>
      <c r="P801" s="78" t="s">
        <v>155</v>
      </c>
      <c r="Q801" s="77">
        <v>45869</v>
      </c>
      <c r="R801" s="78" t="s">
        <v>43</v>
      </c>
      <c r="S801" s="36" t="str">
        <f>VLOOKUP(Tabla911[[#This Row],[CODIGO DEL PRODUCTO]],Tabla79[],2,FALSE)</f>
        <v>PIEDRA 6-20</v>
      </c>
      <c r="T801" s="37">
        <v>34820</v>
      </c>
      <c r="U801" s="78"/>
    </row>
    <row r="802" spans="8:24" x14ac:dyDescent="0.25">
      <c r="H802" s="34">
        <v>13532</v>
      </c>
      <c r="I802" s="34" t="s">
        <v>494</v>
      </c>
      <c r="J802" s="35">
        <v>45945</v>
      </c>
      <c r="K802" s="36" t="s">
        <v>42</v>
      </c>
      <c r="L802" s="39" t="str">
        <f>VLOOKUP(Tabla810[[#This Row],[CODIGO DEL PRODUCTO]],Tabla79[],2,FALSE)</f>
        <v>ARENA FINA</v>
      </c>
      <c r="M802" s="37">
        <v>2000</v>
      </c>
      <c r="O802" s="76">
        <v>2645254</v>
      </c>
      <c r="P802" s="78" t="s">
        <v>65</v>
      </c>
      <c r="Q802" s="77">
        <v>45869</v>
      </c>
      <c r="R802" s="78" t="s">
        <v>286</v>
      </c>
      <c r="S802" s="36" t="str">
        <f>VLOOKUP(Tabla911[[#This Row],[CODIGO DEL PRODUCTO]],Tabla79[],2,FALSE)</f>
        <v>CPF 40 AVELLANEDA</v>
      </c>
      <c r="T802" s="37">
        <v>36140</v>
      </c>
      <c r="U802" s="78"/>
    </row>
    <row r="803" spans="8:24" x14ac:dyDescent="0.25">
      <c r="H803" s="34"/>
      <c r="I803" s="34" t="s">
        <v>494</v>
      </c>
      <c r="J803" s="35">
        <v>45945</v>
      </c>
      <c r="K803" s="36" t="s">
        <v>43</v>
      </c>
      <c r="L803" s="39" t="str">
        <f>VLOOKUP(Tabla810[[#This Row],[CODIGO DEL PRODUCTO]],Tabla79[],2,FALSE)</f>
        <v>PIEDRA 6-20</v>
      </c>
      <c r="M803" s="37">
        <v>1000</v>
      </c>
      <c r="O803" s="76">
        <v>2645502</v>
      </c>
      <c r="P803" s="78" t="s">
        <v>296</v>
      </c>
      <c r="Q803" s="77">
        <v>45869</v>
      </c>
      <c r="R803" s="78" t="s">
        <v>286</v>
      </c>
      <c r="S803" s="36" t="str">
        <f>VLOOKUP(Tabla911[[#This Row],[CODIGO DEL PRODUCTO]],Tabla79[],2,FALSE)</f>
        <v>CPF 40 AVELLANEDA</v>
      </c>
      <c r="T803" s="37">
        <v>36240</v>
      </c>
      <c r="U803" s="78"/>
    </row>
    <row r="804" spans="8:24" x14ac:dyDescent="0.25">
      <c r="H804" s="34">
        <v>13560</v>
      </c>
      <c r="I804" s="34" t="s">
        <v>592</v>
      </c>
      <c r="J804" s="35">
        <v>45946</v>
      </c>
      <c r="K804" s="36" t="s">
        <v>42</v>
      </c>
      <c r="L804" s="39" t="str">
        <f>VLOOKUP(Tabla810[[#This Row],[CODIGO DEL PRODUCTO]],Tabla79[],2,FALSE)</f>
        <v>ARENA FINA</v>
      </c>
      <c r="M804" s="37">
        <v>3000</v>
      </c>
      <c r="O804" s="76">
        <v>31547</v>
      </c>
      <c r="P804" s="78" t="s">
        <v>449</v>
      </c>
      <c r="Q804" s="77">
        <v>45866</v>
      </c>
      <c r="R804" s="78" t="s">
        <v>425</v>
      </c>
      <c r="S804" s="36" t="str">
        <f>VLOOKUP(Tabla911[[#This Row],[CODIGO DEL PRODUCTO]],Tabla79[],2,FALSE)</f>
        <v>W351R</v>
      </c>
      <c r="T804" s="37">
        <v>2000</v>
      </c>
      <c r="U804" s="78"/>
      <c r="V804" s="7">
        <v>45870</v>
      </c>
      <c r="W804" t="s">
        <v>489</v>
      </c>
      <c r="X804" t="s">
        <v>490</v>
      </c>
    </row>
    <row r="805" spans="8:24" x14ac:dyDescent="0.25">
      <c r="H805" s="34"/>
      <c r="I805" s="34" t="s">
        <v>553</v>
      </c>
      <c r="J805" s="35">
        <v>45946</v>
      </c>
      <c r="K805" s="36" t="s">
        <v>43</v>
      </c>
      <c r="L805" s="39" t="str">
        <f>VLOOKUP(Tabla810[[#This Row],[CODIGO DEL PRODUCTO]],Tabla79[],2,FALSE)</f>
        <v>PIEDRA 6-20</v>
      </c>
      <c r="M805" s="37">
        <v>5000</v>
      </c>
      <c r="O805" s="76">
        <v>101279</v>
      </c>
      <c r="P805" s="78" t="s">
        <v>370</v>
      </c>
      <c r="Q805" s="77">
        <v>45870</v>
      </c>
      <c r="R805" s="78" t="s">
        <v>42</v>
      </c>
      <c r="S805" s="36" t="str">
        <f>VLOOKUP(Tabla911[[#This Row],[CODIGO DEL PRODUCTO]],Tabla79[],2,FALSE)</f>
        <v>ARENA FINA</v>
      </c>
      <c r="T805" s="37">
        <v>37140</v>
      </c>
      <c r="U805" s="78"/>
    </row>
    <row r="806" spans="8:24" x14ac:dyDescent="0.25">
      <c r="H806" s="34">
        <v>13593</v>
      </c>
      <c r="I806" s="34" t="s">
        <v>593</v>
      </c>
      <c r="J806" s="35">
        <v>45947</v>
      </c>
      <c r="K806" s="36" t="s">
        <v>46</v>
      </c>
      <c r="L806" s="39" t="str">
        <f>VLOOKUP(Tabla810[[#This Row],[CODIGO DEL PRODUCTO]],Tabla79[],2,FALSE)</f>
        <v>PIEDRA 10-30</v>
      </c>
      <c r="M806" s="37">
        <v>22000</v>
      </c>
      <c r="O806" s="76">
        <v>103336</v>
      </c>
      <c r="P806" s="78" t="s">
        <v>237</v>
      </c>
      <c r="Q806" s="77">
        <v>45870</v>
      </c>
      <c r="R806" s="78" t="s">
        <v>43</v>
      </c>
      <c r="S806" s="36" t="str">
        <f>VLOOKUP(Tabla911[[#This Row],[CODIGO DEL PRODUCTO]],Tabla79[],2,FALSE)</f>
        <v>PIEDRA 6-20</v>
      </c>
      <c r="T806" s="37">
        <v>34780</v>
      </c>
      <c r="U806" s="78"/>
    </row>
    <row r="807" spans="8:24" x14ac:dyDescent="0.25">
      <c r="H807" s="34">
        <v>13612</v>
      </c>
      <c r="I807" s="34" t="s">
        <v>594</v>
      </c>
      <c r="J807" s="35">
        <v>45947</v>
      </c>
      <c r="K807" s="36" t="s">
        <v>42</v>
      </c>
      <c r="L807" s="39" t="str">
        <f>VLOOKUP(Tabla810[[#This Row],[CODIGO DEL PRODUCTO]],Tabla79[],2,FALSE)</f>
        <v>ARENA FINA</v>
      </c>
      <c r="M807" s="37">
        <v>4000</v>
      </c>
      <c r="O807" s="76">
        <v>103351</v>
      </c>
      <c r="P807" s="78" t="s">
        <v>375</v>
      </c>
      <c r="Q807" s="77">
        <v>45870</v>
      </c>
      <c r="R807" s="78" t="s">
        <v>43</v>
      </c>
      <c r="S807" s="36" t="str">
        <f>VLOOKUP(Tabla911[[#This Row],[CODIGO DEL PRODUCTO]],Tabla79[],2,FALSE)</f>
        <v>PIEDRA 6-20</v>
      </c>
      <c r="T807" s="37">
        <v>34420</v>
      </c>
      <c r="U807" s="78"/>
    </row>
    <row r="808" spans="8:24" x14ac:dyDescent="0.25">
      <c r="H808" s="34">
        <v>13618</v>
      </c>
      <c r="I808" s="34" t="s">
        <v>573</v>
      </c>
      <c r="J808" s="35">
        <v>45947</v>
      </c>
      <c r="K808" s="36" t="s">
        <v>42</v>
      </c>
      <c r="L808" s="39" t="str">
        <f>VLOOKUP(Tabla810[[#This Row],[CODIGO DEL PRODUCTO]],Tabla79[],2,FALSE)</f>
        <v>ARENA FINA</v>
      </c>
      <c r="M808" s="37">
        <v>5000</v>
      </c>
      <c r="O808" s="76">
        <v>103352</v>
      </c>
      <c r="P808" s="78" t="s">
        <v>355</v>
      </c>
      <c r="Q808" s="77">
        <v>45870</v>
      </c>
      <c r="R808" s="78" t="s">
        <v>43</v>
      </c>
      <c r="S808" s="36" t="str">
        <f>VLOOKUP(Tabla911[[#This Row],[CODIGO DEL PRODUCTO]],Tabla79[],2,FALSE)</f>
        <v>PIEDRA 6-20</v>
      </c>
      <c r="T808" s="37">
        <v>34860</v>
      </c>
      <c r="U808" s="78"/>
    </row>
    <row r="809" spans="8:24" x14ac:dyDescent="0.25">
      <c r="H809" s="34">
        <v>13619</v>
      </c>
      <c r="I809" s="34" t="s">
        <v>573</v>
      </c>
      <c r="J809" s="35">
        <v>45947</v>
      </c>
      <c r="K809" s="36" t="s">
        <v>42</v>
      </c>
      <c r="L809" s="39" t="str">
        <f>VLOOKUP(Tabla810[[#This Row],[CODIGO DEL PRODUCTO]],Tabla79[],2,FALSE)</f>
        <v>ARENA FINA</v>
      </c>
      <c r="M809" s="37">
        <v>5000</v>
      </c>
      <c r="O809" s="76">
        <v>103367</v>
      </c>
      <c r="P809" s="78" t="s">
        <v>156</v>
      </c>
      <c r="Q809" s="77">
        <v>45870</v>
      </c>
      <c r="R809" s="78" t="s">
        <v>40</v>
      </c>
      <c r="S809" s="36" t="str">
        <f>VLOOKUP(Tabla911[[#This Row],[CODIGO DEL PRODUCTO]],Tabla79[],2,FALSE)</f>
        <v>PIEDRA 0-6</v>
      </c>
      <c r="T809" s="37">
        <v>34240</v>
      </c>
      <c r="U809" s="78"/>
    </row>
    <row r="810" spans="8:24" x14ac:dyDescent="0.25">
      <c r="H810" s="34">
        <v>13624</v>
      </c>
      <c r="I810" s="34" t="s">
        <v>595</v>
      </c>
      <c r="J810" s="35">
        <v>45947</v>
      </c>
      <c r="K810" s="36" t="s">
        <v>42</v>
      </c>
      <c r="L810" s="39" t="str">
        <f>VLOOKUP(Tabla810[[#This Row],[CODIGO DEL PRODUCTO]],Tabla79[],2,FALSE)</f>
        <v>ARENA FINA</v>
      </c>
      <c r="M810" s="37">
        <v>5000</v>
      </c>
      <c r="O810" s="76">
        <v>103368</v>
      </c>
      <c r="P810" s="78" t="s">
        <v>155</v>
      </c>
      <c r="Q810" s="77">
        <v>45870</v>
      </c>
      <c r="R810" s="78" t="s">
        <v>43</v>
      </c>
      <c r="S810" s="36" t="str">
        <f>VLOOKUP(Tabla911[[#This Row],[CODIGO DEL PRODUCTO]],Tabla79[],2,FALSE)</f>
        <v>PIEDRA 6-20</v>
      </c>
      <c r="T810" s="37">
        <v>34020</v>
      </c>
      <c r="U810" s="78"/>
    </row>
    <row r="811" spans="8:24" x14ac:dyDescent="0.25">
      <c r="H811" s="34">
        <v>13631</v>
      </c>
      <c r="I811" s="34" t="s">
        <v>514</v>
      </c>
      <c r="J811" s="35">
        <v>45947</v>
      </c>
      <c r="K811" s="36" t="s">
        <v>42</v>
      </c>
      <c r="L811" s="39" t="str">
        <f>VLOOKUP(Tabla810[[#This Row],[CODIGO DEL PRODUCTO]],Tabla79[],2,FALSE)</f>
        <v>ARENA FINA</v>
      </c>
      <c r="M811" s="37">
        <v>37960</v>
      </c>
      <c r="O811" s="76">
        <v>2645575</v>
      </c>
      <c r="P811" s="78" t="s">
        <v>65</v>
      </c>
      <c r="Q811" s="77">
        <v>45870</v>
      </c>
      <c r="R811" s="78" t="s">
        <v>286</v>
      </c>
      <c r="S811" s="36" t="str">
        <f>VLOOKUP(Tabla911[[#This Row],[CODIGO DEL PRODUCTO]],Tabla79[],2,FALSE)</f>
        <v>CPF 40 AVELLANEDA</v>
      </c>
      <c r="T811" s="37">
        <v>35920</v>
      </c>
      <c r="U811" s="78"/>
    </row>
    <row r="812" spans="8:24" x14ac:dyDescent="0.25">
      <c r="H812" s="34"/>
      <c r="I812" s="34" t="s">
        <v>53</v>
      </c>
      <c r="J812" s="35">
        <v>45943</v>
      </c>
      <c r="K812" s="36" t="s">
        <v>42</v>
      </c>
      <c r="L812" s="39" t="str">
        <f>VLOOKUP(Tabla810[[#This Row],[CODIGO DEL PRODUCTO]],Tabla79[],2,FALSE)</f>
        <v>ARENA FINA</v>
      </c>
      <c r="M812" s="37">
        <v>436446</v>
      </c>
      <c r="O812" s="76">
        <v>2645784</v>
      </c>
      <c r="P812" s="78" t="s">
        <v>296</v>
      </c>
      <c r="Q812" s="77">
        <v>45870</v>
      </c>
      <c r="R812" s="78" t="s">
        <v>286</v>
      </c>
      <c r="S812" s="36" t="str">
        <f>VLOOKUP(Tabla911[[#This Row],[CODIGO DEL PRODUCTO]],Tabla79[],2,FALSE)</f>
        <v>CPF 40 AVELLANEDA</v>
      </c>
      <c r="T812" s="37">
        <v>35880</v>
      </c>
      <c r="U812" s="78"/>
    </row>
    <row r="813" spans="8:24" x14ac:dyDescent="0.25">
      <c r="H813" s="34"/>
      <c r="I813" s="34" t="s">
        <v>53</v>
      </c>
      <c r="J813" s="35">
        <v>45944</v>
      </c>
      <c r="K813" s="36" t="s">
        <v>40</v>
      </c>
      <c r="L813" s="39" t="str">
        <f>VLOOKUP(Tabla810[[#This Row],[CODIGO DEL PRODUCTO]],Tabla79[],2,FALSE)</f>
        <v>PIEDRA 0-6</v>
      </c>
      <c r="M813" s="37">
        <v>288810</v>
      </c>
      <c r="O813" s="76">
        <v>141091</v>
      </c>
      <c r="P813" s="78" t="s">
        <v>493</v>
      </c>
      <c r="Q813" s="77">
        <v>45871</v>
      </c>
      <c r="R813" s="78" t="s">
        <v>40</v>
      </c>
      <c r="S813" s="36" t="str">
        <f>VLOOKUP(Tabla911[[#This Row],[CODIGO DEL PRODUCTO]],Tabla79[],2,FALSE)</f>
        <v>PIEDRA 0-6</v>
      </c>
      <c r="T813" s="37">
        <v>35640</v>
      </c>
      <c r="U813" s="78"/>
      <c r="V813" s="7">
        <v>45871</v>
      </c>
      <c r="W813" t="s">
        <v>491</v>
      </c>
      <c r="X813" t="s">
        <v>492</v>
      </c>
    </row>
    <row r="814" spans="8:24" x14ac:dyDescent="0.25">
      <c r="H814" s="34"/>
      <c r="I814" s="34" t="s">
        <v>53</v>
      </c>
      <c r="J814" s="35">
        <v>45945</v>
      </c>
      <c r="K814" s="36" t="s">
        <v>286</v>
      </c>
      <c r="L814" s="39" t="str">
        <f>VLOOKUP(Tabla810[[#This Row],[CODIGO DEL PRODUCTO]],Tabla79[],2,FALSE)</f>
        <v>CPF 40 AVELLANEDA</v>
      </c>
      <c r="M814" s="37">
        <v>214982</v>
      </c>
      <c r="O814" s="76">
        <v>2645905</v>
      </c>
      <c r="P814" s="78" t="s">
        <v>65</v>
      </c>
      <c r="Q814" s="77">
        <v>45871</v>
      </c>
      <c r="R814" s="78" t="s">
        <v>286</v>
      </c>
      <c r="S814" s="36" t="str">
        <f>VLOOKUP(Tabla911[[#This Row],[CODIGO DEL PRODUCTO]],Tabla79[],2,FALSE)</f>
        <v>CPF 40 AVELLANEDA</v>
      </c>
      <c r="T814" s="37">
        <v>35940</v>
      </c>
      <c r="U814" s="78"/>
    </row>
    <row r="815" spans="8:24" x14ac:dyDescent="0.25">
      <c r="H815" s="34"/>
      <c r="I815" s="34" t="s">
        <v>53</v>
      </c>
      <c r="J815" s="35">
        <v>45946</v>
      </c>
      <c r="K815" s="36" t="s">
        <v>48</v>
      </c>
      <c r="L815" s="39" t="str">
        <f>VLOOKUP(Tabla810[[#This Row],[CODIGO DEL PRODUCTO]],Tabla79[],2,FALSE)</f>
        <v>PIEDRA 6-12</v>
      </c>
      <c r="M815" s="37">
        <v>132304</v>
      </c>
      <c r="O815" s="76">
        <v>101305</v>
      </c>
      <c r="P815" s="78" t="s">
        <v>370</v>
      </c>
      <c r="Q815" s="77">
        <v>45873</v>
      </c>
      <c r="R815" s="78" t="s">
        <v>42</v>
      </c>
      <c r="S815" s="36" t="str">
        <f>VLOOKUP(Tabla911[[#This Row],[CODIGO DEL PRODUCTO]],Tabla79[],2,FALSE)</f>
        <v>ARENA FINA</v>
      </c>
      <c r="T815" s="37">
        <v>33440</v>
      </c>
      <c r="U815" s="78"/>
    </row>
    <row r="816" spans="8:24" x14ac:dyDescent="0.25">
      <c r="H816" s="34"/>
      <c r="I816" s="34" t="s">
        <v>53</v>
      </c>
      <c r="J816" s="35">
        <v>45947</v>
      </c>
      <c r="K816" s="36" t="s">
        <v>43</v>
      </c>
      <c r="L816" s="39" t="str">
        <f>VLOOKUP(Tabla810[[#This Row],[CODIGO DEL PRODUCTO]],Tabla79[],2,FALSE)</f>
        <v>PIEDRA 6-20</v>
      </c>
      <c r="M816" s="37">
        <v>504172</v>
      </c>
      <c r="O816" s="76">
        <v>103380</v>
      </c>
      <c r="P816" s="78" t="s">
        <v>252</v>
      </c>
      <c r="Q816" s="77">
        <v>45873</v>
      </c>
      <c r="R816" s="78" t="s">
        <v>43</v>
      </c>
      <c r="S816" s="36" t="str">
        <f>VLOOKUP(Tabla911[[#This Row],[CODIGO DEL PRODUCTO]],Tabla79[],2,FALSE)</f>
        <v>PIEDRA 6-20</v>
      </c>
      <c r="T816" s="37">
        <v>35700</v>
      </c>
      <c r="U816" s="78"/>
    </row>
    <row r="817" spans="8:24" x14ac:dyDescent="0.25">
      <c r="H817" s="34"/>
      <c r="I817" s="34" t="s">
        <v>53</v>
      </c>
      <c r="J817" s="35">
        <v>45947</v>
      </c>
      <c r="K817" s="36" t="s">
        <v>425</v>
      </c>
      <c r="L817" s="39" t="str">
        <f>VLOOKUP(Tabla810[[#This Row],[CODIGO DEL PRODUCTO]],Tabla79[],2,FALSE)</f>
        <v>W351R</v>
      </c>
      <c r="M817" s="37">
        <v>1158.79</v>
      </c>
      <c r="O817" s="76">
        <v>103412</v>
      </c>
      <c r="P817" s="78" t="s">
        <v>355</v>
      </c>
      <c r="Q817" s="77">
        <v>45873</v>
      </c>
      <c r="R817" s="78" t="s">
        <v>43</v>
      </c>
      <c r="S817" s="36" t="str">
        <f>VLOOKUP(Tabla911[[#This Row],[CODIGO DEL PRODUCTO]],Tabla79[],2,FALSE)</f>
        <v>PIEDRA 6-20</v>
      </c>
      <c r="T817" s="37">
        <v>34640</v>
      </c>
      <c r="U817" s="78"/>
    </row>
    <row r="818" spans="8:24" x14ac:dyDescent="0.25">
      <c r="H818" s="34">
        <v>13624</v>
      </c>
      <c r="I818" s="34" t="s">
        <v>426</v>
      </c>
      <c r="J818" s="35">
        <v>45948</v>
      </c>
      <c r="K818" s="36" t="s">
        <v>42</v>
      </c>
      <c r="L818" s="39" t="str">
        <f>VLOOKUP(Tabla810[[#This Row],[CODIGO DEL PRODUCTO]],Tabla79[],2,FALSE)</f>
        <v>ARENA FINA</v>
      </c>
      <c r="M818" s="37">
        <v>50000</v>
      </c>
      <c r="O818" s="76">
        <v>103427</v>
      </c>
      <c r="P818" s="78" t="s">
        <v>299</v>
      </c>
      <c r="Q818" s="77">
        <v>45873</v>
      </c>
      <c r="R818" s="78" t="s">
        <v>43</v>
      </c>
      <c r="S818" s="36" t="str">
        <f>VLOOKUP(Tabla911[[#This Row],[CODIGO DEL PRODUCTO]],Tabla79[],2,FALSE)</f>
        <v>PIEDRA 6-20</v>
      </c>
      <c r="T818" s="37">
        <v>35240</v>
      </c>
      <c r="U818" s="78"/>
    </row>
    <row r="819" spans="8:24" x14ac:dyDescent="0.25">
      <c r="H819" s="34">
        <v>13631</v>
      </c>
      <c r="I819" s="34" t="s">
        <v>514</v>
      </c>
      <c r="J819" s="35">
        <v>45948</v>
      </c>
      <c r="K819" s="36" t="s">
        <v>42</v>
      </c>
      <c r="L819" s="39" t="str">
        <f>VLOOKUP(Tabla810[[#This Row],[CODIGO DEL PRODUCTO]],Tabla79[],2,FALSE)</f>
        <v>ARENA FINA</v>
      </c>
      <c r="M819" s="37">
        <v>37960</v>
      </c>
      <c r="O819" s="76">
        <v>103429</v>
      </c>
      <c r="P819" s="78" t="s">
        <v>155</v>
      </c>
      <c r="Q819" s="77">
        <v>45873</v>
      </c>
      <c r="R819" s="78" t="s">
        <v>43</v>
      </c>
      <c r="S819" s="36" t="str">
        <f>VLOOKUP(Tabla911[[#This Row],[CODIGO DEL PRODUCTO]],Tabla79[],2,FALSE)</f>
        <v>PIEDRA 6-20</v>
      </c>
      <c r="T819" s="37">
        <v>34540</v>
      </c>
      <c r="U819" s="78"/>
    </row>
    <row r="820" spans="8:24" x14ac:dyDescent="0.25">
      <c r="H820" s="34">
        <v>13639</v>
      </c>
      <c r="I820" s="34" t="s">
        <v>553</v>
      </c>
      <c r="J820" s="35">
        <v>45950</v>
      </c>
      <c r="K820" s="36" t="s">
        <v>43</v>
      </c>
      <c r="L820" s="39" t="str">
        <f>VLOOKUP(Tabla810[[#This Row],[CODIGO DEL PRODUCTO]],Tabla79[],2,FALSE)</f>
        <v>PIEDRA 6-20</v>
      </c>
      <c r="M820" s="37">
        <v>3000</v>
      </c>
      <c r="O820" s="76">
        <v>2646253</v>
      </c>
      <c r="P820" s="78" t="s">
        <v>65</v>
      </c>
      <c r="Q820" s="77">
        <v>45873</v>
      </c>
      <c r="R820" s="78" t="s">
        <v>286</v>
      </c>
      <c r="S820" s="36" t="str">
        <f>VLOOKUP(Tabla911[[#This Row],[CODIGO DEL PRODUCTO]],Tabla79[],2,FALSE)</f>
        <v>CPF 40 AVELLANEDA</v>
      </c>
      <c r="T820" s="37">
        <v>35720</v>
      </c>
      <c r="U820" s="78"/>
    </row>
    <row r="821" spans="8:24" x14ac:dyDescent="0.25">
      <c r="H821" s="34"/>
      <c r="I821" s="34" t="s">
        <v>553</v>
      </c>
      <c r="J821" s="35">
        <v>45950</v>
      </c>
      <c r="K821" s="36" t="s">
        <v>42</v>
      </c>
      <c r="L821" s="39" t="str">
        <f>VLOOKUP(Tabla810[[#This Row],[CODIGO DEL PRODUCTO]],Tabla79[],2,FALSE)</f>
        <v>ARENA FINA</v>
      </c>
      <c r="M821" s="37">
        <v>1000</v>
      </c>
      <c r="O821" s="76">
        <v>2646280</v>
      </c>
      <c r="P821" s="78" t="s">
        <v>296</v>
      </c>
      <c r="Q821" s="77">
        <v>45873</v>
      </c>
      <c r="R821" s="78" t="s">
        <v>286</v>
      </c>
      <c r="S821" s="36" t="str">
        <f>VLOOKUP(Tabla911[[#This Row],[CODIGO DEL PRODUCTO]],Tabla79[],2,FALSE)</f>
        <v>CPF 40 AVELLANEDA</v>
      </c>
      <c r="T821" s="37">
        <v>36140</v>
      </c>
      <c r="U821" s="78"/>
    </row>
    <row r="822" spans="8:24" x14ac:dyDescent="0.25">
      <c r="H822" s="34">
        <v>13650</v>
      </c>
      <c r="I822" s="34" t="s">
        <v>522</v>
      </c>
      <c r="J822" s="35">
        <v>45950</v>
      </c>
      <c r="K822" s="36" t="s">
        <v>42</v>
      </c>
      <c r="L822" s="39" t="str">
        <f>VLOOKUP(Tabla810[[#This Row],[CODIGO DEL PRODUCTO]],Tabla79[],2,FALSE)</f>
        <v>ARENA FINA</v>
      </c>
      <c r="M822" s="37">
        <v>4000</v>
      </c>
      <c r="O822" s="76">
        <v>101312</v>
      </c>
      <c r="P822" s="78" t="s">
        <v>235</v>
      </c>
      <c r="Q822" s="77">
        <v>45874</v>
      </c>
      <c r="R822" s="78" t="s">
        <v>42</v>
      </c>
      <c r="S822" s="36" t="str">
        <f>VLOOKUP(Tabla911[[#This Row],[CODIGO DEL PRODUCTO]],Tabla79[],2,FALSE)</f>
        <v>ARENA FINA</v>
      </c>
      <c r="T822" s="37">
        <v>34960</v>
      </c>
      <c r="U822" s="78"/>
    </row>
    <row r="823" spans="8:24" x14ac:dyDescent="0.25">
      <c r="H823" s="34">
        <v>13660</v>
      </c>
      <c r="I823" s="34" t="s">
        <v>572</v>
      </c>
      <c r="J823" s="35">
        <v>45950</v>
      </c>
      <c r="K823" s="36" t="s">
        <v>42</v>
      </c>
      <c r="L823" s="39" t="str">
        <f>VLOOKUP(Tabla810[[#This Row],[CODIGO DEL PRODUCTO]],Tabla79[],2,FALSE)</f>
        <v>ARENA FINA</v>
      </c>
      <c r="M823" s="37">
        <v>5000</v>
      </c>
      <c r="O823" s="76">
        <v>103440</v>
      </c>
      <c r="P823" s="78" t="s">
        <v>252</v>
      </c>
      <c r="Q823" s="77">
        <v>45874</v>
      </c>
      <c r="R823" s="78" t="s">
        <v>43</v>
      </c>
      <c r="S823" s="36" t="str">
        <f>VLOOKUP(Tabla911[[#This Row],[CODIGO DEL PRODUCTO]],Tabla79[],2,FALSE)</f>
        <v>PIEDRA 6-20</v>
      </c>
      <c r="T823" s="37">
        <v>35520</v>
      </c>
      <c r="U823" s="78"/>
    </row>
    <row r="824" spans="8:24" x14ac:dyDescent="0.25">
      <c r="H824" s="34">
        <v>13679</v>
      </c>
      <c r="I824" s="34" t="s">
        <v>553</v>
      </c>
      <c r="J824" s="35">
        <v>45950</v>
      </c>
      <c r="K824" s="36" t="s">
        <v>42</v>
      </c>
      <c r="L824" s="39" t="str">
        <f>VLOOKUP(Tabla810[[#This Row],[CODIGO DEL PRODUCTO]],Tabla79[],2,FALSE)</f>
        <v>ARENA FINA</v>
      </c>
      <c r="M824" s="37">
        <v>6000</v>
      </c>
      <c r="O824" s="76">
        <v>103451</v>
      </c>
      <c r="P824" s="78" t="s">
        <v>355</v>
      </c>
      <c r="Q824" s="77">
        <v>45874</v>
      </c>
      <c r="R824" s="78" t="s">
        <v>43</v>
      </c>
      <c r="S824" s="36" t="str">
        <f>VLOOKUP(Tabla911[[#This Row],[CODIGO DEL PRODUCTO]],Tabla79[],2,FALSE)</f>
        <v>PIEDRA 6-20</v>
      </c>
      <c r="T824" s="37">
        <v>35280</v>
      </c>
      <c r="U824" s="78"/>
    </row>
    <row r="825" spans="8:24" x14ac:dyDescent="0.25">
      <c r="H825" s="34">
        <v>13680</v>
      </c>
      <c r="I825" s="34" t="s">
        <v>513</v>
      </c>
      <c r="J825" s="35">
        <v>45951</v>
      </c>
      <c r="K825" s="36" t="s">
        <v>42</v>
      </c>
      <c r="L825" s="39" t="str">
        <f>VLOOKUP(Tabla810[[#This Row],[CODIGO DEL PRODUCTO]],Tabla79[],2,FALSE)</f>
        <v>ARENA FINA</v>
      </c>
      <c r="M825" s="37">
        <v>3000</v>
      </c>
      <c r="O825" s="76">
        <v>103459</v>
      </c>
      <c r="P825" s="78" t="s">
        <v>299</v>
      </c>
      <c r="Q825" s="77">
        <v>45874</v>
      </c>
      <c r="R825" s="78" t="s">
        <v>43</v>
      </c>
      <c r="S825" s="36" t="str">
        <f>VLOOKUP(Tabla911[[#This Row],[CODIGO DEL PRODUCTO]],Tabla79[],2,FALSE)</f>
        <v>PIEDRA 6-20</v>
      </c>
      <c r="T825" s="37">
        <v>34780</v>
      </c>
      <c r="U825" s="78"/>
    </row>
    <row r="826" spans="8:24" x14ac:dyDescent="0.25">
      <c r="H826" s="34"/>
      <c r="I826" s="34" t="s">
        <v>426</v>
      </c>
      <c r="J826" s="35">
        <v>45951</v>
      </c>
      <c r="K826" s="36" t="s">
        <v>43</v>
      </c>
      <c r="L826" s="39" t="str">
        <f>VLOOKUP(Tabla810[[#This Row],[CODIGO DEL PRODUCTO]],Tabla79[],2,FALSE)</f>
        <v>PIEDRA 6-20</v>
      </c>
      <c r="M826" s="37">
        <v>1000</v>
      </c>
      <c r="O826" s="76">
        <v>103462</v>
      </c>
      <c r="P826" s="78" t="s">
        <v>156</v>
      </c>
      <c r="Q826" s="77">
        <v>45874</v>
      </c>
      <c r="R826" s="78" t="s">
        <v>40</v>
      </c>
      <c r="S826" s="36" t="str">
        <f>VLOOKUP(Tabla911[[#This Row],[CODIGO DEL PRODUCTO]],Tabla79[],2,FALSE)</f>
        <v>PIEDRA 0-6</v>
      </c>
      <c r="T826" s="37">
        <v>34940</v>
      </c>
      <c r="U826" s="78"/>
    </row>
    <row r="827" spans="8:24" x14ac:dyDescent="0.25">
      <c r="H827" s="34">
        <v>13684</v>
      </c>
      <c r="I827" s="34" t="s">
        <v>596</v>
      </c>
      <c r="J827" s="35">
        <v>45951</v>
      </c>
      <c r="K827" s="36" t="s">
        <v>42</v>
      </c>
      <c r="L827" s="39" t="str">
        <f>VLOOKUP(Tabla810[[#This Row],[CODIGO DEL PRODUCTO]],Tabla79[],2,FALSE)</f>
        <v>ARENA FINA</v>
      </c>
      <c r="M827" s="37">
        <v>500</v>
      </c>
      <c r="O827" s="76">
        <v>103464</v>
      </c>
      <c r="P827" s="78" t="s">
        <v>155</v>
      </c>
      <c r="Q827" s="77">
        <v>45874</v>
      </c>
      <c r="R827" s="78" t="s">
        <v>43</v>
      </c>
      <c r="S827" s="36" t="str">
        <f>VLOOKUP(Tabla911[[#This Row],[CODIGO DEL PRODUCTO]],Tabla79[],2,FALSE)</f>
        <v>PIEDRA 6-20</v>
      </c>
      <c r="T827" s="37">
        <v>34180</v>
      </c>
      <c r="U827" s="78"/>
    </row>
    <row r="828" spans="8:24" x14ac:dyDescent="0.25">
      <c r="H828" s="34"/>
      <c r="I828" s="34" t="s">
        <v>596</v>
      </c>
      <c r="J828" s="35">
        <v>45951</v>
      </c>
      <c r="K828" s="36" t="s">
        <v>43</v>
      </c>
      <c r="L828" s="39" t="str">
        <f>VLOOKUP(Tabla810[[#This Row],[CODIGO DEL PRODUCTO]],Tabla79[],2,FALSE)</f>
        <v>PIEDRA 6-20</v>
      </c>
      <c r="M828" s="37">
        <v>500</v>
      </c>
      <c r="O828" s="76">
        <v>2646485</v>
      </c>
      <c r="P828" s="78" t="s">
        <v>65</v>
      </c>
      <c r="Q828" s="77">
        <v>45874</v>
      </c>
      <c r="R828" s="78" t="s">
        <v>286</v>
      </c>
      <c r="S828" s="36" t="str">
        <f>VLOOKUP(Tabla911[[#This Row],[CODIGO DEL PRODUCTO]],Tabla79[],2,FALSE)</f>
        <v>CPF 40 AVELLANEDA</v>
      </c>
      <c r="T828" s="37">
        <v>35940</v>
      </c>
      <c r="U828" s="78"/>
    </row>
    <row r="829" spans="8:24" x14ac:dyDescent="0.25">
      <c r="H829" s="34">
        <v>13686</v>
      </c>
      <c r="I829" s="34" t="s">
        <v>597</v>
      </c>
      <c r="J829" s="35">
        <v>45951</v>
      </c>
      <c r="K829" s="36" t="s">
        <v>43</v>
      </c>
      <c r="L829" s="39" t="str">
        <f>VLOOKUP(Tabla810[[#This Row],[CODIGO DEL PRODUCTO]],Tabla79[],2,FALSE)</f>
        <v>PIEDRA 6-20</v>
      </c>
      <c r="M829" s="37">
        <v>6000</v>
      </c>
      <c r="O829" s="76">
        <v>101329</v>
      </c>
      <c r="P829" s="78" t="s">
        <v>235</v>
      </c>
      <c r="Q829" s="77">
        <v>45875</v>
      </c>
      <c r="R829" s="78" t="s">
        <v>42</v>
      </c>
      <c r="S829" s="36" t="str">
        <f>VLOOKUP(Tabla911[[#This Row],[CODIGO DEL PRODUCTO]],Tabla79[],2,FALSE)</f>
        <v>ARENA FINA</v>
      </c>
      <c r="T829" s="37">
        <v>35760</v>
      </c>
      <c r="U829" s="78"/>
      <c r="V829" s="7">
        <v>45875</v>
      </c>
      <c r="W829" t="s">
        <v>497</v>
      </c>
      <c r="X829" t="s">
        <v>498</v>
      </c>
    </row>
    <row r="830" spans="8:24" x14ac:dyDescent="0.25">
      <c r="H830" s="34">
        <v>13693</v>
      </c>
      <c r="I830" s="34" t="s">
        <v>426</v>
      </c>
      <c r="J830" s="35">
        <v>45951</v>
      </c>
      <c r="K830" s="36" t="s">
        <v>42</v>
      </c>
      <c r="L830" s="39" t="str">
        <f>VLOOKUP(Tabla810[[#This Row],[CODIGO DEL PRODUCTO]],Tabla79[],2,FALSE)</f>
        <v>ARENA FINA</v>
      </c>
      <c r="M830" s="37">
        <v>5000</v>
      </c>
      <c r="O830" s="76">
        <v>101335</v>
      </c>
      <c r="P830" s="78" t="s">
        <v>370</v>
      </c>
      <c r="Q830" s="77">
        <v>45875</v>
      </c>
      <c r="R830" s="78" t="s">
        <v>42</v>
      </c>
      <c r="S830" s="36" t="str">
        <f>VLOOKUP(Tabla911[[#This Row],[CODIGO DEL PRODUCTO]],Tabla79[],2,FALSE)</f>
        <v>ARENA FINA</v>
      </c>
      <c r="T830" s="37">
        <v>34860</v>
      </c>
      <c r="U830" s="78"/>
    </row>
    <row r="831" spans="8:24" x14ac:dyDescent="0.25">
      <c r="H831" s="34">
        <v>13699</v>
      </c>
      <c r="I831" s="34" t="s">
        <v>426</v>
      </c>
      <c r="J831" s="35">
        <v>45951</v>
      </c>
      <c r="K831" s="36" t="s">
        <v>43</v>
      </c>
      <c r="L831" s="39" t="str">
        <f>VLOOKUP(Tabla810[[#This Row],[CODIGO DEL PRODUCTO]],Tabla79[],2,FALSE)</f>
        <v>PIEDRA 6-20</v>
      </c>
      <c r="M831" s="37">
        <v>5000</v>
      </c>
      <c r="O831" s="76">
        <v>101336</v>
      </c>
      <c r="P831" s="78" t="s">
        <v>235</v>
      </c>
      <c r="Q831" s="77">
        <v>45875</v>
      </c>
      <c r="R831" s="78" t="s">
        <v>42</v>
      </c>
      <c r="S831" s="36" t="str">
        <f>VLOOKUP(Tabla911[[#This Row],[CODIGO DEL PRODUCTO]],Tabla79[],2,FALSE)</f>
        <v>ARENA FINA</v>
      </c>
      <c r="T831" s="37">
        <v>36800</v>
      </c>
      <c r="U831" s="78"/>
    </row>
    <row r="832" spans="8:24" x14ac:dyDescent="0.25">
      <c r="H832" s="34">
        <v>13701</v>
      </c>
      <c r="I832" s="34" t="s">
        <v>298</v>
      </c>
      <c r="J832" s="35">
        <v>45951</v>
      </c>
      <c r="K832" s="36" t="s">
        <v>43</v>
      </c>
      <c r="L832" s="39" t="str">
        <f>VLOOKUP(Tabla810[[#This Row],[CODIGO DEL PRODUCTO]],Tabla79[],2,FALSE)</f>
        <v>PIEDRA 6-20</v>
      </c>
      <c r="M832" s="37">
        <v>2000</v>
      </c>
      <c r="O832" s="76">
        <v>103474</v>
      </c>
      <c r="P832" s="78" t="s">
        <v>252</v>
      </c>
      <c r="Q832" s="77">
        <v>45875</v>
      </c>
      <c r="R832" s="78" t="s">
        <v>43</v>
      </c>
      <c r="S832" s="36" t="str">
        <f>VLOOKUP(Tabla911[[#This Row],[CODIGO DEL PRODUCTO]],Tabla79[],2,FALSE)</f>
        <v>PIEDRA 6-20</v>
      </c>
      <c r="T832" s="37">
        <v>35760</v>
      </c>
      <c r="U832" s="78"/>
    </row>
    <row r="833" spans="8:21" x14ac:dyDescent="0.25">
      <c r="H833" s="34"/>
      <c r="I833" s="34" t="s">
        <v>298</v>
      </c>
      <c r="J833" s="35">
        <v>45951</v>
      </c>
      <c r="K833" s="36" t="s">
        <v>42</v>
      </c>
      <c r="L833" s="39" t="str">
        <f>VLOOKUP(Tabla810[[#This Row],[CODIGO DEL PRODUCTO]],Tabla79[],2,FALSE)</f>
        <v>ARENA FINA</v>
      </c>
      <c r="M833" s="37">
        <v>4000</v>
      </c>
      <c r="O833" s="76">
        <v>103487</v>
      </c>
      <c r="P833" s="78" t="s">
        <v>355</v>
      </c>
      <c r="Q833" s="77">
        <v>45875</v>
      </c>
      <c r="R833" s="78" t="s">
        <v>43</v>
      </c>
      <c r="S833" s="36" t="str">
        <f>VLOOKUP(Tabla911[[#This Row],[CODIGO DEL PRODUCTO]],Tabla79[],2,FALSE)</f>
        <v>PIEDRA 6-20</v>
      </c>
      <c r="T833" s="37">
        <v>35040</v>
      </c>
      <c r="U833" s="78"/>
    </row>
    <row r="834" spans="8:21" x14ac:dyDescent="0.25">
      <c r="H834" s="34">
        <v>13706</v>
      </c>
      <c r="I834" s="34" t="s">
        <v>201</v>
      </c>
      <c r="J834" s="35">
        <v>45951</v>
      </c>
      <c r="K834" s="36" t="s">
        <v>42</v>
      </c>
      <c r="L834" s="39" t="str">
        <f>VLOOKUP(Tabla810[[#This Row],[CODIGO DEL PRODUCTO]],Tabla79[],2,FALSE)</f>
        <v>ARENA FINA</v>
      </c>
      <c r="M834" s="37">
        <v>5000</v>
      </c>
      <c r="O834" s="76">
        <v>103495</v>
      </c>
      <c r="P834" s="78" t="s">
        <v>299</v>
      </c>
      <c r="Q834" s="77">
        <v>45875</v>
      </c>
      <c r="R834" s="78" t="s">
        <v>43</v>
      </c>
      <c r="S834" s="36" t="str">
        <f>VLOOKUP(Tabla911[[#This Row],[CODIGO DEL PRODUCTO]],Tabla79[],2,FALSE)</f>
        <v>PIEDRA 6-20</v>
      </c>
      <c r="T834" s="37">
        <v>35180</v>
      </c>
      <c r="U834" s="78"/>
    </row>
    <row r="835" spans="8:21" x14ac:dyDescent="0.25">
      <c r="H835" s="34">
        <v>13709</v>
      </c>
      <c r="I835" s="34" t="s">
        <v>598</v>
      </c>
      <c r="J835" s="35">
        <v>45951</v>
      </c>
      <c r="K835" s="36" t="s">
        <v>42</v>
      </c>
      <c r="L835" s="39" t="str">
        <f>VLOOKUP(Tabla810[[#This Row],[CODIGO DEL PRODUCTO]],Tabla79[],2,FALSE)</f>
        <v>ARENA FINA</v>
      </c>
      <c r="M835" s="37">
        <v>2000</v>
      </c>
      <c r="O835" s="76">
        <v>103498</v>
      </c>
      <c r="P835" s="78" t="s">
        <v>155</v>
      </c>
      <c r="Q835" s="77">
        <v>45875</v>
      </c>
      <c r="R835" s="78" t="s">
        <v>43</v>
      </c>
      <c r="S835" s="36" t="str">
        <f>VLOOKUP(Tabla911[[#This Row],[CODIGO DEL PRODUCTO]],Tabla79[],2,FALSE)</f>
        <v>PIEDRA 6-20</v>
      </c>
      <c r="T835" s="37">
        <v>33900</v>
      </c>
      <c r="U835" s="78"/>
    </row>
    <row r="836" spans="8:21" x14ac:dyDescent="0.25">
      <c r="H836" s="34">
        <v>13710</v>
      </c>
      <c r="I836" s="34" t="s">
        <v>572</v>
      </c>
      <c r="J836" s="35">
        <v>45951</v>
      </c>
      <c r="K836" s="36" t="s">
        <v>42</v>
      </c>
      <c r="L836" s="39" t="str">
        <f>VLOOKUP(Tabla810[[#This Row],[CODIGO DEL PRODUCTO]],Tabla79[],2,FALSE)</f>
        <v>ARENA FINA</v>
      </c>
      <c r="M836" s="37">
        <v>3000</v>
      </c>
      <c r="O836" s="76">
        <v>103499</v>
      </c>
      <c r="P836" s="78" t="s">
        <v>156</v>
      </c>
      <c r="Q836" s="77">
        <v>45875</v>
      </c>
      <c r="R836" s="78" t="s">
        <v>40</v>
      </c>
      <c r="S836" s="36" t="str">
        <f>VLOOKUP(Tabla911[[#This Row],[CODIGO DEL PRODUCTO]],Tabla79[],2,FALSE)</f>
        <v>PIEDRA 0-6</v>
      </c>
      <c r="T836" s="37">
        <v>35040</v>
      </c>
      <c r="U836" s="78"/>
    </row>
    <row r="837" spans="8:21" x14ac:dyDescent="0.25">
      <c r="H837" s="34">
        <v>13713</v>
      </c>
      <c r="I837" s="34" t="s">
        <v>426</v>
      </c>
      <c r="J837" s="35">
        <v>45952</v>
      </c>
      <c r="K837" s="36" t="s">
        <v>43</v>
      </c>
      <c r="L837" s="39" t="str">
        <f>VLOOKUP(Tabla810[[#This Row],[CODIGO DEL PRODUCTO]],Tabla79[],2,FALSE)</f>
        <v>PIEDRA 6-20</v>
      </c>
      <c r="M837" s="37">
        <v>5000</v>
      </c>
      <c r="O837" s="76">
        <v>2646759</v>
      </c>
      <c r="P837" s="78" t="s">
        <v>65</v>
      </c>
      <c r="Q837" s="77">
        <v>45875</v>
      </c>
      <c r="R837" s="78" t="s">
        <v>286</v>
      </c>
      <c r="S837" s="36" t="str">
        <f>VLOOKUP(Tabla911[[#This Row],[CODIGO DEL PRODUCTO]],Tabla79[],2,FALSE)</f>
        <v>CPF 40 AVELLANEDA</v>
      </c>
      <c r="T837" s="37">
        <v>35680</v>
      </c>
      <c r="U837" s="78"/>
    </row>
    <row r="838" spans="8:21" x14ac:dyDescent="0.25">
      <c r="H838" s="34">
        <v>13714</v>
      </c>
      <c r="I838" s="34" t="s">
        <v>403</v>
      </c>
      <c r="J838" s="35">
        <v>45952</v>
      </c>
      <c r="K838" s="36" t="s">
        <v>43</v>
      </c>
      <c r="L838" s="39" t="str">
        <f>VLOOKUP(Tabla810[[#This Row],[CODIGO DEL PRODUCTO]],Tabla79[],2,FALSE)</f>
        <v>PIEDRA 6-20</v>
      </c>
      <c r="M838" s="37">
        <v>5000</v>
      </c>
      <c r="O838" s="76">
        <v>101343</v>
      </c>
      <c r="P838" s="78" t="s">
        <v>235</v>
      </c>
      <c r="Q838" s="77">
        <v>45876</v>
      </c>
      <c r="R838" s="78" t="s">
        <v>42</v>
      </c>
      <c r="S838" s="36" t="str">
        <f>VLOOKUP(Tabla911[[#This Row],[CODIGO DEL PRODUCTO]],Tabla79[],2,FALSE)</f>
        <v>ARENA FINA</v>
      </c>
      <c r="T838" s="37">
        <v>38000</v>
      </c>
      <c r="U838" s="78"/>
    </row>
    <row r="839" spans="8:21" x14ac:dyDescent="0.25">
      <c r="H839" s="34">
        <v>13715</v>
      </c>
      <c r="I839" s="34" t="s">
        <v>426</v>
      </c>
      <c r="J839" s="35">
        <v>45952</v>
      </c>
      <c r="K839" s="36" t="s">
        <v>42</v>
      </c>
      <c r="L839" s="39" t="str">
        <f>VLOOKUP(Tabla810[[#This Row],[CODIGO DEL PRODUCTO]],Tabla79[],2,FALSE)</f>
        <v>ARENA FINA</v>
      </c>
      <c r="M839" s="37">
        <v>5000</v>
      </c>
      <c r="O839" s="76">
        <v>101348</v>
      </c>
      <c r="P839" s="78" t="s">
        <v>370</v>
      </c>
      <c r="Q839" s="77">
        <v>45876</v>
      </c>
      <c r="R839" s="78" t="s">
        <v>42</v>
      </c>
      <c r="S839" s="36" t="str">
        <f>VLOOKUP(Tabla911[[#This Row],[CODIGO DEL PRODUCTO]],Tabla79[],2,FALSE)</f>
        <v>ARENA FINA</v>
      </c>
      <c r="T839" s="37">
        <v>35580</v>
      </c>
      <c r="U839" s="78"/>
    </row>
    <row r="840" spans="8:21" x14ac:dyDescent="0.25">
      <c r="H840" s="34">
        <v>13725</v>
      </c>
      <c r="I840" s="34" t="s">
        <v>403</v>
      </c>
      <c r="J840" s="35">
        <v>45952</v>
      </c>
      <c r="K840" s="36" t="s">
        <v>43</v>
      </c>
      <c r="L840" s="39" t="str">
        <f>VLOOKUP(Tabla810[[#This Row],[CODIGO DEL PRODUCTO]],Tabla79[],2,FALSE)</f>
        <v>PIEDRA 6-20</v>
      </c>
      <c r="M840" s="37">
        <v>5000</v>
      </c>
      <c r="O840" s="76">
        <v>103504</v>
      </c>
      <c r="P840" s="78" t="s">
        <v>252</v>
      </c>
      <c r="Q840" s="77">
        <v>45876</v>
      </c>
      <c r="R840" s="78" t="s">
        <v>43</v>
      </c>
      <c r="S840" s="36" t="str">
        <f>VLOOKUP(Tabla911[[#This Row],[CODIGO DEL PRODUCTO]],Tabla79[],2,FALSE)</f>
        <v>PIEDRA 6-20</v>
      </c>
      <c r="T840" s="37">
        <v>35600</v>
      </c>
      <c r="U840" s="78"/>
    </row>
    <row r="841" spans="8:21" x14ac:dyDescent="0.25">
      <c r="H841" s="34">
        <v>13733</v>
      </c>
      <c r="I841" s="34" t="s">
        <v>201</v>
      </c>
      <c r="J841" s="35">
        <v>45952</v>
      </c>
      <c r="K841" s="36" t="s">
        <v>43</v>
      </c>
      <c r="L841" s="39" t="str">
        <f>VLOOKUP(Tabla810[[#This Row],[CODIGO DEL PRODUCTO]],Tabla79[],2,FALSE)</f>
        <v>PIEDRA 6-20</v>
      </c>
      <c r="M841" s="37">
        <v>5000</v>
      </c>
      <c r="O841" s="76">
        <v>103522</v>
      </c>
      <c r="P841" s="78" t="s">
        <v>355</v>
      </c>
      <c r="Q841" s="77">
        <v>45876</v>
      </c>
      <c r="R841" s="78" t="s">
        <v>43</v>
      </c>
      <c r="S841" s="36" t="str">
        <f>VLOOKUP(Tabla911[[#This Row],[CODIGO DEL PRODUCTO]],Tabla79[],2,FALSE)</f>
        <v>PIEDRA 6-20</v>
      </c>
      <c r="T841" s="37">
        <v>35000</v>
      </c>
      <c r="U841" s="78"/>
    </row>
    <row r="842" spans="8:21" x14ac:dyDescent="0.25">
      <c r="H842" s="34">
        <v>13755</v>
      </c>
      <c r="I842" s="34" t="s">
        <v>588</v>
      </c>
      <c r="J842" s="35">
        <v>45952</v>
      </c>
      <c r="K842" s="36" t="s">
        <v>42</v>
      </c>
      <c r="L842" s="39" t="str">
        <f>VLOOKUP(Tabla810[[#This Row],[CODIGO DEL PRODUCTO]],Tabla79[],2,FALSE)</f>
        <v>ARENA FINA</v>
      </c>
      <c r="M842" s="37">
        <v>5000</v>
      </c>
      <c r="O842" s="76">
        <v>103529</v>
      </c>
      <c r="P842" s="78" t="s">
        <v>349</v>
      </c>
      <c r="Q842" s="77">
        <v>45876</v>
      </c>
      <c r="R842" s="78" t="s">
        <v>43</v>
      </c>
      <c r="S842" s="36" t="str">
        <f>VLOOKUP(Tabla911[[#This Row],[CODIGO DEL PRODUCTO]],Tabla79[],2,FALSE)</f>
        <v>PIEDRA 6-20</v>
      </c>
      <c r="T842" s="37">
        <v>36060</v>
      </c>
      <c r="U842" s="78"/>
    </row>
    <row r="843" spans="8:21" x14ac:dyDescent="0.25">
      <c r="H843" s="34">
        <v>13757</v>
      </c>
      <c r="I843" s="34" t="s">
        <v>426</v>
      </c>
      <c r="J843" s="35">
        <v>45952</v>
      </c>
      <c r="K843" s="36" t="s">
        <v>372</v>
      </c>
      <c r="L843" s="39" t="str">
        <f>VLOOKUP(Tabla810[[#This Row],[CODIGO DEL PRODUCTO]],Tabla79[],2,FALSE)</f>
        <v xml:space="preserve">ESTABILIZADO GRANULOMETRICO 0/20 </v>
      </c>
      <c r="M843" s="37">
        <v>22300</v>
      </c>
      <c r="O843" s="76">
        <v>103533</v>
      </c>
      <c r="P843" s="78" t="s">
        <v>156</v>
      </c>
      <c r="Q843" s="77">
        <v>45876</v>
      </c>
      <c r="R843" s="78" t="s">
        <v>40</v>
      </c>
      <c r="S843" s="36" t="str">
        <f>VLOOKUP(Tabla911[[#This Row],[CODIGO DEL PRODUCTO]],Tabla79[],2,FALSE)</f>
        <v>PIEDRA 0-6</v>
      </c>
      <c r="T843" s="37">
        <v>35100</v>
      </c>
      <c r="U843" s="78"/>
    </row>
    <row r="844" spans="8:21" x14ac:dyDescent="0.25">
      <c r="H844" s="34">
        <v>13759</v>
      </c>
      <c r="I844" s="34" t="s">
        <v>426</v>
      </c>
      <c r="J844" s="35">
        <v>45952</v>
      </c>
      <c r="K844" s="36" t="s">
        <v>42</v>
      </c>
      <c r="L844" s="39" t="str">
        <f>VLOOKUP(Tabla810[[#This Row],[CODIGO DEL PRODUCTO]],Tabla79[],2,FALSE)</f>
        <v>ARENA FINA</v>
      </c>
      <c r="M844" s="37">
        <v>5000</v>
      </c>
      <c r="O844" s="76">
        <v>103534</v>
      </c>
      <c r="P844" s="78" t="s">
        <v>299</v>
      </c>
      <c r="Q844" s="77">
        <v>45876</v>
      </c>
      <c r="R844" s="78" t="s">
        <v>43</v>
      </c>
      <c r="S844" s="36" t="str">
        <f>VLOOKUP(Tabla911[[#This Row],[CODIGO DEL PRODUCTO]],Tabla79[],2,FALSE)</f>
        <v>PIEDRA 6-20</v>
      </c>
      <c r="T844" s="37">
        <v>35140</v>
      </c>
      <c r="U844" s="78"/>
    </row>
    <row r="845" spans="8:21" x14ac:dyDescent="0.25">
      <c r="H845" s="34">
        <v>13812</v>
      </c>
      <c r="I845" s="34" t="s">
        <v>514</v>
      </c>
      <c r="J845" s="35">
        <v>45955</v>
      </c>
      <c r="K845" s="36" t="s">
        <v>42</v>
      </c>
      <c r="L845" s="39" t="str">
        <f>VLOOKUP(Tabla810[[#This Row],[CODIGO DEL PRODUCTO]],Tabla79[],2,FALSE)</f>
        <v>ARENA FINA</v>
      </c>
      <c r="M845" s="37">
        <v>40340</v>
      </c>
      <c r="O845" s="76">
        <v>103535</v>
      </c>
      <c r="P845" s="78" t="s">
        <v>155</v>
      </c>
      <c r="Q845" s="77">
        <v>45876</v>
      </c>
      <c r="R845" s="78" t="s">
        <v>43</v>
      </c>
      <c r="S845" s="36" t="str">
        <f>VLOOKUP(Tabla911[[#This Row],[CODIGO DEL PRODUCTO]],Tabla79[],2,FALSE)</f>
        <v>PIEDRA 6-20</v>
      </c>
      <c r="T845" s="37">
        <v>34460</v>
      </c>
      <c r="U845" s="78"/>
    </row>
    <row r="846" spans="8:21" x14ac:dyDescent="0.25">
      <c r="H846" s="34">
        <v>13806</v>
      </c>
      <c r="I846" s="34" t="s">
        <v>601</v>
      </c>
      <c r="J846" s="35">
        <v>45957</v>
      </c>
      <c r="K846" s="36" t="s">
        <v>43</v>
      </c>
      <c r="L846" s="39" t="str">
        <f>VLOOKUP(Tabla810[[#This Row],[CODIGO DEL PRODUCTO]],Tabla79[],2,FALSE)</f>
        <v>PIEDRA 6-20</v>
      </c>
      <c r="M846" s="37">
        <v>8000</v>
      </c>
      <c r="O846" s="76">
        <v>2646861</v>
      </c>
      <c r="P846" s="78" t="s">
        <v>296</v>
      </c>
      <c r="Q846" s="77">
        <v>45876</v>
      </c>
      <c r="R846" s="78" t="s">
        <v>286</v>
      </c>
      <c r="S846" s="36" t="str">
        <f>VLOOKUP(Tabla911[[#This Row],[CODIGO DEL PRODUCTO]],Tabla79[],2,FALSE)</f>
        <v>CPF 40 AVELLANEDA</v>
      </c>
      <c r="T846" s="37">
        <v>36540</v>
      </c>
      <c r="U846" s="78"/>
    </row>
    <row r="847" spans="8:21" x14ac:dyDescent="0.25">
      <c r="H847" s="34">
        <v>13822</v>
      </c>
      <c r="I847" s="34" t="s">
        <v>602</v>
      </c>
      <c r="J847" s="35">
        <v>45950</v>
      </c>
      <c r="K847" s="36" t="s">
        <v>43</v>
      </c>
      <c r="L847" s="39" t="str">
        <f>VLOOKUP(Tabla810[[#This Row],[CODIGO DEL PRODUCTO]],Tabla79[],2,FALSE)</f>
        <v>PIEDRA 6-20</v>
      </c>
      <c r="M847" s="37">
        <v>2000</v>
      </c>
      <c r="O847" s="76">
        <v>2647017</v>
      </c>
      <c r="P847" s="78" t="s">
        <v>65</v>
      </c>
      <c r="Q847" s="77">
        <v>45876</v>
      </c>
      <c r="R847" s="78" t="s">
        <v>286</v>
      </c>
      <c r="S847" s="36" t="str">
        <f>VLOOKUP(Tabla911[[#This Row],[CODIGO DEL PRODUCTO]],Tabla79[],2,FALSE)</f>
        <v>CPF 40 AVELLANEDA</v>
      </c>
      <c r="T847" s="37">
        <v>33100</v>
      </c>
      <c r="U847" s="78"/>
    </row>
    <row r="848" spans="8:21" x14ac:dyDescent="0.25">
      <c r="H848" s="34"/>
      <c r="I848" s="34" t="s">
        <v>602</v>
      </c>
      <c r="J848" s="35">
        <v>45951</v>
      </c>
      <c r="K848" s="36" t="s">
        <v>42</v>
      </c>
      <c r="L848" s="39" t="str">
        <f>VLOOKUP(Tabla810[[#This Row],[CODIGO DEL PRODUCTO]],Tabla79[],2,FALSE)</f>
        <v>ARENA FINA</v>
      </c>
      <c r="M848" s="37">
        <v>1000</v>
      </c>
      <c r="O848" s="76">
        <v>101364</v>
      </c>
      <c r="P848" s="78" t="s">
        <v>370</v>
      </c>
      <c r="Q848" s="77">
        <v>45877</v>
      </c>
      <c r="R848" s="78" t="s">
        <v>42</v>
      </c>
      <c r="S848" s="36" t="str">
        <f>VLOOKUP(Tabla911[[#This Row],[CODIGO DEL PRODUCTO]],Tabla79[],2,FALSE)</f>
        <v>ARENA FINA</v>
      </c>
      <c r="T848" s="37">
        <v>36900</v>
      </c>
      <c r="U848" s="78"/>
    </row>
    <row r="849" spans="8:21" x14ac:dyDescent="0.25">
      <c r="H849" s="34"/>
      <c r="I849" s="34" t="s">
        <v>53</v>
      </c>
      <c r="J849" s="35">
        <v>45952</v>
      </c>
      <c r="K849" s="36" t="s">
        <v>42</v>
      </c>
      <c r="L849" s="39" t="str">
        <f>VLOOKUP(Tabla810[[#This Row],[CODIGO DEL PRODUCTO]],Tabla79[],2,FALSE)</f>
        <v>ARENA FINA</v>
      </c>
      <c r="M849" s="37">
        <v>393117</v>
      </c>
      <c r="O849" s="76">
        <v>103551</v>
      </c>
      <c r="P849" s="78" t="s">
        <v>355</v>
      </c>
      <c r="Q849" s="77">
        <v>45877</v>
      </c>
      <c r="R849" s="78" t="s">
        <v>43</v>
      </c>
      <c r="S849" s="36" t="str">
        <f>VLOOKUP(Tabla911[[#This Row],[CODIGO DEL PRODUCTO]],Tabla79[],2,FALSE)</f>
        <v>PIEDRA 6-20</v>
      </c>
      <c r="T849" s="37">
        <v>34740</v>
      </c>
      <c r="U849" s="78"/>
    </row>
    <row r="850" spans="8:21" x14ac:dyDescent="0.25">
      <c r="H850" s="34"/>
      <c r="I850" s="34" t="s">
        <v>53</v>
      </c>
      <c r="J850" s="35">
        <v>45953</v>
      </c>
      <c r="K850" s="36" t="s">
        <v>40</v>
      </c>
      <c r="L850" s="39" t="str">
        <f>VLOOKUP(Tabla810[[#This Row],[CODIGO DEL PRODUCTO]],Tabla79[],2,FALSE)</f>
        <v>PIEDRA 0-6</v>
      </c>
      <c r="M850" s="37">
        <v>260110</v>
      </c>
      <c r="O850" s="76">
        <v>103558</v>
      </c>
      <c r="P850" s="78" t="s">
        <v>252</v>
      </c>
      <c r="Q850" s="77">
        <v>45877</v>
      </c>
      <c r="R850" s="78" t="s">
        <v>43</v>
      </c>
      <c r="S850" s="36" t="str">
        <f>VLOOKUP(Tabla911[[#This Row],[CODIGO DEL PRODUCTO]],Tabla79[],2,FALSE)</f>
        <v>PIEDRA 6-20</v>
      </c>
      <c r="T850" s="37">
        <v>35980</v>
      </c>
      <c r="U850" s="78"/>
    </row>
    <row r="851" spans="8:21" x14ac:dyDescent="0.25">
      <c r="H851" s="34"/>
      <c r="I851" s="34" t="s">
        <v>53</v>
      </c>
      <c r="J851" s="35">
        <v>45954</v>
      </c>
      <c r="K851" s="36" t="s">
        <v>286</v>
      </c>
      <c r="L851" s="39" t="str">
        <f>VLOOKUP(Tabla810[[#This Row],[CODIGO DEL PRODUCTO]],Tabla79[],2,FALSE)</f>
        <v>CPF 40 AVELLANEDA</v>
      </c>
      <c r="M851" s="37">
        <v>193188</v>
      </c>
      <c r="O851" s="76">
        <v>103560</v>
      </c>
      <c r="P851" s="78" t="s">
        <v>156</v>
      </c>
      <c r="Q851" s="77">
        <v>45877</v>
      </c>
      <c r="R851" s="78" t="s">
        <v>40</v>
      </c>
      <c r="S851" s="36" t="str">
        <f>VLOOKUP(Tabla911[[#This Row],[CODIGO DEL PRODUCTO]],Tabla79[],2,FALSE)</f>
        <v>PIEDRA 0-6</v>
      </c>
      <c r="T851" s="37">
        <v>35120</v>
      </c>
      <c r="U851" s="78"/>
    </row>
    <row r="852" spans="8:21" x14ac:dyDescent="0.25">
      <c r="H852" s="34"/>
      <c r="I852" s="34" t="s">
        <v>53</v>
      </c>
      <c r="J852" s="35">
        <v>45955</v>
      </c>
      <c r="K852" s="36" t="s">
        <v>48</v>
      </c>
      <c r="L852" s="39" t="str">
        <f>VLOOKUP(Tabla810[[#This Row],[CODIGO DEL PRODUCTO]],Tabla79[],2,FALSE)</f>
        <v>PIEDRA 6-12</v>
      </c>
      <c r="M852" s="37">
        <v>71745</v>
      </c>
      <c r="O852" s="76">
        <v>103564</v>
      </c>
      <c r="P852" s="78" t="s">
        <v>299</v>
      </c>
      <c r="Q852" s="77">
        <v>45877</v>
      </c>
      <c r="R852" s="78" t="s">
        <v>43</v>
      </c>
      <c r="S852" s="36" t="str">
        <f>VLOOKUP(Tabla911[[#This Row],[CODIGO DEL PRODUCTO]],Tabla79[],2,FALSE)</f>
        <v>PIEDRA 6-20</v>
      </c>
      <c r="T852" s="37">
        <v>35200</v>
      </c>
      <c r="U852" s="78"/>
    </row>
    <row r="853" spans="8:21" x14ac:dyDescent="0.25">
      <c r="H853" s="34"/>
      <c r="I853" s="34" t="s">
        <v>53</v>
      </c>
      <c r="J853" s="35">
        <v>45955</v>
      </c>
      <c r="K853" s="36" t="s">
        <v>43</v>
      </c>
      <c r="L853" s="39" t="str">
        <f>VLOOKUP(Tabla810[[#This Row],[CODIGO DEL PRODUCTO]],Tabla79[],2,FALSE)</f>
        <v>PIEDRA 6-20</v>
      </c>
      <c r="M853" s="37">
        <v>536680</v>
      </c>
      <c r="O853" s="76">
        <v>103565</v>
      </c>
      <c r="P853" s="78" t="s">
        <v>155</v>
      </c>
      <c r="Q853" s="77">
        <v>45877</v>
      </c>
      <c r="R853" s="78" t="s">
        <v>43</v>
      </c>
      <c r="S853" s="36" t="str">
        <f>VLOOKUP(Tabla911[[#This Row],[CODIGO DEL PRODUCTO]],Tabla79[],2,FALSE)</f>
        <v>PIEDRA 6-20</v>
      </c>
      <c r="T853" s="37">
        <v>34180</v>
      </c>
      <c r="U853" s="78"/>
    </row>
    <row r="854" spans="8:21" x14ac:dyDescent="0.25">
      <c r="H854" s="34"/>
      <c r="I854" s="34" t="s">
        <v>53</v>
      </c>
      <c r="J854" s="35">
        <v>45955</v>
      </c>
      <c r="K854" s="36" t="s">
        <v>46</v>
      </c>
      <c r="L854" s="39" t="str">
        <f>VLOOKUP(Tabla810[[#This Row],[CODIGO DEL PRODUCTO]],Tabla79[],2,FALSE)</f>
        <v>PIEDRA 10-30</v>
      </c>
      <c r="M854" s="37">
        <v>4147</v>
      </c>
      <c r="O854" s="76">
        <v>2647263</v>
      </c>
      <c r="P854" s="78" t="s">
        <v>65</v>
      </c>
      <c r="Q854" s="77">
        <v>45877</v>
      </c>
      <c r="R854" s="78" t="s">
        <v>286</v>
      </c>
      <c r="S854" s="36" t="str">
        <f>VLOOKUP(Tabla911[[#This Row],[CODIGO DEL PRODUCTO]],Tabla79[],2,FALSE)</f>
        <v>CPF 40 AVELLANEDA</v>
      </c>
      <c r="T854" s="37">
        <v>36000</v>
      </c>
      <c r="U854" s="78"/>
    </row>
    <row r="855" spans="8:21" x14ac:dyDescent="0.25">
      <c r="H855" s="34"/>
      <c r="I855" s="34" t="s">
        <v>53</v>
      </c>
      <c r="J855" s="35">
        <v>45955</v>
      </c>
      <c r="K855" s="36" t="s">
        <v>425</v>
      </c>
      <c r="L855" s="39" t="str">
        <f>VLOOKUP(Tabla810[[#This Row],[CODIGO DEL PRODUCTO]],Tabla79[],2,FALSE)</f>
        <v>W351R</v>
      </c>
      <c r="M855" s="37">
        <v>932.96</v>
      </c>
      <c r="O855" s="76">
        <v>141470</v>
      </c>
      <c r="P855" s="78" t="s">
        <v>493</v>
      </c>
      <c r="Q855" s="77">
        <v>45878</v>
      </c>
      <c r="R855" s="78" t="s">
        <v>40</v>
      </c>
      <c r="S855" s="36" t="str">
        <f>VLOOKUP(Tabla911[[#This Row],[CODIGO DEL PRODUCTO]],Tabla79[],2,FALSE)</f>
        <v>PIEDRA 0-6</v>
      </c>
      <c r="T855" s="37">
        <v>35560</v>
      </c>
      <c r="U855" s="78"/>
    </row>
    <row r="856" spans="8:21" x14ac:dyDescent="0.25">
      <c r="H856" s="34">
        <v>13839</v>
      </c>
      <c r="I856" s="34" t="s">
        <v>603</v>
      </c>
      <c r="J856" s="35">
        <v>45958</v>
      </c>
      <c r="K856" s="36" t="s">
        <v>42</v>
      </c>
      <c r="L856" s="39" t="str">
        <f>VLOOKUP(Tabla810[[#This Row],[CODIGO DEL PRODUCTO]],Tabla79[],2,FALSE)</f>
        <v>ARENA FINA</v>
      </c>
      <c r="M856" s="37">
        <v>4000</v>
      </c>
      <c r="O856" s="76">
        <v>103572</v>
      </c>
      <c r="P856" s="78" t="s">
        <v>150</v>
      </c>
      <c r="Q856" s="77">
        <v>45878</v>
      </c>
      <c r="R856" s="78" t="s">
        <v>43</v>
      </c>
      <c r="S856" s="36" t="str">
        <f>VLOOKUP(Tabla911[[#This Row],[CODIGO DEL PRODUCTO]],Tabla79[],2,FALSE)</f>
        <v>PIEDRA 6-20</v>
      </c>
      <c r="T856" s="37">
        <v>35620</v>
      </c>
      <c r="U856" s="78"/>
    </row>
    <row r="857" spans="8:21" x14ac:dyDescent="0.25">
      <c r="H857" s="34">
        <v>13850</v>
      </c>
      <c r="I857" s="34" t="s">
        <v>603</v>
      </c>
      <c r="J857" s="35">
        <v>45958</v>
      </c>
      <c r="K857" s="36" t="s">
        <v>42</v>
      </c>
      <c r="L857" s="39" t="str">
        <f>VLOOKUP(Tabla810[[#This Row],[CODIGO DEL PRODUCTO]],Tabla79[],2,FALSE)</f>
        <v>ARENA FINA</v>
      </c>
      <c r="M857" s="37">
        <v>2000</v>
      </c>
      <c r="O857" s="76">
        <v>2647388</v>
      </c>
      <c r="P857" s="78" t="s">
        <v>65</v>
      </c>
      <c r="Q857" s="77">
        <v>45878</v>
      </c>
      <c r="R857" s="78" t="s">
        <v>286</v>
      </c>
      <c r="S857" s="36" t="str">
        <f>VLOOKUP(Tabla911[[#This Row],[CODIGO DEL PRODUCTO]],Tabla79[],2,FALSE)</f>
        <v>CPF 40 AVELLANEDA</v>
      </c>
      <c r="T857" s="37">
        <v>35380</v>
      </c>
      <c r="U857" s="78"/>
    </row>
    <row r="858" spans="8:21" x14ac:dyDescent="0.25">
      <c r="H858" s="34">
        <v>13853</v>
      </c>
      <c r="I858" s="34" t="s">
        <v>604</v>
      </c>
      <c r="J858" s="35">
        <v>45958</v>
      </c>
      <c r="K858" s="36" t="s">
        <v>42</v>
      </c>
      <c r="L858" s="39" t="str">
        <f>VLOOKUP(Tabla810[[#This Row],[CODIGO DEL PRODUCTO]],Tabla79[],2,FALSE)</f>
        <v>ARENA FINA</v>
      </c>
      <c r="M858" s="37">
        <v>3000</v>
      </c>
      <c r="O858" s="76">
        <v>101383</v>
      </c>
      <c r="P858" s="78" t="s">
        <v>370</v>
      </c>
      <c r="Q858" s="77">
        <v>45880</v>
      </c>
      <c r="R858" s="78" t="s">
        <v>42</v>
      </c>
      <c r="S858" s="36" t="str">
        <f>VLOOKUP(Tabla911[[#This Row],[CODIGO DEL PRODUCTO]],Tabla79[],2,FALSE)</f>
        <v>ARENA FINA</v>
      </c>
      <c r="T858" s="37">
        <v>34760</v>
      </c>
      <c r="U858" s="78"/>
    </row>
    <row r="859" spans="8:21" x14ac:dyDescent="0.25">
      <c r="H859" s="34">
        <v>13864</v>
      </c>
      <c r="I859" s="34" t="s">
        <v>593</v>
      </c>
      <c r="J859" s="35">
        <v>45958</v>
      </c>
      <c r="K859" s="36" t="s">
        <v>372</v>
      </c>
      <c r="L859" s="39" t="str">
        <f>VLOOKUP(Tabla810[[#This Row],[CODIGO DEL PRODUCTO]],Tabla79[],2,FALSE)</f>
        <v xml:space="preserve">ESTABILIZADO GRANULOMETRICO 0/20 </v>
      </c>
      <c r="M859" s="37">
        <v>22160</v>
      </c>
      <c r="O859" s="76">
        <v>103582</v>
      </c>
      <c r="P859" s="78" t="s">
        <v>299</v>
      </c>
      <c r="Q859" s="77">
        <v>45880</v>
      </c>
      <c r="R859" s="78" t="s">
        <v>43</v>
      </c>
      <c r="S859" s="36" t="str">
        <f>VLOOKUP(Tabla911[[#This Row],[CODIGO DEL PRODUCTO]],Tabla79[],2,FALSE)</f>
        <v>PIEDRA 6-20</v>
      </c>
      <c r="T859" s="37">
        <v>34560</v>
      </c>
      <c r="U859" s="78"/>
    </row>
    <row r="860" spans="8:21" x14ac:dyDescent="0.25">
      <c r="H860" s="34">
        <v>13865</v>
      </c>
      <c r="I860" s="34" t="s">
        <v>593</v>
      </c>
      <c r="J860" s="35">
        <v>45958</v>
      </c>
      <c r="K860" s="36" t="s">
        <v>43</v>
      </c>
      <c r="L860" s="39" t="str">
        <f>VLOOKUP(Tabla810[[#This Row],[CODIGO DEL PRODUCTO]],Tabla79[],2,FALSE)</f>
        <v>PIEDRA 6-20</v>
      </c>
      <c r="M860" s="37">
        <v>2000</v>
      </c>
      <c r="O860" s="76">
        <v>103594</v>
      </c>
      <c r="P860" s="78" t="s">
        <v>349</v>
      </c>
      <c r="Q860" s="77">
        <v>45880</v>
      </c>
      <c r="R860" s="78" t="s">
        <v>43</v>
      </c>
      <c r="S860" s="36" t="str">
        <f>VLOOKUP(Tabla911[[#This Row],[CODIGO DEL PRODUCTO]],Tabla79[],2,FALSE)</f>
        <v>PIEDRA 6-20</v>
      </c>
      <c r="T860" s="37">
        <v>35400</v>
      </c>
      <c r="U860" s="78"/>
    </row>
    <row r="861" spans="8:21" x14ac:dyDescent="0.25">
      <c r="H861" s="34">
        <v>13868</v>
      </c>
      <c r="I861" s="34" t="s">
        <v>478</v>
      </c>
      <c r="J861" s="35">
        <v>45959</v>
      </c>
      <c r="K861" s="36" t="s">
        <v>42</v>
      </c>
      <c r="L861" s="39" t="str">
        <f>VLOOKUP(Tabla810[[#This Row],[CODIGO DEL PRODUCTO]],Tabla79[],2,FALSE)</f>
        <v>ARENA FINA</v>
      </c>
      <c r="M861" s="37">
        <v>4000</v>
      </c>
      <c r="O861" s="76">
        <v>103595</v>
      </c>
      <c r="P861" s="78" t="s">
        <v>218</v>
      </c>
      <c r="Q861" s="77">
        <v>45880</v>
      </c>
      <c r="R861" s="78" t="s">
        <v>43</v>
      </c>
      <c r="S861" s="36" t="str">
        <f>VLOOKUP(Tabla911[[#This Row],[CODIGO DEL PRODUCTO]],Tabla79[],2,FALSE)</f>
        <v>PIEDRA 6-20</v>
      </c>
      <c r="T861" s="37">
        <v>34880</v>
      </c>
      <c r="U861" s="78"/>
    </row>
    <row r="862" spans="8:21" x14ac:dyDescent="0.25">
      <c r="H862" s="34">
        <v>13873</v>
      </c>
      <c r="I862" s="34" t="s">
        <v>494</v>
      </c>
      <c r="J862" s="35">
        <v>45959</v>
      </c>
      <c r="K862" s="36" t="s">
        <v>42</v>
      </c>
      <c r="L862" s="39" t="str">
        <f>VLOOKUP(Tabla810[[#This Row],[CODIGO DEL PRODUCTO]],Tabla79[],2,FALSE)</f>
        <v>ARENA FINA</v>
      </c>
      <c r="M862" s="37">
        <v>2000</v>
      </c>
      <c r="O862" s="76">
        <v>103601</v>
      </c>
      <c r="P862" s="78" t="s">
        <v>173</v>
      </c>
      <c r="Q862" s="77">
        <v>45880</v>
      </c>
      <c r="R862" s="78" t="s">
        <v>40</v>
      </c>
      <c r="S862" s="36" t="str">
        <f>VLOOKUP(Tabla911[[#This Row],[CODIGO DEL PRODUCTO]],Tabla79[],2,FALSE)</f>
        <v>PIEDRA 0-6</v>
      </c>
      <c r="T862" s="37">
        <v>34900</v>
      </c>
      <c r="U862" s="78"/>
    </row>
    <row r="863" spans="8:21" x14ac:dyDescent="0.25">
      <c r="H863" s="34">
        <v>13874</v>
      </c>
      <c r="I863" s="34" t="s">
        <v>478</v>
      </c>
      <c r="J863" s="35">
        <v>45959</v>
      </c>
      <c r="K863" s="36" t="s">
        <v>42</v>
      </c>
      <c r="L863" s="39" t="str">
        <f>VLOOKUP(Tabla810[[#This Row],[CODIGO DEL PRODUCTO]],Tabla79[],2,FALSE)</f>
        <v>ARENA FINA</v>
      </c>
      <c r="M863" s="37">
        <v>2000</v>
      </c>
      <c r="O863" s="76">
        <v>103606</v>
      </c>
      <c r="P863" s="78" t="s">
        <v>155</v>
      </c>
      <c r="Q863" s="77">
        <v>45880</v>
      </c>
      <c r="R863" s="78" t="s">
        <v>43</v>
      </c>
      <c r="S863" s="36" t="str">
        <f>VLOOKUP(Tabla911[[#This Row],[CODIGO DEL PRODUCTO]],Tabla79[],2,FALSE)</f>
        <v>PIEDRA 6-20</v>
      </c>
      <c r="T863" s="37">
        <v>33900</v>
      </c>
      <c r="U863" s="78"/>
    </row>
    <row r="864" spans="8:21" x14ac:dyDescent="0.25">
      <c r="H864" s="34"/>
      <c r="I864" s="34" t="s">
        <v>478</v>
      </c>
      <c r="J864" s="35">
        <v>45959</v>
      </c>
      <c r="K864" s="36" t="s">
        <v>43</v>
      </c>
      <c r="L864" s="39" t="str">
        <f>VLOOKUP(Tabla810[[#This Row],[CODIGO DEL PRODUCTO]],Tabla79[],2,FALSE)</f>
        <v>PIEDRA 6-20</v>
      </c>
      <c r="M864" s="37">
        <v>2000</v>
      </c>
      <c r="O864" s="76">
        <v>141500</v>
      </c>
      <c r="P864" s="78" t="s">
        <v>231</v>
      </c>
      <c r="Q864" s="77">
        <v>45880</v>
      </c>
      <c r="R864" s="78" t="s">
        <v>40</v>
      </c>
      <c r="S864" s="36" t="str">
        <f>VLOOKUP(Tabla911[[#This Row],[CODIGO DEL PRODUCTO]],Tabla79[],2,FALSE)</f>
        <v>PIEDRA 0-6</v>
      </c>
      <c r="T864" s="37">
        <v>35420</v>
      </c>
      <c r="U864" s="78"/>
    </row>
    <row r="865" spans="8:21" x14ac:dyDescent="0.25">
      <c r="H865" s="34">
        <v>13880</v>
      </c>
      <c r="I865" s="34" t="s">
        <v>608</v>
      </c>
      <c r="J865" s="35">
        <v>45959</v>
      </c>
      <c r="K865" s="36" t="s">
        <v>42</v>
      </c>
      <c r="L865" s="39" t="str">
        <f>VLOOKUP(Tabla810[[#This Row],[CODIGO DEL PRODUCTO]],Tabla79[],2,FALSE)</f>
        <v>ARENA FINA</v>
      </c>
      <c r="M865" s="37">
        <v>5000</v>
      </c>
      <c r="O865" s="76">
        <v>141505</v>
      </c>
      <c r="P865" s="78" t="s">
        <v>296</v>
      </c>
      <c r="Q865" s="77">
        <v>45880</v>
      </c>
      <c r="R865" s="78" t="s">
        <v>40</v>
      </c>
      <c r="S865" s="36" t="str">
        <f>VLOOKUP(Tabla911[[#This Row],[CODIGO DEL PRODUCTO]],Tabla79[],2,FALSE)</f>
        <v>PIEDRA 0-6</v>
      </c>
      <c r="T865" s="37">
        <v>35340</v>
      </c>
      <c r="U865" s="78"/>
    </row>
    <row r="866" spans="8:21" x14ac:dyDescent="0.25">
      <c r="H866" s="34">
        <v>13883</v>
      </c>
      <c r="I866" s="34" t="s">
        <v>495</v>
      </c>
      <c r="J866" s="35">
        <v>45959</v>
      </c>
      <c r="K866" s="36" t="s">
        <v>42</v>
      </c>
      <c r="L866" s="39" t="str">
        <f>VLOOKUP(Tabla810[[#This Row],[CODIGO DEL PRODUCTO]],Tabla79[],2,FALSE)</f>
        <v>ARENA FINA</v>
      </c>
      <c r="M866" s="37">
        <v>3000</v>
      </c>
      <c r="O866" s="76">
        <v>2647771</v>
      </c>
      <c r="P866" s="78" t="s">
        <v>65</v>
      </c>
      <c r="Q866" s="77">
        <v>45880</v>
      </c>
      <c r="R866" s="78" t="s">
        <v>286</v>
      </c>
      <c r="S866" s="36" t="str">
        <f>VLOOKUP(Tabla911[[#This Row],[CODIGO DEL PRODUCTO]],Tabla79[],2,FALSE)</f>
        <v>CPF 40 AVELLANEDA</v>
      </c>
      <c r="T866" s="37">
        <v>35860</v>
      </c>
      <c r="U866" s="78"/>
    </row>
    <row r="867" spans="8:21" x14ac:dyDescent="0.25">
      <c r="H867" s="34">
        <v>13894</v>
      </c>
      <c r="I867" s="34" t="s">
        <v>608</v>
      </c>
      <c r="J867" s="35">
        <v>45959</v>
      </c>
      <c r="K867" s="36" t="s">
        <v>42</v>
      </c>
      <c r="L867" s="39" t="str">
        <f>VLOOKUP(Tabla810[[#This Row],[CODIGO DEL PRODUCTO]],Tabla79[],2,FALSE)</f>
        <v>ARENA FINA</v>
      </c>
      <c r="M867" s="37">
        <v>1000</v>
      </c>
      <c r="O867" s="76">
        <v>101400</v>
      </c>
      <c r="P867" s="78" t="s">
        <v>370</v>
      </c>
      <c r="Q867" s="77">
        <v>45881</v>
      </c>
      <c r="R867" s="78" t="s">
        <v>42</v>
      </c>
      <c r="S867" s="36" t="str">
        <f>VLOOKUP(Tabla911[[#This Row],[CODIGO DEL PRODUCTO]],Tabla79[],2,FALSE)</f>
        <v>ARENA FINA</v>
      </c>
      <c r="T867" s="37">
        <v>37960</v>
      </c>
      <c r="U867" s="78"/>
    </row>
    <row r="868" spans="8:21" x14ac:dyDescent="0.25">
      <c r="H868" s="34">
        <v>13898</v>
      </c>
      <c r="I868" s="34" t="s">
        <v>522</v>
      </c>
      <c r="J868" s="35">
        <v>45959</v>
      </c>
      <c r="K868" s="36" t="s">
        <v>42</v>
      </c>
      <c r="L868" s="39" t="str">
        <f>VLOOKUP(Tabla810[[#This Row],[CODIGO DEL PRODUCTO]],Tabla79[],2,FALSE)</f>
        <v>ARENA FINA</v>
      </c>
      <c r="M868" s="37">
        <v>2000</v>
      </c>
      <c r="O868" s="76">
        <v>103614</v>
      </c>
      <c r="P868" s="78" t="s">
        <v>299</v>
      </c>
      <c r="Q868" s="77">
        <v>45881</v>
      </c>
      <c r="R868" s="78" t="s">
        <v>43</v>
      </c>
      <c r="S868" s="36" t="str">
        <f>VLOOKUP(Tabla911[[#This Row],[CODIGO DEL PRODUCTO]],Tabla79[],2,FALSE)</f>
        <v>PIEDRA 6-20</v>
      </c>
      <c r="T868" s="37">
        <v>34920</v>
      </c>
      <c r="U868" s="78"/>
    </row>
    <row r="869" spans="8:21" x14ac:dyDescent="0.25">
      <c r="H869" s="34">
        <v>13906</v>
      </c>
      <c r="I869" s="34" t="s">
        <v>573</v>
      </c>
      <c r="J869" s="35">
        <v>45960</v>
      </c>
      <c r="K869" s="36" t="s">
        <v>42</v>
      </c>
      <c r="L869" s="39" t="str">
        <f>VLOOKUP(Tabla810[[#This Row],[CODIGO DEL PRODUCTO]],Tabla79[],2,FALSE)</f>
        <v>ARENA FINA</v>
      </c>
      <c r="M869" s="37">
        <v>5000</v>
      </c>
      <c r="O869" s="76">
        <v>103617</v>
      </c>
      <c r="P869" s="78" t="s">
        <v>287</v>
      </c>
      <c r="Q869" s="77">
        <v>45881</v>
      </c>
      <c r="R869" s="78" t="s">
        <v>40</v>
      </c>
      <c r="S869" s="36" t="str">
        <f>VLOOKUP(Tabla911[[#This Row],[CODIGO DEL PRODUCTO]],Tabla79[],2,FALSE)</f>
        <v>PIEDRA 0-6</v>
      </c>
      <c r="T869" s="37">
        <v>35300</v>
      </c>
      <c r="U869" s="78"/>
    </row>
    <row r="870" spans="8:21" x14ac:dyDescent="0.25">
      <c r="H870" s="34">
        <v>13910</v>
      </c>
      <c r="I870" s="34" t="s">
        <v>522</v>
      </c>
      <c r="J870" s="35">
        <v>45960</v>
      </c>
      <c r="K870" s="36" t="s">
        <v>42</v>
      </c>
      <c r="L870" s="39" t="str">
        <f>VLOOKUP(Tabla810[[#This Row],[CODIGO DEL PRODUCTO]],Tabla79[],2,FALSE)</f>
        <v>ARENA FINA</v>
      </c>
      <c r="M870" s="37">
        <v>2000</v>
      </c>
      <c r="O870" s="76">
        <v>103620</v>
      </c>
      <c r="P870" s="78" t="s">
        <v>150</v>
      </c>
      <c r="Q870" s="77">
        <v>45881</v>
      </c>
      <c r="R870" s="78" t="s">
        <v>43</v>
      </c>
      <c r="S870" s="36" t="str">
        <f>VLOOKUP(Tabla911[[#This Row],[CODIGO DEL PRODUCTO]],Tabla79[],2,FALSE)</f>
        <v>PIEDRA 6-20</v>
      </c>
      <c r="T870" s="37">
        <v>34740</v>
      </c>
      <c r="U870" s="78"/>
    </row>
    <row r="871" spans="8:21" x14ac:dyDescent="0.25">
      <c r="H871" s="34">
        <v>13912</v>
      </c>
      <c r="I871" s="34" t="s">
        <v>573</v>
      </c>
      <c r="J871" s="35">
        <v>45960</v>
      </c>
      <c r="K871" s="36" t="s">
        <v>43</v>
      </c>
      <c r="L871" s="39" t="str">
        <f>VLOOKUP(Tabla810[[#This Row],[CODIGO DEL PRODUCTO]],Tabla79[],2,FALSE)</f>
        <v>PIEDRA 6-20</v>
      </c>
      <c r="M871" s="37">
        <v>5000</v>
      </c>
      <c r="O871" s="76">
        <v>103631</v>
      </c>
      <c r="P871" s="78" t="s">
        <v>318</v>
      </c>
      <c r="Q871" s="77">
        <v>45881</v>
      </c>
      <c r="R871" s="78" t="s">
        <v>40</v>
      </c>
      <c r="S871" s="36" t="str">
        <f>VLOOKUP(Tabla911[[#This Row],[CODIGO DEL PRODUCTO]],Tabla79[],2,FALSE)</f>
        <v>PIEDRA 0-6</v>
      </c>
      <c r="T871" s="37">
        <v>33920</v>
      </c>
      <c r="U871" s="78"/>
    </row>
    <row r="872" spans="8:21" x14ac:dyDescent="0.25">
      <c r="H872" s="34">
        <v>13938</v>
      </c>
      <c r="I872" s="34" t="s">
        <v>574</v>
      </c>
      <c r="J872" s="35">
        <v>45961</v>
      </c>
      <c r="K872" s="36" t="s">
        <v>372</v>
      </c>
      <c r="L872" s="39" t="str">
        <f>VLOOKUP(Tabla810[[#This Row],[CODIGO DEL PRODUCTO]],Tabla79[],2,FALSE)</f>
        <v xml:space="preserve">ESTABILIZADO GRANULOMETRICO 0/20 </v>
      </c>
      <c r="M872" s="37">
        <v>15</v>
      </c>
      <c r="O872" s="76">
        <v>103632</v>
      </c>
      <c r="P872" s="78" t="s">
        <v>218</v>
      </c>
      <c r="Q872" s="77">
        <v>45881</v>
      </c>
      <c r="R872" s="78" t="s">
        <v>43</v>
      </c>
      <c r="S872" s="36" t="str">
        <f>VLOOKUP(Tabla911[[#This Row],[CODIGO DEL PRODUCTO]],Tabla79[],2,FALSE)</f>
        <v>PIEDRA 6-20</v>
      </c>
      <c r="T872" s="37">
        <v>34340</v>
      </c>
      <c r="U872" s="78"/>
    </row>
    <row r="873" spans="8:21" x14ac:dyDescent="0.25">
      <c r="H873" s="34">
        <v>13976</v>
      </c>
      <c r="I873" s="34" t="s">
        <v>594</v>
      </c>
      <c r="J873" s="35">
        <v>45961</v>
      </c>
      <c r="K873" s="36" t="s">
        <v>42</v>
      </c>
      <c r="L873" s="39" t="str">
        <f>VLOOKUP(Tabla810[[#This Row],[CODIGO DEL PRODUCTO]],Tabla79[],2,FALSE)</f>
        <v>ARENA FINA</v>
      </c>
      <c r="M873" s="37">
        <v>3</v>
      </c>
      <c r="O873" s="76">
        <v>103642</v>
      </c>
      <c r="P873" s="78" t="s">
        <v>234</v>
      </c>
      <c r="Q873" s="77">
        <v>45881</v>
      </c>
      <c r="R873" s="78" t="s">
        <v>40</v>
      </c>
      <c r="S873" s="36" t="str">
        <f>VLOOKUP(Tabla911[[#This Row],[CODIGO DEL PRODUCTO]],Tabla79[],2,FALSE)</f>
        <v>PIEDRA 0-6</v>
      </c>
      <c r="T873" s="37">
        <v>34480</v>
      </c>
      <c r="U873" s="78"/>
    </row>
    <row r="874" spans="8:21" x14ac:dyDescent="0.25">
      <c r="H874" s="34">
        <v>14006</v>
      </c>
      <c r="I874" s="34" t="s">
        <v>514</v>
      </c>
      <c r="J874" s="35">
        <v>45962</v>
      </c>
      <c r="K874" s="36" t="s">
        <v>42</v>
      </c>
      <c r="L874" s="39" t="str">
        <f>VLOOKUP(Tabla810[[#This Row],[CODIGO DEL PRODUCTO]],Tabla79[],2,FALSE)</f>
        <v>ARENA FINA</v>
      </c>
      <c r="M874" s="37">
        <v>38040</v>
      </c>
      <c r="O874" s="76">
        <v>103646</v>
      </c>
      <c r="P874" s="78" t="s">
        <v>155</v>
      </c>
      <c r="Q874" s="77">
        <v>45881</v>
      </c>
      <c r="R874" s="78" t="s">
        <v>43</v>
      </c>
      <c r="S874" s="36" t="str">
        <f>VLOOKUP(Tabla911[[#This Row],[CODIGO DEL PRODUCTO]],Tabla79[],2,FALSE)</f>
        <v>PIEDRA 6-20</v>
      </c>
      <c r="T874" s="37">
        <v>34040</v>
      </c>
      <c r="U874" s="78"/>
    </row>
    <row r="875" spans="8:21" x14ac:dyDescent="0.25">
      <c r="H875" s="34"/>
      <c r="I875" s="34" t="s">
        <v>53</v>
      </c>
      <c r="J875" s="35">
        <v>45957</v>
      </c>
      <c r="K875" s="36" t="s">
        <v>42</v>
      </c>
      <c r="L875" s="39" t="str">
        <f>VLOOKUP(Tabla810[[#This Row],[CODIGO DEL PRODUCTO]],Tabla79[],2,FALSE)</f>
        <v>ARENA FINA</v>
      </c>
      <c r="M875" s="37">
        <v>357811</v>
      </c>
      <c r="O875" s="76">
        <v>103647</v>
      </c>
      <c r="P875" s="78" t="s">
        <v>156</v>
      </c>
      <c r="Q875" s="77">
        <v>45881</v>
      </c>
      <c r="R875" s="78" t="s">
        <v>40</v>
      </c>
      <c r="S875" s="36" t="str">
        <f>VLOOKUP(Tabla911[[#This Row],[CODIGO DEL PRODUCTO]],Tabla79[],2,FALSE)</f>
        <v>PIEDRA 0-6</v>
      </c>
      <c r="T875" s="37">
        <v>33960</v>
      </c>
      <c r="U875" s="78"/>
    </row>
    <row r="876" spans="8:21" x14ac:dyDescent="0.25">
      <c r="H876" s="34"/>
      <c r="I876" s="34" t="s">
        <v>53</v>
      </c>
      <c r="J876" s="35">
        <v>45957</v>
      </c>
      <c r="K876" s="36" t="s">
        <v>40</v>
      </c>
      <c r="L876" s="39" t="str">
        <f>VLOOKUP(Tabla810[[#This Row],[CODIGO DEL PRODUCTO]],Tabla79[],2,FALSE)</f>
        <v>PIEDRA 0-6</v>
      </c>
      <c r="M876" s="37">
        <v>233024</v>
      </c>
      <c r="O876" s="76">
        <v>2647946</v>
      </c>
      <c r="P876" s="78" t="s">
        <v>65</v>
      </c>
      <c r="Q876" s="77">
        <v>45881</v>
      </c>
      <c r="R876" s="78" t="s">
        <v>286</v>
      </c>
      <c r="S876" s="36" t="str">
        <f>VLOOKUP(Tabla911[[#This Row],[CODIGO DEL PRODUCTO]],Tabla79[],2,FALSE)</f>
        <v>CPF 40 AVELLANEDA</v>
      </c>
      <c r="T876" s="37">
        <v>35940</v>
      </c>
      <c r="U876" s="78"/>
    </row>
    <row r="877" spans="8:21" x14ac:dyDescent="0.25">
      <c r="H877" s="34"/>
      <c r="I877" s="34" t="s">
        <v>53</v>
      </c>
      <c r="J877" s="35">
        <v>45958</v>
      </c>
      <c r="K877" s="36" t="s">
        <v>286</v>
      </c>
      <c r="L877" s="39" t="str">
        <f>VLOOKUP(Tabla810[[#This Row],[CODIGO DEL PRODUCTO]],Tabla79[],2,FALSE)</f>
        <v>CPF 40 AVELLANEDA</v>
      </c>
      <c r="M877" s="37">
        <v>166297</v>
      </c>
      <c r="O877" s="76">
        <v>32299</v>
      </c>
      <c r="P877" s="78" t="s">
        <v>449</v>
      </c>
      <c r="Q877" s="77">
        <v>45880</v>
      </c>
      <c r="R877" s="78" t="s">
        <v>425</v>
      </c>
      <c r="S877" s="36" t="str">
        <f>VLOOKUP(Tabla911[[#This Row],[CODIGO DEL PRODUCTO]],Tabla79[],2,FALSE)</f>
        <v>W351R</v>
      </c>
      <c r="T877" s="37">
        <v>2000</v>
      </c>
      <c r="U877" s="78"/>
    </row>
    <row r="878" spans="8:21" x14ac:dyDescent="0.25">
      <c r="H878" s="34"/>
      <c r="I878" s="34" t="s">
        <v>53</v>
      </c>
      <c r="J878" s="35">
        <v>45958</v>
      </c>
      <c r="K878" s="36" t="s">
        <v>48</v>
      </c>
      <c r="L878" s="39" t="str">
        <f>VLOOKUP(Tabla810[[#This Row],[CODIGO DEL PRODUCTO]],Tabla79[],2,FALSE)</f>
        <v>PIEDRA 6-12</v>
      </c>
      <c r="M878" s="37">
        <v>53894</v>
      </c>
      <c r="O878" s="76">
        <v>103661</v>
      </c>
      <c r="P878" s="78" t="s">
        <v>150</v>
      </c>
      <c r="Q878" s="77">
        <v>45882</v>
      </c>
      <c r="R878" s="78" t="s">
        <v>43</v>
      </c>
      <c r="S878" s="36" t="str">
        <f>VLOOKUP(Tabla911[[#This Row],[CODIGO DEL PRODUCTO]],Tabla79[],2,FALSE)</f>
        <v>PIEDRA 6-20</v>
      </c>
      <c r="T878" s="37">
        <v>35120</v>
      </c>
      <c r="U878" s="78"/>
    </row>
    <row r="879" spans="8:21" x14ac:dyDescent="0.25">
      <c r="H879" s="34"/>
      <c r="I879" s="34" t="s">
        <v>53</v>
      </c>
      <c r="J879" s="35">
        <v>45959</v>
      </c>
      <c r="K879" s="36" t="s">
        <v>43</v>
      </c>
      <c r="L879" s="39" t="str">
        <f>VLOOKUP(Tabla810[[#This Row],[CODIGO DEL PRODUCTO]],Tabla79[],2,FALSE)</f>
        <v>PIEDRA 6-20</v>
      </c>
      <c r="M879" s="37">
        <v>424183</v>
      </c>
      <c r="O879" s="76">
        <v>103669</v>
      </c>
      <c r="P879" s="78" t="s">
        <v>263</v>
      </c>
      <c r="Q879" s="77">
        <v>45882</v>
      </c>
      <c r="R879" s="78" t="s">
        <v>40</v>
      </c>
      <c r="S879" s="36" t="str">
        <f>VLOOKUP(Tabla911[[#This Row],[CODIGO DEL PRODUCTO]],Tabla79[],2,FALSE)</f>
        <v>PIEDRA 0-6</v>
      </c>
      <c r="T879" s="37">
        <v>34840</v>
      </c>
      <c r="U879" s="78"/>
    </row>
    <row r="880" spans="8:21" x14ac:dyDescent="0.25">
      <c r="H880" s="34"/>
      <c r="I880" s="34" t="s">
        <v>53</v>
      </c>
      <c r="J880" s="35">
        <v>45960</v>
      </c>
      <c r="K880" s="36" t="s">
        <v>46</v>
      </c>
      <c r="L880" s="39" t="str">
        <f>VLOOKUP(Tabla810[[#This Row],[CODIGO DEL PRODUCTO]],Tabla79[],2,FALSE)</f>
        <v>PIEDRA 10-30</v>
      </c>
      <c r="M880" s="37">
        <v>2623</v>
      </c>
      <c r="O880" s="76">
        <v>103670</v>
      </c>
      <c r="P880" s="78" t="s">
        <v>287</v>
      </c>
      <c r="Q880" s="77">
        <v>45882</v>
      </c>
      <c r="R880" s="78" t="s">
        <v>40</v>
      </c>
      <c r="S880" s="36" t="str">
        <f>VLOOKUP(Tabla911[[#This Row],[CODIGO DEL PRODUCTO]],Tabla79[],2,FALSE)</f>
        <v>PIEDRA 0-6</v>
      </c>
      <c r="T880" s="37">
        <v>35060</v>
      </c>
      <c r="U880" s="78"/>
    </row>
    <row r="881" spans="8:21" x14ac:dyDescent="0.25">
      <c r="H881" s="34"/>
      <c r="I881" s="34" t="s">
        <v>53</v>
      </c>
      <c r="J881" s="35">
        <v>45961</v>
      </c>
      <c r="K881" s="36" t="s">
        <v>425</v>
      </c>
      <c r="L881" s="39" t="str">
        <f>VLOOKUP(Tabla810[[#This Row],[CODIGO DEL PRODUCTO]],Tabla79[],2,FALSE)</f>
        <v>W351R</v>
      </c>
      <c r="M881" s="37">
        <v>918.22</v>
      </c>
      <c r="O881" s="76">
        <v>103695</v>
      </c>
      <c r="P881" s="78" t="s">
        <v>349</v>
      </c>
      <c r="Q881" s="77">
        <v>45882</v>
      </c>
      <c r="R881" s="78" t="s">
        <v>43</v>
      </c>
      <c r="S881" s="36" t="str">
        <f>VLOOKUP(Tabla911[[#This Row],[CODIGO DEL PRODUCTO]],Tabla79[],2,FALSE)</f>
        <v>PIEDRA 6-20</v>
      </c>
      <c r="T881" s="37">
        <v>36020</v>
      </c>
      <c r="U881" s="78"/>
    </row>
    <row r="882" spans="8:21" x14ac:dyDescent="0.25">
      <c r="H882" s="34">
        <v>14075</v>
      </c>
      <c r="I882" s="34" t="s">
        <v>298</v>
      </c>
      <c r="J882" s="35">
        <v>45966</v>
      </c>
      <c r="K882" s="36" t="s">
        <v>42</v>
      </c>
      <c r="L882" s="39" t="str">
        <f>VLOOKUP(Tabla810[[#This Row],[CODIGO DEL PRODUCTO]],Tabla79[],2,FALSE)</f>
        <v>ARENA FINA</v>
      </c>
      <c r="M882" s="37">
        <v>1000</v>
      </c>
      <c r="O882" s="76">
        <v>103704</v>
      </c>
      <c r="P882" s="78" t="s">
        <v>318</v>
      </c>
      <c r="Q882" s="77">
        <v>45882</v>
      </c>
      <c r="R882" s="78" t="s">
        <v>40</v>
      </c>
      <c r="S882" s="36" t="str">
        <f>VLOOKUP(Tabla911[[#This Row],[CODIGO DEL PRODUCTO]],Tabla79[],2,FALSE)</f>
        <v>PIEDRA 0-6</v>
      </c>
      <c r="T882" s="37">
        <v>34180</v>
      </c>
      <c r="U882" s="78"/>
    </row>
    <row r="883" spans="8:21" x14ac:dyDescent="0.25">
      <c r="H883" s="34">
        <v>14081</v>
      </c>
      <c r="I883" s="34" t="s">
        <v>474</v>
      </c>
      <c r="J883" s="35">
        <v>45966</v>
      </c>
      <c r="K883" s="36" t="s">
        <v>43</v>
      </c>
      <c r="L883" s="39" t="str">
        <f>VLOOKUP(Tabla810[[#This Row],[CODIGO DEL PRODUCTO]],Tabla79[],2,FALSE)</f>
        <v>PIEDRA 6-20</v>
      </c>
      <c r="M883" s="37">
        <v>5000</v>
      </c>
      <c r="O883" s="76">
        <v>103705</v>
      </c>
      <c r="P883" s="78" t="s">
        <v>155</v>
      </c>
      <c r="Q883" s="77">
        <v>45882</v>
      </c>
      <c r="R883" s="78" t="s">
        <v>43</v>
      </c>
      <c r="S883" s="36" t="str">
        <f>VLOOKUP(Tabla911[[#This Row],[CODIGO DEL PRODUCTO]],Tabla79[],2,FALSE)</f>
        <v>PIEDRA 6-20</v>
      </c>
      <c r="T883" s="37">
        <v>33820</v>
      </c>
      <c r="U883" s="78"/>
    </row>
    <row r="884" spans="8:21" x14ac:dyDescent="0.25">
      <c r="H884" s="34">
        <v>14010</v>
      </c>
      <c r="I884" s="34" t="s">
        <v>474</v>
      </c>
      <c r="J884" s="35">
        <v>45964</v>
      </c>
      <c r="K884" s="36" t="s">
        <v>42</v>
      </c>
      <c r="L884" s="39" t="str">
        <f>VLOOKUP(Tabla810[[#This Row],[CODIGO DEL PRODUCTO]],Tabla79[],2,FALSE)</f>
        <v>ARENA FINA</v>
      </c>
      <c r="M884" s="37">
        <v>5000</v>
      </c>
      <c r="O884" s="76">
        <v>103709</v>
      </c>
      <c r="P884" s="78" t="s">
        <v>156</v>
      </c>
      <c r="Q884" s="77">
        <v>45882</v>
      </c>
      <c r="R884" s="78" t="s">
        <v>40</v>
      </c>
      <c r="S884" s="36" t="str">
        <f>VLOOKUP(Tabla911[[#This Row],[CODIGO DEL PRODUCTO]],Tabla79[],2,FALSE)</f>
        <v>PIEDRA 0-6</v>
      </c>
      <c r="T884" s="37">
        <v>35400</v>
      </c>
      <c r="U884" s="78"/>
    </row>
    <row r="885" spans="8:21" x14ac:dyDescent="0.25">
      <c r="H885" s="34">
        <v>14021</v>
      </c>
      <c r="I885" s="34" t="s">
        <v>573</v>
      </c>
      <c r="J885" s="35">
        <v>45964</v>
      </c>
      <c r="K885" s="36" t="s">
        <v>42</v>
      </c>
      <c r="L885" s="39" t="str">
        <f>VLOOKUP(Tabla810[[#This Row],[CODIGO DEL PRODUCTO]],Tabla79[],2,FALSE)</f>
        <v>ARENA FINA</v>
      </c>
      <c r="M885" s="37">
        <v>5000</v>
      </c>
      <c r="O885" s="76">
        <v>141662</v>
      </c>
      <c r="P885" s="78" t="s">
        <v>296</v>
      </c>
      <c r="Q885" s="77">
        <v>45882</v>
      </c>
      <c r="R885" s="78" t="s">
        <v>43</v>
      </c>
      <c r="S885" s="36" t="str">
        <f>VLOOKUP(Tabla911[[#This Row],[CODIGO DEL PRODUCTO]],Tabla79[],2,FALSE)</f>
        <v>PIEDRA 6-20</v>
      </c>
      <c r="T885" s="37">
        <v>35620</v>
      </c>
      <c r="U885" s="78"/>
    </row>
    <row r="886" spans="8:21" x14ac:dyDescent="0.25">
      <c r="H886" s="34">
        <v>14023</v>
      </c>
      <c r="I886" s="34" t="s">
        <v>573</v>
      </c>
      <c r="J886" s="35">
        <v>45964</v>
      </c>
      <c r="K886" s="36" t="s">
        <v>43</v>
      </c>
      <c r="L886" s="39" t="str">
        <f>VLOOKUP(Tabla810[[#This Row],[CODIGO DEL PRODUCTO]],Tabla79[],2,FALSE)</f>
        <v>PIEDRA 6-20</v>
      </c>
      <c r="M886" s="37">
        <v>5000</v>
      </c>
      <c r="O886" s="76">
        <v>2648291</v>
      </c>
      <c r="P886" s="78" t="s">
        <v>65</v>
      </c>
      <c r="Q886" s="77">
        <v>45882</v>
      </c>
      <c r="R886" s="78" t="s">
        <v>286</v>
      </c>
      <c r="S886" s="36" t="str">
        <f>VLOOKUP(Tabla911[[#This Row],[CODIGO DEL PRODUCTO]],Tabla79[],2,FALSE)</f>
        <v>CPF 40 AVELLANEDA</v>
      </c>
      <c r="T886" s="37">
        <v>35720</v>
      </c>
      <c r="U886" s="78"/>
    </row>
    <row r="887" spans="8:21" x14ac:dyDescent="0.25">
      <c r="H887" s="34">
        <v>14091</v>
      </c>
      <c r="I887" s="34" t="s">
        <v>594</v>
      </c>
      <c r="J887" s="35">
        <v>45967</v>
      </c>
      <c r="K887" s="36" t="s">
        <v>42</v>
      </c>
      <c r="L887" s="39" t="str">
        <f>VLOOKUP(Tabla810[[#This Row],[CODIGO DEL PRODUCTO]],Tabla79[],2,FALSE)</f>
        <v>ARENA FINA</v>
      </c>
      <c r="M887" s="37">
        <v>3000</v>
      </c>
      <c r="O887" s="76">
        <v>101419</v>
      </c>
      <c r="P887" s="78" t="s">
        <v>370</v>
      </c>
      <c r="Q887" s="77">
        <v>45883</v>
      </c>
      <c r="R887" s="78" t="s">
        <v>42</v>
      </c>
      <c r="S887" s="36" t="str">
        <f>VLOOKUP(Tabla911[[#This Row],[CODIGO DEL PRODUCTO]],Tabla79[],2,FALSE)</f>
        <v>ARENA FINA</v>
      </c>
      <c r="T887" s="37">
        <v>36320</v>
      </c>
      <c r="U887" s="78"/>
    </row>
    <row r="888" spans="8:21" x14ac:dyDescent="0.25">
      <c r="H888" s="34">
        <v>14102</v>
      </c>
      <c r="I888" s="34" t="s">
        <v>613</v>
      </c>
      <c r="J888" s="35">
        <v>45967</v>
      </c>
      <c r="K888" s="36" t="s">
        <v>42</v>
      </c>
      <c r="L888" s="39" t="str">
        <f>VLOOKUP(Tabla810[[#This Row],[CODIGO DEL PRODUCTO]],Tabla79[],2,FALSE)</f>
        <v>ARENA FINA</v>
      </c>
      <c r="M888" s="37">
        <v>3000</v>
      </c>
      <c r="O888" s="76">
        <v>101427</v>
      </c>
      <c r="P888" s="78" t="s">
        <v>370</v>
      </c>
      <c r="Q888" s="77">
        <v>45883</v>
      </c>
      <c r="R888" s="78" t="s">
        <v>42</v>
      </c>
      <c r="S888" s="36" t="str">
        <f>VLOOKUP(Tabla911[[#This Row],[CODIGO DEL PRODUCTO]],Tabla79[],2,FALSE)</f>
        <v>ARENA FINA</v>
      </c>
      <c r="T888" s="37">
        <v>34760</v>
      </c>
      <c r="U888" s="78"/>
    </row>
    <row r="889" spans="8:21" x14ac:dyDescent="0.25">
      <c r="H889" s="34"/>
      <c r="I889" s="34" t="s">
        <v>613</v>
      </c>
      <c r="J889" s="35">
        <v>45967</v>
      </c>
      <c r="K889" s="36" t="s">
        <v>43</v>
      </c>
      <c r="L889" s="39" t="str">
        <f>VLOOKUP(Tabla810[[#This Row],[CODIGO DEL PRODUCTO]],Tabla79[],2,FALSE)</f>
        <v>PIEDRA 6-20</v>
      </c>
      <c r="M889" s="37">
        <v>1000</v>
      </c>
      <c r="O889" s="76">
        <v>103712</v>
      </c>
      <c r="P889" s="78" t="s">
        <v>287</v>
      </c>
      <c r="Q889" s="77">
        <v>45883</v>
      </c>
      <c r="R889" s="78" t="s">
        <v>40</v>
      </c>
      <c r="S889" s="36" t="str">
        <f>VLOOKUP(Tabla911[[#This Row],[CODIGO DEL PRODUCTO]],Tabla79[],2,FALSE)</f>
        <v>PIEDRA 0-6</v>
      </c>
      <c r="T889" s="37">
        <v>35240</v>
      </c>
      <c r="U889" s="78"/>
    </row>
    <row r="890" spans="8:21" x14ac:dyDescent="0.25">
      <c r="H890" s="34">
        <v>14104</v>
      </c>
      <c r="I890" s="34" t="s">
        <v>298</v>
      </c>
      <c r="J890" s="35">
        <v>45967</v>
      </c>
      <c r="K890" s="36" t="s">
        <v>42</v>
      </c>
      <c r="L890" s="39" t="str">
        <f>VLOOKUP(Tabla810[[#This Row],[CODIGO DEL PRODUCTO]],Tabla79[],2,FALSE)</f>
        <v>ARENA FINA</v>
      </c>
      <c r="M890" s="37">
        <v>1000</v>
      </c>
      <c r="O890" s="76">
        <v>103713</v>
      </c>
      <c r="P890" s="78" t="s">
        <v>150</v>
      </c>
      <c r="Q890" s="77">
        <v>45883</v>
      </c>
      <c r="R890" s="78" t="s">
        <v>43</v>
      </c>
      <c r="S890" s="36" t="str">
        <f>VLOOKUP(Tabla911[[#This Row],[CODIGO DEL PRODUCTO]],Tabla79[],2,FALSE)</f>
        <v>PIEDRA 6-20</v>
      </c>
      <c r="T890" s="37">
        <v>34880</v>
      </c>
      <c r="U890" s="78"/>
    </row>
    <row r="891" spans="8:21" x14ac:dyDescent="0.25">
      <c r="H891" s="34">
        <v>14109</v>
      </c>
      <c r="I891" s="34" t="s">
        <v>474</v>
      </c>
      <c r="J891" s="35">
        <v>45967</v>
      </c>
      <c r="K891" s="36" t="s">
        <v>42</v>
      </c>
      <c r="L891" s="39" t="str">
        <f>VLOOKUP(Tabla810[[#This Row],[CODIGO DEL PRODUCTO]],Tabla79[],2,FALSE)</f>
        <v>ARENA FINA</v>
      </c>
      <c r="M891" s="37">
        <v>5000</v>
      </c>
      <c r="O891" s="76">
        <v>103730</v>
      </c>
      <c r="P891" s="78" t="s">
        <v>318</v>
      </c>
      <c r="Q891" s="77">
        <v>45883</v>
      </c>
      <c r="R891" s="78" t="s">
        <v>40</v>
      </c>
      <c r="S891" s="36" t="str">
        <f>VLOOKUP(Tabla911[[#This Row],[CODIGO DEL PRODUCTO]],Tabla79[],2,FALSE)</f>
        <v>PIEDRA 0-6</v>
      </c>
      <c r="T891" s="37">
        <v>34600</v>
      </c>
      <c r="U891" s="78"/>
    </row>
    <row r="892" spans="8:21" x14ac:dyDescent="0.25">
      <c r="H892" s="34">
        <v>14112</v>
      </c>
      <c r="I892" s="34" t="s">
        <v>591</v>
      </c>
      <c r="J892" s="35">
        <v>45968</v>
      </c>
      <c r="K892" s="36" t="s">
        <v>42</v>
      </c>
      <c r="L892" s="39" t="str">
        <f>VLOOKUP(Tabla810[[#This Row],[CODIGO DEL PRODUCTO]],Tabla79[],2,FALSE)</f>
        <v>ARENA FINA</v>
      </c>
      <c r="M892" s="37">
        <v>3000</v>
      </c>
      <c r="O892" s="76">
        <v>103734</v>
      </c>
      <c r="P892" s="78" t="s">
        <v>218</v>
      </c>
      <c r="Q892" s="77">
        <v>45883</v>
      </c>
      <c r="R892" s="78" t="s">
        <v>43</v>
      </c>
      <c r="S892" s="36" t="str">
        <f>VLOOKUP(Tabla911[[#This Row],[CODIGO DEL PRODUCTO]],Tabla79[],2,FALSE)</f>
        <v>PIEDRA 6-20</v>
      </c>
      <c r="T892" s="37">
        <v>35240</v>
      </c>
      <c r="U892" s="78"/>
    </row>
    <row r="893" spans="8:21" x14ac:dyDescent="0.25">
      <c r="H893" s="34">
        <v>14113</v>
      </c>
      <c r="I893" s="34" t="s">
        <v>613</v>
      </c>
      <c r="J893" s="35">
        <v>45968</v>
      </c>
      <c r="K893" s="36" t="s">
        <v>42</v>
      </c>
      <c r="L893" s="39" t="str">
        <f>VLOOKUP(Tabla810[[#This Row],[CODIGO DEL PRODUCTO]],Tabla79[],2,FALSE)</f>
        <v>ARENA FINA</v>
      </c>
      <c r="M893" s="37">
        <v>3000</v>
      </c>
      <c r="O893" s="76">
        <v>103741</v>
      </c>
      <c r="P893" s="78" t="s">
        <v>218</v>
      </c>
      <c r="Q893" s="77">
        <v>45883</v>
      </c>
      <c r="R893" s="78" t="s">
        <v>43</v>
      </c>
      <c r="S893" s="36" t="str">
        <f>VLOOKUP(Tabla911[[#This Row],[CODIGO DEL PRODUCTO]],Tabla79[],2,FALSE)</f>
        <v>PIEDRA 6-20</v>
      </c>
      <c r="T893" s="37">
        <v>34780</v>
      </c>
      <c r="U893" s="78"/>
    </row>
    <row r="894" spans="8:21" x14ac:dyDescent="0.25">
      <c r="H894" s="34"/>
      <c r="I894" s="34" t="s">
        <v>613</v>
      </c>
      <c r="J894" s="35">
        <v>45968</v>
      </c>
      <c r="K894" s="36" t="s">
        <v>43</v>
      </c>
      <c r="L894" s="39" t="str">
        <f>VLOOKUP(Tabla810[[#This Row],[CODIGO DEL PRODUCTO]],Tabla79[],2,FALSE)</f>
        <v>PIEDRA 6-20</v>
      </c>
      <c r="M894" s="37">
        <v>1000</v>
      </c>
      <c r="O894" s="76">
        <v>103749</v>
      </c>
      <c r="P894" s="78" t="s">
        <v>156</v>
      </c>
      <c r="Q894" s="77">
        <v>45883</v>
      </c>
      <c r="R894" s="78" t="s">
        <v>40</v>
      </c>
      <c r="S894" s="36" t="str">
        <f>VLOOKUP(Tabla911[[#This Row],[CODIGO DEL PRODUCTO]],Tabla79[],2,FALSE)</f>
        <v>PIEDRA 0-6</v>
      </c>
      <c r="T894" s="37">
        <v>35380</v>
      </c>
      <c r="U894" s="78"/>
    </row>
    <row r="895" spans="8:21" x14ac:dyDescent="0.25">
      <c r="H895" s="34">
        <v>14132</v>
      </c>
      <c r="I895" s="34" t="s">
        <v>534</v>
      </c>
      <c r="J895" s="35">
        <v>45969</v>
      </c>
      <c r="K895" s="36" t="s">
        <v>42</v>
      </c>
      <c r="L895" s="39" t="str">
        <f>VLOOKUP(Tabla810[[#This Row],[CODIGO DEL PRODUCTO]],Tabla79[],2,FALSE)</f>
        <v>ARENA FINA</v>
      </c>
      <c r="M895" s="37">
        <v>2000</v>
      </c>
      <c r="O895" s="76">
        <v>103750</v>
      </c>
      <c r="P895" s="78" t="s">
        <v>155</v>
      </c>
      <c r="Q895" s="77">
        <v>45883</v>
      </c>
      <c r="R895" s="78" t="s">
        <v>43</v>
      </c>
      <c r="S895" s="36" t="str">
        <f>VLOOKUP(Tabla911[[#This Row],[CODIGO DEL PRODUCTO]],Tabla79[],2,FALSE)</f>
        <v>PIEDRA 6-20</v>
      </c>
      <c r="T895" s="37">
        <v>33960</v>
      </c>
      <c r="U895" s="78"/>
    </row>
    <row r="896" spans="8:21" x14ac:dyDescent="0.25">
      <c r="H896" s="34"/>
      <c r="I896" s="34" t="s">
        <v>53</v>
      </c>
      <c r="J896" s="35">
        <v>45962</v>
      </c>
      <c r="K896" s="36" t="s">
        <v>42</v>
      </c>
      <c r="L896" s="39" t="str">
        <f>VLOOKUP(Tabla810[[#This Row],[CODIGO DEL PRODUCTO]],Tabla79[],2,FALSE)</f>
        <v>ARENA FINA</v>
      </c>
      <c r="M896" s="37">
        <v>391898</v>
      </c>
      <c r="O896" s="76">
        <v>103757</v>
      </c>
      <c r="P896" s="78" t="s">
        <v>150</v>
      </c>
      <c r="Q896" s="77">
        <v>45884</v>
      </c>
      <c r="R896" s="78" t="s">
        <v>43</v>
      </c>
      <c r="S896" s="36" t="str">
        <f>VLOOKUP(Tabla911[[#This Row],[CODIGO DEL PRODUCTO]],Tabla79[],2,FALSE)</f>
        <v>PIEDRA 6-20</v>
      </c>
      <c r="T896" s="37">
        <v>35440</v>
      </c>
      <c r="U896" s="78"/>
    </row>
    <row r="897" spans="8:21" x14ac:dyDescent="0.25">
      <c r="H897" s="34"/>
      <c r="I897" s="34" t="s">
        <v>53</v>
      </c>
      <c r="J897" s="35">
        <v>45963</v>
      </c>
      <c r="K897" s="36" t="s">
        <v>40</v>
      </c>
      <c r="L897" s="39" t="str">
        <f>VLOOKUP(Tabla810[[#This Row],[CODIGO DEL PRODUCTO]],Tabla79[],2,FALSE)</f>
        <v>PIEDRA 0-6</v>
      </c>
      <c r="M897" s="37">
        <v>258469</v>
      </c>
      <c r="O897" s="76">
        <v>2648585</v>
      </c>
      <c r="P897" s="78" t="s">
        <v>65</v>
      </c>
      <c r="Q897" s="77">
        <v>45884</v>
      </c>
      <c r="R897" s="78" t="s">
        <v>286</v>
      </c>
      <c r="S897" s="36" t="str">
        <f>VLOOKUP(Tabla911[[#This Row],[CODIGO DEL PRODUCTO]],Tabla79[],2,FALSE)</f>
        <v>CPF 40 AVELLANEDA</v>
      </c>
      <c r="T897" s="37">
        <v>36240</v>
      </c>
      <c r="U897" s="78"/>
    </row>
    <row r="898" spans="8:21" x14ac:dyDescent="0.25">
      <c r="H898" s="34"/>
      <c r="I898" s="34" t="s">
        <v>53</v>
      </c>
      <c r="J898" s="35">
        <v>45964</v>
      </c>
      <c r="K898" s="36" t="s">
        <v>286</v>
      </c>
      <c r="L898" s="39" t="str">
        <f>VLOOKUP(Tabla810[[#This Row],[CODIGO DEL PRODUCTO]],Tabla79[],2,FALSE)</f>
        <v>CPF 40 AVELLANEDA</v>
      </c>
      <c r="M898" s="37">
        <v>183682</v>
      </c>
      <c r="O898" s="76">
        <v>101438</v>
      </c>
      <c r="P898" s="78" t="s">
        <v>370</v>
      </c>
      <c r="Q898" s="77">
        <v>45884</v>
      </c>
      <c r="R898" s="78" t="s">
        <v>42</v>
      </c>
      <c r="S898" s="36" t="str">
        <f>VLOOKUP(Tabla911[[#This Row],[CODIGO DEL PRODUCTO]],Tabla79[],2,FALSE)</f>
        <v>ARENA FINA</v>
      </c>
      <c r="T898" s="37">
        <v>35000</v>
      </c>
      <c r="U898" s="78"/>
    </row>
    <row r="899" spans="8:21" x14ac:dyDescent="0.25">
      <c r="H899" s="34"/>
      <c r="I899" s="34" t="s">
        <v>53</v>
      </c>
      <c r="J899" s="35">
        <v>45965</v>
      </c>
      <c r="K899" s="36" t="s">
        <v>48</v>
      </c>
      <c r="L899" s="39" t="str">
        <f>VLOOKUP(Tabla810[[#This Row],[CODIGO DEL PRODUCTO]],Tabla79[],2,FALSE)</f>
        <v>PIEDRA 6-12</v>
      </c>
      <c r="M899" s="37">
        <v>89311</v>
      </c>
      <c r="O899" s="76">
        <v>101447</v>
      </c>
      <c r="P899" s="78" t="s">
        <v>370</v>
      </c>
      <c r="Q899" s="77">
        <v>45884</v>
      </c>
      <c r="R899" s="78" t="s">
        <v>42</v>
      </c>
      <c r="S899" s="36" t="str">
        <f>VLOOKUP(Tabla911[[#This Row],[CODIGO DEL PRODUCTO]],Tabla79[],2,FALSE)</f>
        <v>ARENA FINA</v>
      </c>
      <c r="T899" s="37">
        <v>33620</v>
      </c>
      <c r="U899" s="78"/>
    </row>
    <row r="900" spans="8:21" x14ac:dyDescent="0.25">
      <c r="H900" s="34"/>
      <c r="I900" s="34" t="s">
        <v>53</v>
      </c>
      <c r="J900" s="35">
        <v>45966</v>
      </c>
      <c r="K900" s="36" t="s">
        <v>43</v>
      </c>
      <c r="L900" s="39" t="str">
        <f>VLOOKUP(Tabla810[[#This Row],[CODIGO DEL PRODUCTO]],Tabla79[],2,FALSE)</f>
        <v>PIEDRA 6-20</v>
      </c>
      <c r="M900" s="37">
        <v>442021</v>
      </c>
      <c r="O900" s="76">
        <v>103779</v>
      </c>
      <c r="P900" s="78" t="s">
        <v>218</v>
      </c>
      <c r="Q900" s="77">
        <v>45884</v>
      </c>
      <c r="R900" s="78" t="s">
        <v>43</v>
      </c>
      <c r="S900" s="36" t="str">
        <f>VLOOKUP(Tabla911[[#This Row],[CODIGO DEL PRODUCTO]],Tabla79[],2,FALSE)</f>
        <v>PIEDRA 6-20</v>
      </c>
      <c r="T900" s="37">
        <v>35540</v>
      </c>
      <c r="U900" s="78"/>
    </row>
    <row r="901" spans="8:21" x14ac:dyDescent="0.25">
      <c r="H901" s="34"/>
      <c r="I901" s="34" t="s">
        <v>53</v>
      </c>
      <c r="J901" s="35">
        <v>45967</v>
      </c>
      <c r="K901" s="36" t="s">
        <v>425</v>
      </c>
      <c r="L901" s="39" t="str">
        <f>VLOOKUP(Tabla810[[#This Row],[CODIGO DEL PRODUCTO]],Tabla79[],2,FALSE)</f>
        <v>W351R</v>
      </c>
      <c r="M901" s="37">
        <v>1123.83</v>
      </c>
      <c r="O901" s="76">
        <v>103790</v>
      </c>
      <c r="P901" s="78" t="s">
        <v>218</v>
      </c>
      <c r="Q901" s="77">
        <v>45884</v>
      </c>
      <c r="R901" s="78" t="s">
        <v>43</v>
      </c>
      <c r="S901" s="36" t="str">
        <f>VLOOKUP(Tabla911[[#This Row],[CODIGO DEL PRODUCTO]],Tabla79[],2,FALSE)</f>
        <v>PIEDRA 6-20</v>
      </c>
      <c r="T901" s="37">
        <v>34500</v>
      </c>
      <c r="U901" s="78"/>
    </row>
    <row r="902" spans="8:21" x14ac:dyDescent="0.25">
      <c r="H902" s="34">
        <v>14191</v>
      </c>
      <c r="I902" s="34" t="s">
        <v>474</v>
      </c>
      <c r="J902" s="35">
        <v>45972</v>
      </c>
      <c r="K902" s="36" t="s">
        <v>42</v>
      </c>
      <c r="L902" s="39" t="str">
        <f>VLOOKUP(Tabla810[[#This Row],[CODIGO DEL PRODUCTO]],Tabla79[],2,FALSE)</f>
        <v>ARENA FINA</v>
      </c>
      <c r="M902" s="37">
        <v>5000</v>
      </c>
      <c r="O902" s="76">
        <v>103796</v>
      </c>
      <c r="P902" s="78" t="s">
        <v>156</v>
      </c>
      <c r="Q902" s="77">
        <v>45884</v>
      </c>
      <c r="R902" s="78" t="s">
        <v>40</v>
      </c>
      <c r="S902" s="36" t="str">
        <f>VLOOKUP(Tabla911[[#This Row],[CODIGO DEL PRODUCTO]],Tabla79[],2,FALSE)</f>
        <v>PIEDRA 0-6</v>
      </c>
      <c r="T902" s="37">
        <v>34840</v>
      </c>
      <c r="U902" s="78"/>
    </row>
    <row r="903" spans="8:21" x14ac:dyDescent="0.25">
      <c r="H903" s="34">
        <v>14200</v>
      </c>
      <c r="I903" s="34" t="s">
        <v>594</v>
      </c>
      <c r="J903" s="35">
        <v>45972</v>
      </c>
      <c r="K903" s="36" t="s">
        <v>42</v>
      </c>
      <c r="L903" s="39" t="str">
        <f>VLOOKUP(Tabla810[[#This Row],[CODIGO DEL PRODUCTO]],Tabla79[],2,FALSE)</f>
        <v>ARENA FINA</v>
      </c>
      <c r="M903" s="37">
        <v>3000</v>
      </c>
      <c r="O903" s="76">
        <v>103802</v>
      </c>
      <c r="P903" s="78" t="s">
        <v>155</v>
      </c>
      <c r="Q903" s="77">
        <v>45884</v>
      </c>
      <c r="R903" s="78" t="s">
        <v>43</v>
      </c>
      <c r="S903" s="36" t="str">
        <f>VLOOKUP(Tabla911[[#This Row],[CODIGO DEL PRODUCTO]],Tabla79[],2,FALSE)</f>
        <v>PIEDRA 6-20</v>
      </c>
      <c r="T903" s="37">
        <v>33680</v>
      </c>
      <c r="U903" s="78"/>
    </row>
    <row r="904" spans="8:21" x14ac:dyDescent="0.25">
      <c r="H904" s="34">
        <v>14201</v>
      </c>
      <c r="I904" s="34" t="s">
        <v>617</v>
      </c>
      <c r="J904" s="35">
        <v>45972</v>
      </c>
      <c r="K904" s="36" t="s">
        <v>468</v>
      </c>
      <c r="L904" s="39" t="str">
        <f>VLOOKUP(Tabla810[[#This Row],[CODIGO DEL PRODUCTO]],Tabla79[],2,FALSE)</f>
        <v>ESTABILIZADO 0-100 X TN</v>
      </c>
      <c r="M904" s="37">
        <v>20000</v>
      </c>
      <c r="O904" s="76">
        <v>103803</v>
      </c>
      <c r="P904" s="78" t="s">
        <v>318</v>
      </c>
      <c r="Q904" s="77">
        <v>45884</v>
      </c>
      <c r="R904" s="78" t="s">
        <v>40</v>
      </c>
      <c r="S904" s="36" t="str">
        <f>VLOOKUP(Tabla911[[#This Row],[CODIGO DEL PRODUCTO]],Tabla79[],2,FALSE)</f>
        <v>PIEDRA 0-6</v>
      </c>
      <c r="T904" s="37">
        <v>35440</v>
      </c>
      <c r="U904" s="78"/>
    </row>
    <row r="905" spans="8:21" x14ac:dyDescent="0.25">
      <c r="H905" s="34">
        <v>14209</v>
      </c>
      <c r="I905" s="34" t="s">
        <v>618</v>
      </c>
      <c r="J905" s="35">
        <v>45972</v>
      </c>
      <c r="K905" s="36" t="s">
        <v>43</v>
      </c>
      <c r="L905" s="39" t="str">
        <f>VLOOKUP(Tabla810[[#This Row],[CODIGO DEL PRODUCTO]],Tabla79[],2,FALSE)</f>
        <v>PIEDRA 6-20</v>
      </c>
      <c r="M905" s="37">
        <v>4000</v>
      </c>
      <c r="O905" s="76">
        <v>141815</v>
      </c>
      <c r="P905" s="78" t="s">
        <v>231</v>
      </c>
      <c r="Q905" s="77">
        <v>45884</v>
      </c>
      <c r="R905" s="78" t="s">
        <v>43</v>
      </c>
      <c r="S905" s="36" t="str">
        <f>VLOOKUP(Tabla911[[#This Row],[CODIGO DEL PRODUCTO]],Tabla79[],2,FALSE)</f>
        <v>PIEDRA 6-20</v>
      </c>
      <c r="T905" s="37">
        <v>34960</v>
      </c>
      <c r="U905" s="78"/>
    </row>
    <row r="906" spans="8:21" x14ac:dyDescent="0.25">
      <c r="H906" s="34">
        <v>14217</v>
      </c>
      <c r="I906" s="34" t="s">
        <v>574</v>
      </c>
      <c r="J906" s="35">
        <v>45972</v>
      </c>
      <c r="K906" s="36" t="s">
        <v>372</v>
      </c>
      <c r="L906" s="39" t="str">
        <f>VLOOKUP(Tabla810[[#This Row],[CODIGO DEL PRODUCTO]],Tabla79[],2,FALSE)</f>
        <v xml:space="preserve">ESTABILIZADO GRANULOMETRICO 0/20 </v>
      </c>
      <c r="M906" s="37">
        <v>20000</v>
      </c>
      <c r="O906" s="76">
        <v>2648804</v>
      </c>
      <c r="P906" s="78" t="s">
        <v>65</v>
      </c>
      <c r="Q906" s="77">
        <v>45884</v>
      </c>
      <c r="R906" s="78" t="s">
        <v>286</v>
      </c>
      <c r="S906" s="36" t="str">
        <f>VLOOKUP(Tabla911[[#This Row],[CODIGO DEL PRODUCTO]],Tabla79[],2,FALSE)</f>
        <v>CPF 40 AVELLANEDA</v>
      </c>
      <c r="T906" s="37">
        <v>36340</v>
      </c>
      <c r="U906" s="78"/>
    </row>
    <row r="907" spans="8:21" x14ac:dyDescent="0.25">
      <c r="H907" s="34">
        <v>14221</v>
      </c>
      <c r="I907" s="34" t="s">
        <v>619</v>
      </c>
      <c r="J907" s="35">
        <v>45972</v>
      </c>
      <c r="K907" s="36" t="s">
        <v>42</v>
      </c>
      <c r="L907" s="39" t="str">
        <f>VLOOKUP(Tabla810[[#This Row],[CODIGO DEL PRODUCTO]],Tabla79[],2,FALSE)</f>
        <v>ARENA FINA</v>
      </c>
      <c r="M907" s="37">
        <v>3000</v>
      </c>
      <c r="O907" s="76">
        <v>2648815</v>
      </c>
      <c r="P907" s="78" t="s">
        <v>65</v>
      </c>
      <c r="Q907" s="77">
        <v>45884</v>
      </c>
      <c r="R907" s="78" t="s">
        <v>286</v>
      </c>
      <c r="S907" s="36" t="str">
        <f>VLOOKUP(Tabla911[[#This Row],[CODIGO DEL PRODUCTO]],Tabla79[],2,FALSE)</f>
        <v>CPF 40 AVELLANEDA</v>
      </c>
      <c r="T907" s="37">
        <v>35860</v>
      </c>
      <c r="U907" s="78"/>
    </row>
    <row r="908" spans="8:21" x14ac:dyDescent="0.25">
      <c r="H908" s="34">
        <v>14226</v>
      </c>
      <c r="I908" s="34" t="s">
        <v>558</v>
      </c>
      <c r="J908" s="35">
        <v>45972</v>
      </c>
      <c r="K908" s="36" t="s">
        <v>42</v>
      </c>
      <c r="L908" s="39" t="str">
        <f>VLOOKUP(Tabla810[[#This Row],[CODIGO DEL PRODUCTO]],Tabla79[],2,FALSE)</f>
        <v>ARENA FINA</v>
      </c>
      <c r="M908" s="37">
        <v>5000</v>
      </c>
      <c r="O908" s="76">
        <v>101461</v>
      </c>
      <c r="P908" s="78" t="s">
        <v>370</v>
      </c>
      <c r="Q908" s="77">
        <v>45885</v>
      </c>
      <c r="R908" s="78" t="s">
        <v>42</v>
      </c>
      <c r="S908" s="36" t="str">
        <f>VLOOKUP(Tabla911[[#This Row],[CODIGO DEL PRODUCTO]],Tabla79[],2,FALSE)</f>
        <v>ARENA FINA</v>
      </c>
      <c r="T908" s="37">
        <v>34900</v>
      </c>
      <c r="U908" s="78"/>
    </row>
    <row r="909" spans="8:21" x14ac:dyDescent="0.25">
      <c r="H909" s="34">
        <v>14228</v>
      </c>
      <c r="I909" s="34" t="s">
        <v>522</v>
      </c>
      <c r="J909" s="35">
        <v>45972</v>
      </c>
      <c r="K909" s="36" t="s">
        <v>42</v>
      </c>
      <c r="L909" s="39" t="str">
        <f>VLOOKUP(Tabla810[[#This Row],[CODIGO DEL PRODUCTO]],Tabla79[],2,FALSE)</f>
        <v>ARENA FINA</v>
      </c>
      <c r="M909" s="37">
        <v>4000</v>
      </c>
      <c r="O909" s="76">
        <v>103807</v>
      </c>
      <c r="P909" s="78" t="s">
        <v>150</v>
      </c>
      <c r="Q909" s="77">
        <v>45885</v>
      </c>
      <c r="R909" s="78" t="s">
        <v>43</v>
      </c>
      <c r="S909" s="36" t="str">
        <f>VLOOKUP(Tabla911[[#This Row],[CODIGO DEL PRODUCTO]],Tabla79[],2,FALSE)</f>
        <v>PIEDRA 6-20</v>
      </c>
      <c r="T909" s="37">
        <v>35620</v>
      </c>
      <c r="U909" s="78"/>
    </row>
    <row r="910" spans="8:21" x14ac:dyDescent="0.25">
      <c r="H910" s="34">
        <v>14233</v>
      </c>
      <c r="I910" s="34" t="s">
        <v>620</v>
      </c>
      <c r="J910" s="35">
        <v>45972</v>
      </c>
      <c r="K910" s="36" t="s">
        <v>42</v>
      </c>
      <c r="L910" s="39" t="str">
        <f>VLOOKUP(Tabla810[[#This Row],[CODIGO DEL PRODUCTO]],Tabla79[],2,FALSE)</f>
        <v>ARENA FINA</v>
      </c>
      <c r="M910" s="37">
        <v>4000</v>
      </c>
      <c r="O910" s="76">
        <v>2649008</v>
      </c>
      <c r="P910" s="78" t="s">
        <v>65</v>
      </c>
      <c r="Q910" s="77">
        <v>45885</v>
      </c>
      <c r="R910" s="78" t="s">
        <v>286</v>
      </c>
      <c r="S910" s="36" t="str">
        <f>VLOOKUP(Tabla911[[#This Row],[CODIGO DEL PRODUCTO]],Tabla79[],2,FALSE)</f>
        <v>CPF 40 AVELLANEDA</v>
      </c>
      <c r="T910" s="37">
        <v>35340</v>
      </c>
      <c r="U910" s="78"/>
    </row>
    <row r="911" spans="8:21" x14ac:dyDescent="0.25">
      <c r="H911" s="34">
        <v>14236</v>
      </c>
      <c r="I911" s="34" t="s">
        <v>620</v>
      </c>
      <c r="J911" s="35">
        <v>45972</v>
      </c>
      <c r="K911" s="36" t="s">
        <v>43</v>
      </c>
      <c r="L911" s="39" t="str">
        <f>VLOOKUP(Tabla810[[#This Row],[CODIGO DEL PRODUCTO]],Tabla79[],2,FALSE)</f>
        <v>PIEDRA 6-20</v>
      </c>
      <c r="M911" s="37">
        <v>2000</v>
      </c>
      <c r="O911" s="76">
        <v>103817</v>
      </c>
      <c r="P911" s="78" t="s">
        <v>234</v>
      </c>
      <c r="Q911" s="77">
        <v>45887</v>
      </c>
      <c r="R911" s="78" t="s">
        <v>40</v>
      </c>
      <c r="S911" s="36" t="str">
        <f>VLOOKUP(Tabla911[[#This Row],[CODIGO DEL PRODUCTO]],Tabla79[],2,FALSE)</f>
        <v>PIEDRA 0-6</v>
      </c>
      <c r="T911" s="37">
        <v>34880</v>
      </c>
      <c r="U911" s="78"/>
    </row>
    <row r="912" spans="8:21" x14ac:dyDescent="0.25">
      <c r="H912" s="34">
        <v>14247</v>
      </c>
      <c r="I912" s="34" t="s">
        <v>620</v>
      </c>
      <c r="J912" s="35">
        <v>45973</v>
      </c>
      <c r="K912" s="36" t="s">
        <v>42</v>
      </c>
      <c r="L912" s="39" t="str">
        <f>VLOOKUP(Tabla810[[#This Row],[CODIGO DEL PRODUCTO]],Tabla79[],2,FALSE)</f>
        <v>ARENA FINA</v>
      </c>
      <c r="M912" s="37">
        <v>6000</v>
      </c>
      <c r="O912" s="76">
        <v>103829</v>
      </c>
      <c r="P912" s="78" t="s">
        <v>244</v>
      </c>
      <c r="Q912" s="77">
        <v>45887</v>
      </c>
      <c r="R912" s="78" t="s">
        <v>43</v>
      </c>
      <c r="S912" s="36" t="str">
        <f>VLOOKUP(Tabla911[[#This Row],[CODIGO DEL PRODUCTO]],Tabla79[],2,FALSE)</f>
        <v>PIEDRA 6-20</v>
      </c>
      <c r="T912" s="37">
        <v>34980</v>
      </c>
      <c r="U912" s="78"/>
    </row>
    <row r="913" spans="8:21" x14ac:dyDescent="0.25">
      <c r="H913" s="34">
        <v>14268</v>
      </c>
      <c r="I913" s="34" t="s">
        <v>621</v>
      </c>
      <c r="J913" s="35">
        <v>45973</v>
      </c>
      <c r="K913" s="36" t="s">
        <v>42</v>
      </c>
      <c r="L913" s="39" t="str">
        <f>VLOOKUP(Tabla810[[#This Row],[CODIGO DEL PRODUCTO]],Tabla79[],2,FALSE)</f>
        <v>ARENA FINA</v>
      </c>
      <c r="M913" s="37">
        <v>5000</v>
      </c>
      <c r="O913" s="76">
        <v>103838</v>
      </c>
      <c r="P913" s="78" t="s">
        <v>355</v>
      </c>
      <c r="Q913" s="77">
        <v>45887</v>
      </c>
      <c r="R913" s="78" t="s">
        <v>43</v>
      </c>
      <c r="S913" s="36" t="str">
        <f>VLOOKUP(Tabla911[[#This Row],[CODIGO DEL PRODUCTO]],Tabla79[],2,FALSE)</f>
        <v>PIEDRA 6-20</v>
      </c>
      <c r="T913" s="37">
        <v>35080</v>
      </c>
      <c r="U913" s="78"/>
    </row>
    <row r="914" spans="8:21" x14ac:dyDescent="0.25">
      <c r="H914" s="34">
        <v>14270</v>
      </c>
      <c r="I914" s="34" t="s">
        <v>621</v>
      </c>
      <c r="J914" s="35">
        <v>45973</v>
      </c>
      <c r="K914" s="36" t="s">
        <v>42</v>
      </c>
      <c r="L914" s="39" t="str">
        <f>VLOOKUP(Tabla810[[#This Row],[CODIGO DEL PRODUCTO]],Tabla79[],2,FALSE)</f>
        <v>ARENA FINA</v>
      </c>
      <c r="M914" s="37">
        <v>5000</v>
      </c>
      <c r="O914" s="76">
        <v>103843</v>
      </c>
      <c r="P914" s="78" t="s">
        <v>287</v>
      </c>
      <c r="Q914" s="77">
        <v>45887</v>
      </c>
      <c r="R914" s="78" t="s">
        <v>40</v>
      </c>
      <c r="S914" s="36" t="str">
        <f>VLOOKUP(Tabla911[[#This Row],[CODIGO DEL PRODUCTO]],Tabla79[],2,FALSE)</f>
        <v>PIEDRA 0-6</v>
      </c>
      <c r="T914" s="37">
        <v>35260</v>
      </c>
      <c r="U914" s="78"/>
    </row>
    <row r="915" spans="8:21" x14ac:dyDescent="0.25">
      <c r="H915" s="34">
        <v>14273</v>
      </c>
      <c r="I915" s="34" t="s">
        <v>602</v>
      </c>
      <c r="J915" s="35">
        <v>45973</v>
      </c>
      <c r="K915" s="36" t="s">
        <v>42</v>
      </c>
      <c r="L915" s="39" t="str">
        <f>VLOOKUP(Tabla810[[#This Row],[CODIGO DEL PRODUCTO]],Tabla79[],2,FALSE)</f>
        <v>ARENA FINA</v>
      </c>
      <c r="M915" s="37">
        <v>1000</v>
      </c>
      <c r="O915" s="76">
        <v>103850</v>
      </c>
      <c r="P915" s="78" t="s">
        <v>160</v>
      </c>
      <c r="Q915" s="77">
        <v>45887</v>
      </c>
      <c r="R915" s="78" t="s">
        <v>43</v>
      </c>
      <c r="S915" s="36" t="str">
        <f>VLOOKUP(Tabla911[[#This Row],[CODIGO DEL PRODUCTO]],Tabla79[],2,FALSE)</f>
        <v>PIEDRA 6-20</v>
      </c>
      <c r="T915" s="37">
        <v>34580</v>
      </c>
      <c r="U915" s="78"/>
    </row>
    <row r="916" spans="8:21" x14ac:dyDescent="0.25">
      <c r="H916" s="34">
        <v>14276</v>
      </c>
      <c r="I916" s="34" t="s">
        <v>522</v>
      </c>
      <c r="J916" s="35">
        <v>45974</v>
      </c>
      <c r="K916" s="36" t="s">
        <v>42</v>
      </c>
      <c r="L916" s="39" t="str">
        <f>VLOOKUP(Tabla810[[#This Row],[CODIGO DEL PRODUCTO]],Tabla79[],2,FALSE)</f>
        <v>ARENA FINA</v>
      </c>
      <c r="M916" s="37">
        <v>6000</v>
      </c>
      <c r="O916" s="76">
        <v>103854</v>
      </c>
      <c r="P916" s="78" t="s">
        <v>156</v>
      </c>
      <c r="Q916" s="77">
        <v>45887</v>
      </c>
      <c r="R916" s="78" t="s">
        <v>40</v>
      </c>
      <c r="S916" s="36" t="str">
        <f>VLOOKUP(Tabla911[[#This Row],[CODIGO DEL PRODUCTO]],Tabla79[],2,FALSE)</f>
        <v>PIEDRA 0-6</v>
      </c>
      <c r="T916" s="37">
        <v>34320</v>
      </c>
      <c r="U916" s="78"/>
    </row>
    <row r="917" spans="8:21" x14ac:dyDescent="0.25">
      <c r="H917" s="34">
        <v>14284</v>
      </c>
      <c r="I917" s="34" t="s">
        <v>447</v>
      </c>
      <c r="J917" s="35">
        <v>45974</v>
      </c>
      <c r="K917" s="36" t="s">
        <v>43</v>
      </c>
      <c r="L917" s="39" t="str">
        <f>VLOOKUP(Tabla810[[#This Row],[CODIGO DEL PRODUCTO]],Tabla79[],2,FALSE)</f>
        <v>PIEDRA 6-20</v>
      </c>
      <c r="M917" s="37">
        <v>6000</v>
      </c>
      <c r="O917" s="76">
        <v>103855</v>
      </c>
      <c r="P917" s="78" t="s">
        <v>318</v>
      </c>
      <c r="Q917" s="77">
        <v>45887</v>
      </c>
      <c r="R917" s="78" t="s">
        <v>40</v>
      </c>
      <c r="S917" s="36" t="str">
        <f>VLOOKUP(Tabla911[[#This Row],[CODIGO DEL PRODUCTO]],Tabla79[],2,FALSE)</f>
        <v>PIEDRA 0-6</v>
      </c>
      <c r="T917" s="37">
        <v>34240</v>
      </c>
      <c r="U917" s="78"/>
    </row>
    <row r="918" spans="8:21" x14ac:dyDescent="0.25">
      <c r="H918" s="34">
        <v>14287</v>
      </c>
      <c r="I918" s="34" t="s">
        <v>613</v>
      </c>
      <c r="J918" s="35">
        <v>45974</v>
      </c>
      <c r="K918" s="36" t="s">
        <v>42</v>
      </c>
      <c r="L918" s="39" t="str">
        <f>VLOOKUP(Tabla810[[#This Row],[CODIGO DEL PRODUCTO]],Tabla79[],2,FALSE)</f>
        <v>ARENA FINA</v>
      </c>
      <c r="M918" s="37">
        <v>3000</v>
      </c>
      <c r="O918" s="76">
        <v>103856</v>
      </c>
      <c r="P918" s="78" t="s">
        <v>299</v>
      </c>
      <c r="Q918" s="77">
        <v>45887</v>
      </c>
      <c r="R918" s="78" t="s">
        <v>43</v>
      </c>
      <c r="S918" s="36" t="str">
        <f>VLOOKUP(Tabla911[[#This Row],[CODIGO DEL PRODUCTO]],Tabla79[],2,FALSE)</f>
        <v>PIEDRA 6-20</v>
      </c>
      <c r="T918" s="37">
        <v>34680</v>
      </c>
      <c r="U918" s="78"/>
    </row>
    <row r="919" spans="8:21" x14ac:dyDescent="0.25">
      <c r="H919" s="34">
        <v>14317</v>
      </c>
      <c r="I919" s="34" t="s">
        <v>447</v>
      </c>
      <c r="J919" s="35">
        <v>45974</v>
      </c>
      <c r="K919" s="36" t="s">
        <v>42</v>
      </c>
      <c r="L919" s="39" t="str">
        <f>VLOOKUP(Tabla810[[#This Row],[CODIGO DEL PRODUCTO]],Tabla79[],2,FALSE)</f>
        <v>ARENA FINA</v>
      </c>
      <c r="M919" s="37">
        <v>5000</v>
      </c>
      <c r="O919" s="76">
        <v>2649397</v>
      </c>
      <c r="P919" s="78" t="s">
        <v>65</v>
      </c>
      <c r="Q919" s="77">
        <v>45887</v>
      </c>
      <c r="R919" s="78" t="s">
        <v>286</v>
      </c>
      <c r="S919" s="36" t="str">
        <f>VLOOKUP(Tabla911[[#This Row],[CODIGO DEL PRODUCTO]],Tabla79[],2,FALSE)</f>
        <v>CPF 40 AVELLANEDA</v>
      </c>
      <c r="T919" s="37">
        <v>36020</v>
      </c>
      <c r="U919" s="78"/>
    </row>
    <row r="920" spans="8:21" x14ac:dyDescent="0.25">
      <c r="H920" s="34">
        <v>14327</v>
      </c>
      <c r="I920" s="34" t="s">
        <v>426</v>
      </c>
      <c r="J920" s="35">
        <v>45974</v>
      </c>
      <c r="K920" s="36" t="s">
        <v>42</v>
      </c>
      <c r="L920" s="39" t="str">
        <f>VLOOKUP(Tabla810[[#This Row],[CODIGO DEL PRODUCTO]],Tabla79[],2,FALSE)</f>
        <v>ARENA FINA</v>
      </c>
      <c r="M920" s="37">
        <v>2000</v>
      </c>
      <c r="O920" s="76">
        <v>103861</v>
      </c>
      <c r="P920" s="78" t="s">
        <v>244</v>
      </c>
      <c r="Q920" s="77">
        <v>45888</v>
      </c>
      <c r="R920" s="78" t="s">
        <v>43</v>
      </c>
      <c r="S920" s="36" t="str">
        <f>VLOOKUP(Tabla911[[#This Row],[CODIGO DEL PRODUCTO]],Tabla79[],2,FALSE)</f>
        <v>PIEDRA 6-20</v>
      </c>
      <c r="T920" s="37">
        <v>34960</v>
      </c>
      <c r="U920" s="78"/>
    </row>
    <row r="921" spans="8:21" x14ac:dyDescent="0.25">
      <c r="H921" s="34">
        <v>14322</v>
      </c>
      <c r="I921" s="34" t="s">
        <v>627</v>
      </c>
      <c r="J921" s="35">
        <v>45974</v>
      </c>
      <c r="K921" s="36" t="s">
        <v>42</v>
      </c>
      <c r="L921" s="39" t="str">
        <f>VLOOKUP(Tabla810[[#This Row],[CODIGO DEL PRODUCTO]],Tabla79[],2,FALSE)</f>
        <v>ARENA FINA</v>
      </c>
      <c r="M921" s="37">
        <v>1000</v>
      </c>
      <c r="O921" s="76">
        <v>103867</v>
      </c>
      <c r="P921" s="78" t="s">
        <v>150</v>
      </c>
      <c r="Q921" s="77">
        <v>45888</v>
      </c>
      <c r="R921" s="78" t="s">
        <v>43</v>
      </c>
      <c r="S921" s="36" t="str">
        <f>VLOOKUP(Tabla911[[#This Row],[CODIGO DEL PRODUCTO]],Tabla79[],2,FALSE)</f>
        <v>PIEDRA 6-20</v>
      </c>
      <c r="T921" s="37">
        <v>35660</v>
      </c>
      <c r="U921" s="78"/>
    </row>
    <row r="922" spans="8:21" x14ac:dyDescent="0.25">
      <c r="H922" s="34">
        <v>14323</v>
      </c>
      <c r="I922" s="34" t="s">
        <v>381</v>
      </c>
      <c r="J922" s="35">
        <v>45974</v>
      </c>
      <c r="K922" s="36" t="s">
        <v>42</v>
      </c>
      <c r="L922" s="39" t="str">
        <f>VLOOKUP(Tabla810[[#This Row],[CODIGO DEL PRODUCTO]],Tabla79[],2,FALSE)</f>
        <v>ARENA FINA</v>
      </c>
      <c r="M922" s="37">
        <v>1000</v>
      </c>
      <c r="O922" s="76">
        <v>103871</v>
      </c>
      <c r="P922" s="78" t="s">
        <v>234</v>
      </c>
      <c r="Q922" s="77">
        <v>45888</v>
      </c>
      <c r="R922" s="78" t="s">
        <v>40</v>
      </c>
      <c r="S922" s="36" t="str">
        <f>VLOOKUP(Tabla911[[#This Row],[CODIGO DEL PRODUCTO]],Tabla79[],2,FALSE)</f>
        <v>PIEDRA 0-6</v>
      </c>
      <c r="T922" s="37">
        <v>34820</v>
      </c>
      <c r="U922" s="78"/>
    </row>
    <row r="923" spans="8:21" x14ac:dyDescent="0.25">
      <c r="H923" s="34">
        <v>14376</v>
      </c>
      <c r="I923" s="34" t="s">
        <v>626</v>
      </c>
      <c r="J923" s="35">
        <v>45975</v>
      </c>
      <c r="K923" s="36" t="s">
        <v>42</v>
      </c>
      <c r="L923" s="39" t="str">
        <f>VLOOKUP(Tabla810[[#This Row],[CODIGO DEL PRODUCTO]],Tabla79[],2,FALSE)</f>
        <v>ARENA FINA</v>
      </c>
      <c r="M923" s="37">
        <v>5000</v>
      </c>
      <c r="O923" s="76">
        <v>103875</v>
      </c>
      <c r="P923" s="78" t="s">
        <v>355</v>
      </c>
      <c r="Q923" s="77">
        <v>45888</v>
      </c>
      <c r="R923" s="78" t="s">
        <v>43</v>
      </c>
      <c r="S923" s="36" t="str">
        <f>VLOOKUP(Tabla911[[#This Row],[CODIGO DEL PRODUCTO]],Tabla79[],2,FALSE)</f>
        <v>PIEDRA 6-20</v>
      </c>
      <c r="T923" s="37">
        <v>35100</v>
      </c>
      <c r="U923" s="78"/>
    </row>
    <row r="924" spans="8:21" x14ac:dyDescent="0.25">
      <c r="H924" s="34">
        <v>14400</v>
      </c>
      <c r="I924" s="34" t="s">
        <v>514</v>
      </c>
      <c r="J924" s="35">
        <v>45976</v>
      </c>
      <c r="K924" s="36" t="s">
        <v>42</v>
      </c>
      <c r="L924" s="39" t="str">
        <f>VLOOKUP(Tabla810[[#This Row],[CODIGO DEL PRODUCTO]],Tabla79[],2,FALSE)</f>
        <v>ARENA FINA</v>
      </c>
      <c r="M924" s="37">
        <v>36100</v>
      </c>
      <c r="O924" s="76">
        <v>103876</v>
      </c>
      <c r="P924" s="78" t="s">
        <v>318</v>
      </c>
      <c r="Q924" s="77">
        <v>45888</v>
      </c>
      <c r="R924" s="78" t="s">
        <v>40</v>
      </c>
      <c r="S924" s="36" t="str">
        <f>VLOOKUP(Tabla911[[#This Row],[CODIGO DEL PRODUCTO]],Tabla79[],2,FALSE)</f>
        <v>PIEDRA 0-6</v>
      </c>
      <c r="T924" s="37">
        <v>34520</v>
      </c>
      <c r="U924" s="78"/>
    </row>
    <row r="925" spans="8:21" x14ac:dyDescent="0.25">
      <c r="H925" s="34"/>
      <c r="I925" s="34" t="s">
        <v>53</v>
      </c>
      <c r="J925" s="35">
        <v>45971</v>
      </c>
      <c r="K925" s="36" t="s">
        <v>42</v>
      </c>
      <c r="L925" s="39" t="str">
        <f>VLOOKUP(Tabla810[[#This Row],[CODIGO DEL PRODUCTO]],Tabla79[],2,FALSE)</f>
        <v>ARENA FINA</v>
      </c>
      <c r="M925" s="37">
        <v>772950</v>
      </c>
      <c r="O925" s="76">
        <v>103883</v>
      </c>
      <c r="P925" s="78" t="s">
        <v>160</v>
      </c>
      <c r="Q925" s="77">
        <v>45888</v>
      </c>
      <c r="R925" s="78" t="s">
        <v>43</v>
      </c>
      <c r="S925" s="36" t="str">
        <f>VLOOKUP(Tabla911[[#This Row],[CODIGO DEL PRODUCTO]],Tabla79[],2,FALSE)</f>
        <v>PIEDRA 6-20</v>
      </c>
      <c r="T925" s="37">
        <v>35320</v>
      </c>
      <c r="U925" s="78"/>
    </row>
    <row r="926" spans="8:21" x14ac:dyDescent="0.25">
      <c r="H926" s="34"/>
      <c r="I926" s="34" t="s">
        <v>53</v>
      </c>
      <c r="J926" s="35">
        <v>45972</v>
      </c>
      <c r="K926" s="36" t="s">
        <v>40</v>
      </c>
      <c r="L926" s="39" t="str">
        <f>VLOOKUP(Tabla810[[#This Row],[CODIGO DEL PRODUCTO]],Tabla79[],2,FALSE)</f>
        <v>PIEDRA 0-6</v>
      </c>
      <c r="M926" s="37">
        <v>504503</v>
      </c>
      <c r="O926" s="76">
        <v>103894</v>
      </c>
      <c r="P926" s="78" t="s">
        <v>299</v>
      </c>
      <c r="Q926" s="77">
        <v>45888</v>
      </c>
      <c r="R926" s="78" t="s">
        <v>43</v>
      </c>
      <c r="S926" s="36" t="str">
        <f>VLOOKUP(Tabla911[[#This Row],[CODIGO DEL PRODUCTO]],Tabla79[],2,FALSE)</f>
        <v>PIEDRA 6-20</v>
      </c>
      <c r="T926" s="37">
        <v>35320</v>
      </c>
      <c r="U926" s="78"/>
    </row>
    <row r="927" spans="8:21" x14ac:dyDescent="0.25">
      <c r="H927" s="34"/>
      <c r="I927" s="34" t="s">
        <v>53</v>
      </c>
      <c r="J927" s="35">
        <v>45973</v>
      </c>
      <c r="K927" s="36" t="s">
        <v>286</v>
      </c>
      <c r="L927" s="39" t="str">
        <f>VLOOKUP(Tabla810[[#This Row],[CODIGO DEL PRODUCTO]],Tabla79[],2,FALSE)</f>
        <v>CPF 40 AVELLANEDA</v>
      </c>
      <c r="M927" s="37">
        <v>365591</v>
      </c>
      <c r="O927" s="76">
        <v>103898</v>
      </c>
      <c r="P927" s="78" t="s">
        <v>156</v>
      </c>
      <c r="Q927" s="77">
        <v>45888</v>
      </c>
      <c r="R927" s="78" t="s">
        <v>40</v>
      </c>
      <c r="S927" s="36" t="str">
        <f>VLOOKUP(Tabla911[[#This Row],[CODIGO DEL PRODUCTO]],Tabla79[],2,FALSE)</f>
        <v>PIEDRA 0-6</v>
      </c>
      <c r="T927" s="37">
        <v>35020</v>
      </c>
      <c r="U927" s="78"/>
    </row>
    <row r="928" spans="8:21" x14ac:dyDescent="0.25">
      <c r="H928" s="34"/>
      <c r="I928" s="34" t="s">
        <v>53</v>
      </c>
      <c r="J928" s="35">
        <v>45974</v>
      </c>
      <c r="K928" s="36" t="s">
        <v>48</v>
      </c>
      <c r="L928" s="39" t="str">
        <f>VLOOKUP(Tabla810[[#This Row],[CODIGO DEL PRODUCTO]],Tabla79[],2,FALSE)</f>
        <v>PIEDRA 6-12</v>
      </c>
      <c r="M928" s="37">
        <v>195278</v>
      </c>
      <c r="O928" s="76">
        <v>2649653</v>
      </c>
      <c r="P928" s="78" t="s">
        <v>65</v>
      </c>
      <c r="Q928" s="77">
        <v>45888</v>
      </c>
      <c r="R928" s="78" t="s">
        <v>286</v>
      </c>
      <c r="S928" s="36" t="str">
        <f>VLOOKUP(Tabla911[[#This Row],[CODIGO DEL PRODUCTO]],Tabla79[],2,FALSE)</f>
        <v>CPF 40 AVELLANEDA</v>
      </c>
      <c r="T928" s="37">
        <v>35500</v>
      </c>
      <c r="U928" s="78"/>
    </row>
    <row r="929" spans="8:21" x14ac:dyDescent="0.25">
      <c r="H929" s="34"/>
      <c r="I929" s="34" t="s">
        <v>53</v>
      </c>
      <c r="J929" s="35">
        <v>45975</v>
      </c>
      <c r="K929" s="36" t="s">
        <v>43</v>
      </c>
      <c r="L929" s="39" t="str">
        <f>VLOOKUP(Tabla810[[#This Row],[CODIGO DEL PRODUCTO]],Tabla79[],2,FALSE)</f>
        <v>PIEDRA 6-20</v>
      </c>
      <c r="M929" s="37">
        <v>879504</v>
      </c>
      <c r="O929" s="76">
        <v>103903</v>
      </c>
      <c r="P929" s="78" t="s">
        <v>234</v>
      </c>
      <c r="Q929" s="77">
        <v>45889</v>
      </c>
      <c r="R929" s="78" t="s">
        <v>40</v>
      </c>
      <c r="S929" s="36" t="str">
        <f>VLOOKUP(Tabla911[[#This Row],[CODIGO DEL PRODUCTO]],Tabla79[],2,FALSE)</f>
        <v>PIEDRA 0-6</v>
      </c>
      <c r="T929" s="37">
        <v>35200</v>
      </c>
      <c r="U929" s="78"/>
    </row>
    <row r="930" spans="8:21" x14ac:dyDescent="0.25">
      <c r="H930" s="34"/>
      <c r="I930" s="34" t="s">
        <v>53</v>
      </c>
      <c r="J930" s="35">
        <v>45976</v>
      </c>
      <c r="K930" s="36" t="s">
        <v>425</v>
      </c>
      <c r="L930" s="39" t="str">
        <f>VLOOKUP(Tabla810[[#This Row],[CODIGO DEL PRODUCTO]],Tabla79[],2,FALSE)</f>
        <v>W351R</v>
      </c>
      <c r="M930" s="37">
        <v>2216.67</v>
      </c>
      <c r="O930" s="76">
        <v>103905</v>
      </c>
      <c r="P930" s="78" t="s">
        <v>244</v>
      </c>
      <c r="Q930" s="77">
        <v>45889</v>
      </c>
      <c r="R930" s="78" t="s">
        <v>40</v>
      </c>
      <c r="S930" s="36" t="str">
        <f>VLOOKUP(Tabla911[[#This Row],[CODIGO DEL PRODUCTO]],Tabla79[],2,FALSE)</f>
        <v>PIEDRA 0-6</v>
      </c>
      <c r="T930" s="37">
        <v>33860</v>
      </c>
      <c r="U930" s="78"/>
    </row>
    <row r="931" spans="8:21" x14ac:dyDescent="0.25">
      <c r="H931" s="34">
        <v>14409</v>
      </c>
      <c r="I931" s="34" t="s">
        <v>534</v>
      </c>
      <c r="J931" s="35">
        <v>45978</v>
      </c>
      <c r="K931" s="36" t="s">
        <v>42</v>
      </c>
      <c r="L931" s="39" t="str">
        <f>VLOOKUP(Tabla810[[#This Row],[CODIGO DEL PRODUCTO]],Tabla79[],2,FALSE)</f>
        <v>ARENA FINA</v>
      </c>
      <c r="M931" s="37">
        <v>4000</v>
      </c>
      <c r="O931" s="76">
        <v>103906</v>
      </c>
      <c r="P931" s="78" t="s">
        <v>150</v>
      </c>
      <c r="Q931" s="77">
        <v>45889</v>
      </c>
      <c r="R931" s="78" t="s">
        <v>40</v>
      </c>
      <c r="S931" s="36" t="str">
        <f>VLOOKUP(Tabla911[[#This Row],[CODIGO DEL PRODUCTO]],Tabla79[],2,FALSE)</f>
        <v>PIEDRA 0-6</v>
      </c>
      <c r="T931" s="37">
        <v>34540</v>
      </c>
      <c r="U931" s="78"/>
    </row>
    <row r="932" spans="8:21" x14ac:dyDescent="0.25">
      <c r="H932" s="34">
        <v>14420</v>
      </c>
      <c r="I932" s="34" t="s">
        <v>494</v>
      </c>
      <c r="J932" s="35">
        <v>45978</v>
      </c>
      <c r="K932" s="36" t="s">
        <v>42</v>
      </c>
      <c r="L932" s="39" t="str">
        <f>VLOOKUP(Tabla810[[#This Row],[CODIGO DEL PRODUCTO]],Tabla79[],2,FALSE)</f>
        <v>ARENA FINA</v>
      </c>
      <c r="M932" s="37">
        <v>2000</v>
      </c>
      <c r="O932" s="76">
        <v>103909</v>
      </c>
      <c r="P932" s="78" t="s">
        <v>355</v>
      </c>
      <c r="Q932" s="77">
        <v>45889</v>
      </c>
      <c r="R932" s="78" t="s">
        <v>43</v>
      </c>
      <c r="S932" s="36" t="str">
        <f>VLOOKUP(Tabla911[[#This Row],[CODIGO DEL PRODUCTO]],Tabla79[],2,FALSE)</f>
        <v>PIEDRA 6-20</v>
      </c>
      <c r="T932" s="37">
        <v>34500</v>
      </c>
      <c r="U932" s="78"/>
    </row>
    <row r="933" spans="8:21" x14ac:dyDescent="0.25">
      <c r="H933" s="34">
        <v>14432</v>
      </c>
      <c r="I933" s="34" t="s">
        <v>541</v>
      </c>
      <c r="J933" s="35">
        <v>45978</v>
      </c>
      <c r="K933" s="36" t="s">
        <v>42</v>
      </c>
      <c r="L933" s="39" t="str">
        <f>VLOOKUP(Tabla810[[#This Row],[CODIGO DEL PRODUCTO]],Tabla79[],2,FALSE)</f>
        <v>ARENA FINA</v>
      </c>
      <c r="M933" s="37">
        <v>5000</v>
      </c>
      <c r="O933" s="76">
        <v>103914</v>
      </c>
      <c r="P933" s="78" t="s">
        <v>318</v>
      </c>
      <c r="Q933" s="77">
        <v>45889</v>
      </c>
      <c r="R933" s="78" t="s">
        <v>40</v>
      </c>
      <c r="S933" s="36" t="str">
        <f>VLOOKUP(Tabla911[[#This Row],[CODIGO DEL PRODUCTO]],Tabla79[],2,FALSE)</f>
        <v>PIEDRA 0-6</v>
      </c>
      <c r="T933" s="37">
        <v>35140</v>
      </c>
      <c r="U933" s="78"/>
    </row>
    <row r="934" spans="8:21" x14ac:dyDescent="0.25">
      <c r="H934" s="34">
        <v>14448</v>
      </c>
      <c r="I934" s="34" t="s">
        <v>618</v>
      </c>
      <c r="J934" s="35">
        <v>45979</v>
      </c>
      <c r="K934" s="36" t="s">
        <v>42</v>
      </c>
      <c r="L934" s="39" t="str">
        <f>VLOOKUP(Tabla810[[#This Row],[CODIGO DEL PRODUCTO]],Tabla79[],2,FALSE)</f>
        <v>ARENA FINA</v>
      </c>
      <c r="M934" s="37">
        <v>4000</v>
      </c>
      <c r="O934" s="76">
        <v>103926</v>
      </c>
      <c r="P934" s="78" t="s">
        <v>160</v>
      </c>
      <c r="Q934" s="77">
        <v>45889</v>
      </c>
      <c r="R934" s="78" t="s">
        <v>43</v>
      </c>
      <c r="S934" s="36" t="str">
        <f>VLOOKUP(Tabla911[[#This Row],[CODIGO DEL PRODUCTO]],Tabla79[],2,FALSE)</f>
        <v>PIEDRA 6-20</v>
      </c>
      <c r="T934" s="37">
        <v>34460</v>
      </c>
      <c r="U934" s="78"/>
    </row>
    <row r="935" spans="8:21" x14ac:dyDescent="0.25">
      <c r="H935" s="34">
        <v>14472</v>
      </c>
      <c r="I935" s="34" t="s">
        <v>626</v>
      </c>
      <c r="J935" s="35">
        <v>45979</v>
      </c>
      <c r="K935" s="36" t="s">
        <v>43</v>
      </c>
      <c r="L935" s="39" t="str">
        <f>VLOOKUP(Tabla810[[#This Row],[CODIGO DEL PRODUCTO]],Tabla79[],2,FALSE)</f>
        <v>PIEDRA 6-20</v>
      </c>
      <c r="M935" s="37">
        <v>5000</v>
      </c>
      <c r="O935" s="76">
        <v>103927</v>
      </c>
      <c r="P935" s="78" t="s">
        <v>349</v>
      </c>
      <c r="Q935" s="77">
        <v>45889</v>
      </c>
      <c r="R935" s="78" t="s">
        <v>43</v>
      </c>
      <c r="S935" s="36" t="str">
        <f>VLOOKUP(Tabla911[[#This Row],[CODIGO DEL PRODUCTO]],Tabla79[],2,FALSE)</f>
        <v>PIEDRA 6-20</v>
      </c>
      <c r="T935" s="37">
        <v>37140</v>
      </c>
      <c r="U935" s="78"/>
    </row>
    <row r="936" spans="8:21" x14ac:dyDescent="0.25">
      <c r="H936" s="34">
        <v>14487</v>
      </c>
      <c r="I936" s="34" t="s">
        <v>602</v>
      </c>
      <c r="J936" s="35">
        <v>45980</v>
      </c>
      <c r="K936" s="36" t="s">
        <v>42</v>
      </c>
      <c r="L936" s="39" t="str">
        <f>VLOOKUP(Tabla810[[#This Row],[CODIGO DEL PRODUCTO]],Tabla79[],2,FALSE)</f>
        <v>ARENA FINA</v>
      </c>
      <c r="M936" s="37">
        <v>1000</v>
      </c>
      <c r="O936" s="76">
        <v>103939</v>
      </c>
      <c r="P936" s="78" t="s">
        <v>156</v>
      </c>
      <c r="Q936" s="77">
        <v>45889</v>
      </c>
      <c r="R936" s="78" t="s">
        <v>40</v>
      </c>
      <c r="S936" s="36" t="str">
        <f>VLOOKUP(Tabla911[[#This Row],[CODIGO DEL PRODUCTO]],Tabla79[],2,FALSE)</f>
        <v>PIEDRA 0-6</v>
      </c>
      <c r="T936" s="37">
        <v>35500</v>
      </c>
      <c r="U936" s="78"/>
    </row>
    <row r="937" spans="8:21" x14ac:dyDescent="0.25">
      <c r="H937" s="34">
        <v>14498</v>
      </c>
      <c r="I937" s="34" t="s">
        <v>633</v>
      </c>
      <c r="J937" s="35">
        <v>45980</v>
      </c>
      <c r="K937" s="36" t="s">
        <v>42</v>
      </c>
      <c r="L937" s="39" t="str">
        <f>VLOOKUP(Tabla810[[#This Row],[CODIGO DEL PRODUCTO]],Tabla79[],2,FALSE)</f>
        <v>ARENA FINA</v>
      </c>
      <c r="M937" s="37">
        <v>2000</v>
      </c>
      <c r="O937" s="76">
        <v>103941</v>
      </c>
      <c r="P937" s="78" t="s">
        <v>173</v>
      </c>
      <c r="Q937" s="77">
        <v>45889</v>
      </c>
      <c r="R937" s="78" t="s">
        <v>40</v>
      </c>
      <c r="S937" s="36" t="str">
        <f>VLOOKUP(Tabla911[[#This Row],[CODIGO DEL PRODUCTO]],Tabla79[],2,FALSE)</f>
        <v>PIEDRA 0-6</v>
      </c>
      <c r="T937" s="37">
        <v>36120</v>
      </c>
      <c r="U937" s="78"/>
    </row>
    <row r="938" spans="8:21" x14ac:dyDescent="0.25">
      <c r="H938" s="34">
        <v>14513</v>
      </c>
      <c r="I938" s="34" t="s">
        <v>634</v>
      </c>
      <c r="J938" s="35">
        <v>45980</v>
      </c>
      <c r="K938" s="36" t="s">
        <v>43</v>
      </c>
      <c r="L938" s="39" t="str">
        <f>VLOOKUP(Tabla810[[#This Row],[CODIGO DEL PRODUCTO]],Tabla79[],2,FALSE)</f>
        <v>PIEDRA 6-20</v>
      </c>
      <c r="M938" s="37">
        <v>2000</v>
      </c>
      <c r="O938" s="76">
        <v>2649896</v>
      </c>
      <c r="P938" s="78" t="s">
        <v>65</v>
      </c>
      <c r="Q938" s="77">
        <v>45889</v>
      </c>
      <c r="R938" s="78" t="s">
        <v>286</v>
      </c>
      <c r="S938" s="36" t="str">
        <f>VLOOKUP(Tabla911[[#This Row],[CODIGO DEL PRODUCTO]],Tabla79[],2,FALSE)</f>
        <v>CPF 40 AVELLANEDA</v>
      </c>
      <c r="T938" s="37">
        <v>36160</v>
      </c>
      <c r="U938" s="78"/>
    </row>
    <row r="939" spans="8:21" x14ac:dyDescent="0.25">
      <c r="H939" s="34">
        <v>14518</v>
      </c>
      <c r="I939" s="34" t="s">
        <v>620</v>
      </c>
      <c r="J939" s="35">
        <v>45980</v>
      </c>
      <c r="K939" s="36" t="s">
        <v>42</v>
      </c>
      <c r="L939" s="39" t="str">
        <f>VLOOKUP(Tabla810[[#This Row],[CODIGO DEL PRODUCTO]],Tabla79[],2,FALSE)</f>
        <v>ARENA FINA</v>
      </c>
      <c r="M939" s="37">
        <v>6000</v>
      </c>
      <c r="O939" s="76">
        <v>101498</v>
      </c>
      <c r="P939" s="78" t="s">
        <v>370</v>
      </c>
      <c r="Q939" s="77">
        <v>45890</v>
      </c>
      <c r="R939" s="78" t="s">
        <v>42</v>
      </c>
      <c r="S939" s="36" t="str">
        <f>VLOOKUP(Tabla911[[#This Row],[CODIGO DEL PRODUCTO]],Tabla79[],2,FALSE)</f>
        <v>ARENA FINA</v>
      </c>
      <c r="T939" s="37">
        <v>35640</v>
      </c>
      <c r="U939" s="78"/>
    </row>
    <row r="940" spans="8:21" x14ac:dyDescent="0.25">
      <c r="H940" s="34">
        <v>14527</v>
      </c>
      <c r="I940" s="34" t="s">
        <v>426</v>
      </c>
      <c r="J940" s="35">
        <v>45981</v>
      </c>
      <c r="K940" s="36" t="s">
        <v>43</v>
      </c>
      <c r="L940" s="39" t="str">
        <f>VLOOKUP(Tabla810[[#This Row],[CODIGO DEL PRODUCTO]],Tabla79[],2,FALSE)</f>
        <v>PIEDRA 6-20</v>
      </c>
      <c r="M940" s="37">
        <v>5000</v>
      </c>
      <c r="O940" s="76">
        <v>101505</v>
      </c>
      <c r="P940" s="78" t="s">
        <v>370</v>
      </c>
      <c r="Q940" s="77">
        <v>45890</v>
      </c>
      <c r="R940" s="78" t="s">
        <v>42</v>
      </c>
      <c r="S940" s="36" t="str">
        <f>VLOOKUP(Tabla911[[#This Row],[CODIGO DEL PRODUCTO]],Tabla79[],2,FALSE)</f>
        <v>ARENA FINA</v>
      </c>
      <c r="T940" s="37">
        <v>34000</v>
      </c>
      <c r="U940" s="78"/>
    </row>
    <row r="941" spans="8:21" x14ac:dyDescent="0.25">
      <c r="H941" s="34">
        <v>14535</v>
      </c>
      <c r="I941" s="34" t="s">
        <v>633</v>
      </c>
      <c r="J941" s="35">
        <v>45981</v>
      </c>
      <c r="K941" s="36" t="s">
        <v>42</v>
      </c>
      <c r="L941" s="39" t="str">
        <f>VLOOKUP(Tabla810[[#This Row],[CODIGO DEL PRODUCTO]],Tabla79[],2,FALSE)</f>
        <v>ARENA FINA</v>
      </c>
      <c r="M941" s="37">
        <v>2000</v>
      </c>
      <c r="O941" s="76">
        <v>214627</v>
      </c>
      <c r="P941" s="78" t="s">
        <v>516</v>
      </c>
      <c r="Q941" s="77">
        <v>45888</v>
      </c>
      <c r="R941" s="78" t="s">
        <v>43</v>
      </c>
      <c r="S941" s="36" t="str">
        <f>VLOOKUP(Tabla911[[#This Row],[CODIGO DEL PRODUCTO]],Tabla79[],2,FALSE)</f>
        <v>PIEDRA 6-20</v>
      </c>
      <c r="T941" s="37">
        <v>26300</v>
      </c>
      <c r="U941" s="78"/>
    </row>
    <row r="942" spans="8:21" x14ac:dyDescent="0.25">
      <c r="H942" s="34">
        <v>14541</v>
      </c>
      <c r="I942" s="34" t="s">
        <v>426</v>
      </c>
      <c r="J942" s="35">
        <v>45981</v>
      </c>
      <c r="K942" s="36" t="s">
        <v>42</v>
      </c>
      <c r="L942" s="39" t="str">
        <f>VLOOKUP(Tabla810[[#This Row],[CODIGO DEL PRODUCTO]],Tabla79[],2,FALSE)</f>
        <v>ARENA FINA</v>
      </c>
      <c r="M942" s="37">
        <v>5000</v>
      </c>
      <c r="O942" s="76">
        <v>103944</v>
      </c>
      <c r="P942" s="78" t="s">
        <v>299</v>
      </c>
      <c r="Q942" s="77">
        <v>45890</v>
      </c>
      <c r="R942" s="78" t="s">
        <v>43</v>
      </c>
      <c r="S942" s="36" t="str">
        <f>VLOOKUP(Tabla911[[#This Row],[CODIGO DEL PRODUCTO]],Tabla79[],2,FALSE)</f>
        <v>PIEDRA 6-20</v>
      </c>
      <c r="T942" s="37">
        <v>35080</v>
      </c>
      <c r="U942" s="78"/>
    </row>
    <row r="943" spans="8:21" x14ac:dyDescent="0.25">
      <c r="H943" s="34">
        <v>14566</v>
      </c>
      <c r="I943" s="34" t="s">
        <v>426</v>
      </c>
      <c r="J943" s="35">
        <v>45981</v>
      </c>
      <c r="K943" s="36" t="s">
        <v>42</v>
      </c>
      <c r="L943" s="39" t="str">
        <f>VLOOKUP(Tabla810[[#This Row],[CODIGO DEL PRODUCTO]],Tabla79[],2,FALSE)</f>
        <v>ARENA FINA</v>
      </c>
      <c r="M943" s="37">
        <v>5000</v>
      </c>
      <c r="O943" s="76">
        <v>103949</v>
      </c>
      <c r="P943" s="78" t="s">
        <v>234</v>
      </c>
      <c r="Q943" s="77">
        <v>45890</v>
      </c>
      <c r="R943" s="78" t="s">
        <v>40</v>
      </c>
      <c r="S943" s="36" t="str">
        <f>VLOOKUP(Tabla911[[#This Row],[CODIGO DEL PRODUCTO]],Tabla79[],2,FALSE)</f>
        <v>PIEDRA 0-6</v>
      </c>
      <c r="T943" s="37">
        <v>34620</v>
      </c>
      <c r="U943" s="78"/>
    </row>
    <row r="944" spans="8:21" x14ac:dyDescent="0.25">
      <c r="H944" s="34">
        <v>14567</v>
      </c>
      <c r="I944" s="34" t="s">
        <v>594</v>
      </c>
      <c r="J944" s="35">
        <v>45981</v>
      </c>
      <c r="K944" s="36" t="s">
        <v>42</v>
      </c>
      <c r="L944" s="39" t="str">
        <f>VLOOKUP(Tabla810[[#This Row],[CODIGO DEL PRODUCTO]],Tabla79[],2,FALSE)</f>
        <v>ARENA FINA</v>
      </c>
      <c r="M944" s="37">
        <v>3000</v>
      </c>
      <c r="O944" s="76">
        <v>103952</v>
      </c>
      <c r="P944" s="78" t="s">
        <v>150</v>
      </c>
      <c r="Q944" s="77">
        <v>45890</v>
      </c>
      <c r="R944" s="78" t="s">
        <v>40</v>
      </c>
      <c r="S944" s="36" t="str">
        <f>VLOOKUP(Tabla911[[#This Row],[CODIGO DEL PRODUCTO]],Tabla79[],2,FALSE)</f>
        <v>PIEDRA 0-6</v>
      </c>
      <c r="T944" s="37">
        <v>35120</v>
      </c>
      <c r="U944" s="78"/>
    </row>
    <row r="945" spans="8:21" x14ac:dyDescent="0.25">
      <c r="H945" s="34">
        <v>14524</v>
      </c>
      <c r="I945" s="34" t="s">
        <v>635</v>
      </c>
      <c r="J945" s="35">
        <v>45980</v>
      </c>
      <c r="K945" s="36" t="s">
        <v>42</v>
      </c>
      <c r="L945" s="39" t="str">
        <f>VLOOKUP(Tabla810[[#This Row],[CODIGO DEL PRODUCTO]],Tabla79[],2,FALSE)</f>
        <v>ARENA FINA</v>
      </c>
      <c r="M945" s="37">
        <v>1000</v>
      </c>
      <c r="O945" s="76">
        <v>103963</v>
      </c>
      <c r="P945" s="78" t="s">
        <v>355</v>
      </c>
      <c r="Q945" s="77">
        <v>45890</v>
      </c>
      <c r="R945" s="78" t="s">
        <v>43</v>
      </c>
      <c r="S945" s="36" t="str">
        <f>VLOOKUP(Tabla911[[#This Row],[CODIGO DEL PRODUCTO]],Tabla79[],2,FALSE)</f>
        <v>PIEDRA 6-20</v>
      </c>
      <c r="T945" s="37">
        <v>34480</v>
      </c>
      <c r="U945" s="78"/>
    </row>
    <row r="946" spans="8:21" x14ac:dyDescent="0.25">
      <c r="H946" s="34">
        <v>14577</v>
      </c>
      <c r="I946" s="34" t="s">
        <v>601</v>
      </c>
      <c r="J946" s="35">
        <v>45982</v>
      </c>
      <c r="K946" s="36" t="s">
        <v>42</v>
      </c>
      <c r="L946" s="39" t="str">
        <f>VLOOKUP(Tabla810[[#This Row],[CODIGO DEL PRODUCTO]],Tabla79[],2,FALSE)</f>
        <v>ARENA FINA</v>
      </c>
      <c r="M946" s="37">
        <v>8000</v>
      </c>
      <c r="O946" s="76">
        <v>103967</v>
      </c>
      <c r="P946" s="78" t="s">
        <v>318</v>
      </c>
      <c r="Q946" s="77">
        <v>45890</v>
      </c>
      <c r="R946" s="78" t="s">
        <v>40</v>
      </c>
      <c r="S946" s="36" t="str">
        <f>VLOOKUP(Tabla911[[#This Row],[CODIGO DEL PRODUCTO]],Tabla79[],2,FALSE)</f>
        <v>PIEDRA 0-6</v>
      </c>
      <c r="T946" s="37">
        <v>34600</v>
      </c>
      <c r="U946" s="78"/>
    </row>
    <row r="947" spans="8:21" x14ac:dyDescent="0.25">
      <c r="H947" s="34">
        <v>14578</v>
      </c>
      <c r="I947" s="34" t="s">
        <v>601</v>
      </c>
      <c r="J947" s="35">
        <v>45982</v>
      </c>
      <c r="K947" s="36" t="s">
        <v>43</v>
      </c>
      <c r="L947" s="39" t="str">
        <f>VLOOKUP(Tabla810[[#This Row],[CODIGO DEL PRODUCTO]],Tabla79[],2,FALSE)</f>
        <v>PIEDRA 6-20</v>
      </c>
      <c r="M947" s="37">
        <v>7000</v>
      </c>
      <c r="O947" s="76">
        <v>103979</v>
      </c>
      <c r="P947" s="78" t="s">
        <v>160</v>
      </c>
      <c r="Q947" s="77">
        <v>45890</v>
      </c>
      <c r="R947" s="78" t="s">
        <v>43</v>
      </c>
      <c r="S947" s="36" t="str">
        <f>VLOOKUP(Tabla911[[#This Row],[CODIGO DEL PRODUCTO]],Tabla79[],2,FALSE)</f>
        <v>PIEDRA 6-20</v>
      </c>
      <c r="T947" s="37">
        <v>34140</v>
      </c>
      <c r="U947" s="78"/>
    </row>
    <row r="948" spans="8:21" x14ac:dyDescent="0.25">
      <c r="H948" s="34">
        <v>14597</v>
      </c>
      <c r="I948" s="34" t="s">
        <v>474</v>
      </c>
      <c r="J948" s="35">
        <v>45982</v>
      </c>
      <c r="K948" s="36" t="s">
        <v>42</v>
      </c>
      <c r="L948" s="39" t="str">
        <f>VLOOKUP(Tabla810[[#This Row],[CODIGO DEL PRODUCTO]],Tabla79[],2,FALSE)</f>
        <v>ARENA FINA</v>
      </c>
      <c r="M948" s="37">
        <v>5000</v>
      </c>
      <c r="O948" s="76">
        <v>103988</v>
      </c>
      <c r="P948" s="78" t="s">
        <v>252</v>
      </c>
      <c r="Q948" s="77">
        <v>45890</v>
      </c>
      <c r="R948" s="78" t="s">
        <v>43</v>
      </c>
      <c r="S948" s="36" t="str">
        <f>VLOOKUP(Tabla911[[#This Row],[CODIGO DEL PRODUCTO]],Tabla79[],2,FALSE)</f>
        <v>PIEDRA 6-20</v>
      </c>
      <c r="T948" s="37">
        <v>35700</v>
      </c>
      <c r="U948" s="78"/>
    </row>
    <row r="949" spans="8:21" x14ac:dyDescent="0.25">
      <c r="H949" s="34"/>
      <c r="I949" s="34" t="s">
        <v>53</v>
      </c>
      <c r="J949" s="35">
        <v>45978</v>
      </c>
      <c r="K949" s="36" t="s">
        <v>42</v>
      </c>
      <c r="L949" s="39" t="str">
        <f>VLOOKUP(Tabla810[[#This Row],[CODIGO DEL PRODUCTO]],Tabla79[],2,FALSE)</f>
        <v>ARENA FINA</v>
      </c>
      <c r="M949" s="37">
        <v>619970</v>
      </c>
      <c r="O949" s="76">
        <v>103997</v>
      </c>
      <c r="P949" s="78" t="s">
        <v>156</v>
      </c>
      <c r="Q949" s="77">
        <v>45890</v>
      </c>
      <c r="R949" s="78" t="s">
        <v>40</v>
      </c>
      <c r="S949" s="36" t="str">
        <f>VLOOKUP(Tabla911[[#This Row],[CODIGO DEL PRODUCTO]],Tabla79[],2,FALSE)</f>
        <v>PIEDRA 0-6</v>
      </c>
      <c r="T949" s="37">
        <v>35160</v>
      </c>
      <c r="U949" s="78"/>
    </row>
    <row r="950" spans="8:21" x14ac:dyDescent="0.25">
      <c r="H950" s="34"/>
      <c r="I950" s="34" t="s">
        <v>53</v>
      </c>
      <c r="J950" s="35">
        <v>45979</v>
      </c>
      <c r="K950" s="36" t="s">
        <v>40</v>
      </c>
      <c r="L950" s="39" t="str">
        <f>VLOOKUP(Tabla810[[#This Row],[CODIGO DEL PRODUCTO]],Tabla79[],2,FALSE)</f>
        <v>PIEDRA 0-6</v>
      </c>
      <c r="M950" s="37">
        <v>422068</v>
      </c>
      <c r="O950" s="76">
        <v>2650200</v>
      </c>
      <c r="P950" s="78" t="s">
        <v>65</v>
      </c>
      <c r="Q950" s="77">
        <v>45890</v>
      </c>
      <c r="R950" s="78" t="s">
        <v>286</v>
      </c>
      <c r="S950" s="36" t="str">
        <f>VLOOKUP(Tabla911[[#This Row],[CODIGO DEL PRODUCTO]],Tabla79[],2,FALSE)</f>
        <v>CPF 40 AVELLANEDA</v>
      </c>
      <c r="T950" s="37">
        <v>35780</v>
      </c>
      <c r="U950" s="78"/>
    </row>
    <row r="951" spans="8:21" x14ac:dyDescent="0.25">
      <c r="H951" s="34"/>
      <c r="I951" s="34" t="s">
        <v>53</v>
      </c>
      <c r="J951" s="35">
        <v>45980</v>
      </c>
      <c r="K951" s="36" t="s">
        <v>286</v>
      </c>
      <c r="L951" s="39" t="str">
        <f>VLOOKUP(Tabla810[[#This Row],[CODIGO DEL PRODUCTO]],Tabla79[],2,FALSE)</f>
        <v>CPF 40 AVELLANEDA</v>
      </c>
      <c r="M951" s="37">
        <v>300464</v>
      </c>
      <c r="O951" s="76">
        <v>101515</v>
      </c>
      <c r="P951" s="78" t="s">
        <v>370</v>
      </c>
      <c r="Q951" s="77">
        <v>45891</v>
      </c>
      <c r="R951" s="78" t="s">
        <v>42</v>
      </c>
      <c r="S951" s="36" t="str">
        <f>VLOOKUP(Tabla911[[#This Row],[CODIGO DEL PRODUCTO]],Tabla79[],2,FALSE)</f>
        <v>ARENA FINA</v>
      </c>
      <c r="T951" s="37">
        <v>35240</v>
      </c>
      <c r="U951" s="78"/>
    </row>
    <row r="952" spans="8:21" x14ac:dyDescent="0.25">
      <c r="H952" s="34"/>
      <c r="I952" s="34" t="s">
        <v>53</v>
      </c>
      <c r="J952" s="35">
        <v>45981</v>
      </c>
      <c r="K952" s="36" t="s">
        <v>48</v>
      </c>
      <c r="L952" s="39" t="str">
        <f>VLOOKUP(Tabla810[[#This Row],[CODIGO DEL PRODUCTO]],Tabla79[],2,FALSE)</f>
        <v>PIEDRA 6-12</v>
      </c>
      <c r="M952" s="37">
        <v>179727</v>
      </c>
      <c r="O952" s="76">
        <v>101521</v>
      </c>
      <c r="P952" s="78" t="s">
        <v>370</v>
      </c>
      <c r="Q952" s="77">
        <v>45891</v>
      </c>
      <c r="R952" s="78" t="s">
        <v>42</v>
      </c>
      <c r="S952" s="36" t="str">
        <f>VLOOKUP(Tabla911[[#This Row],[CODIGO DEL PRODUCTO]],Tabla79[],2,FALSE)</f>
        <v>ARENA FINA</v>
      </c>
      <c r="T952" s="37">
        <v>35500</v>
      </c>
      <c r="U952" s="78"/>
    </row>
    <row r="953" spans="8:21" x14ac:dyDescent="0.25">
      <c r="H953" s="34"/>
      <c r="I953" s="34" t="s">
        <v>53</v>
      </c>
      <c r="J953" s="35">
        <v>45982</v>
      </c>
      <c r="K953" s="36" t="s">
        <v>43</v>
      </c>
      <c r="L953" s="39" t="str">
        <f>VLOOKUP(Tabla810[[#This Row],[CODIGO DEL PRODUCTO]],Tabla79[],2,FALSE)</f>
        <v>PIEDRA 6-20</v>
      </c>
      <c r="M953" s="37">
        <v>682508</v>
      </c>
      <c r="O953" s="76">
        <v>214763</v>
      </c>
      <c r="P953" s="78" t="s">
        <v>516</v>
      </c>
      <c r="Q953" s="77">
        <v>45891</v>
      </c>
      <c r="R953" s="78" t="s">
        <v>43</v>
      </c>
      <c r="S953" s="36" t="str">
        <f>VLOOKUP(Tabla911[[#This Row],[CODIGO DEL PRODUCTO]],Tabla79[],2,FALSE)</f>
        <v>PIEDRA 6-20</v>
      </c>
      <c r="T953" s="37">
        <v>28140</v>
      </c>
      <c r="U953" s="78"/>
    </row>
    <row r="954" spans="8:21" x14ac:dyDescent="0.25">
      <c r="H954" s="34"/>
      <c r="I954" s="34" t="s">
        <v>53</v>
      </c>
      <c r="J954" s="35">
        <v>45983</v>
      </c>
      <c r="K954" s="36" t="s">
        <v>425</v>
      </c>
      <c r="L954" s="39" t="str">
        <f>VLOOKUP(Tabla810[[#This Row],[CODIGO DEL PRODUCTO]],Tabla79[],2,FALSE)</f>
        <v>W351R</v>
      </c>
      <c r="M954" s="37">
        <v>1496.35</v>
      </c>
      <c r="O954" s="76">
        <v>103948</v>
      </c>
      <c r="P954" s="78" t="s">
        <v>244</v>
      </c>
      <c r="Q954" s="77">
        <v>45891</v>
      </c>
      <c r="R954" s="78" t="s">
        <v>43</v>
      </c>
      <c r="S954" s="36" t="str">
        <f>VLOOKUP(Tabla911[[#This Row],[CODIGO DEL PRODUCTO]],Tabla79[],2,FALSE)</f>
        <v>PIEDRA 6-20</v>
      </c>
      <c r="T954" s="37">
        <v>33580</v>
      </c>
      <c r="U954" s="78"/>
    </row>
    <row r="955" spans="8:21" x14ac:dyDescent="0.25">
      <c r="H955" s="34">
        <v>14646</v>
      </c>
      <c r="I955" s="34" t="s">
        <v>636</v>
      </c>
      <c r="J955" s="35">
        <v>45986</v>
      </c>
      <c r="K955" s="36" t="s">
        <v>42</v>
      </c>
      <c r="L955" s="39" t="str">
        <f>VLOOKUP(Tabla810[[#This Row],[CODIGO DEL PRODUCTO]],Tabla79[],2,FALSE)</f>
        <v>ARENA FINA</v>
      </c>
      <c r="M955" s="37">
        <v>1000</v>
      </c>
      <c r="O955" s="76">
        <v>104014</v>
      </c>
      <c r="P955" s="78" t="s">
        <v>150</v>
      </c>
      <c r="Q955" s="77">
        <v>45891</v>
      </c>
      <c r="R955" s="78" t="s">
        <v>43</v>
      </c>
      <c r="S955" s="36" t="str">
        <f>VLOOKUP(Tabla911[[#This Row],[CODIGO DEL PRODUCTO]],Tabla79[],2,FALSE)</f>
        <v>PIEDRA 6-20</v>
      </c>
      <c r="T955" s="37">
        <v>34880</v>
      </c>
      <c r="U955" s="78"/>
    </row>
    <row r="956" spans="8:21" x14ac:dyDescent="0.25">
      <c r="H956" s="34">
        <v>14680</v>
      </c>
      <c r="I956" s="34" t="s">
        <v>403</v>
      </c>
      <c r="J956" s="35">
        <v>45987</v>
      </c>
      <c r="K956" s="36" t="s">
        <v>43</v>
      </c>
      <c r="L956" s="39" t="str">
        <f>VLOOKUP(Tabla810[[#This Row],[CODIGO DEL PRODUCTO]],Tabla79[],2,FALSE)</f>
        <v>PIEDRA 6-20</v>
      </c>
      <c r="M956" s="37">
        <v>5000</v>
      </c>
      <c r="O956" s="76">
        <v>104019</v>
      </c>
      <c r="P956" s="78" t="s">
        <v>234</v>
      </c>
      <c r="Q956" s="77">
        <v>45891</v>
      </c>
      <c r="R956" s="78" t="s">
        <v>40</v>
      </c>
      <c r="S956" s="36" t="str">
        <f>VLOOKUP(Tabla911[[#This Row],[CODIGO DEL PRODUCTO]],Tabla79[],2,FALSE)</f>
        <v>PIEDRA 0-6</v>
      </c>
      <c r="T956" s="37">
        <v>35760</v>
      </c>
      <c r="U956" s="78"/>
    </row>
    <row r="957" spans="8:21" x14ac:dyDescent="0.25">
      <c r="H957" s="34">
        <v>14682</v>
      </c>
      <c r="I957" s="34" t="s">
        <v>638</v>
      </c>
      <c r="J957" s="35">
        <v>45987</v>
      </c>
      <c r="K957" s="36" t="s">
        <v>372</v>
      </c>
      <c r="L957" s="39" t="str">
        <f>VLOOKUP(Tabla810[[#This Row],[CODIGO DEL PRODUCTO]],Tabla79[],2,FALSE)</f>
        <v xml:space="preserve">ESTABILIZADO GRANULOMETRICO 0/20 </v>
      </c>
      <c r="M957" s="37">
        <v>5000</v>
      </c>
      <c r="O957" s="76">
        <v>104035</v>
      </c>
      <c r="P957" s="78" t="s">
        <v>355</v>
      </c>
      <c r="Q957" s="77">
        <v>45891</v>
      </c>
      <c r="R957" s="78" t="s">
        <v>43</v>
      </c>
      <c r="S957" s="36" t="str">
        <f>VLOOKUP(Tabla911[[#This Row],[CODIGO DEL PRODUCTO]],Tabla79[],2,FALSE)</f>
        <v>PIEDRA 6-20</v>
      </c>
      <c r="T957" s="37">
        <v>34960</v>
      </c>
      <c r="U957" s="78"/>
    </row>
    <row r="958" spans="8:21" x14ac:dyDescent="0.25">
      <c r="H958" s="34">
        <v>14728</v>
      </c>
      <c r="I958" s="34" t="s">
        <v>403</v>
      </c>
      <c r="J958" s="35">
        <v>45987</v>
      </c>
      <c r="K958" s="36" t="s">
        <v>43</v>
      </c>
      <c r="L958" s="39" t="str">
        <f>VLOOKUP(Tabla810[[#This Row],[CODIGO DEL PRODUCTO]],Tabla79[],2,FALSE)</f>
        <v>PIEDRA 6-20</v>
      </c>
      <c r="M958" s="37">
        <v>5000</v>
      </c>
      <c r="O958" s="76">
        <v>104037</v>
      </c>
      <c r="P958" s="78" t="s">
        <v>299</v>
      </c>
      <c r="Q958" s="77">
        <v>45891</v>
      </c>
      <c r="R958" s="78" t="s">
        <v>43</v>
      </c>
      <c r="S958" s="36" t="str">
        <f>VLOOKUP(Tabla911[[#This Row],[CODIGO DEL PRODUCTO]],Tabla79[],2,FALSE)</f>
        <v>PIEDRA 6-20</v>
      </c>
      <c r="T958" s="37">
        <v>35100</v>
      </c>
      <c r="U958" s="78"/>
    </row>
    <row r="959" spans="8:21" x14ac:dyDescent="0.25">
      <c r="H959" s="34">
        <v>14745</v>
      </c>
      <c r="I959" s="34" t="s">
        <v>593</v>
      </c>
      <c r="J959" s="35">
        <v>45988</v>
      </c>
      <c r="K959" s="36" t="s">
        <v>42</v>
      </c>
      <c r="L959" s="39" t="str">
        <f>VLOOKUP(Tabla810[[#This Row],[CODIGO DEL PRODUCTO]],Tabla79[],2,FALSE)</f>
        <v>ARENA FINA</v>
      </c>
      <c r="M959" s="37">
        <v>5000</v>
      </c>
      <c r="O959" s="76">
        <v>104043</v>
      </c>
      <c r="P959" s="78" t="s">
        <v>160</v>
      </c>
      <c r="Q959" s="77">
        <v>45891</v>
      </c>
      <c r="R959" s="78" t="s">
        <v>43</v>
      </c>
      <c r="S959" s="36" t="str">
        <f>VLOOKUP(Tabla911[[#This Row],[CODIGO DEL PRODUCTO]],Tabla79[],2,FALSE)</f>
        <v>PIEDRA 6-20</v>
      </c>
      <c r="T959" s="37">
        <v>34200</v>
      </c>
      <c r="U959" s="78"/>
    </row>
    <row r="960" spans="8:21" x14ac:dyDescent="0.25">
      <c r="H960" s="34">
        <v>14754</v>
      </c>
      <c r="I960" s="34" t="s">
        <v>613</v>
      </c>
      <c r="J960" s="35">
        <v>45988</v>
      </c>
      <c r="K960" s="36" t="s">
        <v>42</v>
      </c>
      <c r="L960" s="39" t="str">
        <f>VLOOKUP(Tabla810[[#This Row],[CODIGO DEL PRODUCTO]],Tabla79[],2,FALSE)</f>
        <v>ARENA FINA</v>
      </c>
      <c r="M960" s="37">
        <v>2000</v>
      </c>
      <c r="O960" s="76">
        <v>2650515</v>
      </c>
      <c r="P960" s="78" t="s">
        <v>65</v>
      </c>
      <c r="Q960" s="77">
        <v>45891</v>
      </c>
      <c r="R960" s="78" t="s">
        <v>286</v>
      </c>
      <c r="S960" s="36" t="str">
        <f>VLOOKUP(Tabla911[[#This Row],[CODIGO DEL PRODUCTO]],Tabla79[],2,FALSE)</f>
        <v>CPF 40 AVELLANEDA</v>
      </c>
      <c r="T960" s="37">
        <v>35880</v>
      </c>
      <c r="U960" s="78"/>
    </row>
    <row r="961" spans="8:21" x14ac:dyDescent="0.25">
      <c r="H961" s="34">
        <v>14759</v>
      </c>
      <c r="I961" s="34" t="s">
        <v>641</v>
      </c>
      <c r="J961" s="35">
        <v>45988</v>
      </c>
      <c r="K961" s="36" t="s">
        <v>42</v>
      </c>
      <c r="L961" s="39" t="str">
        <f>VLOOKUP(Tabla810[[#This Row],[CODIGO DEL PRODUCTO]],Tabla79[],2,FALSE)</f>
        <v>ARENA FINA</v>
      </c>
      <c r="M961" s="37">
        <v>5000</v>
      </c>
      <c r="O961" s="76">
        <v>101527</v>
      </c>
      <c r="P961" s="78" t="s">
        <v>370</v>
      </c>
      <c r="Q961" s="77">
        <v>45892</v>
      </c>
      <c r="R961" s="78" t="s">
        <v>42</v>
      </c>
      <c r="S961" s="36" t="str">
        <f>VLOOKUP(Tabla911[[#This Row],[CODIGO DEL PRODUCTO]],Tabla79[],2,FALSE)</f>
        <v>ARENA FINA</v>
      </c>
      <c r="T961" s="37">
        <v>36020</v>
      </c>
      <c r="U961" s="78"/>
    </row>
    <row r="962" spans="8:21" x14ac:dyDescent="0.25">
      <c r="H962" s="34">
        <v>14760</v>
      </c>
      <c r="I962" s="34" t="s">
        <v>621</v>
      </c>
      <c r="J962" s="35">
        <v>45988</v>
      </c>
      <c r="K962" s="36" t="s">
        <v>42</v>
      </c>
      <c r="L962" s="39" t="str">
        <f>VLOOKUP(Tabla810[[#This Row],[CODIGO DEL PRODUCTO]],Tabla79[],2,FALSE)</f>
        <v>ARENA FINA</v>
      </c>
      <c r="M962" s="37">
        <v>5000</v>
      </c>
      <c r="O962" s="76">
        <v>104052</v>
      </c>
      <c r="P962" s="78" t="s">
        <v>150</v>
      </c>
      <c r="Q962" s="77">
        <v>45892</v>
      </c>
      <c r="R962" s="78" t="s">
        <v>43</v>
      </c>
      <c r="S962" s="36" t="str">
        <f>VLOOKUP(Tabla911[[#This Row],[CODIGO DEL PRODUCTO]],Tabla79[],2,FALSE)</f>
        <v>PIEDRA 6-20</v>
      </c>
      <c r="T962" s="37">
        <v>34780</v>
      </c>
      <c r="U962" s="78"/>
    </row>
    <row r="963" spans="8:21" x14ac:dyDescent="0.25">
      <c r="H963" s="34">
        <v>14774</v>
      </c>
      <c r="I963" s="34" t="s">
        <v>519</v>
      </c>
      <c r="J963" s="35">
        <v>45988</v>
      </c>
      <c r="K963" s="36" t="s">
        <v>42</v>
      </c>
      <c r="L963" s="39" t="str">
        <f>VLOOKUP(Tabla810[[#This Row],[CODIGO DEL PRODUCTO]],Tabla79[],2,FALSE)</f>
        <v>ARENA FINA</v>
      </c>
      <c r="M963" s="37">
        <v>5000</v>
      </c>
      <c r="O963" s="76">
        <v>142243</v>
      </c>
      <c r="P963" s="78" t="s">
        <v>231</v>
      </c>
      <c r="Q963" s="77">
        <v>45892</v>
      </c>
      <c r="R963" s="78" t="s">
        <v>43</v>
      </c>
      <c r="S963" s="36" t="str">
        <f>VLOOKUP(Tabla911[[#This Row],[CODIGO DEL PRODUCTO]],Tabla79[],2,FALSE)</f>
        <v>PIEDRA 6-20</v>
      </c>
      <c r="T963" s="37">
        <v>35920</v>
      </c>
      <c r="U963" s="78"/>
    </row>
    <row r="964" spans="8:21" x14ac:dyDescent="0.25">
      <c r="H964" s="34">
        <v>14786</v>
      </c>
      <c r="I964" s="34" t="s">
        <v>594</v>
      </c>
      <c r="J964" s="35">
        <v>45989</v>
      </c>
      <c r="K964" s="36" t="s">
        <v>42</v>
      </c>
      <c r="L964" s="39" t="str">
        <f>VLOOKUP(Tabla810[[#This Row],[CODIGO DEL PRODUCTO]],Tabla79[],2,FALSE)</f>
        <v>ARENA FINA</v>
      </c>
      <c r="M964" s="37">
        <v>5000</v>
      </c>
      <c r="O964" s="76">
        <v>142250</v>
      </c>
      <c r="P964" s="78" t="s">
        <v>234</v>
      </c>
      <c r="Q964" s="77">
        <v>45892</v>
      </c>
      <c r="R964" s="78" t="s">
        <v>43</v>
      </c>
      <c r="S964" s="36" t="str">
        <f>VLOOKUP(Tabla911[[#This Row],[CODIGO DEL PRODUCTO]],Tabla79[],2,FALSE)</f>
        <v>PIEDRA 6-20</v>
      </c>
      <c r="T964" s="37">
        <v>34640</v>
      </c>
      <c r="U964" s="78"/>
    </row>
    <row r="965" spans="8:21" x14ac:dyDescent="0.25">
      <c r="H965" s="34">
        <v>14804</v>
      </c>
      <c r="I965" s="34" t="s">
        <v>522</v>
      </c>
      <c r="J965" s="35">
        <v>45989</v>
      </c>
      <c r="K965" s="36" t="s">
        <v>43</v>
      </c>
      <c r="L965" s="39" t="str">
        <f>VLOOKUP(Tabla810[[#This Row],[CODIGO DEL PRODUCTO]],Tabla79[],2,FALSE)</f>
        <v>PIEDRA 6-20</v>
      </c>
      <c r="M965" s="37">
        <v>1000</v>
      </c>
      <c r="O965" s="76">
        <v>101529</v>
      </c>
      <c r="P965" s="78" t="s">
        <v>370</v>
      </c>
      <c r="Q965" s="77">
        <v>45894</v>
      </c>
      <c r="R965" s="78" t="s">
        <v>42</v>
      </c>
      <c r="S965" s="36" t="str">
        <f>VLOOKUP(Tabla911[[#This Row],[CODIGO DEL PRODUCTO]],Tabla79[],2,FALSE)</f>
        <v>ARENA FINA</v>
      </c>
      <c r="T965" s="37">
        <v>35380</v>
      </c>
      <c r="U965" s="78"/>
    </row>
    <row r="966" spans="8:21" x14ac:dyDescent="0.25">
      <c r="H966" s="34">
        <v>14808</v>
      </c>
      <c r="I966" s="34" t="s">
        <v>522</v>
      </c>
      <c r="J966" s="35">
        <v>45989</v>
      </c>
      <c r="K966" s="36" t="s">
        <v>42</v>
      </c>
      <c r="L966" s="39" t="str">
        <f>VLOOKUP(Tabla810[[#This Row],[CODIGO DEL PRODUCTO]],Tabla79[],2,FALSE)</f>
        <v>ARENA FINA</v>
      </c>
      <c r="M966" s="37">
        <v>1000</v>
      </c>
      <c r="O966" s="76">
        <v>101533</v>
      </c>
      <c r="P966" s="78" t="s">
        <v>370</v>
      </c>
      <c r="Q966" s="77">
        <v>45894</v>
      </c>
      <c r="R966" s="78" t="s">
        <v>42</v>
      </c>
      <c r="S966" s="36" t="str">
        <f>VLOOKUP(Tabla911[[#This Row],[CODIGO DEL PRODUCTO]],Tabla79[],2,FALSE)</f>
        <v>ARENA FINA</v>
      </c>
      <c r="T966" s="37">
        <v>34500</v>
      </c>
      <c r="U966" s="78"/>
    </row>
    <row r="967" spans="8:21" x14ac:dyDescent="0.25">
      <c r="H967" s="34">
        <v>14818</v>
      </c>
      <c r="I967" s="34" t="s">
        <v>642</v>
      </c>
      <c r="J967" s="35">
        <v>45989</v>
      </c>
      <c r="K967" s="36" t="s">
        <v>43</v>
      </c>
      <c r="L967" s="39" t="str">
        <f>VLOOKUP(Tabla810[[#This Row],[CODIGO DEL PRODUCTO]],Tabla79[],2,FALSE)</f>
        <v>PIEDRA 6-20</v>
      </c>
      <c r="M967" s="37">
        <v>5000</v>
      </c>
      <c r="O967" s="76">
        <v>104057</v>
      </c>
      <c r="P967" s="78" t="s">
        <v>252</v>
      </c>
      <c r="Q967" s="77">
        <v>45894</v>
      </c>
      <c r="R967" s="78" t="s">
        <v>43</v>
      </c>
      <c r="S967" s="36" t="str">
        <f>VLOOKUP(Tabla911[[#This Row],[CODIGO DEL PRODUCTO]],Tabla79[],2,FALSE)</f>
        <v>PIEDRA 6-20</v>
      </c>
      <c r="T967" s="37">
        <v>35740</v>
      </c>
      <c r="U967" s="78"/>
    </row>
    <row r="968" spans="8:21" x14ac:dyDescent="0.25">
      <c r="H968" s="34"/>
      <c r="I968" s="34" t="s">
        <v>53</v>
      </c>
      <c r="J968" s="35">
        <v>45985</v>
      </c>
      <c r="K968" s="36" t="s">
        <v>42</v>
      </c>
      <c r="L968" s="39" t="str">
        <f>VLOOKUP(Tabla810[[#This Row],[CODIGO DEL PRODUCTO]],Tabla79[],2,FALSE)</f>
        <v>ARENA FINA</v>
      </c>
      <c r="M968" s="37">
        <v>606716</v>
      </c>
      <c r="O968" s="76">
        <v>104063</v>
      </c>
      <c r="P968" s="78" t="s">
        <v>237</v>
      </c>
      <c r="Q968" s="77">
        <v>45894</v>
      </c>
      <c r="R968" s="78" t="s">
        <v>40</v>
      </c>
      <c r="S968" s="36" t="str">
        <f>VLOOKUP(Tabla911[[#This Row],[CODIGO DEL PRODUCTO]],Tabla79[],2,FALSE)</f>
        <v>PIEDRA 0-6</v>
      </c>
      <c r="T968" s="37">
        <v>34620</v>
      </c>
      <c r="U968" s="78"/>
    </row>
    <row r="969" spans="8:21" x14ac:dyDescent="0.25">
      <c r="H969" s="34"/>
      <c r="I969" s="34" t="s">
        <v>53</v>
      </c>
      <c r="J969" s="35">
        <v>45986</v>
      </c>
      <c r="K969" s="36" t="s">
        <v>40</v>
      </c>
      <c r="L969" s="39" t="str">
        <f>VLOOKUP(Tabla810[[#This Row],[CODIGO DEL PRODUCTO]],Tabla79[],2,FALSE)</f>
        <v>PIEDRA 0-6</v>
      </c>
      <c r="M969" s="37">
        <v>401315</v>
      </c>
      <c r="O969" s="76">
        <v>104067</v>
      </c>
      <c r="P969" s="78" t="s">
        <v>349</v>
      </c>
      <c r="Q969" s="77">
        <v>45894</v>
      </c>
      <c r="R969" s="78" t="s">
        <v>43</v>
      </c>
      <c r="S969" s="36" t="str">
        <f>VLOOKUP(Tabla911[[#This Row],[CODIGO DEL PRODUCTO]],Tabla79[],2,FALSE)</f>
        <v>PIEDRA 6-20</v>
      </c>
      <c r="T969" s="37">
        <v>36160</v>
      </c>
      <c r="U969" s="78"/>
    </row>
    <row r="970" spans="8:21" x14ac:dyDescent="0.25">
      <c r="H970" s="34"/>
      <c r="I970" s="34" t="s">
        <v>53</v>
      </c>
      <c r="J970" s="35">
        <v>45987</v>
      </c>
      <c r="K970" s="36" t="s">
        <v>286</v>
      </c>
      <c r="L970" s="39" t="str">
        <f>VLOOKUP(Tabla810[[#This Row],[CODIGO DEL PRODUCTO]],Tabla79[],2,FALSE)</f>
        <v>CPF 40 AVELLANEDA</v>
      </c>
      <c r="M970" s="37">
        <v>258225</v>
      </c>
      <c r="O970" s="76">
        <v>104074</v>
      </c>
      <c r="P970" s="78" t="s">
        <v>318</v>
      </c>
      <c r="Q970" s="77">
        <v>45894</v>
      </c>
      <c r="R970" s="78" t="s">
        <v>40</v>
      </c>
      <c r="S970" s="36" t="str">
        <f>VLOOKUP(Tabla911[[#This Row],[CODIGO DEL PRODUCTO]],Tabla79[],2,FALSE)</f>
        <v>PIEDRA 0-6</v>
      </c>
      <c r="T970" s="37">
        <v>35020</v>
      </c>
      <c r="U970" s="78"/>
    </row>
    <row r="971" spans="8:21" x14ac:dyDescent="0.25">
      <c r="H971" s="34"/>
      <c r="I971" s="34" t="s">
        <v>53</v>
      </c>
      <c r="J971" s="35">
        <v>45988</v>
      </c>
      <c r="K971" s="36" t="s">
        <v>48</v>
      </c>
      <c r="L971" s="39" t="str">
        <f>VLOOKUP(Tabla810[[#This Row],[CODIGO DEL PRODUCTO]],Tabla79[],2,FALSE)</f>
        <v>PIEDRA 6-12</v>
      </c>
      <c r="M971" s="37">
        <v>57937</v>
      </c>
      <c r="O971" s="76">
        <v>104075</v>
      </c>
      <c r="P971" s="78" t="s">
        <v>375</v>
      </c>
      <c r="Q971" s="77">
        <v>45894</v>
      </c>
      <c r="R971" s="78" t="s">
        <v>43</v>
      </c>
      <c r="S971" s="36" t="str">
        <f>VLOOKUP(Tabla911[[#This Row],[CODIGO DEL PRODUCTO]],Tabla79[],2,FALSE)</f>
        <v>PIEDRA 6-20</v>
      </c>
      <c r="T971" s="37">
        <v>34960</v>
      </c>
      <c r="U971" s="78"/>
    </row>
    <row r="972" spans="8:21" x14ac:dyDescent="0.25">
      <c r="H972" s="34"/>
      <c r="I972" s="34" t="s">
        <v>53</v>
      </c>
      <c r="J972" s="35">
        <v>45989</v>
      </c>
      <c r="K972" s="36" t="s">
        <v>43</v>
      </c>
      <c r="L972" s="39" t="str">
        <f>VLOOKUP(Tabla810[[#This Row],[CODIGO DEL PRODUCTO]],Tabla79[],2,FALSE)</f>
        <v>PIEDRA 6-20</v>
      </c>
      <c r="M972" s="37">
        <v>809907</v>
      </c>
      <c r="O972" s="76">
        <v>142319</v>
      </c>
      <c r="P972" s="78" t="s">
        <v>296</v>
      </c>
      <c r="Q972" s="77">
        <v>45894</v>
      </c>
      <c r="R972" s="78" t="s">
        <v>40</v>
      </c>
      <c r="S972" s="36" t="str">
        <f>VLOOKUP(Tabla911[[#This Row],[CODIGO DEL PRODUCTO]],Tabla79[],2,FALSE)</f>
        <v>PIEDRA 0-6</v>
      </c>
      <c r="T972" s="37">
        <v>35560</v>
      </c>
      <c r="U972" s="78"/>
    </row>
    <row r="973" spans="8:21" x14ac:dyDescent="0.25">
      <c r="H973" s="34"/>
      <c r="I973" s="34" t="s">
        <v>53</v>
      </c>
      <c r="J973" s="35">
        <v>45990</v>
      </c>
      <c r="K973" s="36" t="s">
        <v>425</v>
      </c>
      <c r="L973" s="39" t="str">
        <f>VLOOKUP(Tabla810[[#This Row],[CODIGO DEL PRODUCTO]],Tabla79[],2,FALSE)</f>
        <v>W351R</v>
      </c>
      <c r="M973" s="37">
        <v>1776.82</v>
      </c>
      <c r="O973" s="76">
        <v>2650970</v>
      </c>
      <c r="P973" s="78" t="s">
        <v>65</v>
      </c>
      <c r="Q973" s="77">
        <v>45894</v>
      </c>
      <c r="R973" s="78" t="s">
        <v>286</v>
      </c>
      <c r="S973" s="36" t="str">
        <f>VLOOKUP(Tabla911[[#This Row],[CODIGO DEL PRODUCTO]],Tabla79[],2,FALSE)</f>
        <v>CPF 40 AVELLANEDA</v>
      </c>
      <c r="T973" s="37">
        <v>36060</v>
      </c>
      <c r="U973" s="78"/>
    </row>
    <row r="974" spans="8:21" x14ac:dyDescent="0.25">
      <c r="H974" s="34">
        <v>14866</v>
      </c>
      <c r="I974" s="34" t="s">
        <v>494</v>
      </c>
      <c r="J974" s="35">
        <v>45992</v>
      </c>
      <c r="K974" s="36" t="s">
        <v>42</v>
      </c>
      <c r="L974" s="39" t="str">
        <f>VLOOKUP(Tabla810[[#This Row],[CODIGO DEL PRODUCTO]],Tabla79[],2,FALSE)</f>
        <v>ARENA FINA</v>
      </c>
      <c r="M974" s="37">
        <v>2000</v>
      </c>
      <c r="O974" s="76">
        <v>101541</v>
      </c>
      <c r="P974" s="78" t="s">
        <v>370</v>
      </c>
      <c r="Q974" s="77">
        <v>45895</v>
      </c>
      <c r="R974" s="78" t="s">
        <v>42</v>
      </c>
      <c r="S974" s="36" t="str">
        <f>VLOOKUP(Tabla911[[#This Row],[CODIGO DEL PRODUCTO]],Tabla79[],2,FALSE)</f>
        <v>ARENA FINA</v>
      </c>
      <c r="T974" s="37">
        <v>34180</v>
      </c>
      <c r="U974" s="78"/>
    </row>
    <row r="975" spans="8:21" x14ac:dyDescent="0.25">
      <c r="H975" s="34">
        <v>14869</v>
      </c>
      <c r="I975" s="34" t="s">
        <v>601</v>
      </c>
      <c r="J975" s="35">
        <v>45992</v>
      </c>
      <c r="K975" s="36" t="s">
        <v>42</v>
      </c>
      <c r="L975" s="39" t="str">
        <f>VLOOKUP(Tabla810[[#This Row],[CODIGO DEL PRODUCTO]],Tabla79[],2,FALSE)</f>
        <v>ARENA FINA</v>
      </c>
      <c r="M975" s="37">
        <v>6000</v>
      </c>
      <c r="O975" s="76">
        <v>101544</v>
      </c>
      <c r="P975" s="78" t="s">
        <v>370</v>
      </c>
      <c r="Q975" s="77">
        <v>45895</v>
      </c>
      <c r="R975" s="78" t="s">
        <v>42</v>
      </c>
      <c r="S975" s="36" t="str">
        <f>VLOOKUP(Tabla911[[#This Row],[CODIGO DEL PRODUCTO]],Tabla79[],2,FALSE)</f>
        <v>ARENA FINA</v>
      </c>
      <c r="T975" s="37">
        <v>33900</v>
      </c>
      <c r="U975" s="78"/>
    </row>
    <row r="976" spans="8:21" x14ac:dyDescent="0.25">
      <c r="H976" s="34">
        <v>14870</v>
      </c>
      <c r="I976" s="34" t="s">
        <v>645</v>
      </c>
      <c r="J976" s="35">
        <v>45993</v>
      </c>
      <c r="K976" s="36" t="s">
        <v>42</v>
      </c>
      <c r="L976" s="39" t="str">
        <f>VLOOKUP(Tabla810[[#This Row],[CODIGO DEL PRODUCTO]],Tabla79[],2,FALSE)</f>
        <v>ARENA FINA</v>
      </c>
      <c r="M976" s="37">
        <v>2000</v>
      </c>
      <c r="O976" s="76">
        <v>214828</v>
      </c>
      <c r="P976" s="78" t="s">
        <v>516</v>
      </c>
      <c r="Q976" s="77">
        <v>45894</v>
      </c>
      <c r="R976" s="78" t="s">
        <v>43</v>
      </c>
      <c r="S976" s="36" t="str">
        <f>VLOOKUP(Tabla911[[#This Row],[CODIGO DEL PRODUCTO]],Tabla79[],2,FALSE)</f>
        <v>PIEDRA 6-20</v>
      </c>
      <c r="T976" s="37">
        <v>34180</v>
      </c>
      <c r="U976" s="78"/>
    </row>
    <row r="977" spans="8:21" x14ac:dyDescent="0.25">
      <c r="H977" s="34">
        <v>14872</v>
      </c>
      <c r="I977" s="34" t="s">
        <v>646</v>
      </c>
      <c r="J977" s="35">
        <v>45993</v>
      </c>
      <c r="K977" s="36" t="s">
        <v>42</v>
      </c>
      <c r="L977" s="39" t="str">
        <f>VLOOKUP(Tabla810[[#This Row],[CODIGO DEL PRODUCTO]],Tabla79[],2,FALSE)</f>
        <v>ARENA FINA</v>
      </c>
      <c r="M977" s="37">
        <v>8000</v>
      </c>
      <c r="O977" s="76">
        <v>104083</v>
      </c>
      <c r="P977" s="78" t="s">
        <v>150</v>
      </c>
      <c r="Q977" s="77">
        <v>45895</v>
      </c>
      <c r="R977" s="78" t="s">
        <v>43</v>
      </c>
      <c r="S977" s="36" t="str">
        <f>VLOOKUP(Tabla911[[#This Row],[CODIGO DEL PRODUCTO]],Tabla79[],2,FALSE)</f>
        <v>PIEDRA 6-20</v>
      </c>
      <c r="T977" s="37">
        <v>35720</v>
      </c>
      <c r="U977" s="78"/>
    </row>
    <row r="978" spans="8:21" x14ac:dyDescent="0.25">
      <c r="H978" s="34">
        <v>14873</v>
      </c>
      <c r="I978" s="34" t="s">
        <v>646</v>
      </c>
      <c r="J978" s="35">
        <v>45993</v>
      </c>
      <c r="K978" s="36" t="s">
        <v>43</v>
      </c>
      <c r="L978" s="39" t="str">
        <f>VLOOKUP(Tabla810[[#This Row],[CODIGO DEL PRODUCTO]],Tabla79[],2,FALSE)</f>
        <v>PIEDRA 6-20</v>
      </c>
      <c r="M978" s="37">
        <v>3000</v>
      </c>
      <c r="O978" s="76">
        <v>104091</v>
      </c>
      <c r="P978" s="78" t="s">
        <v>234</v>
      </c>
      <c r="Q978" s="77">
        <v>45895</v>
      </c>
      <c r="R978" s="78" t="s">
        <v>40</v>
      </c>
      <c r="S978" s="36" t="str">
        <f>VLOOKUP(Tabla911[[#This Row],[CODIGO DEL PRODUCTO]],Tabla79[],2,FALSE)</f>
        <v>PIEDRA 0-6</v>
      </c>
      <c r="T978" s="37">
        <v>35000</v>
      </c>
      <c r="U978" s="78"/>
    </row>
    <row r="979" spans="8:21" x14ac:dyDescent="0.25">
      <c r="H979" s="34">
        <v>14884</v>
      </c>
      <c r="I979" s="34" t="s">
        <v>647</v>
      </c>
      <c r="J979" s="35">
        <v>45993</v>
      </c>
      <c r="K979" s="36" t="s">
        <v>42</v>
      </c>
      <c r="L979" s="39" t="str">
        <f>VLOOKUP(Tabla810[[#This Row],[CODIGO DEL PRODUCTO]],Tabla79[],2,FALSE)</f>
        <v>ARENA FINA</v>
      </c>
      <c r="M979" s="37">
        <v>1000</v>
      </c>
      <c r="O979" s="76">
        <v>104093</v>
      </c>
      <c r="P979" s="78" t="s">
        <v>318</v>
      </c>
      <c r="Q979" s="77">
        <v>45895</v>
      </c>
      <c r="R979" s="78" t="s">
        <v>40</v>
      </c>
      <c r="S979" s="36" t="str">
        <f>VLOOKUP(Tabla911[[#This Row],[CODIGO DEL PRODUCTO]],Tabla79[],2,FALSE)</f>
        <v>PIEDRA 0-6</v>
      </c>
      <c r="T979" s="37">
        <v>34900</v>
      </c>
      <c r="U979" s="78"/>
    </row>
    <row r="980" spans="8:21" x14ac:dyDescent="0.25">
      <c r="H980" s="34"/>
      <c r="I980" s="34" t="s">
        <v>647</v>
      </c>
      <c r="J980" s="35">
        <v>45993</v>
      </c>
      <c r="K980" s="36" t="s">
        <v>43</v>
      </c>
      <c r="L980" s="39" t="str">
        <f>VLOOKUP(Tabla810[[#This Row],[CODIGO DEL PRODUCTO]],Tabla79[],2,FALSE)</f>
        <v>PIEDRA 6-20</v>
      </c>
      <c r="M980" s="37">
        <v>1000</v>
      </c>
      <c r="O980" s="76">
        <v>104094</v>
      </c>
      <c r="P980" s="78" t="s">
        <v>237</v>
      </c>
      <c r="Q980" s="77">
        <v>45895</v>
      </c>
      <c r="R980" s="78" t="s">
        <v>40</v>
      </c>
      <c r="S980" s="36" t="str">
        <f>VLOOKUP(Tabla911[[#This Row],[CODIGO DEL PRODUCTO]],Tabla79[],2,FALSE)</f>
        <v>PIEDRA 0-6</v>
      </c>
      <c r="T980" s="37">
        <v>34680</v>
      </c>
      <c r="U980" s="78"/>
    </row>
    <row r="981" spans="8:21" x14ac:dyDescent="0.25">
      <c r="H981" s="34">
        <v>14889</v>
      </c>
      <c r="I981" s="34" t="s">
        <v>621</v>
      </c>
      <c r="J981" s="35">
        <v>45993</v>
      </c>
      <c r="K981" s="36" t="s">
        <v>42</v>
      </c>
      <c r="L981" s="39" t="str">
        <f>VLOOKUP(Tabla810[[#This Row],[CODIGO DEL PRODUCTO]],Tabla79[],2,FALSE)</f>
        <v>ARENA FINA</v>
      </c>
      <c r="M981" s="37">
        <v>5000</v>
      </c>
      <c r="O981" s="76">
        <v>104095</v>
      </c>
      <c r="P981" s="78" t="s">
        <v>375</v>
      </c>
      <c r="Q981" s="77">
        <v>45895</v>
      </c>
      <c r="R981" s="78" t="s">
        <v>43</v>
      </c>
      <c r="S981" s="36" t="str">
        <f>VLOOKUP(Tabla911[[#This Row],[CODIGO DEL PRODUCTO]],Tabla79[],2,FALSE)</f>
        <v>PIEDRA 6-20</v>
      </c>
      <c r="T981" s="37">
        <v>34860</v>
      </c>
      <c r="U981" s="78"/>
    </row>
    <row r="982" spans="8:21" x14ac:dyDescent="0.25">
      <c r="H982" s="34">
        <v>14892</v>
      </c>
      <c r="I982" s="34" t="s">
        <v>604</v>
      </c>
      <c r="J982" s="35">
        <v>45994</v>
      </c>
      <c r="K982" s="36" t="s">
        <v>43</v>
      </c>
      <c r="L982" s="39" t="str">
        <f>VLOOKUP(Tabla810[[#This Row],[CODIGO DEL PRODUCTO]],Tabla79[],2,FALSE)</f>
        <v>PIEDRA 6-20</v>
      </c>
      <c r="M982" s="37">
        <v>4000</v>
      </c>
      <c r="O982" s="76">
        <v>104096</v>
      </c>
      <c r="P982" s="78" t="s">
        <v>252</v>
      </c>
      <c r="Q982" s="77">
        <v>45895</v>
      </c>
      <c r="R982" s="78" t="s">
        <v>43</v>
      </c>
      <c r="S982" s="36" t="str">
        <f>VLOOKUP(Tabla911[[#This Row],[CODIGO DEL PRODUCTO]],Tabla79[],2,FALSE)</f>
        <v>PIEDRA 6-20</v>
      </c>
      <c r="T982" s="37">
        <v>35420</v>
      </c>
      <c r="U982" s="78"/>
    </row>
    <row r="983" spans="8:21" x14ac:dyDescent="0.25">
      <c r="H983" s="34">
        <v>14894</v>
      </c>
      <c r="I983" s="34" t="s">
        <v>604</v>
      </c>
      <c r="J983" s="35">
        <v>45994</v>
      </c>
      <c r="K983" s="36" t="s">
        <v>42</v>
      </c>
      <c r="L983" s="39" t="str">
        <f>VLOOKUP(Tabla810[[#This Row],[CODIGO DEL PRODUCTO]],Tabla79[],2,FALSE)</f>
        <v>ARENA FINA</v>
      </c>
      <c r="M983" s="37">
        <v>4000</v>
      </c>
      <c r="O983" s="76">
        <v>2651220</v>
      </c>
      <c r="P983" s="78" t="s">
        <v>65</v>
      </c>
      <c r="Q983" s="77">
        <v>45895</v>
      </c>
      <c r="R983" s="78" t="s">
        <v>286</v>
      </c>
      <c r="S983" s="36" t="str">
        <f>VLOOKUP(Tabla911[[#This Row],[CODIGO DEL PRODUCTO]],Tabla79[],2,FALSE)</f>
        <v>CPF 40 AVELLANEDA</v>
      </c>
      <c r="T983" s="37">
        <v>35960</v>
      </c>
      <c r="U983" s="78"/>
    </row>
    <row r="984" spans="8:21" x14ac:dyDescent="0.25">
      <c r="H984" s="34">
        <v>14915</v>
      </c>
      <c r="I984" s="34" t="s">
        <v>403</v>
      </c>
      <c r="J984" s="35">
        <v>45994</v>
      </c>
      <c r="K984" s="36" t="s">
        <v>43</v>
      </c>
      <c r="L984" s="39" t="str">
        <f>VLOOKUP(Tabla810[[#This Row],[CODIGO DEL PRODUCTO]],Tabla79[],2,FALSE)</f>
        <v>PIEDRA 6-20</v>
      </c>
      <c r="M984" s="37">
        <v>5000</v>
      </c>
      <c r="O984" s="76">
        <v>101552</v>
      </c>
      <c r="P984" s="78" t="s">
        <v>370</v>
      </c>
      <c r="Q984" s="77">
        <v>45896</v>
      </c>
      <c r="R984" s="78" t="s">
        <v>42</v>
      </c>
      <c r="S984" s="36" t="str">
        <f>VLOOKUP(Tabla911[[#This Row],[CODIGO DEL PRODUCTO]],Tabla79[],2,FALSE)</f>
        <v>ARENA FINA</v>
      </c>
      <c r="T984" s="37">
        <v>34440</v>
      </c>
      <c r="U984" s="78"/>
    </row>
    <row r="985" spans="8:21" x14ac:dyDescent="0.25">
      <c r="H985" s="34">
        <v>14928</v>
      </c>
      <c r="I985" s="34" t="s">
        <v>619</v>
      </c>
      <c r="J985" s="35">
        <v>45994</v>
      </c>
      <c r="K985" s="36" t="s">
        <v>42</v>
      </c>
      <c r="L985" s="39" t="str">
        <f>VLOOKUP(Tabla810[[#This Row],[CODIGO DEL PRODUCTO]],Tabla79[],2,FALSE)</f>
        <v>ARENA FINA</v>
      </c>
      <c r="M985" s="37">
        <v>1000</v>
      </c>
      <c r="O985" s="76">
        <v>101557</v>
      </c>
      <c r="P985" s="78" t="s">
        <v>370</v>
      </c>
      <c r="Q985" s="77">
        <v>45896</v>
      </c>
      <c r="R985" s="78" t="s">
        <v>42</v>
      </c>
      <c r="S985" s="36" t="str">
        <f>VLOOKUP(Tabla911[[#This Row],[CODIGO DEL PRODUCTO]],Tabla79[],2,FALSE)</f>
        <v>ARENA FINA</v>
      </c>
      <c r="T985" s="37">
        <v>34160</v>
      </c>
      <c r="U985" s="78"/>
    </row>
    <row r="986" spans="8:21" x14ac:dyDescent="0.25">
      <c r="H986" s="34">
        <v>14956</v>
      </c>
      <c r="I986" s="34" t="s">
        <v>618</v>
      </c>
      <c r="J986" s="35">
        <v>45994</v>
      </c>
      <c r="K986" s="36" t="s">
        <v>42</v>
      </c>
      <c r="L986" s="39" t="str">
        <f>VLOOKUP(Tabla810[[#This Row],[CODIGO DEL PRODUCTO]],Tabla79[],2,FALSE)</f>
        <v>ARENA FINA</v>
      </c>
      <c r="M986" s="37">
        <v>5000</v>
      </c>
      <c r="O986" s="76">
        <v>104106</v>
      </c>
      <c r="P986" s="78" t="s">
        <v>150</v>
      </c>
      <c r="Q986" s="77">
        <v>45896</v>
      </c>
      <c r="R986" s="78" t="s">
        <v>43</v>
      </c>
      <c r="S986" s="36" t="str">
        <f>VLOOKUP(Tabla911[[#This Row],[CODIGO DEL PRODUCTO]],Tabla79[],2,FALSE)</f>
        <v>PIEDRA 6-20</v>
      </c>
      <c r="T986" s="37">
        <v>35500</v>
      </c>
      <c r="U986" s="78"/>
    </row>
    <row r="987" spans="8:21" x14ac:dyDescent="0.25">
      <c r="H987" s="34">
        <v>14957</v>
      </c>
      <c r="I987" s="34" t="s">
        <v>633</v>
      </c>
      <c r="J987" s="35">
        <v>45994</v>
      </c>
      <c r="K987" s="36" t="s">
        <v>42</v>
      </c>
      <c r="L987" s="39" t="str">
        <f>VLOOKUP(Tabla810[[#This Row],[CODIGO DEL PRODUCTO]],Tabla79[],2,FALSE)</f>
        <v>ARENA FINA</v>
      </c>
      <c r="M987" s="37">
        <v>3000</v>
      </c>
      <c r="O987" s="76">
        <v>104119</v>
      </c>
      <c r="P987" s="78" t="s">
        <v>252</v>
      </c>
      <c r="Q987" s="77">
        <v>45896</v>
      </c>
      <c r="R987" s="78" t="s">
        <v>43</v>
      </c>
      <c r="S987" s="36" t="str">
        <f>VLOOKUP(Tabla911[[#This Row],[CODIGO DEL PRODUCTO]],Tabla79[],2,FALSE)</f>
        <v>PIEDRA 6-20</v>
      </c>
      <c r="T987" s="37">
        <v>35680</v>
      </c>
      <c r="U987" s="78"/>
    </row>
    <row r="988" spans="8:21" x14ac:dyDescent="0.25">
      <c r="H988" s="34">
        <v>14979</v>
      </c>
      <c r="I988" s="34" t="s">
        <v>522</v>
      </c>
      <c r="J988" s="35">
        <v>45995</v>
      </c>
      <c r="K988" s="36" t="s">
        <v>42</v>
      </c>
      <c r="L988" s="39" t="str">
        <f>VLOOKUP(Tabla810[[#This Row],[CODIGO DEL PRODUCTO]],Tabla79[],2,FALSE)</f>
        <v>ARENA FINA</v>
      </c>
      <c r="M988" s="37">
        <v>4000</v>
      </c>
      <c r="O988" s="76">
        <v>104120</v>
      </c>
      <c r="P988" s="78" t="s">
        <v>237</v>
      </c>
      <c r="Q988" s="77">
        <v>45896</v>
      </c>
      <c r="R988" s="78" t="s">
        <v>40</v>
      </c>
      <c r="S988" s="36" t="str">
        <f>VLOOKUP(Tabla911[[#This Row],[CODIGO DEL PRODUCTO]],Tabla79[],2,FALSE)</f>
        <v>PIEDRA 0-6</v>
      </c>
      <c r="T988" s="37">
        <v>34580</v>
      </c>
      <c r="U988" s="78"/>
    </row>
    <row r="989" spans="8:21" x14ac:dyDescent="0.25">
      <c r="H989" s="34">
        <v>14980</v>
      </c>
      <c r="I989" s="34" t="s">
        <v>647</v>
      </c>
      <c r="J989" s="35">
        <v>45995</v>
      </c>
      <c r="K989" s="36" t="s">
        <v>42</v>
      </c>
      <c r="L989" s="39" t="str">
        <f>VLOOKUP(Tabla810[[#This Row],[CODIGO DEL PRODUCTO]],Tabla79[],2,FALSE)</f>
        <v>ARENA FINA</v>
      </c>
      <c r="M989" s="37">
        <v>2000</v>
      </c>
      <c r="O989" s="76">
        <v>104121</v>
      </c>
      <c r="P989" s="78" t="s">
        <v>375</v>
      </c>
      <c r="Q989" s="77">
        <v>45896</v>
      </c>
      <c r="R989" s="78" t="s">
        <v>43</v>
      </c>
      <c r="S989" s="36" t="str">
        <f>VLOOKUP(Tabla911[[#This Row],[CODIGO DEL PRODUCTO]],Tabla79[],2,FALSE)</f>
        <v>PIEDRA 6-20</v>
      </c>
      <c r="T989" s="37">
        <v>34700</v>
      </c>
      <c r="U989" s="78"/>
    </row>
    <row r="990" spans="8:21" x14ac:dyDescent="0.25">
      <c r="H990" s="34"/>
      <c r="I990" s="34" t="s">
        <v>647</v>
      </c>
      <c r="J990" s="35">
        <v>45995</v>
      </c>
      <c r="K990" s="36" t="s">
        <v>43</v>
      </c>
      <c r="L990" s="39" t="str">
        <f>VLOOKUP(Tabla810[[#This Row],[CODIGO DEL PRODUCTO]],Tabla79[],2,FALSE)</f>
        <v>PIEDRA 6-20</v>
      </c>
      <c r="M990" s="37">
        <v>2000</v>
      </c>
      <c r="O990" s="76">
        <v>104123</v>
      </c>
      <c r="P990" s="78" t="s">
        <v>299</v>
      </c>
      <c r="Q990" s="77">
        <v>45896</v>
      </c>
      <c r="R990" s="78" t="s">
        <v>40</v>
      </c>
      <c r="S990" s="36" t="str">
        <f>VLOOKUP(Tabla911[[#This Row],[CODIGO DEL PRODUCTO]],Tabla79[],2,FALSE)</f>
        <v>PIEDRA 0-6</v>
      </c>
      <c r="T990" s="37">
        <v>34560</v>
      </c>
      <c r="U990" s="78"/>
    </row>
    <row r="991" spans="8:21" x14ac:dyDescent="0.25">
      <c r="H991" s="34">
        <v>14993</v>
      </c>
      <c r="I991" s="34" t="s">
        <v>494</v>
      </c>
      <c r="J991" s="35">
        <v>45995</v>
      </c>
      <c r="K991" s="36" t="s">
        <v>42</v>
      </c>
      <c r="L991" s="39" t="str">
        <f>VLOOKUP(Tabla810[[#This Row],[CODIGO DEL PRODUCTO]],Tabla79[],2,FALSE)</f>
        <v>ARENA FINA</v>
      </c>
      <c r="M991" s="37">
        <v>2000</v>
      </c>
      <c r="O991" s="76">
        <v>104125</v>
      </c>
      <c r="P991" s="78" t="s">
        <v>234</v>
      </c>
      <c r="Q991" s="77">
        <v>45896</v>
      </c>
      <c r="R991" s="78" t="s">
        <v>40</v>
      </c>
      <c r="S991" s="36" t="str">
        <f>VLOOKUP(Tabla911[[#This Row],[CODIGO DEL PRODUCTO]],Tabla79[],2,FALSE)</f>
        <v>PIEDRA 0-6</v>
      </c>
      <c r="T991" s="37">
        <v>35280</v>
      </c>
      <c r="U991" s="78"/>
    </row>
    <row r="992" spans="8:21" x14ac:dyDescent="0.25">
      <c r="H992" s="34">
        <v>14994</v>
      </c>
      <c r="I992" s="34" t="s">
        <v>494</v>
      </c>
      <c r="J992" s="35">
        <v>45995</v>
      </c>
      <c r="K992" s="36" t="s">
        <v>42</v>
      </c>
      <c r="L992" s="39" t="str">
        <f>VLOOKUP(Tabla810[[#This Row],[CODIGO DEL PRODUCTO]],Tabla79[],2,FALSE)</f>
        <v>ARENA FINA</v>
      </c>
      <c r="M992" s="37">
        <v>2000</v>
      </c>
      <c r="O992" s="76">
        <v>2651553</v>
      </c>
      <c r="P992" s="78" t="s">
        <v>65</v>
      </c>
      <c r="Q992" s="77">
        <v>45896</v>
      </c>
      <c r="R992" s="78" t="s">
        <v>286</v>
      </c>
      <c r="S992" s="36" t="str">
        <f>VLOOKUP(Tabla911[[#This Row],[CODIGO DEL PRODUCTO]],Tabla79[],2,FALSE)</f>
        <v>CPF 40 AVELLANEDA</v>
      </c>
      <c r="T992" s="37">
        <v>35560</v>
      </c>
      <c r="U992" s="78"/>
    </row>
    <row r="993" spans="8:21" x14ac:dyDescent="0.25">
      <c r="H993" s="34">
        <v>15006</v>
      </c>
      <c r="I993" s="34" t="s">
        <v>403</v>
      </c>
      <c r="J993" s="35">
        <v>45995</v>
      </c>
      <c r="K993" s="36" t="s">
        <v>43</v>
      </c>
      <c r="L993" s="39" t="str">
        <f>VLOOKUP(Tabla810[[#This Row],[CODIGO DEL PRODUCTO]],Tabla79[],2,FALSE)</f>
        <v>PIEDRA 6-20</v>
      </c>
      <c r="M993" s="37">
        <v>5000</v>
      </c>
      <c r="O993" s="76">
        <v>101564</v>
      </c>
      <c r="P993" s="78" t="s">
        <v>370</v>
      </c>
      <c r="Q993" s="77">
        <v>45897</v>
      </c>
      <c r="R993" s="78" t="s">
        <v>42</v>
      </c>
      <c r="S993" s="36" t="str">
        <f>VLOOKUP(Tabla911[[#This Row],[CODIGO DEL PRODUCTO]],Tabla79[],2,FALSE)</f>
        <v>ARENA FINA</v>
      </c>
      <c r="T993" s="37">
        <v>35940</v>
      </c>
      <c r="U993" s="78"/>
    </row>
    <row r="994" spans="8:21" x14ac:dyDescent="0.25">
      <c r="H994" s="34">
        <v>15014</v>
      </c>
      <c r="I994" s="34" t="s">
        <v>633</v>
      </c>
      <c r="J994" s="35">
        <v>45996</v>
      </c>
      <c r="K994" s="36" t="s">
        <v>42</v>
      </c>
      <c r="L994" s="39" t="str">
        <f>VLOOKUP(Tabla810[[#This Row],[CODIGO DEL PRODUCTO]],Tabla79[],2,FALSE)</f>
        <v>ARENA FINA</v>
      </c>
      <c r="M994" s="37">
        <v>2000</v>
      </c>
      <c r="O994" s="76">
        <v>101571</v>
      </c>
      <c r="P994" s="78" t="s">
        <v>370</v>
      </c>
      <c r="Q994" s="77">
        <v>45897</v>
      </c>
      <c r="R994" s="78" t="s">
        <v>42</v>
      </c>
      <c r="S994" s="36" t="str">
        <f>VLOOKUP(Tabla911[[#This Row],[CODIGO DEL PRODUCTO]],Tabla79[],2,FALSE)</f>
        <v>ARENA FINA</v>
      </c>
      <c r="T994" s="37">
        <v>34580</v>
      </c>
      <c r="U994" s="78"/>
    </row>
    <row r="995" spans="8:21" x14ac:dyDescent="0.25">
      <c r="H995" s="34">
        <v>15024</v>
      </c>
      <c r="I995" s="34" t="s">
        <v>649</v>
      </c>
      <c r="J995" s="35">
        <v>45996</v>
      </c>
      <c r="K995" s="36" t="s">
        <v>372</v>
      </c>
      <c r="L995" s="39" t="str">
        <f>VLOOKUP(Tabla810[[#This Row],[CODIGO DEL PRODUCTO]],Tabla79[],2,FALSE)</f>
        <v xml:space="preserve">ESTABILIZADO GRANULOMETRICO 0/20 </v>
      </c>
      <c r="M995" s="37">
        <v>25000</v>
      </c>
      <c r="O995" s="76">
        <v>104131</v>
      </c>
      <c r="P995" s="78" t="s">
        <v>150</v>
      </c>
      <c r="Q995" s="77">
        <v>45897</v>
      </c>
      <c r="R995" s="78" t="s">
        <v>43</v>
      </c>
      <c r="S995" s="36" t="str">
        <f>VLOOKUP(Tabla911[[#This Row],[CODIGO DEL PRODUCTO]],Tabla79[],2,FALSE)</f>
        <v>PIEDRA 6-20</v>
      </c>
      <c r="T995" s="37">
        <v>35160</v>
      </c>
      <c r="U995" s="78"/>
    </row>
    <row r="996" spans="8:21" x14ac:dyDescent="0.25">
      <c r="H996" s="34">
        <v>15032</v>
      </c>
      <c r="I996" s="34" t="s">
        <v>391</v>
      </c>
      <c r="J996" s="35">
        <v>45996</v>
      </c>
      <c r="K996" s="36" t="s">
        <v>42</v>
      </c>
      <c r="L996" s="39" t="str">
        <f>VLOOKUP(Tabla810[[#This Row],[CODIGO DEL PRODUCTO]],Tabla79[],2,FALSE)</f>
        <v>ARENA FINA</v>
      </c>
      <c r="M996" s="37">
        <v>2000</v>
      </c>
      <c r="O996" s="76">
        <v>104141</v>
      </c>
      <c r="P996" s="78" t="s">
        <v>375</v>
      </c>
      <c r="Q996" s="77">
        <v>45897</v>
      </c>
      <c r="R996" s="78" t="s">
        <v>43</v>
      </c>
      <c r="S996" s="36" t="str">
        <f>VLOOKUP(Tabla911[[#This Row],[CODIGO DEL PRODUCTO]],Tabla79[],2,FALSE)</f>
        <v>PIEDRA 6-20</v>
      </c>
      <c r="T996" s="37">
        <v>34760</v>
      </c>
      <c r="U996" s="78"/>
    </row>
    <row r="997" spans="8:21" x14ac:dyDescent="0.25">
      <c r="H997" s="34">
        <v>15040</v>
      </c>
      <c r="I997" s="34" t="s">
        <v>649</v>
      </c>
      <c r="J997" s="35">
        <v>45996</v>
      </c>
      <c r="K997" s="36" t="s">
        <v>372</v>
      </c>
      <c r="L997" s="39" t="str">
        <f>VLOOKUP(Tabla810[[#This Row],[CODIGO DEL PRODUCTO]],Tabla79[],2,FALSE)</f>
        <v xml:space="preserve">ESTABILIZADO GRANULOMETRICO 0/20 </v>
      </c>
      <c r="M997" s="37">
        <v>24180</v>
      </c>
      <c r="O997" s="76">
        <v>104144</v>
      </c>
      <c r="P997" s="78" t="s">
        <v>237</v>
      </c>
      <c r="Q997" s="77">
        <v>45897</v>
      </c>
      <c r="R997" s="78" t="s">
        <v>40</v>
      </c>
      <c r="S997" s="36" t="str">
        <f>VLOOKUP(Tabla911[[#This Row],[CODIGO DEL PRODUCTO]],Tabla79[],2,FALSE)</f>
        <v>PIEDRA 0-6</v>
      </c>
      <c r="T997" s="37">
        <v>33860</v>
      </c>
      <c r="U997" s="78"/>
    </row>
    <row r="998" spans="8:21" x14ac:dyDescent="0.25">
      <c r="H998" s="34">
        <v>15042</v>
      </c>
      <c r="I998" s="34" t="s">
        <v>649</v>
      </c>
      <c r="J998" s="35">
        <v>45996</v>
      </c>
      <c r="K998" s="36" t="s">
        <v>372</v>
      </c>
      <c r="L998" s="39" t="str">
        <f>VLOOKUP(Tabla810[[#This Row],[CODIGO DEL PRODUCTO]],Tabla79[],2,FALSE)</f>
        <v xml:space="preserve">ESTABILIZADO GRANULOMETRICO 0/20 </v>
      </c>
      <c r="M998" s="37">
        <v>26100</v>
      </c>
      <c r="O998" s="76">
        <v>104147</v>
      </c>
      <c r="P998" s="78" t="s">
        <v>252</v>
      </c>
      <c r="Q998" s="77">
        <v>45897</v>
      </c>
      <c r="R998" s="78" t="s">
        <v>43</v>
      </c>
      <c r="S998" s="36" t="str">
        <f>VLOOKUP(Tabla911[[#This Row],[CODIGO DEL PRODUCTO]],Tabla79[],2,FALSE)</f>
        <v>PIEDRA 6-20</v>
      </c>
      <c r="T998" s="37">
        <v>35580</v>
      </c>
      <c r="U998" s="78"/>
    </row>
    <row r="999" spans="8:21" x14ac:dyDescent="0.25">
      <c r="H999" s="34"/>
      <c r="I999" s="34" t="s">
        <v>53</v>
      </c>
      <c r="J999" s="35">
        <v>45992</v>
      </c>
      <c r="K999" s="36" t="s">
        <v>42</v>
      </c>
      <c r="L999" s="39" t="str">
        <f>VLOOKUP(Tabla810[[#This Row],[CODIGO DEL PRODUCTO]],Tabla79[],2,FALSE)</f>
        <v>ARENA FINA</v>
      </c>
      <c r="M999" s="37">
        <v>518266</v>
      </c>
      <c r="O999" s="76">
        <v>104149</v>
      </c>
      <c r="P999" s="78" t="s">
        <v>234</v>
      </c>
      <c r="Q999" s="77">
        <v>45897</v>
      </c>
      <c r="R999" s="78" t="s">
        <v>40</v>
      </c>
      <c r="S999" s="36" t="str">
        <f>VLOOKUP(Tabla911[[#This Row],[CODIGO DEL PRODUCTO]],Tabla79[],2,FALSE)</f>
        <v>PIEDRA 0-6</v>
      </c>
      <c r="T999" s="37">
        <v>35400</v>
      </c>
      <c r="U999" s="78"/>
    </row>
    <row r="1000" spans="8:21" x14ac:dyDescent="0.25">
      <c r="H1000" s="34"/>
      <c r="I1000" s="34" t="s">
        <v>53</v>
      </c>
      <c r="J1000" s="35">
        <v>45993</v>
      </c>
      <c r="K1000" s="36" t="s">
        <v>40</v>
      </c>
      <c r="L1000" s="39" t="str">
        <f>VLOOKUP(Tabla810[[#This Row],[CODIGO DEL PRODUCTO]],Tabla79[],2,FALSE)</f>
        <v>PIEDRA 0-6</v>
      </c>
      <c r="M1000" s="37">
        <v>348815</v>
      </c>
      <c r="O1000" s="76">
        <v>2651872</v>
      </c>
      <c r="P1000" s="78" t="s">
        <v>65</v>
      </c>
      <c r="Q1000" s="77">
        <v>45897</v>
      </c>
      <c r="R1000" s="78" t="s">
        <v>286</v>
      </c>
      <c r="S1000" s="36" t="str">
        <f>VLOOKUP(Tabla911[[#This Row],[CODIGO DEL PRODUCTO]],Tabla79[],2,FALSE)</f>
        <v>CPF 40 AVELLANEDA</v>
      </c>
      <c r="T1000" s="37">
        <v>36140</v>
      </c>
      <c r="U1000" s="78"/>
    </row>
    <row r="1001" spans="8:21" x14ac:dyDescent="0.25">
      <c r="H1001" s="34"/>
      <c r="I1001" s="34" t="s">
        <v>53</v>
      </c>
      <c r="J1001" s="35">
        <v>45994</v>
      </c>
      <c r="K1001" s="36" t="s">
        <v>286</v>
      </c>
      <c r="L1001" s="39" t="str">
        <f>VLOOKUP(Tabla810[[#This Row],[CODIGO DEL PRODUCTO]],Tabla79[],2,FALSE)</f>
        <v>CPF 40 AVELLANEDA</v>
      </c>
      <c r="M1001" s="37">
        <v>243465</v>
      </c>
      <c r="O1001" s="76">
        <v>101579</v>
      </c>
      <c r="P1001" s="78" t="s">
        <v>370</v>
      </c>
      <c r="Q1001" s="77">
        <v>45898</v>
      </c>
      <c r="R1001" s="78" t="s">
        <v>42</v>
      </c>
      <c r="S1001" s="36" t="str">
        <f>VLOOKUP(Tabla911[[#This Row],[CODIGO DEL PRODUCTO]],Tabla79[],2,FALSE)</f>
        <v>ARENA FINA</v>
      </c>
      <c r="T1001" s="37">
        <v>35400</v>
      </c>
      <c r="U1001" s="78"/>
    </row>
    <row r="1002" spans="8:21" x14ac:dyDescent="0.25">
      <c r="H1002" s="34"/>
      <c r="I1002" s="34" t="s">
        <v>53</v>
      </c>
      <c r="J1002" s="35">
        <v>45995</v>
      </c>
      <c r="K1002" s="36" t="s">
        <v>48</v>
      </c>
      <c r="L1002" s="39" t="str">
        <f>VLOOKUP(Tabla810[[#This Row],[CODIGO DEL PRODUCTO]],Tabla79[],2,FALSE)</f>
        <v>PIEDRA 6-12</v>
      </c>
      <c r="M1002" s="37">
        <v>58360</v>
      </c>
      <c r="O1002" s="76">
        <v>101586</v>
      </c>
      <c r="P1002" s="78" t="s">
        <v>370</v>
      </c>
      <c r="Q1002" s="77">
        <v>45898</v>
      </c>
      <c r="R1002" s="78" t="s">
        <v>42</v>
      </c>
      <c r="S1002" s="36" t="str">
        <f>VLOOKUP(Tabla911[[#This Row],[CODIGO DEL PRODUCTO]],Tabla79[],2,FALSE)</f>
        <v>ARENA FINA</v>
      </c>
      <c r="T1002" s="37">
        <v>35100</v>
      </c>
      <c r="U1002" s="78"/>
    </row>
    <row r="1003" spans="8:21" x14ac:dyDescent="0.25">
      <c r="H1003" s="34"/>
      <c r="I1003" s="34" t="s">
        <v>53</v>
      </c>
      <c r="J1003" s="35">
        <v>45996</v>
      </c>
      <c r="K1003" s="36" t="s">
        <v>43</v>
      </c>
      <c r="L1003" s="39" t="str">
        <f>VLOOKUP(Tabla810[[#This Row],[CODIGO DEL PRODUCTO]],Tabla79[],2,FALSE)</f>
        <v>PIEDRA 6-20</v>
      </c>
      <c r="M1003" s="37">
        <v>684309</v>
      </c>
      <c r="O1003" s="76">
        <v>104154</v>
      </c>
      <c r="P1003" s="78" t="s">
        <v>150</v>
      </c>
      <c r="Q1003" s="77">
        <v>45898</v>
      </c>
      <c r="R1003" s="78" t="s">
        <v>43</v>
      </c>
      <c r="S1003" s="36" t="str">
        <f>VLOOKUP(Tabla911[[#This Row],[CODIGO DEL PRODUCTO]],Tabla79[],2,FALSE)</f>
        <v>PIEDRA 6-20</v>
      </c>
      <c r="T1003" s="37">
        <v>35760</v>
      </c>
      <c r="U1003" s="78"/>
    </row>
    <row r="1004" spans="8:21" x14ac:dyDescent="0.25">
      <c r="H1004" s="34"/>
      <c r="I1004" s="34" t="s">
        <v>53</v>
      </c>
      <c r="J1004" s="35">
        <v>45997</v>
      </c>
      <c r="K1004" s="36" t="s">
        <v>425</v>
      </c>
      <c r="L1004" s="39" t="str">
        <f>VLOOKUP(Tabla810[[#This Row],[CODIGO DEL PRODUCTO]],Tabla79[],2,FALSE)</f>
        <v>W351R</v>
      </c>
      <c r="M1004" s="37">
        <v>1800.61</v>
      </c>
      <c r="O1004" s="76">
        <v>104161</v>
      </c>
      <c r="P1004" s="78" t="s">
        <v>375</v>
      </c>
      <c r="Q1004" s="77">
        <v>45898</v>
      </c>
      <c r="R1004" s="78" t="s">
        <v>43</v>
      </c>
      <c r="S1004" s="36" t="str">
        <f>VLOOKUP(Tabla911[[#This Row],[CODIGO DEL PRODUCTO]],Tabla79[],2,FALSE)</f>
        <v>PIEDRA 6-20</v>
      </c>
      <c r="T1004" s="37">
        <v>34720</v>
      </c>
      <c r="U1004" s="78"/>
    </row>
    <row r="1005" spans="8:21" x14ac:dyDescent="0.25">
      <c r="H1005" s="34">
        <v>15058</v>
      </c>
      <c r="I1005" s="34" t="s">
        <v>618</v>
      </c>
      <c r="J1005" s="35">
        <v>46000</v>
      </c>
      <c r="K1005" s="36" t="s">
        <v>42</v>
      </c>
      <c r="L1005" s="39" t="str">
        <f>VLOOKUP(Tabla810[[#This Row],[CODIGO DEL PRODUCTO]],Tabla79[],2,FALSE)</f>
        <v>ARENA FINA</v>
      </c>
      <c r="M1005" s="37">
        <v>5000</v>
      </c>
      <c r="O1005" s="76">
        <v>104164</v>
      </c>
      <c r="P1005" s="78" t="s">
        <v>234</v>
      </c>
      <c r="Q1005" s="77">
        <v>45898</v>
      </c>
      <c r="R1005" s="78" t="s">
        <v>40</v>
      </c>
      <c r="S1005" s="36" t="str">
        <f>VLOOKUP(Tabla911[[#This Row],[CODIGO DEL PRODUCTO]],Tabla79[],2,FALSE)</f>
        <v>PIEDRA 0-6</v>
      </c>
      <c r="T1005" s="37">
        <v>35960</v>
      </c>
      <c r="U1005" s="78"/>
    </row>
    <row r="1006" spans="8:21" x14ac:dyDescent="0.25">
      <c r="H1006" s="34">
        <v>15081</v>
      </c>
      <c r="I1006" s="34" t="s">
        <v>594</v>
      </c>
      <c r="J1006" s="35">
        <v>46000</v>
      </c>
      <c r="K1006" s="36" t="s">
        <v>42</v>
      </c>
      <c r="L1006" s="39" t="str">
        <f>VLOOKUP(Tabla810[[#This Row],[CODIGO DEL PRODUCTO]],Tabla79[],2,FALSE)</f>
        <v>ARENA FINA</v>
      </c>
      <c r="M1006" s="37">
        <v>3000</v>
      </c>
      <c r="O1006" s="76">
        <v>104165</v>
      </c>
      <c r="P1006" s="78" t="s">
        <v>252</v>
      </c>
      <c r="Q1006" s="77">
        <v>45898</v>
      </c>
      <c r="R1006" s="78" t="s">
        <v>43</v>
      </c>
      <c r="S1006" s="36" t="str">
        <f>VLOOKUP(Tabla911[[#This Row],[CODIGO DEL PRODUCTO]],Tabla79[],2,FALSE)</f>
        <v>PIEDRA 6-20</v>
      </c>
      <c r="T1006" s="37">
        <v>35480</v>
      </c>
      <c r="U1006" s="78"/>
    </row>
    <row r="1007" spans="8:21" x14ac:dyDescent="0.25">
      <c r="H1007" s="34">
        <v>15099</v>
      </c>
      <c r="I1007" s="34" t="s">
        <v>642</v>
      </c>
      <c r="J1007" s="35">
        <v>46000</v>
      </c>
      <c r="K1007" s="36" t="s">
        <v>42</v>
      </c>
      <c r="L1007" s="39" t="str">
        <f>VLOOKUP(Tabla810[[#This Row],[CODIGO DEL PRODUCTO]],Tabla79[],2,FALSE)</f>
        <v>ARENA FINA</v>
      </c>
      <c r="M1007" s="37">
        <v>5000</v>
      </c>
      <c r="O1007" s="76">
        <v>104166</v>
      </c>
      <c r="P1007" s="78" t="s">
        <v>349</v>
      </c>
      <c r="Q1007" s="77">
        <v>45898</v>
      </c>
      <c r="R1007" s="78" t="s">
        <v>43</v>
      </c>
      <c r="S1007" s="36" t="str">
        <f>VLOOKUP(Tabla911[[#This Row],[CODIGO DEL PRODUCTO]],Tabla79[],2,FALSE)</f>
        <v>PIEDRA 6-20</v>
      </c>
      <c r="T1007" s="37">
        <v>36380</v>
      </c>
      <c r="U1007" s="78"/>
    </row>
    <row r="1008" spans="8:21" x14ac:dyDescent="0.25">
      <c r="H1008" s="34">
        <v>15101</v>
      </c>
      <c r="I1008" s="34" t="s">
        <v>601</v>
      </c>
      <c r="J1008" s="35">
        <v>46000</v>
      </c>
      <c r="K1008" s="36" t="s">
        <v>43</v>
      </c>
      <c r="L1008" s="39" t="str">
        <f>VLOOKUP(Tabla810[[#This Row],[CODIGO DEL PRODUCTO]],Tabla79[],2,FALSE)</f>
        <v>PIEDRA 6-20</v>
      </c>
      <c r="M1008" s="37">
        <v>8000</v>
      </c>
      <c r="O1008" s="76">
        <v>104167</v>
      </c>
      <c r="P1008" s="78" t="s">
        <v>237</v>
      </c>
      <c r="Q1008" s="77">
        <v>45898</v>
      </c>
      <c r="R1008" s="78" t="s">
        <v>40</v>
      </c>
      <c r="S1008" s="36" t="str">
        <f>VLOOKUP(Tabla911[[#This Row],[CODIGO DEL PRODUCTO]],Tabla79[],2,FALSE)</f>
        <v>PIEDRA 0-6</v>
      </c>
      <c r="T1008" s="37">
        <v>35080</v>
      </c>
      <c r="U1008" s="78"/>
    </row>
    <row r="1009" spans="8:21" x14ac:dyDescent="0.25">
      <c r="H1009" s="34">
        <v>15102</v>
      </c>
      <c r="I1009" s="34" t="s">
        <v>601</v>
      </c>
      <c r="J1009" s="35">
        <v>46000</v>
      </c>
      <c r="K1009" s="36" t="s">
        <v>42</v>
      </c>
      <c r="L1009" s="39" t="str">
        <f>VLOOKUP(Tabla810[[#This Row],[CODIGO DEL PRODUCTO]],Tabla79[],2,FALSE)</f>
        <v>ARENA FINA</v>
      </c>
      <c r="M1009" s="37">
        <v>4000</v>
      </c>
      <c r="O1009" s="76">
        <v>142623</v>
      </c>
      <c r="P1009" s="78" t="s">
        <v>317</v>
      </c>
      <c r="Q1009" s="77">
        <v>45898</v>
      </c>
      <c r="R1009" s="78" t="s">
        <v>43</v>
      </c>
      <c r="S1009" s="36" t="str">
        <f>VLOOKUP(Tabla911[[#This Row],[CODIGO DEL PRODUCTO]],Tabla79[],2,FALSE)</f>
        <v>PIEDRA 6-20</v>
      </c>
      <c r="T1009" s="37">
        <v>35860</v>
      </c>
      <c r="U1009" s="78"/>
    </row>
    <row r="1010" spans="8:21" x14ac:dyDescent="0.25">
      <c r="H1010" s="34">
        <v>15103</v>
      </c>
      <c r="I1010" s="34" t="s">
        <v>642</v>
      </c>
      <c r="J1010" s="35">
        <v>46000</v>
      </c>
      <c r="K1010" s="36" t="s">
        <v>43</v>
      </c>
      <c r="L1010" s="39" t="str">
        <f>VLOOKUP(Tabla810[[#This Row],[CODIGO DEL PRODUCTO]],Tabla79[],2,FALSE)</f>
        <v>PIEDRA 6-20</v>
      </c>
      <c r="M1010" s="37">
        <v>5000</v>
      </c>
      <c r="O1010" s="76">
        <v>2652023</v>
      </c>
      <c r="P1010" s="78" t="s">
        <v>65</v>
      </c>
      <c r="Q1010" s="77">
        <v>45898</v>
      </c>
      <c r="R1010" s="78" t="s">
        <v>286</v>
      </c>
      <c r="S1010" s="36" t="str">
        <f>VLOOKUP(Tabla911[[#This Row],[CODIGO DEL PRODUCTO]],Tabla79[],2,FALSE)</f>
        <v>CPF 40 AVELLANEDA</v>
      </c>
      <c r="T1010" s="37">
        <v>33580</v>
      </c>
      <c r="U1010" s="78"/>
    </row>
    <row r="1011" spans="8:21" x14ac:dyDescent="0.25">
      <c r="H1011" s="34">
        <v>15129</v>
      </c>
      <c r="I1011" s="40" t="s">
        <v>519</v>
      </c>
      <c r="J1011" s="35">
        <v>46001</v>
      </c>
      <c r="K1011" s="36" t="s">
        <v>42</v>
      </c>
      <c r="L1011" s="42" t="str">
        <f>VLOOKUP(Tabla810[[#This Row],[CODIGO DEL PRODUCTO]],Tabla79[],2,FALSE)</f>
        <v>ARENA FINA</v>
      </c>
      <c r="M1011" s="37">
        <v>4000</v>
      </c>
      <c r="O1011" s="76">
        <v>101593</v>
      </c>
      <c r="P1011" s="78" t="s">
        <v>370</v>
      </c>
      <c r="Q1011" s="77">
        <v>45899</v>
      </c>
      <c r="R1011" s="78" t="s">
        <v>42</v>
      </c>
      <c r="S1011" s="36" t="str">
        <f>VLOOKUP(Tabla911[[#This Row],[CODIGO DEL PRODUCTO]],Tabla79[],2,FALSE)</f>
        <v>ARENA FINA</v>
      </c>
      <c r="T1011" s="37">
        <v>35220</v>
      </c>
      <c r="U1011" s="78"/>
    </row>
    <row r="1012" spans="8:21" x14ac:dyDescent="0.25">
      <c r="H1012" s="34">
        <v>15142</v>
      </c>
      <c r="I1012" s="40" t="s">
        <v>658</v>
      </c>
      <c r="J1012" s="35">
        <v>46001</v>
      </c>
      <c r="K1012" s="36" t="s">
        <v>372</v>
      </c>
      <c r="L1012" s="42" t="str">
        <f>VLOOKUP(Tabla810[[#This Row],[CODIGO DEL PRODUCTO]],Tabla79[],2,FALSE)</f>
        <v xml:space="preserve">ESTABILIZADO GRANULOMETRICO 0/20 </v>
      </c>
      <c r="M1012" s="37">
        <v>23320</v>
      </c>
      <c r="O1012" s="76">
        <v>104176</v>
      </c>
      <c r="P1012" s="78" t="s">
        <v>150</v>
      </c>
      <c r="Q1012" s="77">
        <v>45899</v>
      </c>
      <c r="R1012" s="78" t="s">
        <v>43</v>
      </c>
      <c r="S1012" s="36" t="str">
        <f>VLOOKUP(Tabla911[[#This Row],[CODIGO DEL PRODUCTO]],Tabla79[],2,FALSE)</f>
        <v>PIEDRA 6-20</v>
      </c>
      <c r="T1012" s="37">
        <v>34800</v>
      </c>
      <c r="U1012" s="78"/>
    </row>
    <row r="1013" spans="8:21" x14ac:dyDescent="0.25">
      <c r="H1013" s="34">
        <v>15154</v>
      </c>
      <c r="I1013" s="34" t="s">
        <v>494</v>
      </c>
      <c r="J1013" s="35">
        <v>46002</v>
      </c>
      <c r="K1013" s="36" t="s">
        <v>42</v>
      </c>
      <c r="L1013" s="39" t="str">
        <f>VLOOKUP(Tabla810[[#This Row],[CODIGO DEL PRODUCTO]],Tabla79[],2,FALSE)</f>
        <v>ARENA FINA</v>
      </c>
      <c r="M1013" s="37">
        <v>1000</v>
      </c>
      <c r="O1013" s="76">
        <v>142726</v>
      </c>
      <c r="P1013" s="78" t="s">
        <v>213</v>
      </c>
      <c r="Q1013" s="77">
        <v>45899</v>
      </c>
      <c r="R1013" s="78" t="s">
        <v>43</v>
      </c>
      <c r="S1013" s="36" t="str">
        <f>VLOOKUP(Tabla911[[#This Row],[CODIGO DEL PRODUCTO]],Tabla79[],2,FALSE)</f>
        <v>PIEDRA 6-20</v>
      </c>
      <c r="T1013" s="37">
        <v>34380</v>
      </c>
      <c r="U1013" s="78"/>
    </row>
    <row r="1014" spans="8:21" x14ac:dyDescent="0.25">
      <c r="H1014" s="34">
        <v>15164</v>
      </c>
      <c r="I1014" s="34" t="s">
        <v>661</v>
      </c>
      <c r="J1014" s="35">
        <v>46003</v>
      </c>
      <c r="K1014" s="36" t="s">
        <v>42</v>
      </c>
      <c r="L1014" s="39" t="str">
        <f>VLOOKUP(Tabla810[[#This Row],[CODIGO DEL PRODUCTO]],Tabla79[],2,FALSE)</f>
        <v>ARENA FINA</v>
      </c>
      <c r="M1014" s="37">
        <v>4000</v>
      </c>
      <c r="O1014" s="76">
        <v>2652300</v>
      </c>
      <c r="P1014" s="78" t="s">
        <v>65</v>
      </c>
      <c r="Q1014" s="77">
        <v>45899</v>
      </c>
      <c r="R1014" s="78" t="s">
        <v>286</v>
      </c>
      <c r="S1014" s="36" t="str">
        <f>VLOOKUP(Tabla911[[#This Row],[CODIGO DEL PRODUCTO]],Tabla79[],2,FALSE)</f>
        <v>CPF 40 AVELLANEDA</v>
      </c>
      <c r="T1014" s="37">
        <v>35800</v>
      </c>
      <c r="U1014" s="78"/>
    </row>
    <row r="1015" spans="8:21" x14ac:dyDescent="0.25">
      <c r="H1015" s="34">
        <v>15171</v>
      </c>
      <c r="I1015" s="34" t="s">
        <v>574</v>
      </c>
      <c r="J1015" s="35">
        <v>46003</v>
      </c>
      <c r="K1015" s="36" t="s">
        <v>43</v>
      </c>
      <c r="L1015" s="39" t="str">
        <f>VLOOKUP(Tabla810[[#This Row],[CODIGO DEL PRODUCTO]],Tabla79[],2,FALSE)</f>
        <v>PIEDRA 6-20</v>
      </c>
      <c r="M1015" s="37">
        <v>29500</v>
      </c>
      <c r="O1015" s="76">
        <v>101596</v>
      </c>
      <c r="P1015" s="78" t="s">
        <v>370</v>
      </c>
      <c r="Q1015" s="77">
        <v>45901</v>
      </c>
      <c r="R1015" s="78" t="s">
        <v>42</v>
      </c>
      <c r="S1015" s="36" t="str">
        <f>VLOOKUP(Tabla911[[#This Row],[CODIGO DEL PRODUCTO]],Tabla79[],2,FALSE)</f>
        <v>ARENA FINA</v>
      </c>
      <c r="T1015" s="37">
        <v>34880</v>
      </c>
      <c r="U1015" s="78"/>
    </row>
    <row r="1016" spans="8:21" x14ac:dyDescent="0.25">
      <c r="H1016" s="34">
        <v>15186</v>
      </c>
      <c r="I1016" s="34" t="s">
        <v>662</v>
      </c>
      <c r="J1016" s="35">
        <v>46003</v>
      </c>
      <c r="K1016" s="36" t="s">
        <v>42</v>
      </c>
      <c r="L1016" s="39" t="str">
        <f>VLOOKUP(Tabla810[[#This Row],[CODIGO DEL PRODUCTO]],Tabla79[],2,FALSE)</f>
        <v>ARENA FINA</v>
      </c>
      <c r="M1016" s="37">
        <v>2000</v>
      </c>
      <c r="O1016" s="76">
        <v>101599</v>
      </c>
      <c r="P1016" s="78" t="s">
        <v>370</v>
      </c>
      <c r="Q1016" s="77">
        <v>45901</v>
      </c>
      <c r="R1016" s="78" t="s">
        <v>42</v>
      </c>
      <c r="S1016" s="36" t="str">
        <f>VLOOKUP(Tabla911[[#This Row],[CODIGO DEL PRODUCTO]],Tabla79[],2,FALSE)</f>
        <v>ARENA FINA</v>
      </c>
      <c r="T1016" s="37">
        <v>34960</v>
      </c>
      <c r="U1016" s="78"/>
    </row>
    <row r="1017" spans="8:21" x14ac:dyDescent="0.25">
      <c r="H1017" s="34">
        <v>15209</v>
      </c>
      <c r="I1017" s="34" t="s">
        <v>474</v>
      </c>
      <c r="J1017" s="35">
        <v>46003</v>
      </c>
      <c r="K1017" s="36" t="s">
        <v>42</v>
      </c>
      <c r="L1017" s="39" t="str">
        <f>VLOOKUP(Tabla810[[#This Row],[CODIGO DEL PRODUCTO]],Tabla79[],2,FALSE)</f>
        <v>ARENA FINA</v>
      </c>
      <c r="M1017" s="37">
        <v>5000</v>
      </c>
      <c r="O1017" s="76">
        <v>104180</v>
      </c>
      <c r="P1017" s="78" t="s">
        <v>234</v>
      </c>
      <c r="Q1017" s="77">
        <v>45901</v>
      </c>
      <c r="R1017" s="78" t="s">
        <v>40</v>
      </c>
      <c r="S1017" s="36" t="str">
        <f>VLOOKUP(Tabla911[[#This Row],[CODIGO DEL PRODUCTO]],Tabla79[],2,FALSE)</f>
        <v>PIEDRA 0-6</v>
      </c>
      <c r="T1017" s="37">
        <v>34700</v>
      </c>
      <c r="U1017" s="78"/>
    </row>
    <row r="1018" spans="8:21" x14ac:dyDescent="0.25">
      <c r="H1018" s="34"/>
      <c r="I1018" s="34" t="s">
        <v>53</v>
      </c>
      <c r="J1018" s="35">
        <v>45999</v>
      </c>
      <c r="K1018" s="36" t="s">
        <v>42</v>
      </c>
      <c r="L1018" s="39" t="str">
        <f>VLOOKUP(Tabla810[[#This Row],[CODIGO DEL PRODUCTO]],Tabla79[],2,FALSE)</f>
        <v>ARENA FINA</v>
      </c>
      <c r="M1018" s="37">
        <v>417079</v>
      </c>
      <c r="O1018" s="76">
        <v>104186</v>
      </c>
      <c r="P1018" s="78" t="s">
        <v>355</v>
      </c>
      <c r="Q1018" s="77">
        <v>45901</v>
      </c>
      <c r="R1018" s="78" t="s">
        <v>40</v>
      </c>
      <c r="S1018" s="36" t="str">
        <f>VLOOKUP(Tabla911[[#This Row],[CODIGO DEL PRODUCTO]],Tabla79[],2,FALSE)</f>
        <v>PIEDRA 0-6</v>
      </c>
      <c r="T1018" s="37">
        <v>34900</v>
      </c>
      <c r="U1018" s="78"/>
    </row>
    <row r="1019" spans="8:21" x14ac:dyDescent="0.25">
      <c r="H1019" s="34"/>
      <c r="I1019" s="34" t="s">
        <v>53</v>
      </c>
      <c r="J1019" s="35">
        <v>46000</v>
      </c>
      <c r="K1019" s="36" t="s">
        <v>40</v>
      </c>
      <c r="L1019" s="39" t="str">
        <f>VLOOKUP(Tabla810[[#This Row],[CODIGO DEL PRODUCTO]],Tabla79[],2,FALSE)</f>
        <v>PIEDRA 0-6</v>
      </c>
      <c r="M1019" s="37">
        <v>282470</v>
      </c>
      <c r="O1019" s="76">
        <v>104188</v>
      </c>
      <c r="P1019" s="78" t="s">
        <v>218</v>
      </c>
      <c r="Q1019" s="77">
        <v>45901</v>
      </c>
      <c r="R1019" s="78" t="s">
        <v>40</v>
      </c>
      <c r="S1019" s="36" t="str">
        <f>VLOOKUP(Tabla911[[#This Row],[CODIGO DEL PRODUCTO]],Tabla79[],2,FALSE)</f>
        <v>PIEDRA 0-6</v>
      </c>
      <c r="T1019" s="37">
        <v>35300</v>
      </c>
      <c r="U1019" s="78"/>
    </row>
    <row r="1020" spans="8:21" x14ac:dyDescent="0.25">
      <c r="H1020" s="34"/>
      <c r="I1020" s="34" t="s">
        <v>53</v>
      </c>
      <c r="J1020" s="35">
        <v>46001</v>
      </c>
      <c r="K1020" s="36" t="s">
        <v>286</v>
      </c>
      <c r="L1020" s="39" t="str">
        <f>VLOOKUP(Tabla810[[#This Row],[CODIGO DEL PRODUCTO]],Tabla79[],2,FALSE)</f>
        <v>CPF 40 AVELLANEDA</v>
      </c>
      <c r="M1020" s="37">
        <v>211156</v>
      </c>
      <c r="O1020" s="76">
        <v>104192</v>
      </c>
      <c r="P1020" s="78" t="s">
        <v>349</v>
      </c>
      <c r="Q1020" s="77">
        <v>45901</v>
      </c>
      <c r="R1020" s="78" t="s">
        <v>43</v>
      </c>
      <c r="S1020" s="36" t="str">
        <f>VLOOKUP(Tabla911[[#This Row],[CODIGO DEL PRODUCTO]],Tabla79[],2,FALSE)</f>
        <v>PIEDRA 6-20</v>
      </c>
      <c r="T1020" s="37">
        <v>35320</v>
      </c>
      <c r="U1020" s="78"/>
    </row>
    <row r="1021" spans="8:21" x14ac:dyDescent="0.25">
      <c r="H1021" s="34"/>
      <c r="I1021" s="34" t="s">
        <v>53</v>
      </c>
      <c r="J1021" s="35">
        <v>46002</v>
      </c>
      <c r="K1021" s="36" t="s">
        <v>48</v>
      </c>
      <c r="L1021" s="39" t="str">
        <f>VLOOKUP(Tabla810[[#This Row],[CODIGO DEL PRODUCTO]],Tabla79[],2,FALSE)</f>
        <v>PIEDRA 6-12</v>
      </c>
      <c r="M1021" s="37">
        <v>77191</v>
      </c>
      <c r="O1021" s="76">
        <v>104201</v>
      </c>
      <c r="P1021" s="78" t="s">
        <v>238</v>
      </c>
      <c r="Q1021" s="77">
        <v>45901</v>
      </c>
      <c r="R1021" s="78" t="s">
        <v>40</v>
      </c>
      <c r="S1021" s="36" t="str">
        <f>VLOOKUP(Tabla911[[#This Row],[CODIGO DEL PRODUCTO]],Tabla79[],2,FALSE)</f>
        <v>PIEDRA 0-6</v>
      </c>
      <c r="T1021" s="37">
        <v>35240</v>
      </c>
      <c r="U1021" s="78"/>
    </row>
    <row r="1022" spans="8:21" x14ac:dyDescent="0.25">
      <c r="H1022" s="34"/>
      <c r="I1022" s="34" t="s">
        <v>53</v>
      </c>
      <c r="J1022" s="35">
        <v>46003</v>
      </c>
      <c r="K1022" s="36" t="s">
        <v>43</v>
      </c>
      <c r="L1022" s="39" t="str">
        <f>VLOOKUP(Tabla810[[#This Row],[CODIGO DEL PRODUCTO]],Tabla79[],2,FALSE)</f>
        <v>PIEDRA 6-20</v>
      </c>
      <c r="M1022" s="37">
        <v>494291</v>
      </c>
      <c r="O1022" s="76">
        <v>104203</v>
      </c>
      <c r="P1022" s="78" t="s">
        <v>155</v>
      </c>
      <c r="Q1022" s="77">
        <v>45901</v>
      </c>
      <c r="R1022" s="78" t="s">
        <v>43</v>
      </c>
      <c r="S1022" s="36" t="str">
        <f>VLOOKUP(Tabla911[[#This Row],[CODIGO DEL PRODUCTO]],Tabla79[],2,FALSE)</f>
        <v>PIEDRA 6-20</v>
      </c>
      <c r="T1022" s="37">
        <v>34860</v>
      </c>
      <c r="U1022" s="78"/>
    </row>
    <row r="1023" spans="8:21" x14ac:dyDescent="0.25">
      <c r="H1023" s="34"/>
      <c r="I1023" s="34" t="s">
        <v>53</v>
      </c>
      <c r="J1023" s="35">
        <v>46003</v>
      </c>
      <c r="K1023" s="36" t="s">
        <v>46</v>
      </c>
      <c r="L1023" s="39" t="str">
        <f>VLOOKUP(Tabla810[[#This Row],[CODIGO DEL PRODUCTO]],Tabla79[],2,FALSE)</f>
        <v>PIEDRA 10-30</v>
      </c>
      <c r="M1023" s="37">
        <v>72560</v>
      </c>
      <c r="O1023" s="76">
        <v>142825</v>
      </c>
      <c r="P1023" s="78" t="s">
        <v>343</v>
      </c>
      <c r="Q1023" s="77">
        <v>45901</v>
      </c>
      <c r="R1023" s="78" t="s">
        <v>43</v>
      </c>
      <c r="S1023" s="36" t="str">
        <f>VLOOKUP(Tabla911[[#This Row],[CODIGO DEL PRODUCTO]],Tabla79[],2,FALSE)</f>
        <v>PIEDRA 6-20</v>
      </c>
      <c r="T1023" s="37">
        <v>35180</v>
      </c>
      <c r="U1023" s="78"/>
    </row>
    <row r="1024" spans="8:21" x14ac:dyDescent="0.25">
      <c r="H1024" s="34"/>
      <c r="I1024" s="34" t="s">
        <v>53</v>
      </c>
      <c r="J1024" s="35">
        <v>46003</v>
      </c>
      <c r="K1024" s="36" t="s">
        <v>425</v>
      </c>
      <c r="L1024" s="39" t="str">
        <f>VLOOKUP(Tabla810[[#This Row],[CODIGO DEL PRODUCTO]],Tabla79[],2,FALSE)</f>
        <v>W351R</v>
      </c>
      <c r="M1024" s="37">
        <v>1250.1099999999999</v>
      </c>
      <c r="O1024" s="76">
        <v>2652737</v>
      </c>
      <c r="P1024" s="78" t="s">
        <v>65</v>
      </c>
      <c r="Q1024" s="77">
        <v>45901</v>
      </c>
      <c r="R1024" s="78" t="s">
        <v>286</v>
      </c>
      <c r="S1024" s="36" t="str">
        <f>VLOOKUP(Tabla911[[#This Row],[CODIGO DEL PRODUCTO]],Tabla79[],2,FALSE)</f>
        <v>CPF 40 AVELLANEDA</v>
      </c>
      <c r="T1024" s="37">
        <v>36200</v>
      </c>
      <c r="U1024" s="78"/>
    </row>
    <row r="1025" spans="8:24" x14ac:dyDescent="0.25">
      <c r="H1025" s="34">
        <v>15221</v>
      </c>
      <c r="I1025" s="34" t="s">
        <v>664</v>
      </c>
      <c r="J1025" s="35">
        <v>46006</v>
      </c>
      <c r="K1025" s="36" t="s">
        <v>42</v>
      </c>
      <c r="L1025" s="39" t="str">
        <f>VLOOKUP(Tabla810[[#This Row],[CODIGO DEL PRODUCTO]],Tabla79[],2,FALSE)</f>
        <v>ARENA FINA</v>
      </c>
      <c r="M1025" s="37">
        <v>5000</v>
      </c>
      <c r="O1025" s="76">
        <v>101608</v>
      </c>
      <c r="P1025" s="78" t="s">
        <v>370</v>
      </c>
      <c r="Q1025" s="77">
        <v>45902</v>
      </c>
      <c r="R1025" s="78" t="s">
        <v>42</v>
      </c>
      <c r="S1025" s="36" t="str">
        <f>VLOOKUP(Tabla911[[#This Row],[CODIGO DEL PRODUCTO]],Tabla79[],2,FALSE)</f>
        <v>ARENA FINA</v>
      </c>
      <c r="T1025" s="37">
        <v>34000</v>
      </c>
      <c r="U1025" s="78"/>
      <c r="V1025" s="7">
        <v>45902</v>
      </c>
      <c r="W1025" t="s">
        <v>536</v>
      </c>
      <c r="X1025" t="s">
        <v>538</v>
      </c>
    </row>
    <row r="1026" spans="8:24" x14ac:dyDescent="0.25">
      <c r="H1026" s="34">
        <v>15226</v>
      </c>
      <c r="I1026" s="34" t="s">
        <v>426</v>
      </c>
      <c r="J1026" s="35">
        <v>46006</v>
      </c>
      <c r="K1026" s="36" t="s">
        <v>42</v>
      </c>
      <c r="L1026" s="39" t="str">
        <f>VLOOKUP(Tabla810[[#This Row],[CODIGO DEL PRODUCTO]],Tabla79[],2,FALSE)</f>
        <v>ARENA FINA</v>
      </c>
      <c r="M1026" s="37">
        <v>5000</v>
      </c>
      <c r="O1026" s="76">
        <v>101615</v>
      </c>
      <c r="P1026" s="78" t="s">
        <v>370</v>
      </c>
      <c r="Q1026" s="77">
        <v>45902</v>
      </c>
      <c r="R1026" s="78" t="s">
        <v>42</v>
      </c>
      <c r="S1026" s="36" t="str">
        <f>VLOOKUP(Tabla911[[#This Row],[CODIGO DEL PRODUCTO]],Tabla79[],2,FALSE)</f>
        <v>ARENA FINA</v>
      </c>
      <c r="T1026" s="37">
        <v>34680</v>
      </c>
      <c r="U1026" s="78"/>
      <c r="V1026" s="7">
        <v>45902</v>
      </c>
      <c r="W1026" t="s">
        <v>537</v>
      </c>
      <c r="X1026" t="s">
        <v>539</v>
      </c>
    </row>
    <row r="1027" spans="8:24" x14ac:dyDescent="0.25">
      <c r="H1027" s="34">
        <v>15228</v>
      </c>
      <c r="I1027" s="34" t="s">
        <v>664</v>
      </c>
      <c r="J1027" s="35">
        <v>46006</v>
      </c>
      <c r="K1027" s="36" t="s">
        <v>42</v>
      </c>
      <c r="L1027" s="39" t="str">
        <f>VLOOKUP(Tabla810[[#This Row],[CODIGO DEL PRODUCTO]],Tabla79[],2,FALSE)</f>
        <v>ARENA FINA</v>
      </c>
      <c r="M1027" s="37">
        <v>5000</v>
      </c>
      <c r="O1027" s="76">
        <v>215180</v>
      </c>
      <c r="P1027" s="78" t="s">
        <v>516</v>
      </c>
      <c r="Q1027" s="77">
        <v>45902</v>
      </c>
      <c r="R1027" s="78" t="s">
        <v>43</v>
      </c>
      <c r="S1027" s="36" t="str">
        <f>VLOOKUP(Tabla911[[#This Row],[CODIGO DEL PRODUCTO]],Tabla79[],2,FALSE)</f>
        <v>PIEDRA 6-20</v>
      </c>
      <c r="T1027" s="37">
        <v>33940</v>
      </c>
      <c r="U1027" s="78"/>
    </row>
    <row r="1028" spans="8:24" x14ac:dyDescent="0.25">
      <c r="H1028" s="34">
        <v>15231</v>
      </c>
      <c r="I1028" s="34" t="s">
        <v>664</v>
      </c>
      <c r="J1028" s="35">
        <v>46006</v>
      </c>
      <c r="K1028" s="36" t="s">
        <v>42</v>
      </c>
      <c r="L1028" s="39" t="str">
        <f>VLOOKUP(Tabla810[[#This Row],[CODIGO DEL PRODUCTO]],Tabla79[],2,FALSE)</f>
        <v>ARENA FINA</v>
      </c>
      <c r="M1028" s="37">
        <v>5000</v>
      </c>
      <c r="O1028" s="76">
        <v>104210</v>
      </c>
      <c r="P1028" s="78" t="s">
        <v>150</v>
      </c>
      <c r="Q1028" s="77">
        <v>45902</v>
      </c>
      <c r="R1028" s="78" t="s">
        <v>43</v>
      </c>
      <c r="S1028" s="36" t="str">
        <f>VLOOKUP(Tabla911[[#This Row],[CODIGO DEL PRODUCTO]],Tabla79[],2,FALSE)</f>
        <v>PIEDRA 6-20</v>
      </c>
      <c r="T1028" s="37">
        <v>35680</v>
      </c>
      <c r="U1028" s="78"/>
    </row>
    <row r="1029" spans="8:24" x14ac:dyDescent="0.25">
      <c r="H1029" s="34">
        <v>15236</v>
      </c>
      <c r="I1029" s="34" t="s">
        <v>664</v>
      </c>
      <c r="J1029" s="35">
        <v>46006</v>
      </c>
      <c r="K1029" s="36" t="s">
        <v>42</v>
      </c>
      <c r="L1029" s="39" t="str">
        <f>VLOOKUP(Tabla810[[#This Row],[CODIGO DEL PRODUCTO]],Tabla79[],2,FALSE)</f>
        <v>ARENA FINA</v>
      </c>
      <c r="M1029" s="37">
        <v>5000</v>
      </c>
      <c r="O1029" s="76">
        <v>104211</v>
      </c>
      <c r="P1029" s="78" t="s">
        <v>234</v>
      </c>
      <c r="Q1029" s="77">
        <v>45902</v>
      </c>
      <c r="R1029" s="78" t="s">
        <v>40</v>
      </c>
      <c r="S1029" s="36" t="str">
        <f>VLOOKUP(Tabla911[[#This Row],[CODIGO DEL PRODUCTO]],Tabla79[],2,FALSE)</f>
        <v>PIEDRA 0-6</v>
      </c>
      <c r="T1029" s="37">
        <v>34460</v>
      </c>
      <c r="U1029" s="78"/>
    </row>
    <row r="1030" spans="8:24" x14ac:dyDescent="0.25">
      <c r="H1030" s="34">
        <v>15242</v>
      </c>
      <c r="I1030" s="34" t="s">
        <v>665</v>
      </c>
      <c r="J1030" s="35">
        <v>46006</v>
      </c>
      <c r="K1030" s="36" t="s">
        <v>42</v>
      </c>
      <c r="L1030" s="39" t="str">
        <f>VLOOKUP(Tabla810[[#This Row],[CODIGO DEL PRODUCTO]],Tabla79[],2,FALSE)</f>
        <v>ARENA FINA</v>
      </c>
      <c r="M1030" s="37">
        <v>1000</v>
      </c>
      <c r="O1030" s="76">
        <v>104235</v>
      </c>
      <c r="P1030" s="78" t="s">
        <v>238</v>
      </c>
      <c r="Q1030" s="77">
        <v>45902</v>
      </c>
      <c r="R1030" s="78" t="s">
        <v>40</v>
      </c>
      <c r="S1030" s="36" t="str">
        <f>VLOOKUP(Tabla911[[#This Row],[CODIGO DEL PRODUCTO]],Tabla79[],2,FALSE)</f>
        <v>PIEDRA 0-6</v>
      </c>
      <c r="T1030" s="37">
        <v>34820</v>
      </c>
      <c r="U1030" s="78"/>
    </row>
    <row r="1031" spans="8:24" x14ac:dyDescent="0.25">
      <c r="H1031" s="34">
        <v>15243</v>
      </c>
      <c r="I1031" s="34" t="s">
        <v>594</v>
      </c>
      <c r="J1031" s="35">
        <v>46006</v>
      </c>
      <c r="K1031" s="36" t="s">
        <v>42</v>
      </c>
      <c r="L1031" s="39" t="str">
        <f>VLOOKUP(Tabla810[[#This Row],[CODIGO DEL PRODUCTO]],Tabla79[],2,FALSE)</f>
        <v>ARENA FINA</v>
      </c>
      <c r="M1031" s="37">
        <v>3000</v>
      </c>
      <c r="O1031" s="76">
        <v>104244</v>
      </c>
      <c r="P1031" s="78" t="s">
        <v>155</v>
      </c>
      <c r="Q1031" s="77">
        <v>45902</v>
      </c>
      <c r="R1031" s="78" t="s">
        <v>43</v>
      </c>
      <c r="S1031" s="36" t="str">
        <f>VLOOKUP(Tabla911[[#This Row],[CODIGO DEL PRODUCTO]],Tabla79[],2,FALSE)</f>
        <v>PIEDRA 6-20</v>
      </c>
      <c r="T1031" s="37">
        <v>34300</v>
      </c>
      <c r="U1031" s="78"/>
    </row>
    <row r="1032" spans="8:24" x14ac:dyDescent="0.25">
      <c r="H1032" s="34">
        <v>15278</v>
      </c>
      <c r="I1032" s="34" t="s">
        <v>620</v>
      </c>
      <c r="J1032" s="35">
        <v>46007</v>
      </c>
      <c r="K1032" s="36" t="s">
        <v>42</v>
      </c>
      <c r="L1032" s="39" t="str">
        <f>VLOOKUP(Tabla810[[#This Row],[CODIGO DEL PRODUCTO]],Tabla79[],2,FALSE)</f>
        <v>ARENA FINA</v>
      </c>
      <c r="M1032" s="37">
        <v>4000</v>
      </c>
      <c r="O1032" s="76">
        <v>142873</v>
      </c>
      <c r="P1032" s="78" t="s">
        <v>120</v>
      </c>
      <c r="Q1032" s="77">
        <v>45902</v>
      </c>
      <c r="R1032" s="78" t="s">
        <v>40</v>
      </c>
      <c r="S1032" s="36" t="str">
        <f>VLOOKUP(Tabla911[[#This Row],[CODIGO DEL PRODUCTO]],Tabla79[],2,FALSE)</f>
        <v>PIEDRA 0-6</v>
      </c>
      <c r="T1032" s="37">
        <v>35140</v>
      </c>
      <c r="U1032" s="78"/>
    </row>
    <row r="1033" spans="8:24" x14ac:dyDescent="0.25">
      <c r="H1033" s="34">
        <v>15295</v>
      </c>
      <c r="I1033" s="34" t="s">
        <v>666</v>
      </c>
      <c r="J1033" s="35">
        <v>46008</v>
      </c>
      <c r="K1033" s="36" t="s">
        <v>42</v>
      </c>
      <c r="L1033" s="39" t="str">
        <f>VLOOKUP(Tabla810[[#This Row],[CODIGO DEL PRODUCTO]],Tabla79[],2,FALSE)</f>
        <v>ARENA FINA</v>
      </c>
      <c r="M1033" s="37">
        <v>3000</v>
      </c>
      <c r="O1033" s="76">
        <v>2652999</v>
      </c>
      <c r="P1033" s="78" t="s">
        <v>65</v>
      </c>
      <c r="Q1033" s="77">
        <v>45902</v>
      </c>
      <c r="R1033" s="78" t="s">
        <v>286</v>
      </c>
      <c r="S1033" s="36" t="str">
        <f>VLOOKUP(Tabla911[[#This Row],[CODIGO DEL PRODUCTO]],Tabla79[],2,FALSE)</f>
        <v>CPF 40 AVELLANEDA</v>
      </c>
      <c r="T1033" s="37">
        <v>35920</v>
      </c>
      <c r="U1033" s="78"/>
    </row>
    <row r="1034" spans="8:24" x14ac:dyDescent="0.25">
      <c r="H1034" s="34"/>
      <c r="I1034" s="34" t="s">
        <v>666</v>
      </c>
      <c r="J1034" s="35">
        <v>46008</v>
      </c>
      <c r="K1034" s="36" t="s">
        <v>43</v>
      </c>
      <c r="L1034" s="39" t="str">
        <f>VLOOKUP(Tabla810[[#This Row],[CODIGO DEL PRODUCTO]],Tabla79[],2,FALSE)</f>
        <v>PIEDRA 6-20</v>
      </c>
      <c r="M1034" s="37">
        <v>1000</v>
      </c>
      <c r="O1034" s="76">
        <v>101620</v>
      </c>
      <c r="P1034" s="78" t="s">
        <v>370</v>
      </c>
      <c r="Q1034" s="77">
        <v>45903</v>
      </c>
      <c r="R1034" s="78" t="s">
        <v>42</v>
      </c>
      <c r="S1034" s="36" t="str">
        <f>VLOOKUP(Tabla911[[#This Row],[CODIGO DEL PRODUCTO]],Tabla79[],2,FALSE)</f>
        <v>ARENA FINA</v>
      </c>
      <c r="T1034" s="37">
        <v>33220</v>
      </c>
      <c r="U1034" s="78"/>
    </row>
    <row r="1035" spans="8:24" x14ac:dyDescent="0.25">
      <c r="H1035" s="34">
        <v>15298</v>
      </c>
      <c r="I1035" s="34" t="s">
        <v>664</v>
      </c>
      <c r="J1035" s="35">
        <v>46008</v>
      </c>
      <c r="K1035" s="36" t="s">
        <v>42</v>
      </c>
      <c r="L1035" s="39" t="str">
        <f>VLOOKUP(Tabla810[[#This Row],[CODIGO DEL PRODUCTO]],Tabla79[],2,FALSE)</f>
        <v>ARENA FINA</v>
      </c>
      <c r="M1035" s="37">
        <v>5000</v>
      </c>
      <c r="O1035" s="76">
        <v>101623</v>
      </c>
      <c r="P1035" s="78" t="s">
        <v>370</v>
      </c>
      <c r="Q1035" s="77">
        <v>45903</v>
      </c>
      <c r="R1035" s="78" t="s">
        <v>42</v>
      </c>
      <c r="S1035" s="36" t="str">
        <f>VLOOKUP(Tabla911[[#This Row],[CODIGO DEL PRODUCTO]],Tabla79[],2,FALSE)</f>
        <v>ARENA FINA</v>
      </c>
      <c r="T1035" s="37">
        <v>35620</v>
      </c>
      <c r="U1035" s="78"/>
    </row>
    <row r="1036" spans="8:24" x14ac:dyDescent="0.25">
      <c r="H1036" s="34">
        <v>15318</v>
      </c>
      <c r="I1036" s="34" t="s">
        <v>666</v>
      </c>
      <c r="J1036" s="35">
        <v>46008</v>
      </c>
      <c r="K1036" s="36" t="s">
        <v>42</v>
      </c>
      <c r="L1036" s="39" t="str">
        <f>VLOOKUP(Tabla810[[#This Row],[CODIGO DEL PRODUCTO]],Tabla79[],2,FALSE)</f>
        <v>ARENA FINA</v>
      </c>
      <c r="M1036" s="37">
        <v>2000</v>
      </c>
      <c r="O1036" s="76">
        <v>104250</v>
      </c>
      <c r="P1036" s="78" t="s">
        <v>150</v>
      </c>
      <c r="Q1036" s="77">
        <v>45903</v>
      </c>
      <c r="R1036" s="78" t="s">
        <v>43</v>
      </c>
      <c r="S1036" s="36" t="str">
        <f>VLOOKUP(Tabla911[[#This Row],[CODIGO DEL PRODUCTO]],Tabla79[],2,FALSE)</f>
        <v>PIEDRA 6-20</v>
      </c>
      <c r="T1036" s="37">
        <v>34680</v>
      </c>
      <c r="U1036" s="78"/>
    </row>
    <row r="1037" spans="8:24" x14ac:dyDescent="0.25">
      <c r="H1037" s="34">
        <v>15319</v>
      </c>
      <c r="I1037" s="34" t="s">
        <v>494</v>
      </c>
      <c r="J1037" s="35">
        <v>46008</v>
      </c>
      <c r="K1037" s="36" t="s">
        <v>42</v>
      </c>
      <c r="L1037" s="39" t="str">
        <f>VLOOKUP(Tabla810[[#This Row],[CODIGO DEL PRODUCTO]],Tabla79[],2,FALSE)</f>
        <v>ARENA FINA</v>
      </c>
      <c r="M1037" s="37">
        <v>4000</v>
      </c>
      <c r="O1037" s="76">
        <v>104253</v>
      </c>
      <c r="P1037" s="78" t="s">
        <v>218</v>
      </c>
      <c r="Q1037" s="77">
        <v>45903</v>
      </c>
      <c r="R1037" s="78" t="s">
        <v>40</v>
      </c>
      <c r="S1037" s="36" t="str">
        <f>VLOOKUP(Tabla911[[#This Row],[CODIGO DEL PRODUCTO]],Tabla79[],2,FALSE)</f>
        <v>PIEDRA 0-6</v>
      </c>
      <c r="T1037" s="37">
        <v>35320</v>
      </c>
      <c r="U1037" s="78"/>
    </row>
    <row r="1038" spans="8:24" x14ac:dyDescent="0.25">
      <c r="H1038" s="34">
        <v>15327</v>
      </c>
      <c r="I1038" s="34" t="s">
        <v>574</v>
      </c>
      <c r="J1038" s="35">
        <v>46008</v>
      </c>
      <c r="K1038" s="36" t="s">
        <v>372</v>
      </c>
      <c r="L1038" s="39" t="str">
        <f>VLOOKUP(Tabla810[[#This Row],[CODIGO DEL PRODUCTO]],Tabla79[],2,FALSE)</f>
        <v xml:space="preserve">ESTABILIZADO GRANULOMETRICO 0/20 </v>
      </c>
      <c r="M1038" s="37">
        <v>25240</v>
      </c>
      <c r="O1038" s="76">
        <v>104254</v>
      </c>
      <c r="P1038" s="78" t="s">
        <v>234</v>
      </c>
      <c r="Q1038" s="77">
        <v>45903</v>
      </c>
      <c r="R1038" s="78" t="s">
        <v>40</v>
      </c>
      <c r="S1038" s="36" t="str">
        <f>VLOOKUP(Tabla911[[#This Row],[CODIGO DEL PRODUCTO]],Tabla79[],2,FALSE)</f>
        <v>PIEDRA 0-6</v>
      </c>
      <c r="T1038" s="37">
        <v>35440</v>
      </c>
      <c r="U1038" s="78"/>
    </row>
    <row r="1039" spans="8:24" x14ac:dyDescent="0.25">
      <c r="H1039" s="34">
        <v>15334</v>
      </c>
      <c r="I1039" s="34" t="s">
        <v>574</v>
      </c>
      <c r="J1039" s="35">
        <v>46008</v>
      </c>
      <c r="K1039" s="36" t="s">
        <v>372</v>
      </c>
      <c r="L1039" s="39" t="str">
        <f>VLOOKUP(Tabla810[[#This Row],[CODIGO DEL PRODUCTO]],Tabla79[],2,FALSE)</f>
        <v xml:space="preserve">ESTABILIZADO GRANULOMETRICO 0/20 </v>
      </c>
      <c r="M1039" s="37">
        <v>26240</v>
      </c>
      <c r="O1039" s="76">
        <v>104276</v>
      </c>
      <c r="P1039" s="78" t="s">
        <v>238</v>
      </c>
      <c r="Q1039" s="77">
        <v>45903</v>
      </c>
      <c r="R1039" s="78" t="s">
        <v>40</v>
      </c>
      <c r="S1039" s="36" t="str">
        <f>VLOOKUP(Tabla911[[#This Row],[CODIGO DEL PRODUCTO]],Tabla79[],2,FALSE)</f>
        <v>PIEDRA 0-6</v>
      </c>
      <c r="T1039" s="37">
        <v>34740</v>
      </c>
      <c r="U1039" s="78"/>
    </row>
    <row r="1040" spans="8:24" x14ac:dyDescent="0.25">
      <c r="H1040" s="34">
        <v>15340</v>
      </c>
      <c r="I1040" s="34" t="s">
        <v>646</v>
      </c>
      <c r="J1040" s="35">
        <v>46008</v>
      </c>
      <c r="K1040" s="36" t="s">
        <v>42</v>
      </c>
      <c r="L1040" s="39" t="str">
        <f>VLOOKUP(Tabla810[[#This Row],[CODIGO DEL PRODUCTO]],Tabla79[],2,FALSE)</f>
        <v>ARENA FINA</v>
      </c>
      <c r="M1040" s="37">
        <v>2000</v>
      </c>
      <c r="O1040" s="76">
        <v>104283</v>
      </c>
      <c r="P1040" s="78" t="s">
        <v>155</v>
      </c>
      <c r="Q1040" s="77">
        <v>45903</v>
      </c>
      <c r="R1040" s="78" t="s">
        <v>43</v>
      </c>
      <c r="S1040" s="36" t="str">
        <f>VLOOKUP(Tabla911[[#This Row],[CODIGO DEL PRODUCTO]],Tabla79[],2,FALSE)</f>
        <v>PIEDRA 6-20</v>
      </c>
      <c r="T1040" s="37">
        <v>34860</v>
      </c>
      <c r="U1040" s="78"/>
    </row>
    <row r="1041" spans="8:22" x14ac:dyDescent="0.25">
      <c r="H1041" s="34">
        <v>15400</v>
      </c>
      <c r="I1041" s="34" t="s">
        <v>494</v>
      </c>
      <c r="J1041" s="35">
        <v>46010</v>
      </c>
      <c r="K1041" s="36" t="s">
        <v>42</v>
      </c>
      <c r="L1041" s="39" t="str">
        <f>VLOOKUP(Tabla810[[#This Row],[CODIGO DEL PRODUCTO]],Tabla79[],2,FALSE)</f>
        <v>ARENA FINA</v>
      </c>
      <c r="M1041" s="37">
        <v>3000</v>
      </c>
      <c r="O1041" s="76">
        <v>2653287</v>
      </c>
      <c r="P1041" s="78" t="s">
        <v>65</v>
      </c>
      <c r="Q1041" s="77">
        <v>45903</v>
      </c>
      <c r="R1041" s="78" t="s">
        <v>286</v>
      </c>
      <c r="S1041" s="36" t="str">
        <f>VLOOKUP(Tabla911[[#This Row],[CODIGO DEL PRODUCTO]],Tabla79[],2,FALSE)</f>
        <v>CPF 40 AVELLANEDA</v>
      </c>
      <c r="T1041" s="37">
        <v>35920</v>
      </c>
      <c r="U1041" s="78"/>
    </row>
    <row r="1042" spans="8:22" x14ac:dyDescent="0.25">
      <c r="H1042" s="34">
        <v>15401</v>
      </c>
      <c r="I1042" s="34" t="s">
        <v>642</v>
      </c>
      <c r="J1042" s="35">
        <v>46010</v>
      </c>
      <c r="K1042" s="36" t="s">
        <v>42</v>
      </c>
      <c r="L1042" s="39" t="str">
        <f>VLOOKUP(Tabla810[[#This Row],[CODIGO DEL PRODUCTO]],Tabla79[],2,FALSE)</f>
        <v>ARENA FINA</v>
      </c>
      <c r="M1042" s="37">
        <v>5000</v>
      </c>
      <c r="O1042" s="76">
        <v>101631</v>
      </c>
      <c r="P1042" s="78" t="s">
        <v>370</v>
      </c>
      <c r="Q1042" s="77">
        <v>45904</v>
      </c>
      <c r="R1042" s="78" t="s">
        <v>42</v>
      </c>
      <c r="S1042" s="36" t="str">
        <f>VLOOKUP(Tabla911[[#This Row],[CODIGO DEL PRODUCTO]],Tabla79[],2,FALSE)</f>
        <v>ARENA FINA</v>
      </c>
      <c r="T1042" s="37">
        <v>34320</v>
      </c>
      <c r="U1042" s="78"/>
    </row>
    <row r="1043" spans="8:22" x14ac:dyDescent="0.25">
      <c r="H1043" s="34">
        <v>15418</v>
      </c>
      <c r="I1043" s="34" t="s">
        <v>494</v>
      </c>
      <c r="J1043" s="35">
        <v>46010</v>
      </c>
      <c r="K1043" s="36" t="s">
        <v>43</v>
      </c>
      <c r="L1043" s="39" t="str">
        <f>VLOOKUP(Tabla810[[#This Row],[CODIGO DEL PRODUCTO]],Tabla79[],2,FALSE)</f>
        <v>PIEDRA 6-20</v>
      </c>
      <c r="M1043" s="37">
        <v>3000</v>
      </c>
      <c r="O1043" s="76">
        <v>101641</v>
      </c>
      <c r="P1043" s="78" t="s">
        <v>370</v>
      </c>
      <c r="Q1043" s="77">
        <v>45904</v>
      </c>
      <c r="R1043" s="78" t="s">
        <v>42</v>
      </c>
      <c r="S1043" s="36" t="str">
        <f>VLOOKUP(Tabla911[[#This Row],[CODIGO DEL PRODUCTO]],Tabla79[],2,FALSE)</f>
        <v>ARENA FINA</v>
      </c>
      <c r="T1043" s="37">
        <v>34240</v>
      </c>
      <c r="U1043" s="78"/>
    </row>
    <row r="1044" spans="8:22" x14ac:dyDescent="0.25">
      <c r="H1044" s="34">
        <v>15445</v>
      </c>
      <c r="I1044" s="34" t="s">
        <v>670</v>
      </c>
      <c r="J1044" s="35">
        <v>46010</v>
      </c>
      <c r="K1044" s="36" t="s">
        <v>372</v>
      </c>
      <c r="L1044" s="39" t="str">
        <f>VLOOKUP(Tabla810[[#This Row],[CODIGO DEL PRODUCTO]],Tabla79[],2,FALSE)</f>
        <v xml:space="preserve">ESTABILIZADO GRANULOMETRICO 0/20 </v>
      </c>
      <c r="M1044" s="37">
        <v>8000</v>
      </c>
      <c r="O1044" s="76">
        <v>215256</v>
      </c>
      <c r="P1044" s="78" t="s">
        <v>516</v>
      </c>
      <c r="Q1044" s="77">
        <v>45903</v>
      </c>
      <c r="R1044" s="78" t="s">
        <v>43</v>
      </c>
      <c r="S1044" s="36" t="str">
        <f>VLOOKUP(Tabla911[[#This Row],[CODIGO DEL PRODUCTO]],Tabla79[],2,FALSE)</f>
        <v>PIEDRA 6-20</v>
      </c>
      <c r="T1044" s="37">
        <v>34560</v>
      </c>
      <c r="U1044" s="78"/>
      <c r="V1044">
        <v>5</v>
      </c>
    </row>
    <row r="1045" spans="8:22" x14ac:dyDescent="0.25">
      <c r="H1045" s="34">
        <v>15453</v>
      </c>
      <c r="I1045" s="34" t="s">
        <v>642</v>
      </c>
      <c r="J1045" s="35">
        <v>46010</v>
      </c>
      <c r="K1045" s="36" t="s">
        <v>40</v>
      </c>
      <c r="L1045" s="39" t="str">
        <f>VLOOKUP(Tabla810[[#This Row],[CODIGO DEL PRODUCTO]],Tabla79[],2,FALSE)</f>
        <v>PIEDRA 0-6</v>
      </c>
      <c r="M1045" s="37">
        <v>1000</v>
      </c>
      <c r="O1045" s="76">
        <v>104300</v>
      </c>
      <c r="P1045" s="78" t="s">
        <v>218</v>
      </c>
      <c r="Q1045" s="77">
        <v>45904</v>
      </c>
      <c r="R1045" s="78" t="s">
        <v>40</v>
      </c>
      <c r="S1045" s="36" t="str">
        <f>VLOOKUP(Tabla911[[#This Row],[CODIGO DEL PRODUCTO]],Tabla79[],2,FALSE)</f>
        <v>PIEDRA 0-6</v>
      </c>
      <c r="T1045" s="37">
        <v>35500</v>
      </c>
      <c r="U1045" s="78"/>
    </row>
    <row r="1046" spans="8:22" x14ac:dyDescent="0.25">
      <c r="H1046" s="34">
        <v>15476</v>
      </c>
      <c r="I1046" s="34" t="s">
        <v>522</v>
      </c>
      <c r="J1046" s="35">
        <v>46013</v>
      </c>
      <c r="K1046" s="36" t="s">
        <v>42</v>
      </c>
      <c r="L1046" s="39" t="str">
        <f>VLOOKUP(Tabla810[[#This Row],[CODIGO DEL PRODUCTO]],Tabla79[],2,FALSE)</f>
        <v>ARENA FINA</v>
      </c>
      <c r="M1046" s="37">
        <v>4000</v>
      </c>
      <c r="O1046" s="76">
        <v>104301</v>
      </c>
      <c r="P1046" s="78" t="s">
        <v>150</v>
      </c>
      <c r="Q1046" s="77">
        <v>45904</v>
      </c>
      <c r="R1046" s="78" t="s">
        <v>43</v>
      </c>
      <c r="S1046" s="36" t="str">
        <f>VLOOKUP(Tabla911[[#This Row],[CODIGO DEL PRODUCTO]],Tabla79[],2,FALSE)</f>
        <v>PIEDRA 6-20</v>
      </c>
      <c r="T1046" s="37">
        <v>35280</v>
      </c>
      <c r="U1046" s="78"/>
    </row>
    <row r="1047" spans="8:22" x14ac:dyDescent="0.25">
      <c r="H1047" s="34">
        <v>15479</v>
      </c>
      <c r="I1047" s="34" t="s">
        <v>671</v>
      </c>
      <c r="J1047" s="35">
        <v>46013</v>
      </c>
      <c r="K1047" s="36" t="s">
        <v>468</v>
      </c>
      <c r="L1047" s="39" t="str">
        <f>VLOOKUP(Tabla810[[#This Row],[CODIGO DEL PRODUCTO]],Tabla79[],2,FALSE)</f>
        <v>ESTABILIZADO 0-100 X TN</v>
      </c>
      <c r="M1047" s="37">
        <v>7000</v>
      </c>
      <c r="O1047" s="76">
        <v>104304</v>
      </c>
      <c r="P1047" s="78" t="s">
        <v>234</v>
      </c>
      <c r="Q1047" s="77">
        <v>45904</v>
      </c>
      <c r="R1047" s="78" t="s">
        <v>43</v>
      </c>
      <c r="S1047" s="36" t="str">
        <f>VLOOKUP(Tabla911[[#This Row],[CODIGO DEL PRODUCTO]],Tabla79[],2,FALSE)</f>
        <v>PIEDRA 6-20</v>
      </c>
      <c r="T1047" s="37">
        <v>34600</v>
      </c>
      <c r="U1047" s="78"/>
    </row>
    <row r="1048" spans="8:22" x14ac:dyDescent="0.25">
      <c r="H1048" s="34">
        <v>15481</v>
      </c>
      <c r="I1048" s="34" t="s">
        <v>594</v>
      </c>
      <c r="J1048" s="35">
        <v>46013</v>
      </c>
      <c r="K1048" s="36" t="s">
        <v>42</v>
      </c>
      <c r="L1048" s="39" t="str">
        <f>VLOOKUP(Tabla810[[#This Row],[CODIGO DEL PRODUCTO]],Tabla79[],2,FALSE)</f>
        <v>ARENA FINA</v>
      </c>
      <c r="M1048" s="37">
        <v>3000</v>
      </c>
      <c r="O1048" s="76">
        <v>104311</v>
      </c>
      <c r="P1048" s="78" t="s">
        <v>237</v>
      </c>
      <c r="Q1048" s="77">
        <v>45904</v>
      </c>
      <c r="R1048" s="78" t="s">
        <v>40</v>
      </c>
      <c r="S1048" s="36" t="str">
        <f>VLOOKUP(Tabla911[[#This Row],[CODIGO DEL PRODUCTO]],Tabla79[],2,FALSE)</f>
        <v>PIEDRA 0-6</v>
      </c>
      <c r="T1048" s="37">
        <v>34020</v>
      </c>
      <c r="U1048" s="78"/>
    </row>
    <row r="1049" spans="8:22" x14ac:dyDescent="0.25">
      <c r="H1049" s="34">
        <v>15485</v>
      </c>
      <c r="I1049" s="34" t="s">
        <v>671</v>
      </c>
      <c r="J1049" s="35">
        <v>46013</v>
      </c>
      <c r="K1049" s="36" t="s">
        <v>468</v>
      </c>
      <c r="L1049" s="39" t="str">
        <f>VLOOKUP(Tabla810[[#This Row],[CODIGO DEL PRODUCTO]],Tabla79[],2,FALSE)</f>
        <v>ESTABILIZADO 0-100 X TN</v>
      </c>
      <c r="M1049" s="37">
        <v>7520</v>
      </c>
      <c r="O1049" s="76">
        <v>104323</v>
      </c>
      <c r="P1049" s="78" t="s">
        <v>238</v>
      </c>
      <c r="Q1049" s="77">
        <v>45904</v>
      </c>
      <c r="R1049" s="78" t="s">
        <v>40</v>
      </c>
      <c r="S1049" s="36" t="str">
        <f>VLOOKUP(Tabla911[[#This Row],[CODIGO DEL PRODUCTO]],Tabla79[],2,FALSE)</f>
        <v>PIEDRA 0-6</v>
      </c>
      <c r="T1049" s="37">
        <v>34660</v>
      </c>
      <c r="U1049" s="78"/>
    </row>
    <row r="1050" spans="8:22" x14ac:dyDescent="0.25">
      <c r="H1050" s="34"/>
      <c r="I1050" s="34" t="s">
        <v>53</v>
      </c>
      <c r="J1050" s="35">
        <v>46006</v>
      </c>
      <c r="K1050" s="36" t="s">
        <v>42</v>
      </c>
      <c r="L1050" s="39" t="str">
        <f>VLOOKUP(Tabla810[[#This Row],[CODIGO DEL PRODUCTO]],Tabla79[],2,FALSE)</f>
        <v>ARENA FINA</v>
      </c>
      <c r="M1050" s="37">
        <v>634537</v>
      </c>
      <c r="O1050" s="76">
        <v>104329</v>
      </c>
      <c r="P1050" s="78" t="s">
        <v>155</v>
      </c>
      <c r="Q1050" s="77">
        <v>45904</v>
      </c>
      <c r="R1050" s="78" t="s">
        <v>43</v>
      </c>
      <c r="S1050" s="36" t="str">
        <f>VLOOKUP(Tabla911[[#This Row],[CODIGO DEL PRODUCTO]],Tabla79[],2,FALSE)</f>
        <v>PIEDRA 6-20</v>
      </c>
      <c r="T1050" s="37">
        <v>34500</v>
      </c>
      <c r="U1050" s="78"/>
    </row>
    <row r="1051" spans="8:22" x14ac:dyDescent="0.25">
      <c r="H1051" s="34"/>
      <c r="I1051" s="34" t="s">
        <v>53</v>
      </c>
      <c r="J1051" s="35">
        <v>46007</v>
      </c>
      <c r="K1051" s="36" t="s">
        <v>40</v>
      </c>
      <c r="L1051" s="39" t="str">
        <f>VLOOKUP(Tabla810[[#This Row],[CODIGO DEL PRODUCTO]],Tabla79[],2,FALSE)</f>
        <v>PIEDRA 0-6</v>
      </c>
      <c r="M1051" s="37">
        <v>428083</v>
      </c>
      <c r="O1051" s="76">
        <v>142997</v>
      </c>
      <c r="P1051" s="78" t="s">
        <v>343</v>
      </c>
      <c r="Q1051" s="77">
        <v>45904</v>
      </c>
      <c r="R1051" s="78" t="s">
        <v>43</v>
      </c>
      <c r="S1051" s="36" t="str">
        <f>VLOOKUP(Tabla911[[#This Row],[CODIGO DEL PRODUCTO]],Tabla79[],2,FALSE)</f>
        <v>PIEDRA 6-20</v>
      </c>
      <c r="T1051" s="37">
        <v>34800</v>
      </c>
      <c r="U1051" s="78"/>
    </row>
    <row r="1052" spans="8:22" x14ac:dyDescent="0.25">
      <c r="H1052" s="34"/>
      <c r="I1052" s="34" t="s">
        <v>53</v>
      </c>
      <c r="J1052" s="35">
        <v>46008</v>
      </c>
      <c r="K1052" s="36" t="s">
        <v>286</v>
      </c>
      <c r="L1052" s="39" t="str">
        <f>VLOOKUP(Tabla810[[#This Row],[CODIGO DEL PRODUCTO]],Tabla79[],2,FALSE)</f>
        <v>CPF 40 AVELLANEDA</v>
      </c>
      <c r="M1052" s="37">
        <v>335532</v>
      </c>
      <c r="O1052" s="76">
        <v>2653574</v>
      </c>
      <c r="P1052" s="78" t="s">
        <v>65</v>
      </c>
      <c r="Q1052" s="77">
        <v>45904</v>
      </c>
      <c r="R1052" s="78" t="s">
        <v>286</v>
      </c>
      <c r="S1052" s="36" t="str">
        <f>VLOOKUP(Tabla911[[#This Row],[CODIGO DEL PRODUCTO]],Tabla79[],2,FALSE)</f>
        <v>CPF 40 AVELLANEDA</v>
      </c>
      <c r="T1052" s="37">
        <v>35820</v>
      </c>
      <c r="U1052" s="78"/>
    </row>
    <row r="1053" spans="8:22" x14ac:dyDescent="0.25">
      <c r="H1053" s="34"/>
      <c r="I1053" s="34" t="s">
        <v>53</v>
      </c>
      <c r="J1053" s="35">
        <v>46009</v>
      </c>
      <c r="K1053" s="36" t="s">
        <v>48</v>
      </c>
      <c r="L1053" s="39" t="str">
        <f>VLOOKUP(Tabla810[[#This Row],[CODIGO DEL PRODUCTO]],Tabla79[],2,FALSE)</f>
        <v>PIEDRA 6-12</v>
      </c>
      <c r="M1053" s="37">
        <v>136970</v>
      </c>
      <c r="O1053" s="76">
        <v>101647</v>
      </c>
      <c r="P1053" s="78" t="s">
        <v>370</v>
      </c>
      <c r="Q1053" s="77">
        <v>45905</v>
      </c>
      <c r="R1053" s="78" t="s">
        <v>42</v>
      </c>
      <c r="S1053" s="36" t="str">
        <f>VLOOKUP(Tabla911[[#This Row],[CODIGO DEL PRODUCTO]],Tabla79[],2,FALSE)</f>
        <v>ARENA FINA</v>
      </c>
      <c r="T1053" s="37">
        <v>34720</v>
      </c>
      <c r="U1053" s="78"/>
    </row>
    <row r="1054" spans="8:22" x14ac:dyDescent="0.25">
      <c r="H1054" s="34"/>
      <c r="I1054" s="34" t="s">
        <v>53</v>
      </c>
      <c r="J1054" s="35">
        <v>46010</v>
      </c>
      <c r="K1054" s="36" t="s">
        <v>43</v>
      </c>
      <c r="L1054" s="39" t="str">
        <f>VLOOKUP(Tabla810[[#This Row],[CODIGO DEL PRODUCTO]],Tabla79[],2,FALSE)</f>
        <v>PIEDRA 6-20</v>
      </c>
      <c r="M1054" s="37">
        <v>657866</v>
      </c>
      <c r="O1054" s="76">
        <v>101653</v>
      </c>
      <c r="P1054" s="78" t="s">
        <v>370</v>
      </c>
      <c r="Q1054" s="77">
        <v>45905</v>
      </c>
      <c r="R1054" s="78" t="s">
        <v>42</v>
      </c>
      <c r="S1054" s="36" t="str">
        <f>VLOOKUP(Tabla911[[#This Row],[CODIGO DEL PRODUCTO]],Tabla79[],2,FALSE)</f>
        <v>ARENA FINA</v>
      </c>
      <c r="T1054" s="37">
        <v>34600</v>
      </c>
      <c r="U1054" s="78"/>
    </row>
    <row r="1055" spans="8:22" x14ac:dyDescent="0.25">
      <c r="H1055" s="34"/>
      <c r="I1055" s="34" t="s">
        <v>53</v>
      </c>
      <c r="J1055" s="35">
        <v>46011</v>
      </c>
      <c r="K1055" s="36" t="s">
        <v>46</v>
      </c>
      <c r="L1055" s="39" t="str">
        <f>VLOOKUP(Tabla810[[#This Row],[CODIGO DEL PRODUCTO]],Tabla79[],2,FALSE)</f>
        <v>PIEDRA 10-30</v>
      </c>
      <c r="M1055" s="37">
        <v>186138</v>
      </c>
      <c r="O1055" s="76">
        <v>104332</v>
      </c>
      <c r="P1055" s="78" t="s">
        <v>234</v>
      </c>
      <c r="Q1055" s="77">
        <v>45905</v>
      </c>
      <c r="R1055" s="78" t="s">
        <v>40</v>
      </c>
      <c r="S1055" s="36" t="str">
        <f>VLOOKUP(Tabla911[[#This Row],[CODIGO DEL PRODUCTO]],Tabla79[],2,FALSE)</f>
        <v>PIEDRA 0-6</v>
      </c>
      <c r="T1055" s="37">
        <v>35600</v>
      </c>
      <c r="U1055" s="78"/>
    </row>
    <row r="1056" spans="8:22" x14ac:dyDescent="0.25">
      <c r="H1056" s="34"/>
      <c r="I1056" s="34" t="s">
        <v>53</v>
      </c>
      <c r="J1056" s="35">
        <v>46012</v>
      </c>
      <c r="K1056" s="36" t="s">
        <v>425</v>
      </c>
      <c r="L1056" s="39" t="str">
        <f>VLOOKUP(Tabla810[[#This Row],[CODIGO DEL PRODUCTO]],Tabla79[],2,FALSE)</f>
        <v>W351R</v>
      </c>
      <c r="M1056" s="37">
        <v>1820.32</v>
      </c>
      <c r="O1056" s="76">
        <v>104350</v>
      </c>
      <c r="P1056" s="78" t="s">
        <v>238</v>
      </c>
      <c r="Q1056" s="77">
        <v>45905</v>
      </c>
      <c r="R1056" s="78" t="s">
        <v>40</v>
      </c>
      <c r="S1056" s="36" t="str">
        <f>VLOOKUP(Tabla911[[#This Row],[CODIGO DEL PRODUCTO]],Tabla79[],2,FALSE)</f>
        <v>PIEDRA 0-6</v>
      </c>
      <c r="T1056" s="37">
        <v>35540</v>
      </c>
      <c r="U1056" s="78"/>
    </row>
    <row r="1057" spans="8:24" x14ac:dyDescent="0.25">
      <c r="H1057" s="34">
        <v>15509</v>
      </c>
      <c r="I1057" s="34" t="s">
        <v>672</v>
      </c>
      <c r="J1057" s="35">
        <v>46014</v>
      </c>
      <c r="K1057" s="36" t="s">
        <v>46</v>
      </c>
      <c r="L1057" s="39" t="str">
        <f>VLOOKUP(Tabla810[[#This Row],[CODIGO DEL PRODUCTO]],Tabla79[],2,FALSE)</f>
        <v>PIEDRA 10-30</v>
      </c>
      <c r="M1057" s="37">
        <v>20000</v>
      </c>
      <c r="O1057" s="76">
        <v>104355</v>
      </c>
      <c r="P1057" s="78" t="s">
        <v>155</v>
      </c>
      <c r="Q1057" s="77">
        <v>45905</v>
      </c>
      <c r="R1057" s="78" t="s">
        <v>43</v>
      </c>
      <c r="S1057" s="36" t="str">
        <f>VLOOKUP(Tabla911[[#This Row],[CODIGO DEL PRODUCTO]],Tabla79[],2,FALSE)</f>
        <v>PIEDRA 6-20</v>
      </c>
      <c r="T1057" s="37">
        <v>34960</v>
      </c>
      <c r="U1057" s="78"/>
    </row>
    <row r="1058" spans="8:24" x14ac:dyDescent="0.25">
      <c r="H1058" s="34">
        <v>15525</v>
      </c>
      <c r="I1058" s="34" t="s">
        <v>672</v>
      </c>
      <c r="J1058" s="35">
        <v>46014</v>
      </c>
      <c r="K1058" s="36" t="s">
        <v>46</v>
      </c>
      <c r="L1058" s="39" t="str">
        <f>VLOOKUP(Tabla810[[#This Row],[CODIGO DEL PRODUCTO]],Tabla79[],2,FALSE)</f>
        <v>PIEDRA 10-30</v>
      </c>
      <c r="M1058" s="37">
        <v>20000</v>
      </c>
      <c r="O1058" s="76">
        <v>143096</v>
      </c>
      <c r="P1058" s="78" t="s">
        <v>120</v>
      </c>
      <c r="Q1058" s="77">
        <v>45905</v>
      </c>
      <c r="R1058" s="78" t="s">
        <v>40</v>
      </c>
      <c r="S1058" s="36" t="str">
        <f>VLOOKUP(Tabla911[[#This Row],[CODIGO DEL PRODUCTO]],Tabla79[],2,FALSE)</f>
        <v>PIEDRA 0-6</v>
      </c>
      <c r="T1058" s="37">
        <v>34840</v>
      </c>
      <c r="U1058" s="78"/>
    </row>
    <row r="1059" spans="8:24" x14ac:dyDescent="0.25">
      <c r="H1059" s="34">
        <v>15536</v>
      </c>
      <c r="I1059" s="34" t="s">
        <v>673</v>
      </c>
      <c r="J1059" s="35">
        <v>46014</v>
      </c>
      <c r="K1059" s="36" t="s">
        <v>42</v>
      </c>
      <c r="L1059" s="39" t="str">
        <f>VLOOKUP(Tabla810[[#This Row],[CODIGO DEL PRODUCTO]],Tabla79[],2,FALSE)</f>
        <v>ARENA FINA</v>
      </c>
      <c r="M1059" s="37">
        <v>8000</v>
      </c>
      <c r="O1059" s="76">
        <v>143097</v>
      </c>
      <c r="P1059" s="78" t="s">
        <v>141</v>
      </c>
      <c r="Q1059" s="77">
        <v>45905</v>
      </c>
      <c r="R1059" s="78" t="s">
        <v>43</v>
      </c>
      <c r="S1059" s="36" t="str">
        <f>VLOOKUP(Tabla911[[#This Row],[CODIGO DEL PRODUCTO]],Tabla79[],2,FALSE)</f>
        <v>PIEDRA 6-20</v>
      </c>
      <c r="T1059" s="37">
        <v>36620</v>
      </c>
      <c r="U1059" s="78"/>
    </row>
    <row r="1060" spans="8:24" x14ac:dyDescent="0.25">
      <c r="H1060" s="34">
        <v>15537</v>
      </c>
      <c r="I1060" s="34" t="s">
        <v>673</v>
      </c>
      <c r="J1060" s="35">
        <v>46014</v>
      </c>
      <c r="K1060" s="36" t="s">
        <v>42</v>
      </c>
      <c r="L1060" s="39" t="str">
        <f>VLOOKUP(Tabla810[[#This Row],[CODIGO DEL PRODUCTO]],Tabla79[],2,FALSE)</f>
        <v>ARENA FINA</v>
      </c>
      <c r="M1060" s="37">
        <v>2000</v>
      </c>
      <c r="O1060" s="76">
        <v>2653758</v>
      </c>
      <c r="P1060" s="78" t="s">
        <v>65</v>
      </c>
      <c r="Q1060" s="77">
        <v>45905</v>
      </c>
      <c r="R1060" s="78" t="s">
        <v>286</v>
      </c>
      <c r="S1060" s="36" t="str">
        <f>VLOOKUP(Tabla911[[#This Row],[CODIGO DEL PRODUCTO]],Tabla79[],2,FALSE)</f>
        <v>CPF 40 AVELLANEDA</v>
      </c>
      <c r="T1060" s="37">
        <v>35860</v>
      </c>
      <c r="U1060" s="78"/>
    </row>
    <row r="1061" spans="8:24" x14ac:dyDescent="0.25">
      <c r="H1061" s="34"/>
      <c r="I1061" s="34" t="s">
        <v>673</v>
      </c>
      <c r="J1061" s="35">
        <v>46014</v>
      </c>
      <c r="K1061" s="36" t="s">
        <v>43</v>
      </c>
      <c r="L1061" s="39" t="str">
        <f>VLOOKUP(Tabla810[[#This Row],[CODIGO DEL PRODUCTO]],Tabla79[],2,FALSE)</f>
        <v>PIEDRA 6-20</v>
      </c>
      <c r="M1061" s="37">
        <v>3000</v>
      </c>
      <c r="O1061" s="76">
        <v>101659</v>
      </c>
      <c r="P1061" s="78" t="s">
        <v>370</v>
      </c>
      <c r="Q1061" s="77">
        <v>45906</v>
      </c>
      <c r="R1061" s="78" t="s">
        <v>42</v>
      </c>
      <c r="S1061" s="36" t="str">
        <f>VLOOKUP(Tabla911[[#This Row],[CODIGO DEL PRODUCTO]],Tabla79[],2,FALSE)</f>
        <v>ARENA FINA</v>
      </c>
      <c r="T1061" s="37">
        <v>35340</v>
      </c>
      <c r="U1061" s="78"/>
    </row>
    <row r="1062" spans="8:24" x14ac:dyDescent="0.25">
      <c r="H1062" s="34">
        <v>15545</v>
      </c>
      <c r="I1062" s="34" t="s">
        <v>671</v>
      </c>
      <c r="J1062" s="35">
        <v>46014</v>
      </c>
      <c r="K1062" s="36" t="s">
        <v>468</v>
      </c>
      <c r="L1062" s="39" t="str">
        <f>VLOOKUP(Tabla810[[#This Row],[CODIGO DEL PRODUCTO]],Tabla79[],2,FALSE)</f>
        <v>ESTABILIZADO 0-100 X TN</v>
      </c>
      <c r="M1062" s="37">
        <v>7000</v>
      </c>
      <c r="O1062" s="76">
        <v>104314</v>
      </c>
      <c r="P1062" s="78" t="s">
        <v>543</v>
      </c>
      <c r="Q1062" s="77">
        <v>45906</v>
      </c>
      <c r="R1062" s="78" t="s">
        <v>43</v>
      </c>
      <c r="S1062" s="36" t="str">
        <f>VLOOKUP(Tabla911[[#This Row],[CODIGO DEL PRODUCTO]],Tabla79[],2,FALSE)</f>
        <v>PIEDRA 6-20</v>
      </c>
      <c r="T1062" s="37">
        <v>34960</v>
      </c>
      <c r="U1062" s="78"/>
    </row>
    <row r="1063" spans="8:24" x14ac:dyDescent="0.25">
      <c r="H1063" s="34">
        <v>15553</v>
      </c>
      <c r="I1063" s="34" t="s">
        <v>671</v>
      </c>
      <c r="J1063" s="35">
        <v>46015</v>
      </c>
      <c r="K1063" s="36" t="s">
        <v>46</v>
      </c>
      <c r="L1063" s="39" t="str">
        <f>VLOOKUP(Tabla810[[#This Row],[CODIGO DEL PRODUCTO]],Tabla79[],2,FALSE)</f>
        <v>PIEDRA 10-30</v>
      </c>
      <c r="M1063" s="37">
        <v>18680</v>
      </c>
      <c r="O1063" s="76">
        <v>104361</v>
      </c>
      <c r="P1063" s="78" t="s">
        <v>150</v>
      </c>
      <c r="Q1063" s="77">
        <v>45906</v>
      </c>
      <c r="R1063" s="78" t="s">
        <v>43</v>
      </c>
      <c r="S1063" s="36" t="str">
        <f>VLOOKUP(Tabla911[[#This Row],[CODIGO DEL PRODUCTO]],Tabla79[],2,FALSE)</f>
        <v>PIEDRA 6-20</v>
      </c>
      <c r="T1063" s="37">
        <v>36160</v>
      </c>
      <c r="U1063" s="78"/>
    </row>
    <row r="1064" spans="8:24" x14ac:dyDescent="0.25">
      <c r="H1064" s="34">
        <v>15554</v>
      </c>
      <c r="I1064" s="34" t="s">
        <v>671</v>
      </c>
      <c r="J1064" s="35">
        <v>46015</v>
      </c>
      <c r="K1064" s="36" t="s">
        <v>46</v>
      </c>
      <c r="L1064" s="39" t="str">
        <f>VLOOKUP(Tabla810[[#This Row],[CODIGO DEL PRODUCTO]],Tabla79[],2,FALSE)</f>
        <v>PIEDRA 10-30</v>
      </c>
      <c r="M1064" s="37">
        <v>20780</v>
      </c>
      <c r="O1064" s="76">
        <v>143145</v>
      </c>
      <c r="P1064" s="78" t="s">
        <v>296</v>
      </c>
      <c r="Q1064" s="77">
        <v>45906</v>
      </c>
      <c r="R1064" s="78" t="s">
        <v>40</v>
      </c>
      <c r="S1064" s="36" t="str">
        <f>VLOOKUP(Tabla911[[#This Row],[CODIGO DEL PRODUCTO]],Tabla79[],2,FALSE)</f>
        <v>PIEDRA 0-6</v>
      </c>
      <c r="T1064" s="37">
        <v>35120</v>
      </c>
      <c r="U1064" s="78"/>
    </row>
    <row r="1065" spans="8:24" x14ac:dyDescent="0.25">
      <c r="H1065" s="34"/>
      <c r="I1065" s="34" t="s">
        <v>53</v>
      </c>
      <c r="J1065" s="35">
        <v>46013</v>
      </c>
      <c r="K1065" s="36" t="s">
        <v>42</v>
      </c>
      <c r="L1065" s="39" t="str">
        <f>VLOOKUP(Tabla810[[#This Row],[CODIGO DEL PRODUCTO]],Tabla79[],2,FALSE)</f>
        <v>ARENA FINA</v>
      </c>
      <c r="M1065" s="37">
        <v>692880</v>
      </c>
      <c r="O1065" s="76">
        <v>143147</v>
      </c>
      <c r="P1065" s="78" t="s">
        <v>162</v>
      </c>
      <c r="Q1065" s="77">
        <v>45906</v>
      </c>
      <c r="R1065" s="78" t="s">
        <v>40</v>
      </c>
      <c r="S1065" s="36" t="str">
        <f>VLOOKUP(Tabla911[[#This Row],[CODIGO DEL PRODUCTO]],Tabla79[],2,FALSE)</f>
        <v>PIEDRA 0-6</v>
      </c>
      <c r="T1065" s="37">
        <v>33680</v>
      </c>
      <c r="U1065" s="78"/>
    </row>
    <row r="1066" spans="8:24" x14ac:dyDescent="0.25">
      <c r="H1066" s="34"/>
      <c r="I1066" s="34" t="s">
        <v>53</v>
      </c>
      <c r="J1066" s="35">
        <v>46014</v>
      </c>
      <c r="K1066" s="36" t="s">
        <v>40</v>
      </c>
      <c r="L1066" s="39" t="str">
        <f>VLOOKUP(Tabla810[[#This Row],[CODIGO DEL PRODUCTO]],Tabla79[],2,FALSE)</f>
        <v>PIEDRA 0-6</v>
      </c>
      <c r="M1066" s="37">
        <v>466390</v>
      </c>
      <c r="O1066" s="76">
        <v>143165</v>
      </c>
      <c r="P1066" s="78" t="s">
        <v>231</v>
      </c>
      <c r="Q1066" s="77">
        <v>45906</v>
      </c>
      <c r="R1066" s="78" t="s">
        <v>43</v>
      </c>
      <c r="S1066" s="36" t="str">
        <f>VLOOKUP(Tabla911[[#This Row],[CODIGO DEL PRODUCTO]],Tabla79[],2,FALSE)</f>
        <v>PIEDRA 6-20</v>
      </c>
      <c r="T1066" s="37">
        <v>35140</v>
      </c>
      <c r="U1066" s="78"/>
    </row>
    <row r="1067" spans="8:24" x14ac:dyDescent="0.25">
      <c r="H1067" s="34"/>
      <c r="I1067" s="34" t="s">
        <v>53</v>
      </c>
      <c r="J1067" s="35">
        <v>46015</v>
      </c>
      <c r="K1067" s="36" t="s">
        <v>286</v>
      </c>
      <c r="L1067" s="39" t="str">
        <f>VLOOKUP(Tabla810[[#This Row],[CODIGO DEL PRODUCTO]],Tabla79[],2,FALSE)</f>
        <v>CPF 40 AVELLANEDA</v>
      </c>
      <c r="M1067" s="37">
        <v>373014</v>
      </c>
      <c r="O1067" s="76">
        <v>2653974</v>
      </c>
      <c r="P1067" s="78" t="s">
        <v>65</v>
      </c>
      <c r="Q1067" s="77">
        <v>45906</v>
      </c>
      <c r="R1067" s="78" t="s">
        <v>286</v>
      </c>
      <c r="S1067" s="36" t="str">
        <f>VLOOKUP(Tabla911[[#This Row],[CODIGO DEL PRODUCTO]],Tabla79[],2,FALSE)</f>
        <v>CPF 40 AVELLANEDA</v>
      </c>
      <c r="T1067" s="37">
        <v>35460</v>
      </c>
      <c r="U1067" s="78"/>
    </row>
    <row r="1068" spans="8:24" x14ac:dyDescent="0.25">
      <c r="H1068" s="34"/>
      <c r="I1068" s="34" t="s">
        <v>53</v>
      </c>
      <c r="J1068" s="35">
        <v>46017</v>
      </c>
      <c r="K1068" s="36" t="s">
        <v>48</v>
      </c>
      <c r="L1068" s="39" t="str">
        <f>VLOOKUP(Tabla810[[#This Row],[CODIGO DEL PRODUCTO]],Tabla79[],2,FALSE)</f>
        <v>PIEDRA 6-12</v>
      </c>
      <c r="M1068" s="37">
        <v>100110</v>
      </c>
      <c r="O1068" s="76">
        <v>101664</v>
      </c>
      <c r="P1068" s="78" t="s">
        <v>370</v>
      </c>
      <c r="Q1068" s="77">
        <v>45908</v>
      </c>
      <c r="R1068" s="78" t="s">
        <v>42</v>
      </c>
      <c r="S1068" s="36" t="str">
        <f>VLOOKUP(Tabla911[[#This Row],[CODIGO DEL PRODUCTO]],Tabla79[],2,FALSE)</f>
        <v>ARENA FINA</v>
      </c>
      <c r="T1068" s="37">
        <v>34480</v>
      </c>
      <c r="U1068" s="78"/>
      <c r="V1068" s="7">
        <v>45908</v>
      </c>
      <c r="W1068" t="s">
        <v>544</v>
      </c>
      <c r="X1068" t="s">
        <v>545</v>
      </c>
    </row>
    <row r="1069" spans="8:24" x14ac:dyDescent="0.25">
      <c r="H1069" s="34"/>
      <c r="I1069" s="34" t="s">
        <v>53</v>
      </c>
      <c r="J1069" s="35">
        <v>46018</v>
      </c>
      <c r="K1069" s="36" t="s">
        <v>43</v>
      </c>
      <c r="L1069" s="39" t="str">
        <f>VLOOKUP(Tabla810[[#This Row],[CODIGO DEL PRODUCTO]],Tabla79[],2,FALSE)</f>
        <v>PIEDRA 6-20</v>
      </c>
      <c r="M1069" s="37">
        <v>746985</v>
      </c>
      <c r="O1069" s="76">
        <v>101665</v>
      </c>
      <c r="P1069" s="78" t="s">
        <v>546</v>
      </c>
      <c r="Q1069" s="77">
        <v>45908</v>
      </c>
      <c r="R1069" s="78" t="s">
        <v>42</v>
      </c>
      <c r="S1069" s="36" t="str">
        <f>VLOOKUP(Tabla911[[#This Row],[CODIGO DEL PRODUCTO]],Tabla79[],2,FALSE)</f>
        <v>ARENA FINA</v>
      </c>
      <c r="T1069" s="37">
        <v>36160</v>
      </c>
      <c r="U1069" s="78"/>
    </row>
    <row r="1070" spans="8:24" x14ac:dyDescent="0.25">
      <c r="H1070" s="34"/>
      <c r="I1070" s="34" t="s">
        <v>53</v>
      </c>
      <c r="J1070" s="35">
        <v>46018</v>
      </c>
      <c r="K1070" s="36" t="s">
        <v>46</v>
      </c>
      <c r="L1070" s="39" t="str">
        <f>VLOOKUP(Tabla810[[#This Row],[CODIGO DEL PRODUCTO]],Tabla79[],2,FALSE)</f>
        <v>PIEDRA 10-30</v>
      </c>
      <c r="M1070" s="37">
        <v>344850</v>
      </c>
      <c r="O1070" s="76">
        <v>101666</v>
      </c>
      <c r="P1070" s="78" t="s">
        <v>547</v>
      </c>
      <c r="Q1070" s="77">
        <v>45908</v>
      </c>
      <c r="R1070" s="78" t="s">
        <v>42</v>
      </c>
      <c r="S1070" s="36" t="str">
        <f>VLOOKUP(Tabla911[[#This Row],[CODIGO DEL PRODUCTO]],Tabla79[],2,FALSE)</f>
        <v>ARENA FINA</v>
      </c>
      <c r="T1070" s="37">
        <v>34860</v>
      </c>
      <c r="U1070" s="78"/>
    </row>
    <row r="1071" spans="8:24" x14ac:dyDescent="0.25">
      <c r="H1071" s="34"/>
      <c r="I1071" s="34" t="s">
        <v>53</v>
      </c>
      <c r="J1071" s="35">
        <v>46018</v>
      </c>
      <c r="K1071" s="36" t="s">
        <v>425</v>
      </c>
      <c r="L1071" s="39" t="str">
        <f>VLOOKUP(Tabla810[[#This Row],[CODIGO DEL PRODUCTO]],Tabla79[],2,FALSE)</f>
        <v>W351R</v>
      </c>
      <c r="M1071" s="37">
        <v>1951.28</v>
      </c>
      <c r="O1071" s="76">
        <v>101668</v>
      </c>
      <c r="P1071" s="78" t="s">
        <v>548</v>
      </c>
      <c r="Q1071" s="77">
        <v>45908</v>
      </c>
      <c r="R1071" s="78" t="s">
        <v>42</v>
      </c>
      <c r="S1071" s="36" t="str">
        <f>VLOOKUP(Tabla911[[#This Row],[CODIGO DEL PRODUCTO]],Tabla79[],2,FALSE)</f>
        <v>ARENA FINA</v>
      </c>
      <c r="T1071" s="37">
        <v>37560</v>
      </c>
      <c r="U1071" s="78"/>
    </row>
    <row r="1072" spans="8:24" x14ac:dyDescent="0.25">
      <c r="H1072" s="34">
        <v>15610</v>
      </c>
      <c r="I1072" s="34" t="s">
        <v>426</v>
      </c>
      <c r="J1072" s="35">
        <v>46020</v>
      </c>
      <c r="K1072" s="36" t="s">
        <v>42</v>
      </c>
      <c r="L1072" s="39" t="str">
        <f>VLOOKUP(Tabla810[[#This Row],[CODIGO DEL PRODUCTO]],Tabla79[],2,FALSE)</f>
        <v>ARENA FINA</v>
      </c>
      <c r="M1072" s="37">
        <v>5000</v>
      </c>
      <c r="O1072" s="76">
        <v>101669</v>
      </c>
      <c r="P1072" s="78" t="s">
        <v>549</v>
      </c>
      <c r="Q1072" s="77">
        <v>45908</v>
      </c>
      <c r="R1072" s="78" t="s">
        <v>42</v>
      </c>
      <c r="S1072" s="36" t="str">
        <f>VLOOKUP(Tabla911[[#This Row],[CODIGO DEL PRODUCTO]],Tabla79[],2,FALSE)</f>
        <v>ARENA FINA</v>
      </c>
      <c r="T1072" s="37">
        <v>38260</v>
      </c>
      <c r="U1072" s="78"/>
    </row>
    <row r="1073" spans="8:21" x14ac:dyDescent="0.25">
      <c r="H1073" s="34">
        <v>15619</v>
      </c>
      <c r="I1073" s="34" t="s">
        <v>674</v>
      </c>
      <c r="J1073" s="35">
        <v>46020</v>
      </c>
      <c r="K1073" s="36" t="s">
        <v>468</v>
      </c>
      <c r="L1073" s="39" t="str">
        <f>VLOOKUP(Tabla810[[#This Row],[CODIGO DEL PRODUCTO]],Tabla79[],2,FALSE)</f>
        <v>ESTABILIZADO 0-100 X TN</v>
      </c>
      <c r="M1073" s="37">
        <v>23060</v>
      </c>
      <c r="O1073" s="76">
        <v>101671</v>
      </c>
      <c r="P1073" s="78" t="s">
        <v>550</v>
      </c>
      <c r="Q1073" s="77">
        <v>45908</v>
      </c>
      <c r="R1073" s="78" t="s">
        <v>42</v>
      </c>
      <c r="S1073" s="36" t="str">
        <f>VLOOKUP(Tabla911[[#This Row],[CODIGO DEL PRODUCTO]],Tabla79[],2,FALSE)</f>
        <v>ARENA FINA</v>
      </c>
      <c r="T1073" s="37">
        <v>37200</v>
      </c>
      <c r="U1073" s="78"/>
    </row>
    <row r="1074" spans="8:21" x14ac:dyDescent="0.25">
      <c r="H1074" s="34">
        <v>15622</v>
      </c>
      <c r="I1074" s="34" t="s">
        <v>675</v>
      </c>
      <c r="J1074" s="35">
        <v>46020</v>
      </c>
      <c r="K1074" s="36" t="s">
        <v>42</v>
      </c>
      <c r="L1074" s="39" t="str">
        <f>VLOOKUP(Tabla810[[#This Row],[CODIGO DEL PRODUCTO]],Tabla79[],2,FALSE)</f>
        <v>ARENA FINA</v>
      </c>
      <c r="M1074" s="37">
        <v>2000</v>
      </c>
      <c r="O1074" s="76">
        <v>101674</v>
      </c>
      <c r="P1074" s="78" t="s">
        <v>551</v>
      </c>
      <c r="Q1074" s="77">
        <v>45908</v>
      </c>
      <c r="R1074" s="78" t="s">
        <v>42</v>
      </c>
      <c r="S1074" s="36" t="str">
        <f>VLOOKUP(Tabla911[[#This Row],[CODIGO DEL PRODUCTO]],Tabla79[],2,FALSE)</f>
        <v>ARENA FINA</v>
      </c>
      <c r="T1074" s="37">
        <v>38040</v>
      </c>
      <c r="U1074" s="78"/>
    </row>
    <row r="1075" spans="8:21" x14ac:dyDescent="0.25">
      <c r="H1075" s="34">
        <v>15646</v>
      </c>
      <c r="I1075" s="34" t="s">
        <v>403</v>
      </c>
      <c r="J1075" s="35">
        <v>46020</v>
      </c>
      <c r="K1075" s="36" t="s">
        <v>43</v>
      </c>
      <c r="L1075" s="39" t="str">
        <f>VLOOKUP(Tabla810[[#This Row],[CODIGO DEL PRODUCTO]],Tabla79[],2,FALSE)</f>
        <v>PIEDRA 6-20</v>
      </c>
      <c r="M1075" s="37">
        <v>5000</v>
      </c>
      <c r="O1075" s="76">
        <v>101676</v>
      </c>
      <c r="P1075" s="78" t="s">
        <v>370</v>
      </c>
      <c r="Q1075" s="77">
        <v>45908</v>
      </c>
      <c r="R1075" s="78" t="s">
        <v>42</v>
      </c>
      <c r="S1075" s="36" t="str">
        <f>VLOOKUP(Tabla911[[#This Row],[CODIGO DEL PRODUCTO]],Tabla79[],2,FALSE)</f>
        <v>ARENA FINA</v>
      </c>
      <c r="T1075" s="37">
        <v>34660</v>
      </c>
      <c r="U1075" s="78"/>
    </row>
    <row r="1076" spans="8:21" x14ac:dyDescent="0.25">
      <c r="H1076" s="34">
        <v>15647</v>
      </c>
      <c r="I1076" s="34" t="s">
        <v>646</v>
      </c>
      <c r="J1076" s="35">
        <v>46020</v>
      </c>
      <c r="K1076" s="36" t="s">
        <v>43</v>
      </c>
      <c r="L1076" s="39" t="str">
        <f>VLOOKUP(Tabla810[[#This Row],[CODIGO DEL PRODUCTO]],Tabla79[],2,FALSE)</f>
        <v>PIEDRA 6-20</v>
      </c>
      <c r="M1076" s="37">
        <v>2000</v>
      </c>
      <c r="O1076" s="76">
        <v>215369</v>
      </c>
      <c r="P1076" s="78" t="s">
        <v>516</v>
      </c>
      <c r="Q1076" s="77">
        <v>45908</v>
      </c>
      <c r="R1076" s="78" t="s">
        <v>43</v>
      </c>
      <c r="S1076" s="36" t="str">
        <f>VLOOKUP(Tabla911[[#This Row],[CODIGO DEL PRODUCTO]],Tabla79[],2,FALSE)</f>
        <v>PIEDRA 6-20</v>
      </c>
      <c r="T1076" s="37">
        <v>34080</v>
      </c>
      <c r="U1076" s="78"/>
    </row>
    <row r="1077" spans="8:21" x14ac:dyDescent="0.25">
      <c r="H1077" s="34">
        <v>15653</v>
      </c>
      <c r="I1077" s="34" t="s">
        <v>676</v>
      </c>
      <c r="J1077" s="35">
        <v>46021</v>
      </c>
      <c r="K1077" s="36" t="s">
        <v>43</v>
      </c>
      <c r="L1077" s="39" t="str">
        <f>VLOOKUP(Tabla810[[#This Row],[CODIGO DEL PRODUCTO]],Tabla79[],2,FALSE)</f>
        <v>PIEDRA 6-20</v>
      </c>
      <c r="M1077" s="37">
        <v>2000</v>
      </c>
      <c r="O1077" s="76">
        <v>104377</v>
      </c>
      <c r="P1077" s="78" t="s">
        <v>252</v>
      </c>
      <c r="Q1077" s="77">
        <v>45908</v>
      </c>
      <c r="R1077" s="78" t="s">
        <v>40</v>
      </c>
      <c r="S1077" s="36" t="str">
        <f>VLOOKUP(Tabla911[[#This Row],[CODIGO DEL PRODUCTO]],Tabla79[],2,FALSE)</f>
        <v>PIEDRA 0-6</v>
      </c>
      <c r="T1077" s="37">
        <v>34480</v>
      </c>
      <c r="U1077" s="78"/>
    </row>
    <row r="1078" spans="8:21" x14ac:dyDescent="0.25">
      <c r="H1078" s="34">
        <v>15661</v>
      </c>
      <c r="I1078" s="34" t="s">
        <v>676</v>
      </c>
      <c r="J1078" s="35">
        <v>46021</v>
      </c>
      <c r="K1078" s="36" t="s">
        <v>42</v>
      </c>
      <c r="L1078" s="39" t="str">
        <f>VLOOKUP(Tabla810[[#This Row],[CODIGO DEL PRODUCTO]],Tabla79[],2,FALSE)</f>
        <v>ARENA FINA</v>
      </c>
      <c r="M1078" s="37">
        <v>5000</v>
      </c>
      <c r="O1078" s="76">
        <v>104379</v>
      </c>
      <c r="P1078" s="78" t="s">
        <v>552</v>
      </c>
      <c r="Q1078" s="77">
        <v>45908</v>
      </c>
      <c r="R1078" s="78" t="s">
        <v>43</v>
      </c>
      <c r="S1078" s="36" t="str">
        <f>VLOOKUP(Tabla911[[#This Row],[CODIGO DEL PRODUCTO]],Tabla79[],2,FALSE)</f>
        <v>PIEDRA 6-20</v>
      </c>
      <c r="T1078" s="37">
        <v>35420</v>
      </c>
      <c r="U1078" s="78"/>
    </row>
    <row r="1079" spans="8:21" x14ac:dyDescent="0.25">
      <c r="H1079" s="34">
        <v>15662</v>
      </c>
      <c r="I1079" s="34" t="s">
        <v>403</v>
      </c>
      <c r="J1079" s="35">
        <v>46021</v>
      </c>
      <c r="K1079" s="36" t="s">
        <v>43</v>
      </c>
      <c r="L1079" s="39" t="str">
        <f>VLOOKUP(Tabla810[[#This Row],[CODIGO DEL PRODUCTO]],Tabla79[],2,FALSE)</f>
        <v>PIEDRA 6-20</v>
      </c>
      <c r="M1079" s="37">
        <v>5000</v>
      </c>
      <c r="O1079" s="76">
        <v>104380</v>
      </c>
      <c r="P1079" s="78" t="s">
        <v>234</v>
      </c>
      <c r="Q1079" s="77">
        <v>45908</v>
      </c>
      <c r="R1079" s="78" t="s">
        <v>40</v>
      </c>
      <c r="S1079" s="36" t="str">
        <f>VLOOKUP(Tabla911[[#This Row],[CODIGO DEL PRODUCTO]],Tabla79[],2,FALSE)</f>
        <v>PIEDRA 0-6</v>
      </c>
      <c r="T1079" s="37">
        <v>34960</v>
      </c>
      <c r="U1079" s="78"/>
    </row>
    <row r="1080" spans="8:21" x14ac:dyDescent="0.25">
      <c r="H1080" s="34">
        <v>15663</v>
      </c>
      <c r="I1080" s="34" t="s">
        <v>677</v>
      </c>
      <c r="J1080" s="35">
        <v>46021</v>
      </c>
      <c r="K1080" s="36" t="s">
        <v>42</v>
      </c>
      <c r="L1080" s="39" t="str">
        <f>VLOOKUP(Tabla810[[#This Row],[CODIGO DEL PRODUCTO]],Tabla79[],2,FALSE)</f>
        <v>ARENA FINA</v>
      </c>
      <c r="M1080" s="37">
        <v>3000</v>
      </c>
      <c r="O1080" s="76">
        <v>104385</v>
      </c>
      <c r="P1080" s="78" t="s">
        <v>349</v>
      </c>
      <c r="Q1080" s="77">
        <v>45908</v>
      </c>
      <c r="R1080" s="78" t="s">
        <v>43</v>
      </c>
      <c r="S1080" s="36" t="str">
        <f>VLOOKUP(Tabla911[[#This Row],[CODIGO DEL PRODUCTO]],Tabla79[],2,FALSE)</f>
        <v>PIEDRA 6-20</v>
      </c>
      <c r="T1080" s="37">
        <v>36080</v>
      </c>
      <c r="U1080" s="78"/>
    </row>
    <row r="1081" spans="8:21" x14ac:dyDescent="0.25">
      <c r="H1081" s="34">
        <v>15694</v>
      </c>
      <c r="I1081" s="34" t="s">
        <v>678</v>
      </c>
      <c r="J1081" s="35">
        <v>46022</v>
      </c>
      <c r="K1081" s="36" t="s">
        <v>43</v>
      </c>
      <c r="L1081" s="39" t="str">
        <f>VLOOKUP(Tabla810[[#This Row],[CODIGO DEL PRODUCTO]],Tabla79[],2,FALSE)</f>
        <v>PIEDRA 6-20</v>
      </c>
      <c r="M1081" s="37">
        <v>1000</v>
      </c>
      <c r="O1081" s="76">
        <v>143252</v>
      </c>
      <c r="P1081" s="78" t="s">
        <v>119</v>
      </c>
      <c r="Q1081" s="77">
        <v>45908</v>
      </c>
      <c r="R1081" s="78" t="s">
        <v>43</v>
      </c>
      <c r="S1081" s="36" t="str">
        <f>VLOOKUP(Tabla911[[#This Row],[CODIGO DEL PRODUCTO]],Tabla79[],2,FALSE)</f>
        <v>PIEDRA 6-20</v>
      </c>
      <c r="T1081" s="37">
        <v>35440</v>
      </c>
      <c r="U1081" s="78"/>
    </row>
    <row r="1082" spans="8:21" x14ac:dyDescent="0.25">
      <c r="H1082" s="34"/>
      <c r="I1082" s="34" t="s">
        <v>678</v>
      </c>
      <c r="J1082" s="35">
        <v>46022</v>
      </c>
      <c r="K1082" s="36" t="s">
        <v>42</v>
      </c>
      <c r="L1082" s="39" t="str">
        <f>VLOOKUP(Tabla810[[#This Row],[CODIGO DEL PRODUCTO]],Tabla79[],2,FALSE)</f>
        <v>ARENA FINA</v>
      </c>
      <c r="M1082" s="37">
        <v>3000</v>
      </c>
      <c r="O1082" s="76">
        <v>2654316</v>
      </c>
      <c r="P1082" s="78" t="s">
        <v>65</v>
      </c>
      <c r="Q1082" s="77">
        <v>45908</v>
      </c>
      <c r="R1082" s="78" t="s">
        <v>286</v>
      </c>
      <c r="S1082" s="36" t="str">
        <f>VLOOKUP(Tabla911[[#This Row],[CODIGO DEL PRODUCTO]],Tabla79[],2,FALSE)</f>
        <v>CPF 40 AVELLANEDA</v>
      </c>
      <c r="T1082" s="37">
        <v>36360</v>
      </c>
      <c r="U1082" s="78"/>
    </row>
    <row r="1083" spans="8:21" x14ac:dyDescent="0.25">
      <c r="H1083" s="34"/>
      <c r="I1083" s="34"/>
      <c r="J1083" s="35"/>
      <c r="K1083" s="36"/>
      <c r="L1083" s="39"/>
      <c r="M1083" s="37"/>
      <c r="O1083" s="76">
        <v>101681</v>
      </c>
      <c r="P1083" s="78" t="s">
        <v>370</v>
      </c>
      <c r="Q1083" s="77">
        <v>45909</v>
      </c>
      <c r="R1083" s="78" t="s">
        <v>42</v>
      </c>
      <c r="S1083" s="36" t="str">
        <f>VLOOKUP(Tabla911[[#This Row],[CODIGO DEL PRODUCTO]],Tabla79[],2,FALSE)</f>
        <v>ARENA FINA</v>
      </c>
      <c r="T1083" s="37">
        <v>35120</v>
      </c>
      <c r="U1083" s="78"/>
    </row>
    <row r="1084" spans="8:21" x14ac:dyDescent="0.25">
      <c r="O1084" s="76">
        <v>101683</v>
      </c>
      <c r="P1084" s="78" t="s">
        <v>550</v>
      </c>
      <c r="Q1084" s="77">
        <v>45909</v>
      </c>
      <c r="R1084" s="78" t="s">
        <v>42</v>
      </c>
      <c r="S1084" s="36" t="str">
        <f>VLOOKUP(Tabla911[[#This Row],[CODIGO DEL PRODUCTO]],Tabla79[],2,FALSE)</f>
        <v>ARENA FINA</v>
      </c>
      <c r="T1084" s="37">
        <v>34540</v>
      </c>
      <c r="U1084" s="78"/>
    </row>
    <row r="1085" spans="8:21" x14ac:dyDescent="0.25">
      <c r="O1085" s="76">
        <v>101686</v>
      </c>
      <c r="P1085" s="78" t="s">
        <v>549</v>
      </c>
      <c r="Q1085" s="77">
        <v>45909</v>
      </c>
      <c r="R1085" s="78" t="s">
        <v>42</v>
      </c>
      <c r="S1085" s="36" t="str">
        <f>VLOOKUP(Tabla911[[#This Row],[CODIGO DEL PRODUCTO]],Tabla79[],2,FALSE)</f>
        <v>ARENA FINA</v>
      </c>
      <c r="T1085" s="37">
        <v>37060</v>
      </c>
      <c r="U1085" s="78"/>
    </row>
    <row r="1086" spans="8:21" x14ac:dyDescent="0.25">
      <c r="O1086" s="76">
        <v>101688</v>
      </c>
      <c r="P1086" s="78" t="s">
        <v>370</v>
      </c>
      <c r="Q1086" s="77">
        <v>45909</v>
      </c>
      <c r="R1086" s="78" t="s">
        <v>42</v>
      </c>
      <c r="S1086" s="36" t="str">
        <f>VLOOKUP(Tabla911[[#This Row],[CODIGO DEL PRODUCTO]],Tabla79[],2,FALSE)</f>
        <v>ARENA FINA</v>
      </c>
      <c r="T1086" s="37">
        <v>33680</v>
      </c>
      <c r="U1086" s="78"/>
    </row>
    <row r="1087" spans="8:21" x14ac:dyDescent="0.25">
      <c r="O1087" s="76">
        <v>101689</v>
      </c>
      <c r="P1087" s="78" t="s">
        <v>550</v>
      </c>
      <c r="Q1087" s="77">
        <v>45909</v>
      </c>
      <c r="R1087" s="78" t="s">
        <v>42</v>
      </c>
      <c r="S1087" s="36" t="str">
        <f>VLOOKUP(Tabla911[[#This Row],[CODIGO DEL PRODUCTO]],Tabla79[],2,FALSE)</f>
        <v>ARENA FINA</v>
      </c>
      <c r="T1087" s="37">
        <v>36620</v>
      </c>
      <c r="U1087" s="78"/>
    </row>
    <row r="1088" spans="8:21" x14ac:dyDescent="0.25">
      <c r="O1088" s="76">
        <v>101690</v>
      </c>
      <c r="P1088" s="78" t="s">
        <v>554</v>
      </c>
      <c r="Q1088" s="77">
        <v>45909</v>
      </c>
      <c r="R1088" s="78" t="s">
        <v>42</v>
      </c>
      <c r="S1088" s="36" t="str">
        <f>VLOOKUP(Tabla911[[#This Row],[CODIGO DEL PRODUCTO]],Tabla79[],2,FALSE)</f>
        <v>ARENA FINA</v>
      </c>
      <c r="T1088" s="37">
        <v>37020</v>
      </c>
      <c r="U1088" s="78"/>
    </row>
    <row r="1089" spans="15:24" x14ac:dyDescent="0.25">
      <c r="O1089" s="76">
        <v>101691</v>
      </c>
      <c r="P1089" s="78" t="s">
        <v>555</v>
      </c>
      <c r="Q1089" s="77">
        <v>45909</v>
      </c>
      <c r="R1089" s="78" t="s">
        <v>42</v>
      </c>
      <c r="S1089" s="36" t="str">
        <f>VLOOKUP(Tabla911[[#This Row],[CODIGO DEL PRODUCTO]],Tabla79[],2,FALSE)</f>
        <v>ARENA FINA</v>
      </c>
      <c r="T1089" s="37">
        <v>34920</v>
      </c>
      <c r="U1089" s="78"/>
    </row>
    <row r="1090" spans="15:24" x14ac:dyDescent="0.25">
      <c r="O1090" s="76">
        <v>104392</v>
      </c>
      <c r="P1090" s="78" t="s">
        <v>150</v>
      </c>
      <c r="Q1090" s="77">
        <v>45909</v>
      </c>
      <c r="R1090" s="78" t="s">
        <v>43</v>
      </c>
      <c r="S1090" s="36" t="str">
        <f>VLOOKUP(Tabla911[[#This Row],[CODIGO DEL PRODUCTO]],Tabla79[],2,FALSE)</f>
        <v>PIEDRA 6-20</v>
      </c>
      <c r="T1090" s="37">
        <v>35120</v>
      </c>
      <c r="U1090" s="78"/>
    </row>
    <row r="1091" spans="15:24" x14ac:dyDescent="0.25">
      <c r="O1091" s="76">
        <v>104405</v>
      </c>
      <c r="P1091" s="78" t="s">
        <v>552</v>
      </c>
      <c r="Q1091" s="77">
        <v>45909</v>
      </c>
      <c r="R1091" s="78" t="s">
        <v>43</v>
      </c>
      <c r="S1091" s="36" t="str">
        <f>VLOOKUP(Tabla911[[#This Row],[CODIGO DEL PRODUCTO]],Tabla79[],2,FALSE)</f>
        <v>PIEDRA 6-20</v>
      </c>
      <c r="T1091" s="37">
        <v>35640</v>
      </c>
      <c r="U1091" s="78"/>
    </row>
    <row r="1092" spans="15:24" x14ac:dyDescent="0.25">
      <c r="O1092" s="76">
        <v>104406</v>
      </c>
      <c r="P1092" s="78" t="s">
        <v>252</v>
      </c>
      <c r="Q1092" s="77">
        <v>45909</v>
      </c>
      <c r="R1092" s="78" t="s">
        <v>40</v>
      </c>
      <c r="S1092" s="36" t="str">
        <f>VLOOKUP(Tabla911[[#This Row],[CODIGO DEL PRODUCTO]],Tabla79[],2,FALSE)</f>
        <v>PIEDRA 0-6</v>
      </c>
      <c r="T1092" s="37">
        <v>35100</v>
      </c>
      <c r="U1092" s="78"/>
    </row>
    <row r="1093" spans="15:24" x14ac:dyDescent="0.25">
      <c r="O1093" s="76">
        <v>104407</v>
      </c>
      <c r="P1093" s="78" t="s">
        <v>234</v>
      </c>
      <c r="Q1093" s="77">
        <v>45909</v>
      </c>
      <c r="R1093" s="78" t="s">
        <v>40</v>
      </c>
      <c r="S1093" s="36" t="str">
        <f>VLOOKUP(Tabla911[[#This Row],[CODIGO DEL PRODUCTO]],Tabla79[],2,FALSE)</f>
        <v>PIEDRA 0-6</v>
      </c>
      <c r="T1093" s="37">
        <v>34720</v>
      </c>
      <c r="U1093" s="78"/>
    </row>
    <row r="1094" spans="15:24" x14ac:dyDescent="0.25">
      <c r="O1094" s="76">
        <v>2654580</v>
      </c>
      <c r="P1094" s="78" t="s">
        <v>65</v>
      </c>
      <c r="Q1094" s="77">
        <v>45909</v>
      </c>
      <c r="R1094" s="78" t="s">
        <v>286</v>
      </c>
      <c r="S1094" s="36" t="str">
        <f>VLOOKUP(Tabla911[[#This Row],[CODIGO DEL PRODUCTO]],Tabla79[],2,FALSE)</f>
        <v>CPF 40 AVELLANEDA</v>
      </c>
      <c r="T1094" s="37">
        <v>35980</v>
      </c>
      <c r="U1094" s="78"/>
    </row>
    <row r="1095" spans="15:24" x14ac:dyDescent="0.25">
      <c r="O1095" s="76">
        <v>33615</v>
      </c>
      <c r="P1095" s="78" t="s">
        <v>449</v>
      </c>
      <c r="Q1095" s="77">
        <v>45910</v>
      </c>
      <c r="R1095" s="78" t="s">
        <v>425</v>
      </c>
      <c r="S1095" s="36" t="str">
        <f>VLOOKUP(Tabla911[[#This Row],[CODIGO DEL PRODUCTO]],Tabla79[],2,FALSE)</f>
        <v>W351R</v>
      </c>
      <c r="T1095" s="37">
        <v>1000</v>
      </c>
      <c r="U1095" s="78"/>
    </row>
    <row r="1096" spans="15:24" x14ac:dyDescent="0.25">
      <c r="O1096" s="76">
        <v>33580</v>
      </c>
      <c r="P1096" s="78" t="s">
        <v>449</v>
      </c>
      <c r="Q1096" s="77">
        <v>45910</v>
      </c>
      <c r="R1096" s="78" t="s">
        <v>425</v>
      </c>
      <c r="S1096" s="36" t="str">
        <f>VLOOKUP(Tabla911[[#This Row],[CODIGO DEL PRODUCTO]],Tabla79[],2,FALSE)</f>
        <v>W351R</v>
      </c>
      <c r="T1096" s="37">
        <v>2000</v>
      </c>
      <c r="U1096" s="78"/>
    </row>
    <row r="1097" spans="15:24" x14ac:dyDescent="0.25">
      <c r="O1097" s="76">
        <v>101699</v>
      </c>
      <c r="P1097" s="78" t="s">
        <v>370</v>
      </c>
      <c r="Q1097" s="77">
        <v>45910</v>
      </c>
      <c r="R1097" s="78" t="s">
        <v>42</v>
      </c>
      <c r="S1097" s="36" t="str">
        <f>VLOOKUP(Tabla911[[#This Row],[CODIGO DEL PRODUCTO]],Tabla79[],2,FALSE)</f>
        <v>ARENA FINA</v>
      </c>
      <c r="T1097" s="37">
        <v>35640</v>
      </c>
      <c r="U1097" s="78"/>
      <c r="V1097" s="7">
        <v>45910</v>
      </c>
      <c r="W1097" t="s">
        <v>556</v>
      </c>
      <c r="X1097" t="s">
        <v>557</v>
      </c>
    </row>
    <row r="1098" spans="15:24" x14ac:dyDescent="0.25">
      <c r="O1098" s="76">
        <v>101703</v>
      </c>
      <c r="P1098" s="78" t="s">
        <v>550</v>
      </c>
      <c r="Q1098" s="77">
        <v>45910</v>
      </c>
      <c r="R1098" s="78" t="s">
        <v>42</v>
      </c>
      <c r="S1098" s="36" t="str">
        <f>VLOOKUP(Tabla911[[#This Row],[CODIGO DEL PRODUCTO]],Tabla79[],2,FALSE)</f>
        <v>ARENA FINA</v>
      </c>
      <c r="T1098" s="37">
        <v>36960</v>
      </c>
      <c r="U1098" s="78"/>
    </row>
    <row r="1099" spans="15:24" x14ac:dyDescent="0.25">
      <c r="O1099" s="76">
        <v>101706</v>
      </c>
      <c r="P1099" s="78" t="s">
        <v>549</v>
      </c>
      <c r="Q1099" s="77">
        <v>45910</v>
      </c>
      <c r="R1099" s="78" t="s">
        <v>42</v>
      </c>
      <c r="S1099" s="36" t="str">
        <f>VLOOKUP(Tabla911[[#This Row],[CODIGO DEL PRODUCTO]],Tabla79[],2,FALSE)</f>
        <v>ARENA FINA</v>
      </c>
      <c r="T1099" s="37">
        <v>35200</v>
      </c>
      <c r="U1099" s="78"/>
    </row>
    <row r="1100" spans="15:24" x14ac:dyDescent="0.25">
      <c r="O1100" s="76">
        <v>101708</v>
      </c>
      <c r="P1100" s="78" t="s">
        <v>546</v>
      </c>
      <c r="Q1100" s="77">
        <v>45910</v>
      </c>
      <c r="R1100" s="78" t="s">
        <v>42</v>
      </c>
      <c r="S1100" s="36" t="str">
        <f>VLOOKUP(Tabla911[[#This Row],[CODIGO DEL PRODUCTO]],Tabla79[],2,FALSE)</f>
        <v>ARENA FINA</v>
      </c>
      <c r="T1100" s="37">
        <v>36020</v>
      </c>
      <c r="U1100" s="78"/>
    </row>
    <row r="1101" spans="15:24" x14ac:dyDescent="0.25">
      <c r="O1101" s="76">
        <v>101710</v>
      </c>
      <c r="P1101" s="78" t="s">
        <v>370</v>
      </c>
      <c r="Q1101" s="77">
        <v>45910</v>
      </c>
      <c r="R1101" s="78" t="s">
        <v>42</v>
      </c>
      <c r="S1101" s="36" t="str">
        <f>VLOOKUP(Tabla911[[#This Row],[CODIGO DEL PRODUCTO]],Tabla79[],2,FALSE)</f>
        <v>ARENA FINA</v>
      </c>
      <c r="T1101" s="37">
        <v>35840</v>
      </c>
      <c r="U1101" s="78"/>
    </row>
    <row r="1102" spans="15:24" x14ac:dyDescent="0.25">
      <c r="O1102" s="76">
        <v>101711</v>
      </c>
      <c r="P1102" s="78" t="s">
        <v>550</v>
      </c>
      <c r="Q1102" s="77">
        <v>45910</v>
      </c>
      <c r="R1102" s="78" t="s">
        <v>42</v>
      </c>
      <c r="S1102" s="36" t="str">
        <f>VLOOKUP(Tabla911[[#This Row],[CODIGO DEL PRODUCTO]],Tabla79[],2,FALSE)</f>
        <v>ARENA FINA</v>
      </c>
      <c r="T1102" s="37">
        <v>37740</v>
      </c>
      <c r="U1102" s="78"/>
    </row>
    <row r="1103" spans="15:24" x14ac:dyDescent="0.25">
      <c r="O1103" s="76">
        <v>104417</v>
      </c>
      <c r="P1103" s="78" t="s">
        <v>150</v>
      </c>
      <c r="Q1103" s="77">
        <v>45910</v>
      </c>
      <c r="R1103" s="78" t="s">
        <v>43</v>
      </c>
      <c r="S1103" s="36" t="str">
        <f>VLOOKUP(Tabla911[[#This Row],[CODIGO DEL PRODUCTO]],Tabla79[],2,FALSE)</f>
        <v>PIEDRA 6-20</v>
      </c>
      <c r="T1103" s="37">
        <v>35160</v>
      </c>
      <c r="U1103" s="78"/>
    </row>
    <row r="1104" spans="15:24" x14ac:dyDescent="0.25">
      <c r="O1104" s="76">
        <v>104428</v>
      </c>
      <c r="P1104" s="78" t="s">
        <v>349</v>
      </c>
      <c r="Q1104" s="77">
        <v>45910</v>
      </c>
      <c r="R1104" s="78" t="s">
        <v>43</v>
      </c>
      <c r="S1104" s="36" t="str">
        <f>VLOOKUP(Tabla911[[#This Row],[CODIGO DEL PRODUCTO]],Tabla79[],2,FALSE)</f>
        <v>PIEDRA 6-20</v>
      </c>
      <c r="T1104" s="37">
        <v>36060</v>
      </c>
      <c r="U1104" s="78"/>
    </row>
    <row r="1105" spans="15:21" x14ac:dyDescent="0.25">
      <c r="O1105" s="76">
        <v>104429</v>
      </c>
      <c r="P1105" s="78" t="s">
        <v>252</v>
      </c>
      <c r="Q1105" s="77">
        <v>45910</v>
      </c>
      <c r="R1105" s="78" t="s">
        <v>40</v>
      </c>
      <c r="S1105" s="36" t="str">
        <f>VLOOKUP(Tabla911[[#This Row],[CODIGO DEL PRODUCTO]],Tabla79[],2,FALSE)</f>
        <v>PIEDRA 0-6</v>
      </c>
      <c r="T1105" s="37">
        <v>35260</v>
      </c>
      <c r="U1105" s="78"/>
    </row>
    <row r="1106" spans="15:21" x14ac:dyDescent="0.25">
      <c r="O1106" s="76">
        <v>104430</v>
      </c>
      <c r="P1106" s="78" t="s">
        <v>234</v>
      </c>
      <c r="Q1106" s="77">
        <v>45910</v>
      </c>
      <c r="R1106" s="78" t="s">
        <v>40</v>
      </c>
      <c r="S1106" s="36" t="str">
        <f>VLOOKUP(Tabla911[[#This Row],[CODIGO DEL PRODUCTO]],Tabla79[],2,FALSE)</f>
        <v>PIEDRA 0-6</v>
      </c>
      <c r="T1106" s="37">
        <v>34960</v>
      </c>
      <c r="U1106" s="78"/>
    </row>
    <row r="1107" spans="15:21" x14ac:dyDescent="0.25">
      <c r="O1107" s="76">
        <v>104431</v>
      </c>
      <c r="P1107" s="78" t="s">
        <v>552</v>
      </c>
      <c r="Q1107" s="77">
        <v>45910</v>
      </c>
      <c r="R1107" s="78" t="s">
        <v>43</v>
      </c>
      <c r="S1107" s="36" t="str">
        <f>VLOOKUP(Tabla911[[#This Row],[CODIGO DEL PRODUCTO]],Tabla79[],2,FALSE)</f>
        <v>PIEDRA 6-20</v>
      </c>
      <c r="T1107" s="37">
        <v>34220</v>
      </c>
      <c r="U1107" s="78"/>
    </row>
    <row r="1108" spans="15:21" x14ac:dyDescent="0.25">
      <c r="O1108" s="76">
        <v>2654871</v>
      </c>
      <c r="P1108" s="78" t="s">
        <v>65</v>
      </c>
      <c r="Q1108" s="77">
        <v>45910</v>
      </c>
      <c r="R1108" s="78" t="s">
        <v>286</v>
      </c>
      <c r="S1108" s="36" t="str">
        <f>VLOOKUP(Tabla911[[#This Row],[CODIGO DEL PRODUCTO]],Tabla79[],2,FALSE)</f>
        <v>CPF 40 AVELLANEDA</v>
      </c>
      <c r="T1108" s="37">
        <v>36140</v>
      </c>
      <c r="U1108" s="78"/>
    </row>
    <row r="1109" spans="15:21" x14ac:dyDescent="0.25">
      <c r="O1109" s="76">
        <v>101718</v>
      </c>
      <c r="P1109" s="78" t="s">
        <v>370</v>
      </c>
      <c r="Q1109" s="77">
        <v>45911</v>
      </c>
      <c r="R1109" s="78" t="s">
        <v>42</v>
      </c>
      <c r="S1109" s="36" t="str">
        <f>VLOOKUP(Tabla911[[#This Row],[CODIGO DEL PRODUCTO]],Tabla79[],2,FALSE)</f>
        <v>ARENA FINA</v>
      </c>
      <c r="T1109" s="37">
        <v>34120</v>
      </c>
      <c r="U1109" s="78"/>
    </row>
    <row r="1110" spans="15:21" x14ac:dyDescent="0.25">
      <c r="O1110" s="76">
        <v>101719</v>
      </c>
      <c r="P1110" s="78" t="s">
        <v>550</v>
      </c>
      <c r="Q1110" s="77">
        <v>45911</v>
      </c>
      <c r="R1110" s="78" t="s">
        <v>42</v>
      </c>
      <c r="S1110" s="36" t="str">
        <f>VLOOKUP(Tabla911[[#This Row],[CODIGO DEL PRODUCTO]],Tabla79[],2,FALSE)</f>
        <v>ARENA FINA</v>
      </c>
      <c r="T1110" s="37">
        <v>35220</v>
      </c>
      <c r="U1110" s="78"/>
    </row>
    <row r="1111" spans="15:21" x14ac:dyDescent="0.25">
      <c r="O1111" s="76">
        <v>101725</v>
      </c>
      <c r="P1111" s="78" t="s">
        <v>549</v>
      </c>
      <c r="Q1111" s="77">
        <v>45911</v>
      </c>
      <c r="R1111" s="78" t="s">
        <v>42</v>
      </c>
      <c r="S1111" s="36" t="str">
        <f>VLOOKUP(Tabla911[[#This Row],[CODIGO DEL PRODUCTO]],Tabla79[],2,FALSE)</f>
        <v>ARENA FINA</v>
      </c>
      <c r="T1111" s="37">
        <v>36480</v>
      </c>
      <c r="U1111" s="78"/>
    </row>
    <row r="1112" spans="15:21" x14ac:dyDescent="0.25">
      <c r="O1112" s="76">
        <v>101728</v>
      </c>
      <c r="P1112" s="78" t="s">
        <v>551</v>
      </c>
      <c r="Q1112" s="77">
        <v>45911</v>
      </c>
      <c r="R1112" s="78" t="s">
        <v>42</v>
      </c>
      <c r="S1112" s="36" t="str">
        <f>VLOOKUP(Tabla911[[#This Row],[CODIGO DEL PRODUCTO]],Tabla79[],2,FALSE)</f>
        <v>ARENA FINA</v>
      </c>
      <c r="T1112" s="37">
        <v>37580</v>
      </c>
      <c r="U1112" s="78"/>
    </row>
    <row r="1113" spans="15:21" x14ac:dyDescent="0.25">
      <c r="O1113" s="76">
        <v>101730</v>
      </c>
      <c r="P1113" s="78" t="s">
        <v>546</v>
      </c>
      <c r="Q1113" s="77">
        <v>45911</v>
      </c>
      <c r="R1113" s="78" t="s">
        <v>42</v>
      </c>
      <c r="S1113" s="36" t="str">
        <f>VLOOKUP(Tabla911[[#This Row],[CODIGO DEL PRODUCTO]],Tabla79[],2,FALSE)</f>
        <v>ARENA FINA</v>
      </c>
      <c r="T1113" s="37">
        <v>37640</v>
      </c>
      <c r="U1113" s="78"/>
    </row>
    <row r="1114" spans="15:21" x14ac:dyDescent="0.25">
      <c r="O1114" s="76">
        <v>101732</v>
      </c>
      <c r="P1114" s="78" t="s">
        <v>370</v>
      </c>
      <c r="Q1114" s="77">
        <v>45911</v>
      </c>
      <c r="R1114" s="78" t="s">
        <v>42</v>
      </c>
      <c r="S1114" s="36" t="str">
        <f>VLOOKUP(Tabla911[[#This Row],[CODIGO DEL PRODUCTO]],Tabla79[],2,FALSE)</f>
        <v>ARENA FINA</v>
      </c>
      <c r="T1114" s="37">
        <v>35600</v>
      </c>
      <c r="U1114" s="78"/>
    </row>
    <row r="1115" spans="15:21" x14ac:dyDescent="0.25">
      <c r="O1115" s="76">
        <v>101733</v>
      </c>
      <c r="P1115" s="78" t="s">
        <v>550</v>
      </c>
      <c r="Q1115" s="77">
        <v>45911</v>
      </c>
      <c r="R1115" s="78" t="s">
        <v>42</v>
      </c>
      <c r="S1115" s="36" t="str">
        <f>VLOOKUP(Tabla911[[#This Row],[CODIGO DEL PRODUCTO]],Tabla79[],2,FALSE)</f>
        <v>ARENA FINA</v>
      </c>
      <c r="T1115" s="37">
        <v>36660</v>
      </c>
      <c r="U1115" s="78"/>
    </row>
    <row r="1116" spans="15:21" x14ac:dyDescent="0.25">
      <c r="O1116" s="76">
        <v>101734</v>
      </c>
      <c r="P1116" s="78" t="s">
        <v>63</v>
      </c>
      <c r="Q1116" s="77">
        <v>45911</v>
      </c>
      <c r="R1116" s="78" t="s">
        <v>42</v>
      </c>
      <c r="S1116" s="36" t="str">
        <f>VLOOKUP(Tabla911[[#This Row],[CODIGO DEL PRODUCTO]],Tabla79[],2,FALSE)</f>
        <v>ARENA FINA</v>
      </c>
      <c r="T1116" s="37">
        <v>36080</v>
      </c>
      <c r="U1116" s="78"/>
    </row>
    <row r="1117" spans="15:21" x14ac:dyDescent="0.25">
      <c r="O1117" s="76">
        <v>101737</v>
      </c>
      <c r="P1117" s="78" t="s">
        <v>554</v>
      </c>
      <c r="Q1117" s="77">
        <v>45911</v>
      </c>
      <c r="R1117" s="78" t="s">
        <v>42</v>
      </c>
      <c r="S1117" s="36" t="str">
        <f>VLOOKUP(Tabla911[[#This Row],[CODIGO DEL PRODUCTO]],Tabla79[],2,FALSE)</f>
        <v>ARENA FINA</v>
      </c>
      <c r="T1117" s="37">
        <v>36140</v>
      </c>
      <c r="U1117" s="78"/>
    </row>
    <row r="1118" spans="15:21" x14ac:dyDescent="0.25">
      <c r="O1118" s="76">
        <v>104439</v>
      </c>
      <c r="P1118" s="78" t="s">
        <v>150</v>
      </c>
      <c r="Q1118" s="77">
        <v>45911</v>
      </c>
      <c r="R1118" s="78" t="s">
        <v>43</v>
      </c>
      <c r="S1118" s="36" t="str">
        <f>VLOOKUP(Tabla911[[#This Row],[CODIGO DEL PRODUCTO]],Tabla79[],2,FALSE)</f>
        <v>PIEDRA 6-20</v>
      </c>
      <c r="T1118" s="37">
        <v>35060</v>
      </c>
      <c r="U1118" s="78"/>
    </row>
    <row r="1119" spans="15:21" x14ac:dyDescent="0.25">
      <c r="O1119" s="76">
        <v>104451</v>
      </c>
      <c r="P1119" s="78" t="s">
        <v>355</v>
      </c>
      <c r="Q1119" s="77">
        <v>45911</v>
      </c>
      <c r="R1119" s="78" t="s">
        <v>40</v>
      </c>
      <c r="S1119" s="36" t="str">
        <f>VLOOKUP(Tabla911[[#This Row],[CODIGO DEL PRODUCTO]],Tabla79[],2,FALSE)</f>
        <v>PIEDRA 0-6</v>
      </c>
      <c r="T1119" s="37">
        <v>35400</v>
      </c>
      <c r="U1119" s="78"/>
    </row>
    <row r="1120" spans="15:21" x14ac:dyDescent="0.25">
      <c r="O1120" s="76">
        <v>104455</v>
      </c>
      <c r="P1120" s="78" t="s">
        <v>252</v>
      </c>
      <c r="Q1120" s="77">
        <v>45911</v>
      </c>
      <c r="R1120" s="78" t="s">
        <v>40</v>
      </c>
      <c r="S1120" s="36" t="str">
        <f>VLOOKUP(Tabla911[[#This Row],[CODIGO DEL PRODUCTO]],Tabla79[],2,FALSE)</f>
        <v>PIEDRA 0-6</v>
      </c>
      <c r="T1120" s="37">
        <v>35840</v>
      </c>
      <c r="U1120" s="78"/>
    </row>
    <row r="1121" spans="15:24" x14ac:dyDescent="0.25">
      <c r="O1121" s="76">
        <v>104457</v>
      </c>
      <c r="P1121" s="78" t="s">
        <v>552</v>
      </c>
      <c r="Q1121" s="77">
        <v>45911</v>
      </c>
      <c r="R1121" s="78" t="s">
        <v>43</v>
      </c>
      <c r="S1121" s="36" t="str">
        <f>VLOOKUP(Tabla911[[#This Row],[CODIGO DEL PRODUCTO]],Tabla79[],2,FALSE)</f>
        <v>PIEDRA 6-20</v>
      </c>
      <c r="T1121" s="37">
        <v>35320</v>
      </c>
      <c r="U1121" s="78"/>
    </row>
    <row r="1122" spans="15:24" x14ac:dyDescent="0.25">
      <c r="O1122" s="76">
        <v>104461</v>
      </c>
      <c r="P1122" s="78" t="s">
        <v>238</v>
      </c>
      <c r="Q1122" s="77">
        <v>45911</v>
      </c>
      <c r="R1122" s="78" t="s">
        <v>40</v>
      </c>
      <c r="S1122" s="36" t="str">
        <f>VLOOKUP(Tabla911[[#This Row],[CODIGO DEL PRODUCTO]],Tabla79[],2,FALSE)</f>
        <v>PIEDRA 0-6</v>
      </c>
      <c r="T1122" s="37">
        <v>35760</v>
      </c>
      <c r="U1122" s="78"/>
    </row>
    <row r="1123" spans="15:24" x14ac:dyDescent="0.25">
      <c r="O1123" s="76">
        <v>143435</v>
      </c>
      <c r="P1123" s="78" t="s">
        <v>296</v>
      </c>
      <c r="Q1123" s="77">
        <v>45911</v>
      </c>
      <c r="R1123" s="78" t="s">
        <v>40</v>
      </c>
      <c r="S1123" s="36" t="str">
        <f>VLOOKUP(Tabla911[[#This Row],[CODIGO DEL PRODUCTO]],Tabla79[],2,FALSE)</f>
        <v>PIEDRA 0-6</v>
      </c>
      <c r="T1123" s="37">
        <v>34860</v>
      </c>
      <c r="U1123" s="78"/>
    </row>
    <row r="1124" spans="15:24" x14ac:dyDescent="0.25">
      <c r="O1124" s="76">
        <v>2655036</v>
      </c>
      <c r="P1124" s="78" t="s">
        <v>65</v>
      </c>
      <c r="Q1124" s="77">
        <v>45911</v>
      </c>
      <c r="R1124" s="78" t="s">
        <v>286</v>
      </c>
      <c r="S1124" s="36" t="str">
        <f>VLOOKUP(Tabla911[[#This Row],[CODIGO DEL PRODUCTO]],Tabla79[],2,FALSE)</f>
        <v>CPF 40 AVELLANEDA</v>
      </c>
      <c r="T1124" s="37">
        <v>36040</v>
      </c>
      <c r="U1124" s="78"/>
    </row>
    <row r="1125" spans="15:24" x14ac:dyDescent="0.25">
      <c r="O1125" s="76">
        <v>101740</v>
      </c>
      <c r="P1125" s="78" t="s">
        <v>370</v>
      </c>
      <c r="Q1125" s="77">
        <v>45912</v>
      </c>
      <c r="R1125" s="78" t="s">
        <v>42</v>
      </c>
      <c r="S1125" s="36" t="str">
        <f>VLOOKUP(Tabla911[[#This Row],[CODIGO DEL PRODUCTO]],Tabla79[],2,FALSE)</f>
        <v>ARENA FINA</v>
      </c>
      <c r="T1125" s="37">
        <v>35000</v>
      </c>
      <c r="U1125" s="78"/>
      <c r="V1125" s="7">
        <v>45912</v>
      </c>
      <c r="W1125" t="s">
        <v>560</v>
      </c>
      <c r="X1125" t="s">
        <v>561</v>
      </c>
    </row>
    <row r="1126" spans="15:24" x14ac:dyDescent="0.25">
      <c r="O1126" s="76">
        <v>101741</v>
      </c>
      <c r="P1126" s="78" t="s">
        <v>550</v>
      </c>
      <c r="Q1126" s="77">
        <v>45912</v>
      </c>
      <c r="R1126" s="78" t="s">
        <v>42</v>
      </c>
      <c r="S1126" s="36" t="str">
        <f>VLOOKUP(Tabla911[[#This Row],[CODIGO DEL PRODUCTO]],Tabla79[],2,FALSE)</f>
        <v>ARENA FINA</v>
      </c>
      <c r="T1126" s="37">
        <v>35240</v>
      </c>
      <c r="U1126" s="78"/>
    </row>
    <row r="1127" spans="15:24" x14ac:dyDescent="0.25">
      <c r="O1127" s="76">
        <v>101743</v>
      </c>
      <c r="P1127" s="78" t="s">
        <v>549</v>
      </c>
      <c r="Q1127" s="77">
        <v>45912</v>
      </c>
      <c r="R1127" s="78" t="s">
        <v>42</v>
      </c>
      <c r="S1127" s="36" t="str">
        <f>VLOOKUP(Tabla911[[#This Row],[CODIGO DEL PRODUCTO]],Tabla79[],2,FALSE)</f>
        <v>ARENA FINA</v>
      </c>
      <c r="T1127" s="37">
        <v>36400</v>
      </c>
      <c r="U1127" s="78"/>
    </row>
    <row r="1128" spans="15:24" x14ac:dyDescent="0.25">
      <c r="O1128" s="76">
        <v>101746</v>
      </c>
      <c r="P1128" s="78" t="s">
        <v>550</v>
      </c>
      <c r="Q1128" s="77">
        <v>45912</v>
      </c>
      <c r="R1128" s="78" t="s">
        <v>42</v>
      </c>
      <c r="S1128" s="36" t="str">
        <f>VLOOKUP(Tabla911[[#This Row],[CODIGO DEL PRODUCTO]],Tabla79[],2,FALSE)</f>
        <v>ARENA FINA</v>
      </c>
      <c r="T1128" s="37">
        <v>35840</v>
      </c>
      <c r="U1128" s="78"/>
    </row>
    <row r="1129" spans="15:24" x14ac:dyDescent="0.25">
      <c r="O1129" s="76">
        <v>101747</v>
      </c>
      <c r="P1129" s="78" t="s">
        <v>370</v>
      </c>
      <c r="Q1129" s="77">
        <v>45912</v>
      </c>
      <c r="R1129" s="78" t="s">
        <v>42</v>
      </c>
      <c r="S1129" s="36" t="str">
        <f>VLOOKUP(Tabla911[[#This Row],[CODIGO DEL PRODUCTO]],Tabla79[],2,FALSE)</f>
        <v>ARENA FINA</v>
      </c>
      <c r="T1129" s="37">
        <v>35880</v>
      </c>
      <c r="U1129" s="78"/>
    </row>
    <row r="1130" spans="15:24" x14ac:dyDescent="0.25">
      <c r="O1130" s="76">
        <v>101748</v>
      </c>
      <c r="P1130" s="78" t="s">
        <v>551</v>
      </c>
      <c r="Q1130" s="77">
        <v>45912</v>
      </c>
      <c r="R1130" s="78" t="s">
        <v>42</v>
      </c>
      <c r="S1130" s="36" t="str">
        <f>VLOOKUP(Tabla911[[#This Row],[CODIGO DEL PRODUCTO]],Tabla79[],2,FALSE)</f>
        <v>ARENA FINA</v>
      </c>
      <c r="T1130" s="37">
        <v>36020</v>
      </c>
      <c r="U1130" s="78"/>
    </row>
    <row r="1131" spans="15:24" x14ac:dyDescent="0.25">
      <c r="O1131" s="76">
        <v>101750</v>
      </c>
      <c r="P1131" s="78" t="s">
        <v>554</v>
      </c>
      <c r="Q1131" s="77">
        <v>45912</v>
      </c>
      <c r="R1131" s="78" t="s">
        <v>42</v>
      </c>
      <c r="S1131" s="36" t="str">
        <f>VLOOKUP(Tabla911[[#This Row],[CODIGO DEL PRODUCTO]],Tabla79[],2,FALSE)</f>
        <v>ARENA FINA</v>
      </c>
      <c r="T1131" s="37">
        <v>36520</v>
      </c>
      <c r="U1131" s="78"/>
    </row>
    <row r="1132" spans="15:24" x14ac:dyDescent="0.25">
      <c r="O1132" s="76">
        <v>104468</v>
      </c>
      <c r="P1132" s="78" t="s">
        <v>150</v>
      </c>
      <c r="Q1132" s="77">
        <v>45912</v>
      </c>
      <c r="R1132" s="78" t="s">
        <v>43</v>
      </c>
      <c r="S1132" s="36" t="str">
        <f>VLOOKUP(Tabla911[[#This Row],[CODIGO DEL PRODUCTO]],Tabla79[],2,FALSE)</f>
        <v>PIEDRA 6-20</v>
      </c>
      <c r="T1132" s="37">
        <v>35280</v>
      </c>
      <c r="U1132" s="78"/>
    </row>
    <row r="1133" spans="15:24" x14ac:dyDescent="0.25">
      <c r="O1133" s="76">
        <v>104480</v>
      </c>
      <c r="P1133" s="78" t="s">
        <v>552</v>
      </c>
      <c r="Q1133" s="77">
        <v>45912</v>
      </c>
      <c r="R1133" s="78" t="s">
        <v>43</v>
      </c>
      <c r="S1133" s="36" t="str">
        <f>VLOOKUP(Tabla911[[#This Row],[CODIGO DEL PRODUCTO]],Tabla79[],2,FALSE)</f>
        <v>PIEDRA 6-20</v>
      </c>
      <c r="T1133" s="37">
        <v>35380</v>
      </c>
      <c r="U1133" s="78"/>
    </row>
    <row r="1134" spans="15:24" x14ac:dyDescent="0.25">
      <c r="O1134" s="76">
        <v>104481</v>
      </c>
      <c r="P1134" s="78" t="s">
        <v>252</v>
      </c>
      <c r="Q1134" s="77">
        <v>45912</v>
      </c>
      <c r="R1134" s="78" t="s">
        <v>40</v>
      </c>
      <c r="S1134" s="36" t="str">
        <f>VLOOKUP(Tabla911[[#This Row],[CODIGO DEL PRODUCTO]],Tabla79[],2,FALSE)</f>
        <v>PIEDRA 0-6</v>
      </c>
      <c r="T1134" s="37">
        <v>35120</v>
      </c>
      <c r="U1134" s="78"/>
    </row>
    <row r="1135" spans="15:24" x14ac:dyDescent="0.25">
      <c r="O1135" s="76">
        <v>2655496</v>
      </c>
      <c r="P1135" s="78" t="s">
        <v>65</v>
      </c>
      <c r="Q1135" s="77">
        <v>45912</v>
      </c>
      <c r="R1135" s="78" t="s">
        <v>286</v>
      </c>
      <c r="S1135" s="36" t="str">
        <f>VLOOKUP(Tabla911[[#This Row],[CODIGO DEL PRODUCTO]],Tabla79[],2,FALSE)</f>
        <v>CPF 40 AVELLANEDA</v>
      </c>
      <c r="T1135" s="37">
        <v>35860</v>
      </c>
      <c r="U1135" s="78"/>
    </row>
    <row r="1136" spans="15:24" x14ac:dyDescent="0.25">
      <c r="O1136" s="76">
        <v>2655597</v>
      </c>
      <c r="P1136" s="78" t="s">
        <v>140</v>
      </c>
      <c r="Q1136" s="77">
        <v>45912</v>
      </c>
      <c r="R1136" s="78" t="s">
        <v>286</v>
      </c>
      <c r="S1136" s="36" t="str">
        <f>VLOOKUP(Tabla911[[#This Row],[CODIGO DEL PRODUCTO]],Tabla79[],2,FALSE)</f>
        <v>CPF 40 AVELLANEDA</v>
      </c>
      <c r="T1136" s="37">
        <v>36300</v>
      </c>
      <c r="U1136" s="78"/>
      <c r="V1136" s="7">
        <v>45913</v>
      </c>
      <c r="W1136" t="s">
        <v>562</v>
      </c>
      <c r="X1136" t="s">
        <v>563</v>
      </c>
    </row>
    <row r="1137" spans="15:21" x14ac:dyDescent="0.25">
      <c r="O1137" s="76">
        <v>101755</v>
      </c>
      <c r="P1137" s="78" t="s">
        <v>370</v>
      </c>
      <c r="Q1137" s="77">
        <v>45913</v>
      </c>
      <c r="R1137" s="78" t="s">
        <v>42</v>
      </c>
      <c r="S1137" s="36" t="str">
        <f>VLOOKUP(Tabla911[[#This Row],[CODIGO DEL PRODUCTO]],Tabla79[],2,FALSE)</f>
        <v>ARENA FINA</v>
      </c>
      <c r="T1137" s="37">
        <v>34280</v>
      </c>
      <c r="U1137" s="78"/>
    </row>
    <row r="1138" spans="15:21" x14ac:dyDescent="0.25">
      <c r="O1138" s="76">
        <v>101760</v>
      </c>
      <c r="P1138" s="78" t="s">
        <v>550</v>
      </c>
      <c r="Q1138" s="77">
        <v>45913</v>
      </c>
      <c r="R1138" s="78" t="s">
        <v>42</v>
      </c>
      <c r="S1138" s="36" t="str">
        <f>VLOOKUP(Tabla911[[#This Row],[CODIGO DEL PRODUCTO]],Tabla79[],2,FALSE)</f>
        <v>ARENA FINA</v>
      </c>
      <c r="T1138" s="37">
        <v>34560</v>
      </c>
      <c r="U1138" s="78"/>
    </row>
    <row r="1139" spans="15:21" x14ac:dyDescent="0.25">
      <c r="O1139" s="76">
        <v>101765</v>
      </c>
      <c r="P1139" s="78" t="s">
        <v>549</v>
      </c>
      <c r="Q1139" s="77">
        <v>45913</v>
      </c>
      <c r="R1139" s="78" t="s">
        <v>42</v>
      </c>
      <c r="S1139" s="36" t="str">
        <f>VLOOKUP(Tabla911[[#This Row],[CODIGO DEL PRODUCTO]],Tabla79[],2,FALSE)</f>
        <v>ARENA FINA</v>
      </c>
      <c r="T1139" s="37">
        <v>36620</v>
      </c>
      <c r="U1139" s="78"/>
    </row>
    <row r="1140" spans="15:21" x14ac:dyDescent="0.25">
      <c r="O1140" s="76">
        <v>104487</v>
      </c>
      <c r="P1140" s="78" t="s">
        <v>150</v>
      </c>
      <c r="Q1140" s="77">
        <v>45913</v>
      </c>
      <c r="R1140" s="78" t="s">
        <v>43</v>
      </c>
      <c r="S1140" s="36" t="str">
        <f>VLOOKUP(Tabla911[[#This Row],[CODIGO DEL PRODUCTO]],Tabla79[],2,FALSE)</f>
        <v>PIEDRA 6-20</v>
      </c>
      <c r="T1140" s="37">
        <v>35000</v>
      </c>
      <c r="U1140" s="78"/>
    </row>
    <row r="1141" spans="15:21" x14ac:dyDescent="0.25">
      <c r="O1141" s="76">
        <v>2655875</v>
      </c>
      <c r="P1141" s="78" t="s">
        <v>140</v>
      </c>
      <c r="Q1141" s="77">
        <v>45913</v>
      </c>
      <c r="R1141" s="78" t="s">
        <v>286</v>
      </c>
      <c r="S1141" s="36" t="str">
        <f>VLOOKUP(Tabla911[[#This Row],[CODIGO DEL PRODUCTO]],Tabla79[],2,FALSE)</f>
        <v>CPF 40 AVELLANEDA</v>
      </c>
      <c r="T1141" s="37">
        <v>36420</v>
      </c>
      <c r="U1141" s="78"/>
    </row>
    <row r="1142" spans="15:21" x14ac:dyDescent="0.25">
      <c r="O1142" s="76">
        <v>2655689</v>
      </c>
      <c r="P1142" s="78" t="s">
        <v>65</v>
      </c>
      <c r="Q1142" s="77">
        <v>45913</v>
      </c>
      <c r="R1142" s="78" t="s">
        <v>286</v>
      </c>
      <c r="S1142" s="36" t="str">
        <f>VLOOKUP(Tabla911[[#This Row],[CODIGO DEL PRODUCTO]],Tabla79[],2,FALSE)</f>
        <v>CPF 40 AVELLANEDA</v>
      </c>
      <c r="T1142" s="37">
        <v>36040</v>
      </c>
      <c r="U1142" s="78"/>
    </row>
    <row r="1143" spans="15:21" x14ac:dyDescent="0.25">
      <c r="O1143" s="76">
        <v>101772</v>
      </c>
      <c r="P1143" s="78" t="s">
        <v>550</v>
      </c>
      <c r="Q1143" s="77">
        <v>45915</v>
      </c>
      <c r="R1143" s="78" t="s">
        <v>42</v>
      </c>
      <c r="S1143" s="36" t="str">
        <f>VLOOKUP(Tabla911[[#This Row],[CODIGO DEL PRODUCTO]],Tabla79[],2,FALSE)</f>
        <v>ARENA FINA</v>
      </c>
      <c r="T1143" s="37">
        <v>36960</v>
      </c>
      <c r="U1143" s="78"/>
    </row>
    <row r="1144" spans="15:21" x14ac:dyDescent="0.25">
      <c r="O1144" s="76">
        <v>101778</v>
      </c>
      <c r="P1144" s="78" t="s">
        <v>549</v>
      </c>
      <c r="Q1144" s="77">
        <v>45915</v>
      </c>
      <c r="R1144" s="78" t="s">
        <v>42</v>
      </c>
      <c r="S1144" s="36" t="str">
        <f>VLOOKUP(Tabla911[[#This Row],[CODIGO DEL PRODUCTO]],Tabla79[],2,FALSE)</f>
        <v>ARENA FINA</v>
      </c>
      <c r="T1144" s="37">
        <v>35340</v>
      </c>
      <c r="U1144" s="78"/>
    </row>
    <row r="1145" spans="15:21" x14ac:dyDescent="0.25">
      <c r="O1145" s="76">
        <v>101779</v>
      </c>
      <c r="P1145" s="78" t="s">
        <v>370</v>
      </c>
      <c r="Q1145" s="77">
        <v>45915</v>
      </c>
      <c r="R1145" s="78" t="s">
        <v>42</v>
      </c>
      <c r="S1145" s="36" t="str">
        <f>VLOOKUP(Tabla911[[#This Row],[CODIGO DEL PRODUCTO]],Tabla79[],2,FALSE)</f>
        <v>ARENA FINA</v>
      </c>
      <c r="T1145" s="37">
        <v>34240</v>
      </c>
      <c r="U1145" s="78"/>
    </row>
    <row r="1146" spans="15:21" x14ac:dyDescent="0.25">
      <c r="O1146" s="76">
        <v>101781</v>
      </c>
      <c r="P1146" s="78" t="s">
        <v>550</v>
      </c>
      <c r="Q1146" s="77">
        <v>45915</v>
      </c>
      <c r="R1146" s="78" t="s">
        <v>42</v>
      </c>
      <c r="S1146" s="36" t="str">
        <f>VLOOKUP(Tabla911[[#This Row],[CODIGO DEL PRODUCTO]],Tabla79[],2,FALSE)</f>
        <v>ARENA FINA</v>
      </c>
      <c r="T1146" s="37">
        <v>36260</v>
      </c>
      <c r="U1146" s="78"/>
    </row>
    <row r="1147" spans="15:21" x14ac:dyDescent="0.25">
      <c r="O1147" s="76">
        <v>101782</v>
      </c>
      <c r="P1147" s="78" t="s">
        <v>554</v>
      </c>
      <c r="Q1147" s="77">
        <v>45915</v>
      </c>
      <c r="R1147" s="78" t="s">
        <v>42</v>
      </c>
      <c r="S1147" s="36" t="str">
        <f>VLOOKUP(Tabla911[[#This Row],[CODIGO DEL PRODUCTO]],Tabla79[],2,FALSE)</f>
        <v>ARENA FINA</v>
      </c>
      <c r="T1147" s="37">
        <v>34680</v>
      </c>
      <c r="U1147" s="78"/>
    </row>
    <row r="1148" spans="15:21" x14ac:dyDescent="0.25">
      <c r="O1148" s="76">
        <v>215673</v>
      </c>
      <c r="P1148" s="78" t="s">
        <v>516</v>
      </c>
      <c r="Q1148" s="77">
        <v>45915</v>
      </c>
      <c r="R1148" s="78" t="s">
        <v>43</v>
      </c>
      <c r="S1148" s="36" t="str">
        <f>VLOOKUP(Tabla911[[#This Row],[CODIGO DEL PRODUCTO]],Tabla79[],2,FALSE)</f>
        <v>PIEDRA 6-20</v>
      </c>
      <c r="T1148" s="37">
        <v>35140</v>
      </c>
      <c r="U1148" s="78"/>
    </row>
    <row r="1149" spans="15:21" x14ac:dyDescent="0.25">
      <c r="O1149" s="76">
        <v>104500</v>
      </c>
      <c r="P1149" s="78" t="s">
        <v>299</v>
      </c>
      <c r="Q1149" s="77">
        <v>45915</v>
      </c>
      <c r="R1149" s="78" t="s">
        <v>43</v>
      </c>
      <c r="S1149" s="36" t="str">
        <f>VLOOKUP(Tabla911[[#This Row],[CODIGO DEL PRODUCTO]],Tabla79[],2,FALSE)</f>
        <v>PIEDRA 6-20</v>
      </c>
      <c r="T1149" s="37">
        <v>35400</v>
      </c>
      <c r="U1149" s="78"/>
    </row>
    <row r="1150" spans="15:21" x14ac:dyDescent="0.25">
      <c r="O1150" s="76">
        <v>104502</v>
      </c>
      <c r="P1150" s="78" t="s">
        <v>349</v>
      </c>
      <c r="Q1150" s="77">
        <v>45915</v>
      </c>
      <c r="R1150" s="78" t="s">
        <v>43</v>
      </c>
      <c r="S1150" s="36" t="str">
        <f>VLOOKUP(Tabla911[[#This Row],[CODIGO DEL PRODUCTO]],Tabla79[],2,FALSE)</f>
        <v>PIEDRA 6-20</v>
      </c>
      <c r="T1150" s="37">
        <v>35820</v>
      </c>
      <c r="U1150" s="78"/>
    </row>
    <row r="1151" spans="15:21" x14ac:dyDescent="0.25">
      <c r="O1151" s="76">
        <v>104504</v>
      </c>
      <c r="P1151" s="78" t="s">
        <v>160</v>
      </c>
      <c r="Q1151" s="77">
        <v>45915</v>
      </c>
      <c r="R1151" s="78" t="s">
        <v>43</v>
      </c>
      <c r="S1151" s="36" t="str">
        <f>VLOOKUP(Tabla911[[#This Row],[CODIGO DEL PRODUCTO]],Tabla79[],2,FALSE)</f>
        <v>PIEDRA 6-20</v>
      </c>
      <c r="T1151" s="37">
        <v>35100</v>
      </c>
      <c r="U1151" s="78"/>
    </row>
    <row r="1152" spans="15:21" x14ac:dyDescent="0.25">
      <c r="O1152" s="76">
        <v>104508</v>
      </c>
      <c r="P1152" s="78" t="s">
        <v>254</v>
      </c>
      <c r="Q1152" s="77">
        <v>45915</v>
      </c>
      <c r="R1152" s="78" t="s">
        <v>40</v>
      </c>
      <c r="S1152" s="36" t="str">
        <f>VLOOKUP(Tabla911[[#This Row],[CODIGO DEL PRODUCTO]],Tabla79[],2,FALSE)</f>
        <v>PIEDRA 0-6</v>
      </c>
      <c r="T1152" s="37">
        <v>34260</v>
      </c>
      <c r="U1152" s="78"/>
    </row>
    <row r="1153" spans="15:21" x14ac:dyDescent="0.25">
      <c r="O1153" s="76">
        <v>143639</v>
      </c>
      <c r="P1153" s="78" t="s">
        <v>119</v>
      </c>
      <c r="Q1153" s="77">
        <v>45915</v>
      </c>
      <c r="R1153" s="78" t="s">
        <v>43</v>
      </c>
      <c r="S1153" s="36" t="str">
        <f>VLOOKUP(Tabla911[[#This Row],[CODIGO DEL PRODUCTO]],Tabla79[],2,FALSE)</f>
        <v>PIEDRA 6-20</v>
      </c>
      <c r="T1153" s="37">
        <v>35440</v>
      </c>
      <c r="U1153" s="78"/>
    </row>
    <row r="1154" spans="15:21" x14ac:dyDescent="0.25">
      <c r="O1154" s="76">
        <v>143623</v>
      </c>
      <c r="P1154" s="78" t="s">
        <v>338</v>
      </c>
      <c r="Q1154" s="77">
        <v>45915</v>
      </c>
      <c r="R1154" s="78" t="s">
        <v>40</v>
      </c>
      <c r="S1154" s="36" t="str">
        <f>VLOOKUP(Tabla911[[#This Row],[CODIGO DEL PRODUCTO]],Tabla79[],2,FALSE)</f>
        <v>PIEDRA 0-6</v>
      </c>
      <c r="T1154" s="37">
        <v>34160</v>
      </c>
      <c r="U1154" s="78"/>
    </row>
    <row r="1155" spans="15:21" x14ac:dyDescent="0.25">
      <c r="O1155" s="76">
        <v>2656099</v>
      </c>
      <c r="P1155" s="78" t="s">
        <v>65</v>
      </c>
      <c r="Q1155" s="77">
        <v>45915</v>
      </c>
      <c r="R1155" s="78" t="s">
        <v>286</v>
      </c>
      <c r="S1155" s="36" t="str">
        <f>VLOOKUP(Tabla911[[#This Row],[CODIGO DEL PRODUCTO]],Tabla79[],2,FALSE)</f>
        <v>CPF 40 AVELLANEDA</v>
      </c>
      <c r="T1155" s="37">
        <v>36000</v>
      </c>
      <c r="U1155" s="78"/>
    </row>
    <row r="1156" spans="15:21" x14ac:dyDescent="0.25">
      <c r="O1156" s="76">
        <v>101788</v>
      </c>
      <c r="P1156" s="78" t="s">
        <v>370</v>
      </c>
      <c r="Q1156" s="77">
        <v>45916</v>
      </c>
      <c r="R1156" s="78" t="s">
        <v>42</v>
      </c>
      <c r="S1156" s="36" t="str">
        <f>VLOOKUP(Tabla911[[#This Row],[CODIGO DEL PRODUCTO]],Tabla79[],2,FALSE)</f>
        <v>ARENA FINA</v>
      </c>
      <c r="T1156" s="37">
        <v>33940</v>
      </c>
      <c r="U1156" s="78"/>
    </row>
    <row r="1157" spans="15:21" x14ac:dyDescent="0.25">
      <c r="O1157" s="76">
        <v>101790</v>
      </c>
      <c r="P1157" s="78" t="s">
        <v>550</v>
      </c>
      <c r="Q1157" s="77">
        <v>45916</v>
      </c>
      <c r="R1157" s="78" t="s">
        <v>42</v>
      </c>
      <c r="S1157" s="36" t="str">
        <f>VLOOKUP(Tabla911[[#This Row],[CODIGO DEL PRODUCTO]],Tabla79[],2,FALSE)</f>
        <v>ARENA FINA</v>
      </c>
      <c r="T1157" s="37">
        <v>36660</v>
      </c>
      <c r="U1157" s="78"/>
    </row>
    <row r="1158" spans="15:21" x14ac:dyDescent="0.25">
      <c r="O1158" s="76">
        <v>101792</v>
      </c>
      <c r="P1158" s="78" t="s">
        <v>548</v>
      </c>
      <c r="Q1158" s="77">
        <v>45916</v>
      </c>
      <c r="R1158" s="78" t="s">
        <v>42</v>
      </c>
      <c r="S1158" s="36" t="str">
        <f>VLOOKUP(Tabla911[[#This Row],[CODIGO DEL PRODUCTO]],Tabla79[],2,FALSE)</f>
        <v>ARENA FINA</v>
      </c>
      <c r="T1158" s="37">
        <v>37780</v>
      </c>
      <c r="U1158" s="78"/>
    </row>
    <row r="1159" spans="15:21" x14ac:dyDescent="0.25">
      <c r="O1159" s="76">
        <v>101797</v>
      </c>
      <c r="P1159" s="78" t="s">
        <v>370</v>
      </c>
      <c r="Q1159" s="77">
        <v>45916</v>
      </c>
      <c r="R1159" s="78" t="s">
        <v>42</v>
      </c>
      <c r="S1159" s="36" t="str">
        <f>VLOOKUP(Tabla911[[#This Row],[CODIGO DEL PRODUCTO]],Tabla79[],2,FALSE)</f>
        <v>ARENA FINA</v>
      </c>
      <c r="T1159" s="37">
        <v>35200</v>
      </c>
      <c r="U1159" s="78"/>
    </row>
    <row r="1160" spans="15:21" x14ac:dyDescent="0.25">
      <c r="O1160" s="76">
        <v>101798</v>
      </c>
      <c r="P1160" s="78" t="s">
        <v>550</v>
      </c>
      <c r="Q1160" s="77">
        <v>45916</v>
      </c>
      <c r="R1160" s="78" t="s">
        <v>42</v>
      </c>
      <c r="S1160" s="36" t="str">
        <f>VLOOKUP(Tabla911[[#This Row],[CODIGO DEL PRODUCTO]],Tabla79[],2,FALSE)</f>
        <v>ARENA FINA</v>
      </c>
      <c r="T1160" s="37">
        <v>38240</v>
      </c>
      <c r="U1160" s="78"/>
    </row>
    <row r="1161" spans="15:21" x14ac:dyDescent="0.25">
      <c r="O1161" s="76">
        <v>101800</v>
      </c>
      <c r="P1161" s="78" t="s">
        <v>549</v>
      </c>
      <c r="Q1161" s="77">
        <v>45916</v>
      </c>
      <c r="R1161" s="78" t="s">
        <v>42</v>
      </c>
      <c r="S1161" s="36" t="str">
        <f>VLOOKUP(Tabla911[[#This Row],[CODIGO DEL PRODUCTO]],Tabla79[],2,FALSE)</f>
        <v>ARENA FINA</v>
      </c>
      <c r="T1161" s="37">
        <v>37200</v>
      </c>
      <c r="U1161" s="78"/>
    </row>
    <row r="1162" spans="15:21" x14ac:dyDescent="0.25">
      <c r="O1162" s="76">
        <v>104518</v>
      </c>
      <c r="P1162" s="78" t="s">
        <v>244</v>
      </c>
      <c r="Q1162" s="77">
        <v>45916</v>
      </c>
      <c r="R1162" s="78" t="s">
        <v>40</v>
      </c>
      <c r="S1162" s="36" t="str">
        <f>VLOOKUP(Tabla911[[#This Row],[CODIGO DEL PRODUCTO]],Tabla79[],2,FALSE)</f>
        <v>PIEDRA 0-6</v>
      </c>
      <c r="T1162" s="37">
        <v>34720</v>
      </c>
      <c r="U1162" s="78"/>
    </row>
    <row r="1163" spans="15:21" x14ac:dyDescent="0.25">
      <c r="O1163" s="76">
        <v>104532</v>
      </c>
      <c r="P1163" s="78" t="s">
        <v>160</v>
      </c>
      <c r="Q1163" s="77">
        <v>45916</v>
      </c>
      <c r="R1163" s="78" t="s">
        <v>43</v>
      </c>
      <c r="S1163" s="36" t="str">
        <f>VLOOKUP(Tabla911[[#This Row],[CODIGO DEL PRODUCTO]],Tabla79[],2,FALSE)</f>
        <v>PIEDRA 6-20</v>
      </c>
      <c r="T1163" s="37">
        <v>34860</v>
      </c>
      <c r="U1163" s="78"/>
    </row>
    <row r="1164" spans="15:21" x14ac:dyDescent="0.25">
      <c r="O1164" s="76">
        <v>104534</v>
      </c>
      <c r="P1164" s="78" t="s">
        <v>349</v>
      </c>
      <c r="Q1164" s="77">
        <v>45916</v>
      </c>
      <c r="R1164" s="78" t="s">
        <v>43</v>
      </c>
      <c r="S1164" s="36" t="str">
        <f>VLOOKUP(Tabla911[[#This Row],[CODIGO DEL PRODUCTO]],Tabla79[],2,FALSE)</f>
        <v>PIEDRA 6-20</v>
      </c>
      <c r="T1164" s="37">
        <v>36160</v>
      </c>
      <c r="U1164" s="78"/>
    </row>
    <row r="1165" spans="15:21" x14ac:dyDescent="0.25">
      <c r="O1165" s="76">
        <v>104540</v>
      </c>
      <c r="P1165" s="78" t="s">
        <v>299</v>
      </c>
      <c r="Q1165" s="77">
        <v>45916</v>
      </c>
      <c r="R1165" s="78" t="s">
        <v>43</v>
      </c>
      <c r="S1165" s="36" t="str">
        <f>VLOOKUP(Tabla911[[#This Row],[CODIGO DEL PRODUCTO]],Tabla79[],2,FALSE)</f>
        <v>PIEDRA 6-20</v>
      </c>
      <c r="T1165" s="37">
        <v>34820</v>
      </c>
      <c r="U1165" s="78"/>
    </row>
    <row r="1166" spans="15:21" x14ac:dyDescent="0.25">
      <c r="O1166" s="76">
        <v>104541</v>
      </c>
      <c r="P1166" s="78" t="s">
        <v>254</v>
      </c>
      <c r="Q1166" s="77">
        <v>45916</v>
      </c>
      <c r="R1166" s="78" t="s">
        <v>40</v>
      </c>
      <c r="S1166" s="36" t="str">
        <f>VLOOKUP(Tabla911[[#This Row],[CODIGO DEL PRODUCTO]],Tabla79[],2,FALSE)</f>
        <v>PIEDRA 0-6</v>
      </c>
      <c r="T1166" s="37">
        <v>33720</v>
      </c>
      <c r="U1166" s="78"/>
    </row>
    <row r="1167" spans="15:21" x14ac:dyDescent="0.25">
      <c r="O1167" s="76">
        <v>2656374</v>
      </c>
      <c r="P1167" s="78" t="s">
        <v>65</v>
      </c>
      <c r="Q1167" s="77">
        <v>45916</v>
      </c>
      <c r="R1167" s="78" t="s">
        <v>286</v>
      </c>
      <c r="S1167" s="36" t="str">
        <f>VLOOKUP(Tabla911[[#This Row],[CODIGO DEL PRODUCTO]],Tabla79[],2,FALSE)</f>
        <v>CPF 40 AVELLANEDA</v>
      </c>
      <c r="T1167" s="37">
        <v>36040</v>
      </c>
      <c r="U1167" s="78"/>
    </row>
    <row r="1168" spans="15:21" x14ac:dyDescent="0.25">
      <c r="O1168" s="76">
        <v>2656437</v>
      </c>
      <c r="P1168" s="78" t="s">
        <v>296</v>
      </c>
      <c r="Q1168" s="77">
        <v>45916</v>
      </c>
      <c r="R1168" s="78" t="s">
        <v>286</v>
      </c>
      <c r="S1168" s="36" t="str">
        <f>VLOOKUP(Tabla911[[#This Row],[CODIGO DEL PRODUCTO]],Tabla79[],2,FALSE)</f>
        <v>CPF 40 AVELLANEDA</v>
      </c>
      <c r="T1168" s="37">
        <v>36240</v>
      </c>
      <c r="U1168" s="78"/>
    </row>
    <row r="1169" spans="15:24" x14ac:dyDescent="0.25">
      <c r="O1169" s="76">
        <v>101805</v>
      </c>
      <c r="P1169" s="78" t="s">
        <v>370</v>
      </c>
      <c r="Q1169" s="77">
        <v>45917</v>
      </c>
      <c r="R1169" s="78" t="s">
        <v>42</v>
      </c>
      <c r="S1169" s="36" t="str">
        <f>VLOOKUP(Tabla911[[#This Row],[CODIGO DEL PRODUCTO]],Tabla79[],2,FALSE)</f>
        <v>ARENA FINA</v>
      </c>
      <c r="T1169" s="37">
        <v>35580</v>
      </c>
      <c r="U1169" s="78"/>
      <c r="V1169" s="7">
        <v>45917</v>
      </c>
      <c r="W1169" t="s">
        <v>565</v>
      </c>
      <c r="X1169" t="s">
        <v>566</v>
      </c>
    </row>
    <row r="1170" spans="15:24" x14ac:dyDescent="0.25">
      <c r="O1170" s="76">
        <v>101808</v>
      </c>
      <c r="P1170" s="78" t="s">
        <v>550</v>
      </c>
      <c r="Q1170" s="77">
        <v>45917</v>
      </c>
      <c r="R1170" s="78" t="s">
        <v>42</v>
      </c>
      <c r="S1170" s="36" t="str">
        <f>VLOOKUP(Tabla911[[#This Row],[CODIGO DEL PRODUCTO]],Tabla79[],2,FALSE)</f>
        <v>ARENA FINA</v>
      </c>
      <c r="T1170" s="37">
        <v>35460</v>
      </c>
      <c r="U1170" s="78"/>
    </row>
    <row r="1171" spans="15:24" x14ac:dyDescent="0.25">
      <c r="O1171" s="76">
        <v>101814</v>
      </c>
      <c r="P1171" s="78" t="s">
        <v>548</v>
      </c>
      <c r="Q1171" s="77">
        <v>45917</v>
      </c>
      <c r="R1171" s="78" t="s">
        <v>42</v>
      </c>
      <c r="S1171" s="36" t="str">
        <f>VLOOKUP(Tabla911[[#This Row],[CODIGO DEL PRODUCTO]],Tabla79[],2,FALSE)</f>
        <v>ARENA FINA</v>
      </c>
      <c r="T1171" s="37">
        <v>35800</v>
      </c>
      <c r="U1171" s="78"/>
    </row>
    <row r="1172" spans="15:24" x14ac:dyDescent="0.25">
      <c r="O1172" s="76">
        <v>101815</v>
      </c>
      <c r="P1172" s="78" t="s">
        <v>370</v>
      </c>
      <c r="Q1172" s="77">
        <v>45917</v>
      </c>
      <c r="R1172" s="78" t="s">
        <v>42</v>
      </c>
      <c r="S1172" s="36" t="str">
        <f>VLOOKUP(Tabla911[[#This Row],[CODIGO DEL PRODUCTO]],Tabla79[],2,FALSE)</f>
        <v>ARENA FINA</v>
      </c>
      <c r="T1172" s="37">
        <v>35340</v>
      </c>
      <c r="U1172" s="78"/>
    </row>
    <row r="1173" spans="15:24" x14ac:dyDescent="0.25">
      <c r="O1173" s="76">
        <v>101816</v>
      </c>
      <c r="P1173" s="78" t="s">
        <v>550</v>
      </c>
      <c r="Q1173" s="77">
        <v>45917</v>
      </c>
      <c r="R1173" s="78" t="s">
        <v>42</v>
      </c>
      <c r="S1173" s="36" t="str">
        <f>VLOOKUP(Tabla911[[#This Row],[CODIGO DEL PRODUCTO]],Tabla79[],2,FALSE)</f>
        <v>ARENA FINA</v>
      </c>
      <c r="T1173" s="37">
        <v>36860</v>
      </c>
      <c r="U1173" s="78"/>
    </row>
    <row r="1174" spans="15:24" x14ac:dyDescent="0.25">
      <c r="O1174" s="76">
        <v>101818</v>
      </c>
      <c r="P1174" s="78" t="s">
        <v>554</v>
      </c>
      <c r="Q1174" s="77">
        <v>45917</v>
      </c>
      <c r="R1174" s="78" t="s">
        <v>42</v>
      </c>
      <c r="S1174" s="36" t="str">
        <f>VLOOKUP(Tabla911[[#This Row],[CODIGO DEL PRODUCTO]],Tabla79[],2,FALSE)</f>
        <v>ARENA FINA</v>
      </c>
      <c r="T1174" s="37">
        <v>34700</v>
      </c>
      <c r="U1174" s="78"/>
    </row>
    <row r="1175" spans="15:24" x14ac:dyDescent="0.25">
      <c r="O1175" s="76">
        <v>101819</v>
      </c>
      <c r="P1175" s="78" t="s">
        <v>567</v>
      </c>
      <c r="Q1175" s="77">
        <v>45917</v>
      </c>
      <c r="R1175" s="78" t="s">
        <v>42</v>
      </c>
      <c r="S1175" s="36" t="str">
        <f>VLOOKUP(Tabla911[[#This Row],[CODIGO DEL PRODUCTO]],Tabla79[],2,FALSE)</f>
        <v>ARENA FINA</v>
      </c>
      <c r="T1175" s="37">
        <v>38780</v>
      </c>
      <c r="U1175" s="78"/>
    </row>
    <row r="1176" spans="15:24" x14ac:dyDescent="0.25">
      <c r="O1176" s="76">
        <v>101820</v>
      </c>
      <c r="P1176" s="78" t="s">
        <v>549</v>
      </c>
      <c r="Q1176" s="77">
        <v>45917</v>
      </c>
      <c r="R1176" s="78" t="s">
        <v>42</v>
      </c>
      <c r="S1176" s="36" t="str">
        <f>VLOOKUP(Tabla911[[#This Row],[CODIGO DEL PRODUCTO]],Tabla79[],2,FALSE)</f>
        <v>ARENA FINA</v>
      </c>
      <c r="T1176" s="37">
        <v>37240</v>
      </c>
      <c r="U1176" s="78"/>
    </row>
    <row r="1177" spans="15:24" x14ac:dyDescent="0.25">
      <c r="O1177" s="76">
        <v>215756</v>
      </c>
      <c r="P1177" s="78" t="s">
        <v>516</v>
      </c>
      <c r="Q1177" s="77">
        <v>45916</v>
      </c>
      <c r="R1177" s="78" t="s">
        <v>43</v>
      </c>
      <c r="S1177" s="36" t="str">
        <f>VLOOKUP(Tabla911[[#This Row],[CODIGO DEL PRODUCTO]],Tabla79[],2,FALSE)</f>
        <v>PIEDRA 6-20</v>
      </c>
      <c r="T1177" s="37">
        <v>33900</v>
      </c>
      <c r="U1177" s="78"/>
    </row>
    <row r="1178" spans="15:24" x14ac:dyDescent="0.25">
      <c r="O1178" s="76">
        <v>104561</v>
      </c>
      <c r="P1178" s="78" t="s">
        <v>244</v>
      </c>
      <c r="Q1178" s="77">
        <v>45917</v>
      </c>
      <c r="R1178" s="78" t="s">
        <v>40</v>
      </c>
      <c r="S1178" s="36" t="str">
        <f>VLOOKUP(Tabla911[[#This Row],[CODIGO DEL PRODUCTO]],Tabla79[],2,FALSE)</f>
        <v>PIEDRA 0-6</v>
      </c>
      <c r="T1178" s="37">
        <v>34040</v>
      </c>
      <c r="U1178" s="78"/>
    </row>
    <row r="1179" spans="15:24" x14ac:dyDescent="0.25">
      <c r="O1179" s="76">
        <v>104569</v>
      </c>
      <c r="P1179" s="78" t="s">
        <v>349</v>
      </c>
      <c r="Q1179" s="77">
        <v>45917</v>
      </c>
      <c r="R1179" s="78" t="s">
        <v>43</v>
      </c>
      <c r="S1179" s="36" t="str">
        <f>VLOOKUP(Tabla911[[#This Row],[CODIGO DEL PRODUCTO]],Tabla79[],2,FALSE)</f>
        <v>PIEDRA 6-20</v>
      </c>
      <c r="T1179" s="37">
        <v>36000</v>
      </c>
      <c r="U1179" s="78"/>
    </row>
    <row r="1180" spans="15:24" x14ac:dyDescent="0.25">
      <c r="O1180" s="76">
        <v>104571</v>
      </c>
      <c r="P1180" s="78" t="s">
        <v>299</v>
      </c>
      <c r="Q1180" s="77">
        <v>45917</v>
      </c>
      <c r="R1180" s="78" t="s">
        <v>43</v>
      </c>
      <c r="S1180" s="36" t="str">
        <f>VLOOKUP(Tabla911[[#This Row],[CODIGO DEL PRODUCTO]],Tabla79[],2,FALSE)</f>
        <v>PIEDRA 6-20</v>
      </c>
      <c r="T1180" s="37">
        <v>34600</v>
      </c>
      <c r="U1180" s="78"/>
    </row>
    <row r="1181" spans="15:24" x14ac:dyDescent="0.25">
      <c r="O1181" s="76">
        <v>104578</v>
      </c>
      <c r="P1181" s="78" t="s">
        <v>160</v>
      </c>
      <c r="Q1181" s="77">
        <v>45917</v>
      </c>
      <c r="R1181" s="78" t="s">
        <v>43</v>
      </c>
      <c r="S1181" s="36" t="str">
        <f>VLOOKUP(Tabla911[[#This Row],[CODIGO DEL PRODUCTO]],Tabla79[],2,FALSE)</f>
        <v>PIEDRA 6-20</v>
      </c>
      <c r="T1181" s="37">
        <v>34200</v>
      </c>
      <c r="U1181" s="78"/>
    </row>
    <row r="1182" spans="15:24" x14ac:dyDescent="0.25">
      <c r="O1182" s="76">
        <v>104579</v>
      </c>
      <c r="P1182" s="78" t="s">
        <v>254</v>
      </c>
      <c r="Q1182" s="77">
        <v>45917</v>
      </c>
      <c r="R1182" s="78" t="s">
        <v>40</v>
      </c>
      <c r="S1182" s="36" t="str">
        <f>VLOOKUP(Tabla911[[#This Row],[CODIGO DEL PRODUCTO]],Tabla79[],2,FALSE)</f>
        <v>PIEDRA 0-6</v>
      </c>
      <c r="T1182" s="37">
        <v>34640</v>
      </c>
      <c r="U1182" s="78"/>
    </row>
    <row r="1183" spans="15:24" x14ac:dyDescent="0.25">
      <c r="O1183" s="76">
        <v>2656717</v>
      </c>
      <c r="P1183" s="78" t="s">
        <v>65</v>
      </c>
      <c r="Q1183" s="77">
        <v>45917</v>
      </c>
      <c r="R1183" s="78" t="s">
        <v>286</v>
      </c>
      <c r="S1183" s="36" t="str">
        <f>VLOOKUP(Tabla911[[#This Row],[CODIGO DEL PRODUCTO]],Tabla79[],2,FALSE)</f>
        <v>CPF 40 AVELLANEDA</v>
      </c>
      <c r="T1183" s="37">
        <v>36120</v>
      </c>
      <c r="U1183" s="78"/>
    </row>
    <row r="1184" spans="15:24" x14ac:dyDescent="0.25">
      <c r="O1184" s="76">
        <v>101825</v>
      </c>
      <c r="P1184" s="78" t="s">
        <v>370</v>
      </c>
      <c r="Q1184" s="77">
        <v>45918</v>
      </c>
      <c r="R1184" s="78" t="s">
        <v>42</v>
      </c>
      <c r="S1184" s="36" t="str">
        <f>VLOOKUP(Tabla911[[#This Row],[CODIGO DEL PRODUCTO]],Tabla79[],2,FALSE)</f>
        <v>ARENA FINA</v>
      </c>
      <c r="T1184" s="37">
        <v>36880</v>
      </c>
      <c r="U1184" s="78"/>
    </row>
    <row r="1185" spans="15:21" x14ac:dyDescent="0.25">
      <c r="O1185" s="76">
        <v>101827</v>
      </c>
      <c r="P1185" s="78" t="s">
        <v>550</v>
      </c>
      <c r="Q1185" s="77">
        <v>45918</v>
      </c>
      <c r="R1185" s="78" t="s">
        <v>42</v>
      </c>
      <c r="S1185" s="36" t="str">
        <f>VLOOKUP(Tabla911[[#This Row],[CODIGO DEL PRODUCTO]],Tabla79[],2,FALSE)</f>
        <v>ARENA FINA</v>
      </c>
      <c r="T1185" s="37">
        <v>36920</v>
      </c>
      <c r="U1185" s="78"/>
    </row>
    <row r="1186" spans="15:21" x14ac:dyDescent="0.25">
      <c r="O1186" s="76">
        <v>101833</v>
      </c>
      <c r="P1186" s="78" t="s">
        <v>548</v>
      </c>
      <c r="Q1186" s="77">
        <v>45918</v>
      </c>
      <c r="R1186" s="78" t="s">
        <v>42</v>
      </c>
      <c r="S1186" s="36" t="str">
        <f>VLOOKUP(Tabla911[[#This Row],[CODIGO DEL PRODUCTO]],Tabla79[],2,FALSE)</f>
        <v>ARENA FINA</v>
      </c>
      <c r="T1186" s="37">
        <v>35680</v>
      </c>
      <c r="U1186" s="78"/>
    </row>
    <row r="1187" spans="15:21" x14ac:dyDescent="0.25">
      <c r="O1187" s="76">
        <v>101834</v>
      </c>
      <c r="P1187" s="78" t="s">
        <v>370</v>
      </c>
      <c r="Q1187" s="77">
        <v>45918</v>
      </c>
      <c r="R1187" s="78" t="s">
        <v>42</v>
      </c>
      <c r="S1187" s="36" t="str">
        <f>VLOOKUP(Tabla911[[#This Row],[CODIGO DEL PRODUCTO]],Tabla79[],2,FALSE)</f>
        <v>ARENA FINA</v>
      </c>
      <c r="T1187" s="37">
        <v>34320</v>
      </c>
      <c r="U1187" s="78"/>
    </row>
    <row r="1188" spans="15:21" x14ac:dyDescent="0.25">
      <c r="O1188" s="76">
        <v>101835</v>
      </c>
      <c r="P1188" s="78" t="s">
        <v>550</v>
      </c>
      <c r="Q1188" s="77">
        <v>45918</v>
      </c>
      <c r="R1188" s="78" t="s">
        <v>42</v>
      </c>
      <c r="S1188" s="36" t="str">
        <f>VLOOKUP(Tabla911[[#This Row],[CODIGO DEL PRODUCTO]],Tabla79[],2,FALSE)</f>
        <v>ARENA FINA</v>
      </c>
      <c r="T1188" s="37">
        <v>38360</v>
      </c>
      <c r="U1188" s="78"/>
    </row>
    <row r="1189" spans="15:21" x14ac:dyDescent="0.25">
      <c r="O1189" s="76">
        <v>101837</v>
      </c>
      <c r="P1189" s="78" t="s">
        <v>554</v>
      </c>
      <c r="Q1189" s="77">
        <v>45918</v>
      </c>
      <c r="R1189" s="78" t="s">
        <v>42</v>
      </c>
      <c r="S1189" s="36" t="str">
        <f>VLOOKUP(Tabla911[[#This Row],[CODIGO DEL PRODUCTO]],Tabla79[],2,FALSE)</f>
        <v>ARENA FINA</v>
      </c>
      <c r="T1189" s="37">
        <v>36520</v>
      </c>
      <c r="U1189" s="78"/>
    </row>
    <row r="1190" spans="15:21" x14ac:dyDescent="0.25">
      <c r="O1190" s="76">
        <v>101839</v>
      </c>
      <c r="P1190" s="78" t="s">
        <v>549</v>
      </c>
      <c r="Q1190" s="77">
        <v>45918</v>
      </c>
      <c r="R1190" s="78" t="s">
        <v>42</v>
      </c>
      <c r="S1190" s="36" t="str">
        <f>VLOOKUP(Tabla911[[#This Row],[CODIGO DEL PRODUCTO]],Tabla79[],2,FALSE)</f>
        <v>ARENA FINA</v>
      </c>
      <c r="T1190" s="37">
        <v>35880</v>
      </c>
      <c r="U1190" s="78"/>
    </row>
    <row r="1191" spans="15:21" x14ac:dyDescent="0.25">
      <c r="O1191" s="76">
        <v>104588</v>
      </c>
      <c r="P1191" s="78" t="s">
        <v>244</v>
      </c>
      <c r="Q1191" s="77">
        <v>45918</v>
      </c>
      <c r="R1191" s="78" t="s">
        <v>40</v>
      </c>
      <c r="S1191" s="36" t="str">
        <f>VLOOKUP(Tabla911[[#This Row],[CODIGO DEL PRODUCTO]],Tabla79[],2,FALSE)</f>
        <v>PIEDRA 0-6</v>
      </c>
      <c r="T1191" s="37">
        <v>33800</v>
      </c>
      <c r="U1191" s="78"/>
    </row>
    <row r="1192" spans="15:21" x14ac:dyDescent="0.25">
      <c r="O1192" s="76">
        <v>104602</v>
      </c>
      <c r="P1192" s="78" t="s">
        <v>160</v>
      </c>
      <c r="Q1192" s="77">
        <v>45918</v>
      </c>
      <c r="R1192" s="78" t="s">
        <v>43</v>
      </c>
      <c r="S1192" s="36" t="str">
        <f>VLOOKUP(Tabla911[[#This Row],[CODIGO DEL PRODUCTO]],Tabla79[],2,FALSE)</f>
        <v>PIEDRA 6-20</v>
      </c>
      <c r="T1192" s="37">
        <v>34600</v>
      </c>
      <c r="U1192" s="78"/>
    </row>
    <row r="1193" spans="15:21" x14ac:dyDescent="0.25">
      <c r="O1193" s="76">
        <v>104607</v>
      </c>
      <c r="P1193" s="78" t="s">
        <v>299</v>
      </c>
      <c r="Q1193" s="77">
        <v>45918</v>
      </c>
      <c r="R1193" s="78" t="s">
        <v>43</v>
      </c>
      <c r="S1193" s="36" t="str">
        <f>VLOOKUP(Tabla911[[#This Row],[CODIGO DEL PRODUCTO]],Tabla79[],2,FALSE)</f>
        <v>PIEDRA 6-20</v>
      </c>
      <c r="T1193" s="37">
        <v>35180</v>
      </c>
      <c r="U1193" s="78"/>
    </row>
    <row r="1194" spans="15:21" x14ac:dyDescent="0.25">
      <c r="O1194" s="76">
        <v>104612</v>
      </c>
      <c r="P1194" s="78" t="s">
        <v>254</v>
      </c>
      <c r="Q1194" s="77">
        <v>45918</v>
      </c>
      <c r="R1194" s="78" t="s">
        <v>40</v>
      </c>
      <c r="S1194" s="36" t="str">
        <f>VLOOKUP(Tabla911[[#This Row],[CODIGO DEL PRODUCTO]],Tabla79[],2,FALSE)</f>
        <v>PIEDRA 0-6</v>
      </c>
      <c r="T1194" s="37">
        <v>33740</v>
      </c>
      <c r="U1194" s="78"/>
    </row>
    <row r="1195" spans="15:21" x14ac:dyDescent="0.25">
      <c r="O1195" s="76">
        <v>2656997</v>
      </c>
      <c r="P1195" s="78" t="s">
        <v>296</v>
      </c>
      <c r="Q1195" s="77">
        <v>45918</v>
      </c>
      <c r="R1195" s="78" t="s">
        <v>286</v>
      </c>
      <c r="S1195" s="36" t="str">
        <f>VLOOKUP(Tabla911[[#This Row],[CODIGO DEL PRODUCTO]],Tabla79[],2,FALSE)</f>
        <v>CPF 40 AVELLANEDA</v>
      </c>
      <c r="T1195" s="37">
        <v>36380</v>
      </c>
      <c r="U1195" s="78"/>
    </row>
    <row r="1196" spans="15:21" x14ac:dyDescent="0.25">
      <c r="O1196" s="76">
        <v>2657003</v>
      </c>
      <c r="P1196" s="78" t="s">
        <v>65</v>
      </c>
      <c r="Q1196" s="77">
        <v>45918</v>
      </c>
      <c r="R1196" s="78" t="s">
        <v>286</v>
      </c>
      <c r="S1196" s="36" t="str">
        <f>VLOOKUP(Tabla911[[#This Row],[CODIGO DEL PRODUCTO]],Tabla79[],2,FALSE)</f>
        <v>CPF 40 AVELLANEDA</v>
      </c>
      <c r="T1196" s="37">
        <v>35980</v>
      </c>
      <c r="U1196" s="78"/>
    </row>
    <row r="1197" spans="15:21" x14ac:dyDescent="0.25">
      <c r="O1197" s="76">
        <v>101844</v>
      </c>
      <c r="P1197" s="78" t="s">
        <v>370</v>
      </c>
      <c r="Q1197" s="77">
        <v>45919</v>
      </c>
      <c r="R1197" s="78" t="s">
        <v>42</v>
      </c>
      <c r="S1197" s="36" t="str">
        <f>VLOOKUP(Tabla911[[#This Row],[CODIGO DEL PRODUCTO]],Tabla79[],2,FALSE)</f>
        <v>ARENA FINA</v>
      </c>
      <c r="T1197" s="37">
        <v>35100</v>
      </c>
      <c r="U1197" s="78"/>
    </row>
    <row r="1198" spans="15:21" x14ac:dyDescent="0.25">
      <c r="O1198" s="76">
        <v>101846</v>
      </c>
      <c r="P1198" s="78" t="s">
        <v>550</v>
      </c>
      <c r="Q1198" s="77">
        <v>45919</v>
      </c>
      <c r="R1198" s="78" t="s">
        <v>42</v>
      </c>
      <c r="S1198" s="36" t="str">
        <f>VLOOKUP(Tabla911[[#This Row],[CODIGO DEL PRODUCTO]],Tabla79[],2,FALSE)</f>
        <v>ARENA FINA</v>
      </c>
      <c r="T1198" s="37">
        <v>36640</v>
      </c>
      <c r="U1198" s="78"/>
    </row>
    <row r="1199" spans="15:21" x14ac:dyDescent="0.25">
      <c r="O1199" s="76">
        <v>101849</v>
      </c>
      <c r="P1199" s="78" t="s">
        <v>370</v>
      </c>
      <c r="Q1199" s="77">
        <v>45919</v>
      </c>
      <c r="R1199" s="78" t="s">
        <v>42</v>
      </c>
      <c r="S1199" s="36" t="str">
        <f>VLOOKUP(Tabla911[[#This Row],[CODIGO DEL PRODUCTO]],Tabla79[],2,FALSE)</f>
        <v>ARENA FINA</v>
      </c>
      <c r="T1199" s="37">
        <v>35380</v>
      </c>
      <c r="U1199" s="78"/>
    </row>
    <row r="1200" spans="15:21" x14ac:dyDescent="0.25">
      <c r="O1200" s="76">
        <v>101850</v>
      </c>
      <c r="P1200" s="78" t="s">
        <v>550</v>
      </c>
      <c r="Q1200" s="77">
        <v>45919</v>
      </c>
      <c r="R1200" s="78" t="s">
        <v>42</v>
      </c>
      <c r="S1200" s="36" t="str">
        <f>VLOOKUP(Tabla911[[#This Row],[CODIGO DEL PRODUCTO]],Tabla79[],2,FALSE)</f>
        <v>ARENA FINA</v>
      </c>
      <c r="T1200" s="37">
        <v>37340</v>
      </c>
      <c r="U1200" s="78"/>
    </row>
    <row r="1201" spans="15:24" x14ac:dyDescent="0.25">
      <c r="O1201" s="76">
        <v>104621</v>
      </c>
      <c r="P1201" s="78" t="s">
        <v>349</v>
      </c>
      <c r="Q1201" s="77">
        <v>45919</v>
      </c>
      <c r="R1201" s="78" t="s">
        <v>43</v>
      </c>
      <c r="S1201" s="36" t="str">
        <f>VLOOKUP(Tabla911[[#This Row],[CODIGO DEL PRODUCTO]],Tabla79[],2,FALSE)</f>
        <v>PIEDRA 6-20</v>
      </c>
      <c r="T1201" s="37">
        <v>35620</v>
      </c>
      <c r="U1201" s="78"/>
    </row>
    <row r="1202" spans="15:24" x14ac:dyDescent="0.25">
      <c r="O1202" s="76">
        <v>104622</v>
      </c>
      <c r="P1202" s="78" t="s">
        <v>160</v>
      </c>
      <c r="Q1202" s="77">
        <v>45919</v>
      </c>
      <c r="R1202" s="78" t="s">
        <v>43</v>
      </c>
      <c r="S1202" s="36" t="str">
        <f>VLOOKUP(Tabla911[[#This Row],[CODIGO DEL PRODUCTO]],Tabla79[],2,FALSE)</f>
        <v>PIEDRA 6-20</v>
      </c>
      <c r="T1202" s="37">
        <v>34440</v>
      </c>
      <c r="U1202" s="78"/>
    </row>
    <row r="1203" spans="15:24" x14ac:dyDescent="0.25">
      <c r="O1203" s="76">
        <v>104628</v>
      </c>
      <c r="P1203" s="78" t="s">
        <v>254</v>
      </c>
      <c r="Q1203" s="77">
        <v>45919</v>
      </c>
      <c r="R1203" s="78" t="s">
        <v>40</v>
      </c>
      <c r="S1203" s="36" t="str">
        <f>VLOOKUP(Tabla911[[#This Row],[CODIGO DEL PRODUCTO]],Tabla79[],2,FALSE)</f>
        <v>PIEDRA 0-6</v>
      </c>
      <c r="T1203" s="37">
        <v>35280</v>
      </c>
      <c r="U1203" s="78"/>
    </row>
    <row r="1204" spans="15:24" x14ac:dyDescent="0.25">
      <c r="O1204" s="76">
        <v>104631</v>
      </c>
      <c r="P1204" s="78" t="s">
        <v>299</v>
      </c>
      <c r="Q1204" s="77">
        <v>45919</v>
      </c>
      <c r="R1204" s="78" t="s">
        <v>43</v>
      </c>
      <c r="S1204" s="36" t="str">
        <f>VLOOKUP(Tabla911[[#This Row],[CODIGO DEL PRODUCTO]],Tabla79[],2,FALSE)</f>
        <v>PIEDRA 6-20</v>
      </c>
      <c r="T1204" s="37">
        <v>34420</v>
      </c>
      <c r="U1204" s="78"/>
    </row>
    <row r="1205" spans="15:24" x14ac:dyDescent="0.25">
      <c r="O1205" s="76">
        <v>143993</v>
      </c>
      <c r="P1205" s="78" t="s">
        <v>338</v>
      </c>
      <c r="Q1205" s="77">
        <v>45919</v>
      </c>
      <c r="R1205" s="78" t="s">
        <v>40</v>
      </c>
      <c r="S1205" s="36" t="str">
        <f>VLOOKUP(Tabla911[[#This Row],[CODIGO DEL PRODUCTO]],Tabla79[],2,FALSE)</f>
        <v>PIEDRA 0-6</v>
      </c>
      <c r="T1205" s="37">
        <v>34160</v>
      </c>
      <c r="U1205" s="78"/>
    </row>
    <row r="1206" spans="15:24" x14ac:dyDescent="0.25">
      <c r="O1206" s="76">
        <v>2657159</v>
      </c>
      <c r="P1206" s="78" t="s">
        <v>65</v>
      </c>
      <c r="Q1206" s="77">
        <v>45919</v>
      </c>
      <c r="R1206" s="78" t="s">
        <v>286</v>
      </c>
      <c r="S1206" s="36" t="str">
        <f>VLOOKUP(Tabla911[[#This Row],[CODIGO DEL PRODUCTO]],Tabla79[],2,FALSE)</f>
        <v>CPF 40 AVELLANEDA</v>
      </c>
      <c r="T1206" s="37">
        <v>35900</v>
      </c>
      <c r="U1206" s="78"/>
    </row>
    <row r="1207" spans="15:24" x14ac:dyDescent="0.25">
      <c r="O1207" s="76">
        <v>2657249</v>
      </c>
      <c r="P1207" s="78" t="s">
        <v>296</v>
      </c>
      <c r="Q1207" s="77">
        <v>45919</v>
      </c>
      <c r="R1207" s="78" t="s">
        <v>286</v>
      </c>
      <c r="S1207" s="36" t="str">
        <f>VLOOKUP(Tabla911[[#This Row],[CODIGO DEL PRODUCTO]],Tabla79[],2,FALSE)</f>
        <v>CPF 40 AVELLANEDA</v>
      </c>
      <c r="T1207" s="37">
        <v>35840</v>
      </c>
      <c r="U1207" s="78"/>
    </row>
    <row r="1208" spans="15:24" x14ac:dyDescent="0.25">
      <c r="O1208" s="76">
        <v>101857</v>
      </c>
      <c r="P1208" s="78" t="s">
        <v>550</v>
      </c>
      <c r="Q1208" s="77">
        <v>45920</v>
      </c>
      <c r="R1208" s="78" t="s">
        <v>42</v>
      </c>
      <c r="S1208" s="36" t="str">
        <f>VLOOKUP(Tabla911[[#This Row],[CODIGO DEL PRODUCTO]],Tabla79[],2,FALSE)</f>
        <v>ARENA FINA</v>
      </c>
      <c r="T1208" s="37">
        <v>36840</v>
      </c>
      <c r="U1208" s="78"/>
    </row>
    <row r="1209" spans="15:24" x14ac:dyDescent="0.25">
      <c r="O1209" s="76">
        <v>144087</v>
      </c>
      <c r="P1209" s="78" t="s">
        <v>119</v>
      </c>
      <c r="Q1209" s="77">
        <v>45920</v>
      </c>
      <c r="R1209" s="78" t="s">
        <v>43</v>
      </c>
      <c r="S1209" s="36" t="str">
        <f>VLOOKUP(Tabla911[[#This Row],[CODIGO DEL PRODUCTO]],Tabla79[],2,FALSE)</f>
        <v>PIEDRA 6-20</v>
      </c>
      <c r="T1209" s="37">
        <v>35320</v>
      </c>
      <c r="U1209" s="78"/>
    </row>
    <row r="1210" spans="15:24" x14ac:dyDescent="0.25">
      <c r="O1210" s="76">
        <v>144088</v>
      </c>
      <c r="P1210" s="78" t="s">
        <v>296</v>
      </c>
      <c r="Q1210" s="77">
        <v>45920</v>
      </c>
      <c r="R1210" s="78" t="s">
        <v>43</v>
      </c>
      <c r="S1210" s="36" t="str">
        <f>VLOOKUP(Tabla911[[#This Row],[CODIGO DEL PRODUCTO]],Tabla79[],2,FALSE)</f>
        <v>PIEDRA 6-20</v>
      </c>
      <c r="T1210" s="37">
        <v>34960</v>
      </c>
      <c r="U1210" s="78"/>
    </row>
    <row r="1211" spans="15:24" x14ac:dyDescent="0.25">
      <c r="O1211" s="76">
        <v>2657419</v>
      </c>
      <c r="P1211" s="78" t="s">
        <v>65</v>
      </c>
      <c r="Q1211" s="77">
        <v>45920</v>
      </c>
      <c r="R1211" s="78" t="s">
        <v>286</v>
      </c>
      <c r="S1211" s="36" t="str">
        <f>VLOOKUP(Tabla911[[#This Row],[CODIGO DEL PRODUCTO]],Tabla79[],2,FALSE)</f>
        <v>CPF 40 AVELLANEDA</v>
      </c>
      <c r="T1211" s="37">
        <v>36040</v>
      </c>
      <c r="U1211" s="78"/>
    </row>
    <row r="1212" spans="15:24" x14ac:dyDescent="0.25">
      <c r="O1212" s="76">
        <v>101893</v>
      </c>
      <c r="P1212" s="78" t="s">
        <v>547</v>
      </c>
      <c r="Q1212" s="77">
        <v>45922</v>
      </c>
      <c r="R1212" s="78" t="s">
        <v>42</v>
      </c>
      <c r="S1212" s="36" t="str">
        <f>VLOOKUP(Tabla911[[#This Row],[CODIGO DEL PRODUCTO]],Tabla79[],2,FALSE)</f>
        <v>ARENA FINA</v>
      </c>
      <c r="T1212" s="37">
        <v>35180</v>
      </c>
      <c r="U1212" s="78"/>
      <c r="V1212" s="7">
        <v>45922</v>
      </c>
      <c r="W1212" t="s">
        <v>568</v>
      </c>
      <c r="X1212" t="s">
        <v>569</v>
      </c>
    </row>
    <row r="1213" spans="15:24" x14ac:dyDescent="0.25">
      <c r="O1213" s="76">
        <v>101875</v>
      </c>
      <c r="P1213" s="78" t="s">
        <v>550</v>
      </c>
      <c r="Q1213" s="77">
        <v>45922</v>
      </c>
      <c r="R1213" s="78" t="s">
        <v>42</v>
      </c>
      <c r="S1213" s="36" t="str">
        <f>VLOOKUP(Tabla911[[#This Row],[CODIGO DEL PRODUCTO]],Tabla79[],2,FALSE)</f>
        <v>ARENA FINA</v>
      </c>
      <c r="T1213" s="37">
        <v>35540</v>
      </c>
      <c r="U1213" s="78"/>
    </row>
    <row r="1214" spans="15:24" x14ac:dyDescent="0.25">
      <c r="O1214" s="76">
        <v>101876</v>
      </c>
      <c r="P1214" s="78" t="s">
        <v>546</v>
      </c>
      <c r="Q1214" s="77">
        <v>45922</v>
      </c>
      <c r="R1214" s="78" t="s">
        <v>42</v>
      </c>
      <c r="S1214" s="36" t="str">
        <f>VLOOKUP(Tabla911[[#This Row],[CODIGO DEL PRODUCTO]],Tabla79[],2,FALSE)</f>
        <v>ARENA FINA</v>
      </c>
      <c r="T1214" s="37">
        <v>36380</v>
      </c>
      <c r="U1214" s="78"/>
    </row>
    <row r="1215" spans="15:24" x14ac:dyDescent="0.25">
      <c r="O1215" s="76">
        <v>101878</v>
      </c>
      <c r="P1215" s="78" t="s">
        <v>549</v>
      </c>
      <c r="Q1215" s="77">
        <v>45922</v>
      </c>
      <c r="R1215" s="78" t="s">
        <v>42</v>
      </c>
      <c r="S1215" s="36" t="str">
        <f>VLOOKUP(Tabla911[[#This Row],[CODIGO DEL PRODUCTO]],Tabla79[],2,FALSE)</f>
        <v>ARENA FINA</v>
      </c>
      <c r="T1215" s="37">
        <v>35040</v>
      </c>
      <c r="U1215" s="78"/>
    </row>
    <row r="1216" spans="15:24" x14ac:dyDescent="0.25">
      <c r="O1216" s="76">
        <v>101879</v>
      </c>
      <c r="P1216" s="78" t="s">
        <v>550</v>
      </c>
      <c r="Q1216" s="77">
        <v>45922</v>
      </c>
      <c r="R1216" s="78" t="s">
        <v>42</v>
      </c>
      <c r="S1216" s="36" t="str">
        <f>VLOOKUP(Tabla911[[#This Row],[CODIGO DEL PRODUCTO]],Tabla79[],2,FALSE)</f>
        <v>ARENA FINA</v>
      </c>
      <c r="T1216" s="37">
        <v>37600</v>
      </c>
      <c r="U1216" s="78"/>
    </row>
    <row r="1217" spans="15:21" x14ac:dyDescent="0.25">
      <c r="O1217" s="76">
        <v>215918</v>
      </c>
      <c r="P1217" s="78" t="s">
        <v>516</v>
      </c>
      <c r="Q1217" s="77">
        <v>45922</v>
      </c>
      <c r="R1217" s="78" t="s">
        <v>43</v>
      </c>
      <c r="S1217" s="36" t="str">
        <f>VLOOKUP(Tabla911[[#This Row],[CODIGO DEL PRODUCTO]],Tabla79[],2,FALSE)</f>
        <v>PIEDRA 6-20</v>
      </c>
      <c r="T1217" s="37">
        <v>34920</v>
      </c>
      <c r="U1217" s="78"/>
    </row>
    <row r="1218" spans="15:21" x14ac:dyDescent="0.25">
      <c r="O1218" s="76">
        <v>104650</v>
      </c>
      <c r="P1218" s="78" t="s">
        <v>570</v>
      </c>
      <c r="Q1218" s="77">
        <v>45922</v>
      </c>
      <c r="R1218" s="78" t="s">
        <v>40</v>
      </c>
      <c r="S1218" s="36" t="str">
        <f>VLOOKUP(Tabla911[[#This Row],[CODIGO DEL PRODUCTO]],Tabla79[],2,FALSE)</f>
        <v>PIEDRA 0-6</v>
      </c>
      <c r="T1218" s="37">
        <v>34400</v>
      </c>
      <c r="U1218" s="78"/>
    </row>
    <row r="1219" spans="15:21" x14ac:dyDescent="0.25">
      <c r="O1219" s="76">
        <v>104659</v>
      </c>
      <c r="P1219" s="78" t="s">
        <v>234</v>
      </c>
      <c r="Q1219" s="77">
        <v>45922</v>
      </c>
      <c r="R1219" s="78" t="s">
        <v>43</v>
      </c>
      <c r="S1219" s="36" t="str">
        <f>VLOOKUP(Tabla911[[#This Row],[CODIGO DEL PRODUCTO]],Tabla79[],2,FALSE)</f>
        <v>PIEDRA 6-20</v>
      </c>
      <c r="T1219" s="37">
        <v>36020</v>
      </c>
      <c r="U1219" s="78"/>
    </row>
    <row r="1220" spans="15:21" x14ac:dyDescent="0.25">
      <c r="O1220" s="76">
        <v>104663</v>
      </c>
      <c r="P1220" s="78" t="s">
        <v>160</v>
      </c>
      <c r="Q1220" s="77">
        <v>45922</v>
      </c>
      <c r="R1220" s="78" t="s">
        <v>43</v>
      </c>
      <c r="S1220" s="36" t="str">
        <f>VLOOKUP(Tabla911[[#This Row],[CODIGO DEL PRODUCTO]],Tabla79[],2,FALSE)</f>
        <v>PIEDRA 6-20</v>
      </c>
      <c r="T1220" s="37">
        <v>34440</v>
      </c>
      <c r="U1220" s="78"/>
    </row>
    <row r="1221" spans="15:21" x14ac:dyDescent="0.25">
      <c r="O1221" s="76">
        <v>104668</v>
      </c>
      <c r="P1221" s="78" t="s">
        <v>238</v>
      </c>
      <c r="Q1221" s="77">
        <v>45922</v>
      </c>
      <c r="R1221" s="78" t="s">
        <v>43</v>
      </c>
      <c r="S1221" s="36" t="str">
        <f>VLOOKUP(Tabla911[[#This Row],[CODIGO DEL PRODUCTO]],Tabla79[],2,FALSE)</f>
        <v>PIEDRA 6-20</v>
      </c>
      <c r="T1221" s="37">
        <v>35120</v>
      </c>
      <c r="U1221" s="78"/>
    </row>
    <row r="1222" spans="15:21" x14ac:dyDescent="0.25">
      <c r="O1222" s="76">
        <v>104670</v>
      </c>
      <c r="P1222" s="78" t="s">
        <v>156</v>
      </c>
      <c r="Q1222" s="77">
        <v>45922</v>
      </c>
      <c r="R1222" s="78" t="s">
        <v>43</v>
      </c>
      <c r="S1222" s="36" t="str">
        <f>VLOOKUP(Tabla911[[#This Row],[CODIGO DEL PRODUCTO]],Tabla79[],2,FALSE)</f>
        <v>PIEDRA 6-20</v>
      </c>
      <c r="T1222" s="37">
        <v>34960</v>
      </c>
      <c r="U1222" s="78"/>
    </row>
    <row r="1223" spans="15:21" x14ac:dyDescent="0.25">
      <c r="O1223" s="76">
        <v>104671</v>
      </c>
      <c r="P1223" s="78" t="s">
        <v>299</v>
      </c>
      <c r="Q1223" s="77">
        <v>45922</v>
      </c>
      <c r="R1223" s="78" t="s">
        <v>43</v>
      </c>
      <c r="S1223" s="36" t="str">
        <f>VLOOKUP(Tabla911[[#This Row],[CODIGO DEL PRODUCTO]],Tabla79[],2,FALSE)</f>
        <v>PIEDRA 6-20</v>
      </c>
      <c r="T1223" s="37">
        <v>35180</v>
      </c>
      <c r="U1223" s="78"/>
    </row>
    <row r="1224" spans="15:21" x14ac:dyDescent="0.25">
      <c r="O1224" s="76">
        <v>104673</v>
      </c>
      <c r="P1224" s="78" t="s">
        <v>155</v>
      </c>
      <c r="Q1224" s="77">
        <v>45922</v>
      </c>
      <c r="R1224" s="78" t="s">
        <v>43</v>
      </c>
      <c r="S1224" s="36" t="str">
        <f>VLOOKUP(Tabla911[[#This Row],[CODIGO DEL PRODUCTO]],Tabla79[],2,FALSE)</f>
        <v>PIEDRA 6-20</v>
      </c>
      <c r="T1224" s="37">
        <v>34700</v>
      </c>
      <c r="U1224" s="78"/>
    </row>
    <row r="1225" spans="15:21" x14ac:dyDescent="0.25">
      <c r="O1225" s="76">
        <v>2657752</v>
      </c>
      <c r="P1225" s="78" t="s">
        <v>65</v>
      </c>
      <c r="Q1225" s="77">
        <v>45922</v>
      </c>
      <c r="R1225" s="78" t="s">
        <v>286</v>
      </c>
      <c r="S1225" s="36" t="str">
        <f>VLOOKUP(Tabla911[[#This Row],[CODIGO DEL PRODUCTO]],Tabla79[],2,FALSE)</f>
        <v>CPF 40 AVELLANEDA</v>
      </c>
      <c r="T1225" s="37">
        <v>35560</v>
      </c>
      <c r="U1225" s="78"/>
    </row>
    <row r="1226" spans="15:21" x14ac:dyDescent="0.25">
      <c r="O1226" s="76">
        <v>101887</v>
      </c>
      <c r="P1226" s="78" t="s">
        <v>370</v>
      </c>
      <c r="Q1226" s="77">
        <v>45923</v>
      </c>
      <c r="R1226" s="78" t="s">
        <v>42</v>
      </c>
      <c r="S1226" s="36" t="str">
        <f>VLOOKUP(Tabla911[[#This Row],[CODIGO DEL PRODUCTO]],Tabla79[],2,FALSE)</f>
        <v>ARENA FINA</v>
      </c>
      <c r="T1226" s="37">
        <v>35040</v>
      </c>
      <c r="U1226" s="78"/>
    </row>
    <row r="1227" spans="15:21" x14ac:dyDescent="0.25">
      <c r="O1227" s="76">
        <v>101889</v>
      </c>
      <c r="P1227" s="78" t="s">
        <v>550</v>
      </c>
      <c r="Q1227" s="77">
        <v>45923</v>
      </c>
      <c r="R1227" s="78" t="s">
        <v>42</v>
      </c>
      <c r="S1227" s="36" t="str">
        <f>VLOOKUP(Tabla911[[#This Row],[CODIGO DEL PRODUCTO]],Tabla79[],2,FALSE)</f>
        <v>ARENA FINA</v>
      </c>
      <c r="T1227" s="37">
        <v>37320</v>
      </c>
      <c r="U1227" s="78"/>
    </row>
    <row r="1228" spans="15:21" x14ac:dyDescent="0.25">
      <c r="O1228" s="76">
        <v>101891</v>
      </c>
      <c r="P1228" s="78" t="s">
        <v>546</v>
      </c>
      <c r="Q1228" s="77">
        <v>45923</v>
      </c>
      <c r="R1228" s="78" t="s">
        <v>42</v>
      </c>
      <c r="S1228" s="36" t="str">
        <f>VLOOKUP(Tabla911[[#This Row],[CODIGO DEL PRODUCTO]],Tabla79[],2,FALSE)</f>
        <v>ARENA FINA</v>
      </c>
      <c r="T1228" s="37">
        <v>36680</v>
      </c>
      <c r="U1228" s="78"/>
    </row>
    <row r="1229" spans="15:21" x14ac:dyDescent="0.25">
      <c r="O1229" s="76">
        <v>101892</v>
      </c>
      <c r="P1229" s="78" t="s">
        <v>63</v>
      </c>
      <c r="Q1229" s="77">
        <v>45923</v>
      </c>
      <c r="R1229" s="78" t="s">
        <v>42</v>
      </c>
      <c r="S1229" s="36" t="str">
        <f>VLOOKUP(Tabla911[[#This Row],[CODIGO DEL PRODUCTO]],Tabla79[],2,FALSE)</f>
        <v>ARENA FINA</v>
      </c>
      <c r="T1229" s="37">
        <v>35620</v>
      </c>
      <c r="U1229" s="78"/>
    </row>
    <row r="1230" spans="15:21" x14ac:dyDescent="0.25">
      <c r="O1230" s="76">
        <v>101893</v>
      </c>
      <c r="P1230" s="78" t="s">
        <v>567</v>
      </c>
      <c r="Q1230" s="77">
        <v>45923</v>
      </c>
      <c r="R1230" s="78" t="s">
        <v>42</v>
      </c>
      <c r="S1230" s="36" t="str">
        <f>VLOOKUP(Tabla911[[#This Row],[CODIGO DEL PRODUCTO]],Tabla79[],2,FALSE)</f>
        <v>ARENA FINA</v>
      </c>
      <c r="T1230" s="37">
        <v>37860</v>
      </c>
      <c r="U1230" s="78"/>
    </row>
    <row r="1231" spans="15:21" x14ac:dyDescent="0.25">
      <c r="O1231" s="76">
        <v>101894</v>
      </c>
      <c r="P1231" s="78" t="s">
        <v>549</v>
      </c>
      <c r="Q1231" s="77">
        <v>45923</v>
      </c>
      <c r="R1231" s="78" t="s">
        <v>42</v>
      </c>
      <c r="S1231" s="36" t="str">
        <f>VLOOKUP(Tabla911[[#This Row],[CODIGO DEL PRODUCTO]],Tabla79[],2,FALSE)</f>
        <v>ARENA FINA</v>
      </c>
      <c r="T1231" s="37">
        <v>36580</v>
      </c>
      <c r="U1231" s="78"/>
    </row>
    <row r="1232" spans="15:21" x14ac:dyDescent="0.25">
      <c r="O1232" s="76">
        <v>101895</v>
      </c>
      <c r="P1232" s="78" t="s">
        <v>571</v>
      </c>
      <c r="Q1232" s="77">
        <v>45923</v>
      </c>
      <c r="R1232" s="78" t="s">
        <v>42</v>
      </c>
      <c r="S1232" s="36" t="str">
        <f>VLOOKUP(Tabla911[[#This Row],[CODIGO DEL PRODUCTO]],Tabla79[],2,FALSE)</f>
        <v>ARENA FINA</v>
      </c>
      <c r="T1232" s="37">
        <v>35520</v>
      </c>
      <c r="U1232" s="78"/>
    </row>
    <row r="1233" spans="15:21" x14ac:dyDescent="0.25">
      <c r="O1233" s="76">
        <v>101898</v>
      </c>
      <c r="P1233" s="78" t="s">
        <v>370</v>
      </c>
      <c r="Q1233" s="77">
        <v>45923</v>
      </c>
      <c r="R1233" s="78" t="s">
        <v>42</v>
      </c>
      <c r="S1233" s="36" t="str">
        <f>VLOOKUP(Tabla911[[#This Row],[CODIGO DEL PRODUCTO]],Tabla79[],2,FALSE)</f>
        <v>ARENA FINA</v>
      </c>
      <c r="T1233" s="37">
        <v>34180</v>
      </c>
      <c r="U1233" s="78"/>
    </row>
    <row r="1234" spans="15:21" x14ac:dyDescent="0.25">
      <c r="O1234" s="76">
        <v>101899</v>
      </c>
      <c r="P1234" s="78" t="s">
        <v>550</v>
      </c>
      <c r="Q1234" s="77">
        <v>45923</v>
      </c>
      <c r="R1234" s="78" t="s">
        <v>42</v>
      </c>
      <c r="S1234" s="36" t="str">
        <f>VLOOKUP(Tabla911[[#This Row],[CODIGO DEL PRODUCTO]],Tabla79[],2,FALSE)</f>
        <v>ARENA FINA</v>
      </c>
      <c r="T1234" s="37">
        <v>37360</v>
      </c>
      <c r="U1234" s="78"/>
    </row>
    <row r="1235" spans="15:21" x14ac:dyDescent="0.25">
      <c r="O1235" s="76">
        <v>101901</v>
      </c>
      <c r="P1235" s="78" t="s">
        <v>63</v>
      </c>
      <c r="Q1235" s="77">
        <v>45923</v>
      </c>
      <c r="R1235" s="78" t="s">
        <v>42</v>
      </c>
      <c r="S1235" s="36" t="str">
        <f>VLOOKUP(Tabla911[[#This Row],[CODIGO DEL PRODUCTO]],Tabla79[],2,FALSE)</f>
        <v>ARENA FINA</v>
      </c>
      <c r="T1235" s="37">
        <v>35460</v>
      </c>
      <c r="U1235" s="78"/>
    </row>
    <row r="1236" spans="15:21" x14ac:dyDescent="0.25">
      <c r="O1236" s="76">
        <v>104690</v>
      </c>
      <c r="P1236" s="78" t="s">
        <v>570</v>
      </c>
      <c r="Q1236" s="77">
        <v>45923</v>
      </c>
      <c r="R1236" s="78" t="s">
        <v>40</v>
      </c>
      <c r="S1236" s="36" t="str">
        <f>VLOOKUP(Tabla911[[#This Row],[CODIGO DEL PRODUCTO]],Tabla79[],2,FALSE)</f>
        <v>PIEDRA 0-6</v>
      </c>
      <c r="T1236" s="37">
        <v>34240</v>
      </c>
      <c r="U1236" s="78"/>
    </row>
    <row r="1237" spans="15:21" x14ac:dyDescent="0.25">
      <c r="O1237" s="76">
        <v>104691</v>
      </c>
      <c r="P1237" s="78" t="s">
        <v>299</v>
      </c>
      <c r="Q1237" s="77">
        <v>45923</v>
      </c>
      <c r="R1237" s="78" t="s">
        <v>43</v>
      </c>
      <c r="S1237" s="36" t="str">
        <f>VLOOKUP(Tabla911[[#This Row],[CODIGO DEL PRODUCTO]],Tabla79[],2,FALSE)</f>
        <v>PIEDRA 6-20</v>
      </c>
      <c r="T1237" s="37">
        <v>35040</v>
      </c>
      <c r="U1237" s="78"/>
    </row>
    <row r="1238" spans="15:21" x14ac:dyDescent="0.25">
      <c r="O1238" s="76">
        <v>104695</v>
      </c>
      <c r="P1238" s="78" t="s">
        <v>160</v>
      </c>
      <c r="Q1238" s="77">
        <v>45923</v>
      </c>
      <c r="R1238" s="78" t="s">
        <v>43</v>
      </c>
      <c r="S1238" s="36" t="str">
        <f>VLOOKUP(Tabla911[[#This Row],[CODIGO DEL PRODUCTO]],Tabla79[],2,FALSE)</f>
        <v>PIEDRA 6-20</v>
      </c>
      <c r="T1238" s="37">
        <v>33880</v>
      </c>
      <c r="U1238" s="78"/>
    </row>
    <row r="1239" spans="15:21" x14ac:dyDescent="0.25">
      <c r="O1239" s="76">
        <v>104698</v>
      </c>
      <c r="P1239" s="78" t="s">
        <v>234</v>
      </c>
      <c r="Q1239" s="77">
        <v>45923</v>
      </c>
      <c r="R1239" s="78" t="s">
        <v>43</v>
      </c>
      <c r="S1239" s="36" t="str">
        <f>VLOOKUP(Tabla911[[#This Row],[CODIGO DEL PRODUCTO]],Tabla79[],2,FALSE)</f>
        <v>PIEDRA 6-20</v>
      </c>
      <c r="T1239" s="37">
        <v>35160</v>
      </c>
      <c r="U1239" s="78"/>
    </row>
    <row r="1240" spans="15:21" x14ac:dyDescent="0.25">
      <c r="O1240" s="76">
        <v>104700</v>
      </c>
      <c r="P1240" s="78" t="s">
        <v>156</v>
      </c>
      <c r="Q1240" s="77">
        <v>45923</v>
      </c>
      <c r="R1240" s="78" t="s">
        <v>43</v>
      </c>
      <c r="S1240" s="36" t="str">
        <f>VLOOKUP(Tabla911[[#This Row],[CODIGO DEL PRODUCTO]],Tabla79[],2,FALSE)</f>
        <v>PIEDRA 6-20</v>
      </c>
      <c r="T1240" s="37">
        <v>35100</v>
      </c>
      <c r="U1240" s="78"/>
    </row>
    <row r="1241" spans="15:21" x14ac:dyDescent="0.25">
      <c r="O1241" s="76">
        <v>104704</v>
      </c>
      <c r="P1241" s="78" t="s">
        <v>155</v>
      </c>
      <c r="Q1241" s="77">
        <v>45923</v>
      </c>
      <c r="R1241" s="78" t="s">
        <v>43</v>
      </c>
      <c r="S1241" s="36" t="str">
        <f>VLOOKUP(Tabla911[[#This Row],[CODIGO DEL PRODUCTO]],Tabla79[],2,FALSE)</f>
        <v>PIEDRA 6-20</v>
      </c>
      <c r="T1241" s="37">
        <v>34120</v>
      </c>
      <c r="U1241" s="78"/>
    </row>
    <row r="1242" spans="15:21" x14ac:dyDescent="0.25">
      <c r="O1242" s="76">
        <v>104705</v>
      </c>
      <c r="P1242" s="78" t="s">
        <v>238</v>
      </c>
      <c r="Q1242" s="77">
        <v>45923</v>
      </c>
      <c r="R1242" s="78" t="s">
        <v>43</v>
      </c>
      <c r="S1242" s="36" t="str">
        <f>VLOOKUP(Tabla911[[#This Row],[CODIGO DEL PRODUCTO]],Tabla79[],2,FALSE)</f>
        <v>PIEDRA 6-20</v>
      </c>
      <c r="T1242" s="37">
        <v>34600</v>
      </c>
      <c r="U1242" s="78"/>
    </row>
    <row r="1243" spans="15:21" x14ac:dyDescent="0.25">
      <c r="O1243" s="76">
        <v>2658026</v>
      </c>
      <c r="P1243" s="78" t="s">
        <v>65</v>
      </c>
      <c r="Q1243" s="77">
        <v>45923</v>
      </c>
      <c r="R1243" s="78" t="s">
        <v>286</v>
      </c>
      <c r="S1243" s="36" t="str">
        <f>VLOOKUP(Tabla911[[#This Row],[CODIGO DEL PRODUCTO]],Tabla79[],2,FALSE)</f>
        <v>CPF 40 AVELLANEDA</v>
      </c>
      <c r="T1243" s="37">
        <v>36040</v>
      </c>
      <c r="U1243" s="78"/>
    </row>
    <row r="1244" spans="15:21" x14ac:dyDescent="0.25">
      <c r="O1244" s="76">
        <v>101905</v>
      </c>
      <c r="P1244" s="78" t="s">
        <v>370</v>
      </c>
      <c r="Q1244" s="77">
        <v>45924</v>
      </c>
      <c r="R1244" s="78" t="s">
        <v>42</v>
      </c>
      <c r="S1244" s="36" t="str">
        <f>VLOOKUP(Tabla911[[#This Row],[CODIGO DEL PRODUCTO]],Tabla79[],2,FALSE)</f>
        <v>ARENA FINA</v>
      </c>
      <c r="T1244" s="37">
        <v>34360</v>
      </c>
      <c r="U1244" s="78"/>
    </row>
    <row r="1245" spans="15:21" x14ac:dyDescent="0.25">
      <c r="O1245" s="76">
        <v>101910</v>
      </c>
      <c r="P1245" s="78" t="s">
        <v>546</v>
      </c>
      <c r="Q1245" s="77">
        <v>45924</v>
      </c>
      <c r="R1245" s="78" t="s">
        <v>42</v>
      </c>
      <c r="S1245" s="36" t="str">
        <f>VLOOKUP(Tabla911[[#This Row],[CODIGO DEL PRODUCTO]],Tabla79[],2,FALSE)</f>
        <v>ARENA FINA</v>
      </c>
      <c r="T1245" s="37">
        <v>35380</v>
      </c>
      <c r="U1245" s="78"/>
    </row>
    <row r="1246" spans="15:21" x14ac:dyDescent="0.25">
      <c r="O1246" s="76">
        <v>101911</v>
      </c>
      <c r="P1246" s="78" t="s">
        <v>548</v>
      </c>
      <c r="Q1246" s="77">
        <v>45924</v>
      </c>
      <c r="R1246" s="78" t="s">
        <v>42</v>
      </c>
      <c r="S1246" s="36" t="str">
        <f>VLOOKUP(Tabla911[[#This Row],[CODIGO DEL PRODUCTO]],Tabla79[],2,FALSE)</f>
        <v>ARENA FINA</v>
      </c>
      <c r="T1246" s="37">
        <v>36040</v>
      </c>
      <c r="U1246" s="78"/>
    </row>
    <row r="1247" spans="15:21" x14ac:dyDescent="0.25">
      <c r="O1247" s="76">
        <v>101913</v>
      </c>
      <c r="P1247" s="78" t="s">
        <v>549</v>
      </c>
      <c r="Q1247" s="77">
        <v>45924</v>
      </c>
      <c r="R1247" s="78" t="s">
        <v>42</v>
      </c>
      <c r="S1247" s="36" t="str">
        <f>VLOOKUP(Tabla911[[#This Row],[CODIGO DEL PRODUCTO]],Tabla79[],2,FALSE)</f>
        <v>ARENA FINA</v>
      </c>
      <c r="T1247" s="37">
        <v>36920</v>
      </c>
      <c r="U1247" s="78"/>
    </row>
    <row r="1248" spans="15:21" x14ac:dyDescent="0.25">
      <c r="O1248" s="76">
        <v>101914</v>
      </c>
      <c r="P1248" s="78" t="s">
        <v>571</v>
      </c>
      <c r="Q1248" s="77">
        <v>45924</v>
      </c>
      <c r="R1248" s="78" t="s">
        <v>42</v>
      </c>
      <c r="S1248" s="36" t="str">
        <f>VLOOKUP(Tabla911[[#This Row],[CODIGO DEL PRODUCTO]],Tabla79[],2,FALSE)</f>
        <v>ARENA FINA</v>
      </c>
      <c r="T1248" s="37">
        <v>36400</v>
      </c>
      <c r="U1248" s="78"/>
    </row>
    <row r="1249" spans="15:21" x14ac:dyDescent="0.25">
      <c r="O1249" s="76">
        <v>101915</v>
      </c>
      <c r="P1249" s="78" t="s">
        <v>567</v>
      </c>
      <c r="Q1249" s="77">
        <v>45924</v>
      </c>
      <c r="R1249" s="78" t="s">
        <v>42</v>
      </c>
      <c r="S1249" s="36" t="str">
        <f>VLOOKUP(Tabla911[[#This Row],[CODIGO DEL PRODUCTO]],Tabla79[],2,FALSE)</f>
        <v>ARENA FINA</v>
      </c>
      <c r="T1249" s="37">
        <v>37660</v>
      </c>
      <c r="U1249" s="78"/>
    </row>
    <row r="1250" spans="15:21" x14ac:dyDescent="0.25">
      <c r="O1250" s="76">
        <v>101917</v>
      </c>
      <c r="P1250" s="78" t="s">
        <v>370</v>
      </c>
      <c r="Q1250" s="77">
        <v>45924</v>
      </c>
      <c r="R1250" s="78" t="s">
        <v>42</v>
      </c>
      <c r="S1250" s="36" t="str">
        <f>VLOOKUP(Tabla911[[#This Row],[CODIGO DEL PRODUCTO]],Tabla79[],2,FALSE)</f>
        <v>ARENA FINA</v>
      </c>
      <c r="T1250" s="37">
        <v>35200</v>
      </c>
      <c r="U1250" s="78"/>
    </row>
    <row r="1251" spans="15:21" x14ac:dyDescent="0.25">
      <c r="O1251" s="76">
        <v>101921</v>
      </c>
      <c r="P1251" s="78" t="s">
        <v>554</v>
      </c>
      <c r="Q1251" s="77">
        <v>45924</v>
      </c>
      <c r="R1251" s="78" t="s">
        <v>42</v>
      </c>
      <c r="S1251" s="36" t="str">
        <f>VLOOKUP(Tabla911[[#This Row],[CODIGO DEL PRODUCTO]],Tabla79[],2,FALSE)</f>
        <v>ARENA FINA</v>
      </c>
      <c r="T1251" s="37">
        <v>37440</v>
      </c>
      <c r="U1251" s="78"/>
    </row>
    <row r="1252" spans="15:21" x14ac:dyDescent="0.25">
      <c r="O1252" s="76">
        <v>216017</v>
      </c>
      <c r="P1252" s="78" t="s">
        <v>516</v>
      </c>
      <c r="Q1252" s="77">
        <v>45924</v>
      </c>
      <c r="R1252" s="78" t="s">
        <v>43</v>
      </c>
      <c r="S1252" s="36" t="str">
        <f>VLOOKUP(Tabla911[[#This Row],[CODIGO DEL PRODUCTO]],Tabla79[],2,FALSE)</f>
        <v>PIEDRA 6-20</v>
      </c>
      <c r="T1252" s="37">
        <v>34400</v>
      </c>
      <c r="U1252" s="78"/>
    </row>
    <row r="1253" spans="15:21" x14ac:dyDescent="0.25">
      <c r="O1253" s="76">
        <v>104716</v>
      </c>
      <c r="P1253" s="78" t="s">
        <v>570</v>
      </c>
      <c r="Q1253" s="77">
        <v>45924</v>
      </c>
      <c r="R1253" s="78" t="s">
        <v>40</v>
      </c>
      <c r="S1253" s="36" t="str">
        <f>VLOOKUP(Tabla911[[#This Row],[CODIGO DEL PRODUCTO]],Tabla79[],2,FALSE)</f>
        <v>PIEDRA 0-6</v>
      </c>
      <c r="T1253" s="37">
        <v>34200</v>
      </c>
      <c r="U1253" s="78"/>
    </row>
    <row r="1254" spans="15:21" x14ac:dyDescent="0.25">
      <c r="O1254" s="76">
        <v>104724</v>
      </c>
      <c r="P1254" s="78" t="s">
        <v>299</v>
      </c>
      <c r="Q1254" s="77">
        <v>45924</v>
      </c>
      <c r="R1254" s="78" t="s">
        <v>43</v>
      </c>
      <c r="S1254" s="36" t="str">
        <f>VLOOKUP(Tabla911[[#This Row],[CODIGO DEL PRODUCTO]],Tabla79[],2,FALSE)</f>
        <v>PIEDRA 6-20</v>
      </c>
      <c r="T1254" s="37">
        <v>35280</v>
      </c>
      <c r="U1254" s="78"/>
    </row>
    <row r="1255" spans="15:21" x14ac:dyDescent="0.25">
      <c r="O1255" s="76">
        <v>104727</v>
      </c>
      <c r="P1255" s="78" t="s">
        <v>349</v>
      </c>
      <c r="Q1255" s="77">
        <v>45924</v>
      </c>
      <c r="R1255" s="78" t="s">
        <v>43</v>
      </c>
      <c r="S1255" s="36" t="str">
        <f>VLOOKUP(Tabla911[[#This Row],[CODIGO DEL PRODUCTO]],Tabla79[],2,FALSE)</f>
        <v>PIEDRA 6-20</v>
      </c>
      <c r="T1255" s="37">
        <v>35440</v>
      </c>
      <c r="U1255" s="78"/>
    </row>
    <row r="1256" spans="15:21" x14ac:dyDescent="0.25">
      <c r="O1256" s="76">
        <v>104728</v>
      </c>
      <c r="P1256" s="78" t="s">
        <v>160</v>
      </c>
      <c r="Q1256" s="77">
        <v>45924</v>
      </c>
      <c r="R1256" s="78" t="s">
        <v>43</v>
      </c>
      <c r="S1256" s="36" t="str">
        <f>VLOOKUP(Tabla911[[#This Row],[CODIGO DEL PRODUCTO]],Tabla79[],2,FALSE)</f>
        <v>PIEDRA 6-20</v>
      </c>
      <c r="T1256" s="37">
        <v>34420</v>
      </c>
      <c r="U1256" s="78"/>
    </row>
    <row r="1257" spans="15:21" x14ac:dyDescent="0.25">
      <c r="O1257" s="76">
        <v>104732</v>
      </c>
      <c r="P1257" s="78" t="s">
        <v>238</v>
      </c>
      <c r="Q1257" s="77">
        <v>45924</v>
      </c>
      <c r="R1257" s="78" t="s">
        <v>43</v>
      </c>
      <c r="S1257" s="36" t="str">
        <f>VLOOKUP(Tabla911[[#This Row],[CODIGO DEL PRODUCTO]],Tabla79[],2,FALSE)</f>
        <v>PIEDRA 6-20</v>
      </c>
      <c r="T1257" s="37">
        <v>35060</v>
      </c>
      <c r="U1257" s="78"/>
    </row>
    <row r="1258" spans="15:21" x14ac:dyDescent="0.25">
      <c r="O1258" s="76">
        <v>104736</v>
      </c>
      <c r="P1258" s="78" t="s">
        <v>155</v>
      </c>
      <c r="Q1258" s="77">
        <v>45924</v>
      </c>
      <c r="R1258" s="78" t="s">
        <v>43</v>
      </c>
      <c r="S1258" s="36" t="str">
        <f>VLOOKUP(Tabla911[[#This Row],[CODIGO DEL PRODUCTO]],Tabla79[],2,FALSE)</f>
        <v>PIEDRA 6-20</v>
      </c>
      <c r="T1258" s="37">
        <v>34380</v>
      </c>
      <c r="U1258" s="78"/>
    </row>
    <row r="1259" spans="15:21" x14ac:dyDescent="0.25">
      <c r="O1259" s="76">
        <v>104737</v>
      </c>
      <c r="P1259" s="78" t="s">
        <v>156</v>
      </c>
      <c r="Q1259" s="77">
        <v>45924</v>
      </c>
      <c r="R1259" s="78" t="s">
        <v>43</v>
      </c>
      <c r="S1259" s="36" t="str">
        <f>VLOOKUP(Tabla911[[#This Row],[CODIGO DEL PRODUCTO]],Tabla79[],2,FALSE)</f>
        <v>PIEDRA 6-20</v>
      </c>
      <c r="T1259" s="37">
        <v>34720</v>
      </c>
      <c r="U1259" s="78"/>
    </row>
    <row r="1260" spans="15:21" x14ac:dyDescent="0.25">
      <c r="O1260" s="76">
        <v>144280</v>
      </c>
      <c r="P1260" s="78" t="s">
        <v>296</v>
      </c>
      <c r="Q1260" s="77">
        <v>45924</v>
      </c>
      <c r="R1260" s="78" t="s">
        <v>40</v>
      </c>
      <c r="S1260" s="36" t="str">
        <f>VLOOKUP(Tabla911[[#This Row],[CODIGO DEL PRODUCTO]],Tabla79[],2,FALSE)</f>
        <v>PIEDRA 0-6</v>
      </c>
      <c r="T1260" s="37">
        <v>35540</v>
      </c>
      <c r="U1260" s="78"/>
    </row>
    <row r="1261" spans="15:21" x14ac:dyDescent="0.25">
      <c r="O1261" s="76">
        <v>2658334</v>
      </c>
      <c r="P1261" s="78" t="s">
        <v>65</v>
      </c>
      <c r="Q1261" s="77">
        <v>45924</v>
      </c>
      <c r="R1261" s="78" t="s">
        <v>286</v>
      </c>
      <c r="S1261" s="36" t="str">
        <f>VLOOKUP(Tabla911[[#This Row],[CODIGO DEL PRODUCTO]],Tabla79[],2,FALSE)</f>
        <v>CPF 40 AVELLANEDA</v>
      </c>
      <c r="T1261" s="37">
        <v>35900</v>
      </c>
      <c r="U1261" s="78"/>
    </row>
    <row r="1262" spans="15:21" x14ac:dyDescent="0.25">
      <c r="O1262" s="76">
        <v>101927</v>
      </c>
      <c r="P1262" s="78" t="s">
        <v>370</v>
      </c>
      <c r="Q1262" s="77">
        <v>45925</v>
      </c>
      <c r="R1262" s="78" t="s">
        <v>42</v>
      </c>
      <c r="S1262" s="36" t="str">
        <f>VLOOKUP(Tabla911[[#This Row],[CODIGO DEL PRODUCTO]],Tabla79[],2,FALSE)</f>
        <v>ARENA FINA</v>
      </c>
      <c r="T1262" s="37">
        <v>35020</v>
      </c>
      <c r="U1262" s="78"/>
    </row>
    <row r="1263" spans="15:21" x14ac:dyDescent="0.25">
      <c r="O1263" s="76">
        <v>101932</v>
      </c>
      <c r="P1263" s="78" t="s">
        <v>550</v>
      </c>
      <c r="Q1263" s="77">
        <v>45925</v>
      </c>
      <c r="R1263" s="78" t="s">
        <v>42</v>
      </c>
      <c r="S1263" s="36" t="str">
        <f>VLOOKUP(Tabla911[[#This Row],[CODIGO DEL PRODUCTO]],Tabla79[],2,FALSE)</f>
        <v>ARENA FINA</v>
      </c>
      <c r="T1263" s="37">
        <v>37860</v>
      </c>
      <c r="U1263" s="78"/>
    </row>
    <row r="1264" spans="15:21" x14ac:dyDescent="0.25">
      <c r="O1264" s="76">
        <v>101934</v>
      </c>
      <c r="P1264" s="78" t="s">
        <v>546</v>
      </c>
      <c r="Q1264" s="77">
        <v>45925</v>
      </c>
      <c r="R1264" s="78" t="s">
        <v>42</v>
      </c>
      <c r="S1264" s="36" t="str">
        <f>VLOOKUP(Tabla911[[#This Row],[CODIGO DEL PRODUCTO]],Tabla79[],2,FALSE)</f>
        <v>ARENA FINA</v>
      </c>
      <c r="T1264" s="37">
        <v>36080</v>
      </c>
      <c r="U1264" s="78"/>
    </row>
    <row r="1265" spans="15:21" x14ac:dyDescent="0.25">
      <c r="O1265" s="76">
        <v>101935</v>
      </c>
      <c r="P1265" s="78" t="s">
        <v>548</v>
      </c>
      <c r="Q1265" s="77">
        <v>45925</v>
      </c>
      <c r="R1265" s="78" t="s">
        <v>42</v>
      </c>
      <c r="S1265" s="36" t="str">
        <f>VLOOKUP(Tabla911[[#This Row],[CODIGO DEL PRODUCTO]],Tabla79[],2,FALSE)</f>
        <v>ARENA FINA</v>
      </c>
      <c r="T1265" s="37">
        <v>36640</v>
      </c>
      <c r="U1265" s="78"/>
    </row>
    <row r="1266" spans="15:21" x14ac:dyDescent="0.25">
      <c r="O1266" s="76">
        <v>101938</v>
      </c>
      <c r="P1266" s="78" t="s">
        <v>370</v>
      </c>
      <c r="Q1266" s="77">
        <v>45925</v>
      </c>
      <c r="R1266" s="78" t="s">
        <v>42</v>
      </c>
      <c r="S1266" s="36" t="str">
        <f>VLOOKUP(Tabla911[[#This Row],[CODIGO DEL PRODUCTO]],Tabla79[],2,FALSE)</f>
        <v>ARENA FINA</v>
      </c>
      <c r="T1266" s="37">
        <v>34180</v>
      </c>
      <c r="U1266" s="78"/>
    </row>
    <row r="1267" spans="15:21" x14ac:dyDescent="0.25">
      <c r="O1267" s="76">
        <v>101939</v>
      </c>
      <c r="P1267" s="78" t="s">
        <v>550</v>
      </c>
      <c r="Q1267" s="77">
        <v>45925</v>
      </c>
      <c r="R1267" s="78" t="s">
        <v>42</v>
      </c>
      <c r="S1267" s="36" t="str">
        <f>VLOOKUP(Tabla911[[#This Row],[CODIGO DEL PRODUCTO]],Tabla79[],2,FALSE)</f>
        <v>ARENA FINA</v>
      </c>
      <c r="T1267" s="37">
        <v>36640</v>
      </c>
      <c r="U1267" s="78"/>
    </row>
    <row r="1268" spans="15:21" x14ac:dyDescent="0.25">
      <c r="O1268" s="76">
        <v>101941</v>
      </c>
      <c r="P1268" s="78" t="s">
        <v>567</v>
      </c>
      <c r="Q1268" s="77">
        <v>45925</v>
      </c>
      <c r="R1268" s="78" t="s">
        <v>42</v>
      </c>
      <c r="S1268" s="36" t="str">
        <f>VLOOKUP(Tabla911[[#This Row],[CODIGO DEL PRODUCTO]],Tabla79[],2,FALSE)</f>
        <v>ARENA FINA</v>
      </c>
      <c r="T1268" s="37">
        <v>35580</v>
      </c>
      <c r="U1268" s="78"/>
    </row>
    <row r="1269" spans="15:21" x14ac:dyDescent="0.25">
      <c r="O1269" s="76">
        <v>101942</v>
      </c>
      <c r="P1269" s="78" t="s">
        <v>549</v>
      </c>
      <c r="Q1269" s="77">
        <v>45925</v>
      </c>
      <c r="R1269" s="78" t="s">
        <v>42</v>
      </c>
      <c r="S1269" s="36" t="str">
        <f>VLOOKUP(Tabla911[[#This Row],[CODIGO DEL PRODUCTO]],Tabla79[],2,FALSE)</f>
        <v>ARENA FINA</v>
      </c>
      <c r="T1269" s="37">
        <v>36300</v>
      </c>
      <c r="U1269" s="78"/>
    </row>
    <row r="1270" spans="15:21" x14ac:dyDescent="0.25">
      <c r="O1270" s="76">
        <v>104745</v>
      </c>
      <c r="P1270" s="78" t="s">
        <v>234</v>
      </c>
      <c r="Q1270" s="77">
        <v>45925</v>
      </c>
      <c r="R1270" s="78" t="s">
        <v>43</v>
      </c>
      <c r="S1270" s="36" t="str">
        <f>VLOOKUP(Tabla911[[#This Row],[CODIGO DEL PRODUCTO]],Tabla79[],2,FALSE)</f>
        <v>PIEDRA 6-20</v>
      </c>
      <c r="T1270" s="37">
        <v>35640</v>
      </c>
      <c r="U1270" s="78"/>
    </row>
    <row r="1271" spans="15:21" x14ac:dyDescent="0.25">
      <c r="O1271" s="76">
        <v>104757</v>
      </c>
      <c r="P1271" s="78" t="s">
        <v>160</v>
      </c>
      <c r="Q1271" s="77">
        <v>45925</v>
      </c>
      <c r="R1271" s="78" t="s">
        <v>43</v>
      </c>
      <c r="S1271" s="36" t="str">
        <f>VLOOKUP(Tabla911[[#This Row],[CODIGO DEL PRODUCTO]],Tabla79[],2,FALSE)</f>
        <v>PIEDRA 6-20</v>
      </c>
      <c r="T1271" s="37">
        <v>34800</v>
      </c>
      <c r="U1271" s="78"/>
    </row>
    <row r="1272" spans="15:21" x14ac:dyDescent="0.25">
      <c r="O1272" s="76">
        <v>104758</v>
      </c>
      <c r="P1272" s="78" t="s">
        <v>299</v>
      </c>
      <c r="Q1272" s="77">
        <v>45925</v>
      </c>
      <c r="R1272" s="78" t="s">
        <v>43</v>
      </c>
      <c r="S1272" s="36" t="str">
        <f>VLOOKUP(Tabla911[[#This Row],[CODIGO DEL PRODUCTO]],Tabla79[],2,FALSE)</f>
        <v>PIEDRA 6-20</v>
      </c>
      <c r="T1272" s="37">
        <v>36020</v>
      </c>
      <c r="U1272" s="78"/>
    </row>
    <row r="1273" spans="15:21" x14ac:dyDescent="0.25">
      <c r="O1273" s="76">
        <v>104760</v>
      </c>
      <c r="P1273" s="78" t="s">
        <v>238</v>
      </c>
      <c r="Q1273" s="77">
        <v>45925</v>
      </c>
      <c r="R1273" s="78" t="s">
        <v>43</v>
      </c>
      <c r="S1273" s="36" t="str">
        <f>VLOOKUP(Tabla911[[#This Row],[CODIGO DEL PRODUCTO]],Tabla79[],2,FALSE)</f>
        <v>PIEDRA 6-20</v>
      </c>
      <c r="T1273" s="37">
        <v>34880</v>
      </c>
      <c r="U1273" s="78"/>
    </row>
    <row r="1274" spans="15:21" x14ac:dyDescent="0.25">
      <c r="O1274" s="76">
        <v>104767</v>
      </c>
      <c r="P1274" s="78" t="s">
        <v>155</v>
      </c>
      <c r="Q1274" s="77">
        <v>45925</v>
      </c>
      <c r="R1274" s="78" t="s">
        <v>43</v>
      </c>
      <c r="S1274" s="36" t="str">
        <f>VLOOKUP(Tabla911[[#This Row],[CODIGO DEL PRODUCTO]],Tabla79[],2,FALSE)</f>
        <v>PIEDRA 6-20</v>
      </c>
      <c r="T1274" s="37">
        <v>34180</v>
      </c>
      <c r="U1274" s="78"/>
    </row>
    <row r="1275" spans="15:21" x14ac:dyDescent="0.25">
      <c r="O1275" s="76">
        <v>104769</v>
      </c>
      <c r="P1275" s="78" t="s">
        <v>570</v>
      </c>
      <c r="Q1275" s="77">
        <v>45925</v>
      </c>
      <c r="R1275" s="78" t="s">
        <v>40</v>
      </c>
      <c r="S1275" s="36" t="str">
        <f>VLOOKUP(Tabla911[[#This Row],[CODIGO DEL PRODUCTO]],Tabla79[],2,FALSE)</f>
        <v>PIEDRA 0-6</v>
      </c>
      <c r="T1275" s="37">
        <v>34800</v>
      </c>
      <c r="U1275" s="78"/>
    </row>
    <row r="1276" spans="15:21" x14ac:dyDescent="0.25">
      <c r="O1276" s="76">
        <v>2658624</v>
      </c>
      <c r="P1276" s="78" t="s">
        <v>65</v>
      </c>
      <c r="Q1276" s="77">
        <v>45925</v>
      </c>
      <c r="R1276" s="78" t="s">
        <v>286</v>
      </c>
      <c r="S1276" s="36" t="str">
        <f>VLOOKUP(Tabla911[[#This Row],[CODIGO DEL PRODUCTO]],Tabla79[],2,FALSE)</f>
        <v>CPF 40 AVELLANEDA</v>
      </c>
      <c r="T1276" s="37">
        <v>35900</v>
      </c>
      <c r="U1276" s="78"/>
    </row>
    <row r="1277" spans="15:21" x14ac:dyDescent="0.25">
      <c r="O1277" s="76">
        <v>101946</v>
      </c>
      <c r="P1277" s="78" t="s">
        <v>370</v>
      </c>
      <c r="Q1277" s="77">
        <v>45926</v>
      </c>
      <c r="R1277" s="78" t="s">
        <v>42</v>
      </c>
      <c r="S1277" s="36" t="str">
        <f>VLOOKUP(Tabla911[[#This Row],[CODIGO DEL PRODUCTO]],Tabla79[],2,FALSE)</f>
        <v>ARENA FINA</v>
      </c>
      <c r="T1277" s="37">
        <v>35580</v>
      </c>
      <c r="U1277" s="78"/>
    </row>
    <row r="1278" spans="15:21" x14ac:dyDescent="0.25">
      <c r="O1278" s="76">
        <v>101947</v>
      </c>
      <c r="P1278" s="78" t="s">
        <v>550</v>
      </c>
      <c r="Q1278" s="77">
        <v>45926</v>
      </c>
      <c r="R1278" s="78" t="s">
        <v>42</v>
      </c>
      <c r="S1278" s="36" t="str">
        <f>VLOOKUP(Tabla911[[#This Row],[CODIGO DEL PRODUCTO]],Tabla79[],2,FALSE)</f>
        <v>ARENA FINA</v>
      </c>
      <c r="T1278" s="37">
        <v>36020</v>
      </c>
      <c r="U1278" s="78"/>
    </row>
    <row r="1279" spans="15:21" x14ac:dyDescent="0.25">
      <c r="O1279" s="76">
        <v>101953</v>
      </c>
      <c r="P1279" s="78" t="s">
        <v>548</v>
      </c>
      <c r="Q1279" s="77">
        <v>45926</v>
      </c>
      <c r="R1279" s="78" t="s">
        <v>42</v>
      </c>
      <c r="S1279" s="36" t="str">
        <f>VLOOKUP(Tabla911[[#This Row],[CODIGO DEL PRODUCTO]],Tabla79[],2,FALSE)</f>
        <v>ARENA FINA</v>
      </c>
      <c r="T1279" s="37">
        <v>36720</v>
      </c>
      <c r="U1279" s="78"/>
    </row>
    <row r="1280" spans="15:21" x14ac:dyDescent="0.25">
      <c r="O1280" s="76">
        <v>101954</v>
      </c>
      <c r="P1280" s="78" t="s">
        <v>546</v>
      </c>
      <c r="Q1280" s="77">
        <v>45926</v>
      </c>
      <c r="R1280" s="78" t="s">
        <v>42</v>
      </c>
      <c r="S1280" s="36" t="str">
        <f>VLOOKUP(Tabla911[[#This Row],[CODIGO DEL PRODUCTO]],Tabla79[],2,FALSE)</f>
        <v>ARENA FINA</v>
      </c>
      <c r="T1280" s="37">
        <v>36860</v>
      </c>
      <c r="U1280" s="78"/>
    </row>
    <row r="1281" spans="15:21" x14ac:dyDescent="0.25">
      <c r="O1281" s="76">
        <v>101956</v>
      </c>
      <c r="P1281" s="78" t="s">
        <v>370</v>
      </c>
      <c r="Q1281" s="77">
        <v>45926</v>
      </c>
      <c r="R1281" s="78" t="s">
        <v>42</v>
      </c>
      <c r="S1281" s="36" t="str">
        <f>VLOOKUP(Tabla911[[#This Row],[CODIGO DEL PRODUCTO]],Tabla79[],2,FALSE)</f>
        <v>ARENA FINA</v>
      </c>
      <c r="T1281" s="37">
        <v>36680</v>
      </c>
      <c r="U1281" s="78"/>
    </row>
    <row r="1282" spans="15:21" x14ac:dyDescent="0.25">
      <c r="O1282" s="76">
        <v>101957</v>
      </c>
      <c r="P1282" s="78" t="s">
        <v>550</v>
      </c>
      <c r="Q1282" s="77">
        <v>45926</v>
      </c>
      <c r="R1282" s="78" t="s">
        <v>42</v>
      </c>
      <c r="S1282" s="36" t="str">
        <f>VLOOKUP(Tabla911[[#This Row],[CODIGO DEL PRODUCTO]],Tabla79[],2,FALSE)</f>
        <v>ARENA FINA</v>
      </c>
      <c r="T1282" s="37">
        <v>38280</v>
      </c>
      <c r="U1282" s="78"/>
    </row>
    <row r="1283" spans="15:21" x14ac:dyDescent="0.25">
      <c r="O1283" s="76">
        <v>104780</v>
      </c>
      <c r="P1283" s="78" t="s">
        <v>234</v>
      </c>
      <c r="Q1283" s="77">
        <v>45926</v>
      </c>
      <c r="R1283" s="78" t="s">
        <v>43</v>
      </c>
      <c r="S1283" s="36" t="str">
        <f>VLOOKUP(Tabla911[[#This Row],[CODIGO DEL PRODUCTO]],Tabla79[],2,FALSE)</f>
        <v>PIEDRA 6-20</v>
      </c>
      <c r="T1283" s="37">
        <v>34600</v>
      </c>
      <c r="U1283" s="78"/>
    </row>
    <row r="1284" spans="15:21" x14ac:dyDescent="0.25">
      <c r="O1284" s="76">
        <v>104786</v>
      </c>
      <c r="P1284" s="78" t="s">
        <v>570</v>
      </c>
      <c r="Q1284" s="77">
        <v>45926</v>
      </c>
      <c r="R1284" s="78" t="s">
        <v>40</v>
      </c>
      <c r="S1284" s="36" t="str">
        <f>VLOOKUP(Tabla911[[#This Row],[CODIGO DEL PRODUCTO]],Tabla79[],2,FALSE)</f>
        <v>PIEDRA 0-6</v>
      </c>
      <c r="T1284" s="37">
        <v>34180</v>
      </c>
      <c r="U1284" s="78"/>
    </row>
    <row r="1285" spans="15:21" x14ac:dyDescent="0.25">
      <c r="O1285" s="76">
        <v>104793</v>
      </c>
      <c r="P1285" s="78" t="s">
        <v>160</v>
      </c>
      <c r="Q1285" s="77">
        <v>45926</v>
      </c>
      <c r="R1285" s="78" t="s">
        <v>43</v>
      </c>
      <c r="S1285" s="36" t="str">
        <f>VLOOKUP(Tabla911[[#This Row],[CODIGO DEL PRODUCTO]],Tabla79[],2,FALSE)</f>
        <v>PIEDRA 6-20</v>
      </c>
      <c r="T1285" s="37">
        <v>34540</v>
      </c>
      <c r="U1285" s="78"/>
    </row>
    <row r="1286" spans="15:21" x14ac:dyDescent="0.25">
      <c r="O1286" s="76">
        <v>104794</v>
      </c>
      <c r="P1286" s="78" t="s">
        <v>156</v>
      </c>
      <c r="Q1286" s="77">
        <v>45926</v>
      </c>
      <c r="R1286" s="78" t="s">
        <v>43</v>
      </c>
      <c r="S1286" s="36" t="str">
        <f>VLOOKUP(Tabla911[[#This Row],[CODIGO DEL PRODUCTO]],Tabla79[],2,FALSE)</f>
        <v>PIEDRA 6-20</v>
      </c>
      <c r="T1286" s="37">
        <v>35860</v>
      </c>
      <c r="U1286" s="78"/>
    </row>
    <row r="1287" spans="15:21" x14ac:dyDescent="0.25">
      <c r="O1287" s="76">
        <v>104795</v>
      </c>
      <c r="P1287" s="78" t="s">
        <v>299</v>
      </c>
      <c r="Q1287" s="77">
        <v>45926</v>
      </c>
      <c r="R1287" s="78" t="s">
        <v>43</v>
      </c>
      <c r="S1287" s="36" t="str">
        <f>VLOOKUP(Tabla911[[#This Row],[CODIGO DEL PRODUCTO]],Tabla79[],2,FALSE)</f>
        <v>PIEDRA 6-20</v>
      </c>
      <c r="T1287" s="37">
        <v>34940</v>
      </c>
      <c r="U1287" s="78"/>
    </row>
    <row r="1288" spans="15:21" x14ac:dyDescent="0.25">
      <c r="O1288" s="76">
        <v>104798</v>
      </c>
      <c r="P1288" s="78" t="s">
        <v>238</v>
      </c>
      <c r="Q1288" s="77">
        <v>45926</v>
      </c>
      <c r="R1288" s="78" t="s">
        <v>43</v>
      </c>
      <c r="S1288" s="36" t="str">
        <f>VLOOKUP(Tabla911[[#This Row],[CODIGO DEL PRODUCTO]],Tabla79[],2,FALSE)</f>
        <v>PIEDRA 6-20</v>
      </c>
      <c r="T1288" s="37">
        <v>35340</v>
      </c>
      <c r="U1288" s="78"/>
    </row>
    <row r="1289" spans="15:21" x14ac:dyDescent="0.25">
      <c r="O1289" s="76">
        <v>104799</v>
      </c>
      <c r="P1289" s="78" t="s">
        <v>155</v>
      </c>
      <c r="Q1289" s="77">
        <v>45926</v>
      </c>
      <c r="R1289" s="78" t="s">
        <v>43</v>
      </c>
      <c r="S1289" s="36" t="str">
        <f>VLOOKUP(Tabla911[[#This Row],[CODIGO DEL PRODUCTO]],Tabla79[],2,FALSE)</f>
        <v>PIEDRA 6-20</v>
      </c>
      <c r="T1289" s="37">
        <v>34840</v>
      </c>
      <c r="U1289" s="78"/>
    </row>
    <row r="1290" spans="15:21" x14ac:dyDescent="0.25">
      <c r="O1290" s="76">
        <v>2658783</v>
      </c>
      <c r="P1290" s="78" t="s">
        <v>65</v>
      </c>
      <c r="Q1290" s="77">
        <v>45926</v>
      </c>
      <c r="R1290" s="78" t="s">
        <v>286</v>
      </c>
      <c r="S1290" s="36" t="str">
        <f>VLOOKUP(Tabla911[[#This Row],[CODIGO DEL PRODUCTO]],Tabla79[],2,FALSE)</f>
        <v>CPF 40 AVELLANEDA</v>
      </c>
      <c r="T1290" s="37">
        <v>36080</v>
      </c>
      <c r="U1290" s="78"/>
    </row>
    <row r="1291" spans="15:21" x14ac:dyDescent="0.25">
      <c r="O1291" s="76">
        <v>101963</v>
      </c>
      <c r="P1291" s="78" t="s">
        <v>370</v>
      </c>
      <c r="Q1291" s="77">
        <v>45927</v>
      </c>
      <c r="R1291" s="78" t="s">
        <v>42</v>
      </c>
      <c r="S1291" s="36" t="str">
        <f>VLOOKUP(Tabla911[[#This Row],[CODIGO DEL PRODUCTO]],Tabla79[],2,FALSE)</f>
        <v>ARENA FINA</v>
      </c>
      <c r="T1291" s="37">
        <v>34800</v>
      </c>
      <c r="U1291" s="78"/>
    </row>
    <row r="1292" spans="15:21" x14ac:dyDescent="0.25">
      <c r="O1292" s="76">
        <v>101964</v>
      </c>
      <c r="P1292" s="78" t="s">
        <v>550</v>
      </c>
      <c r="Q1292" s="77">
        <v>45927</v>
      </c>
      <c r="R1292" s="78" t="s">
        <v>42</v>
      </c>
      <c r="S1292" s="36" t="str">
        <f>VLOOKUP(Tabla911[[#This Row],[CODIGO DEL PRODUCTO]],Tabla79[],2,FALSE)</f>
        <v>ARENA FINA</v>
      </c>
      <c r="T1292" s="37">
        <v>37140</v>
      </c>
      <c r="U1292" s="78"/>
    </row>
    <row r="1293" spans="15:21" x14ac:dyDescent="0.25">
      <c r="O1293" s="76">
        <v>104801</v>
      </c>
      <c r="P1293" s="78" t="s">
        <v>150</v>
      </c>
      <c r="Q1293" s="77">
        <v>45927</v>
      </c>
      <c r="R1293" s="78" t="s">
        <v>43</v>
      </c>
      <c r="S1293" s="36" t="str">
        <f>VLOOKUP(Tabla911[[#This Row],[CODIGO DEL PRODUCTO]],Tabla79[],2,FALSE)</f>
        <v>PIEDRA 6-20</v>
      </c>
      <c r="T1293" s="37">
        <v>35340</v>
      </c>
      <c r="U1293" s="78"/>
    </row>
    <row r="1294" spans="15:21" x14ac:dyDescent="0.25">
      <c r="O1294" s="76">
        <v>144516</v>
      </c>
      <c r="P1294" s="78" t="s">
        <v>119</v>
      </c>
      <c r="Q1294" s="77">
        <v>45927</v>
      </c>
      <c r="R1294" s="78" t="s">
        <v>43</v>
      </c>
      <c r="S1294" s="36" t="str">
        <f>VLOOKUP(Tabla911[[#This Row],[CODIGO DEL PRODUCTO]],Tabla79[],2,FALSE)</f>
        <v>PIEDRA 6-20</v>
      </c>
      <c r="T1294" s="37">
        <v>35860</v>
      </c>
      <c r="U1294" s="78"/>
    </row>
    <row r="1295" spans="15:21" x14ac:dyDescent="0.25">
      <c r="O1295" s="76">
        <v>144517</v>
      </c>
      <c r="P1295" s="78" t="s">
        <v>296</v>
      </c>
      <c r="Q1295" s="77">
        <v>45927</v>
      </c>
      <c r="R1295" s="78" t="s">
        <v>43</v>
      </c>
      <c r="S1295" s="36" t="str">
        <f>VLOOKUP(Tabla911[[#This Row],[CODIGO DEL PRODUCTO]],Tabla79[],2,FALSE)</f>
        <v>PIEDRA 6-20</v>
      </c>
      <c r="T1295" s="37">
        <v>35640</v>
      </c>
      <c r="U1295" s="78"/>
    </row>
    <row r="1296" spans="15:21" x14ac:dyDescent="0.25">
      <c r="O1296" s="76">
        <v>2659114</v>
      </c>
      <c r="P1296" s="78" t="s">
        <v>65</v>
      </c>
      <c r="Q1296" s="77">
        <v>45927</v>
      </c>
      <c r="R1296" s="78" t="s">
        <v>286</v>
      </c>
      <c r="S1296" s="36" t="str">
        <f>VLOOKUP(Tabla911[[#This Row],[CODIGO DEL PRODUCTO]],Tabla79[],2,FALSE)</f>
        <v>CPF 40 AVELLANEDA</v>
      </c>
      <c r="T1296" s="37">
        <v>36160</v>
      </c>
      <c r="U1296" s="78"/>
    </row>
    <row r="1297" spans="15:21" x14ac:dyDescent="0.25">
      <c r="O1297" s="76">
        <v>101971</v>
      </c>
      <c r="P1297" s="78" t="s">
        <v>370</v>
      </c>
      <c r="Q1297" s="77">
        <v>45929</v>
      </c>
      <c r="R1297" s="78" t="s">
        <v>42</v>
      </c>
      <c r="S1297" s="36" t="str">
        <f>VLOOKUP(Tabla911[[#This Row],[CODIGO DEL PRODUCTO]],Tabla79[],2,FALSE)</f>
        <v>ARENA FINA</v>
      </c>
      <c r="T1297" s="37">
        <v>34380</v>
      </c>
      <c r="U1297" s="78"/>
    </row>
    <row r="1298" spans="15:21" x14ac:dyDescent="0.25">
      <c r="O1298" s="76">
        <v>101972</v>
      </c>
      <c r="P1298" s="78" t="s">
        <v>550</v>
      </c>
      <c r="Q1298" s="77">
        <v>45929</v>
      </c>
      <c r="R1298" s="78" t="s">
        <v>42</v>
      </c>
      <c r="S1298" s="36" t="str">
        <f>VLOOKUP(Tabla911[[#This Row],[CODIGO DEL PRODUCTO]],Tabla79[],2,FALSE)</f>
        <v>ARENA FINA</v>
      </c>
      <c r="T1298" s="37">
        <v>37600</v>
      </c>
      <c r="U1298" s="78"/>
    </row>
    <row r="1299" spans="15:21" x14ac:dyDescent="0.25">
      <c r="O1299" s="76">
        <v>101976</v>
      </c>
      <c r="P1299" s="78" t="s">
        <v>370</v>
      </c>
      <c r="Q1299" s="77">
        <v>45929</v>
      </c>
      <c r="R1299" s="78" t="s">
        <v>42</v>
      </c>
      <c r="S1299" s="36" t="str">
        <f>VLOOKUP(Tabla911[[#This Row],[CODIGO DEL PRODUCTO]],Tabla79[],2,FALSE)</f>
        <v>ARENA FINA</v>
      </c>
      <c r="T1299" s="37">
        <v>34220</v>
      </c>
      <c r="U1299" s="78"/>
    </row>
    <row r="1300" spans="15:21" x14ac:dyDescent="0.25">
      <c r="O1300" s="76">
        <v>101977</v>
      </c>
      <c r="P1300" s="78" t="s">
        <v>550</v>
      </c>
      <c r="Q1300" s="77">
        <v>45929</v>
      </c>
      <c r="R1300" s="78" t="s">
        <v>42</v>
      </c>
      <c r="S1300" s="36" t="str">
        <f>VLOOKUP(Tabla911[[#This Row],[CODIGO DEL PRODUCTO]],Tabla79[],2,FALSE)</f>
        <v>ARENA FINA</v>
      </c>
      <c r="T1300" s="37">
        <v>36120</v>
      </c>
      <c r="U1300" s="78"/>
    </row>
    <row r="1301" spans="15:21" x14ac:dyDescent="0.25">
      <c r="O1301" s="76">
        <v>104809</v>
      </c>
      <c r="P1301" s="78" t="s">
        <v>238</v>
      </c>
      <c r="Q1301" s="77">
        <v>45929</v>
      </c>
      <c r="R1301" s="78" t="s">
        <v>43</v>
      </c>
      <c r="S1301" s="36" t="str">
        <f>VLOOKUP(Tabla911[[#This Row],[CODIGO DEL PRODUCTO]],Tabla79[],2,FALSE)</f>
        <v>PIEDRA 6-20</v>
      </c>
      <c r="T1301" s="37">
        <v>34660</v>
      </c>
      <c r="U1301" s="78"/>
    </row>
    <row r="1302" spans="15:21" x14ac:dyDescent="0.25">
      <c r="O1302" s="76">
        <v>104817</v>
      </c>
      <c r="P1302" s="78" t="s">
        <v>355</v>
      </c>
      <c r="Q1302" s="77">
        <v>45929</v>
      </c>
      <c r="R1302" s="78" t="s">
        <v>43</v>
      </c>
      <c r="S1302" s="36" t="str">
        <f>VLOOKUP(Tabla911[[#This Row],[CODIGO DEL PRODUCTO]],Tabla79[],2,FALSE)</f>
        <v>PIEDRA 6-20</v>
      </c>
      <c r="T1302" s="37">
        <v>35240</v>
      </c>
      <c r="U1302" s="78"/>
    </row>
    <row r="1303" spans="15:21" x14ac:dyDescent="0.25">
      <c r="O1303" s="76">
        <v>104825</v>
      </c>
      <c r="P1303" s="78" t="s">
        <v>234</v>
      </c>
      <c r="Q1303" s="77">
        <v>45929</v>
      </c>
      <c r="R1303" s="78" t="s">
        <v>43</v>
      </c>
      <c r="S1303" s="36" t="str">
        <f>VLOOKUP(Tabla911[[#This Row],[CODIGO DEL PRODUCTO]],Tabla79[],2,FALSE)</f>
        <v>PIEDRA 6-20</v>
      </c>
      <c r="T1303" s="37">
        <v>34540</v>
      </c>
      <c r="U1303" s="78"/>
    </row>
    <row r="1304" spans="15:21" x14ac:dyDescent="0.25">
      <c r="O1304" s="76">
        <v>104835</v>
      </c>
      <c r="P1304" s="78" t="s">
        <v>156</v>
      </c>
      <c r="Q1304" s="77">
        <v>45929</v>
      </c>
      <c r="R1304" s="78" t="s">
        <v>43</v>
      </c>
      <c r="S1304" s="36" t="str">
        <f>VLOOKUP(Tabla911[[#This Row],[CODIGO DEL PRODUCTO]],Tabla79[],2,FALSE)</f>
        <v>PIEDRA 6-20</v>
      </c>
      <c r="T1304" s="37">
        <v>34640</v>
      </c>
      <c r="U1304" s="78"/>
    </row>
    <row r="1305" spans="15:21" x14ac:dyDescent="0.25">
      <c r="O1305" s="76">
        <v>2659509</v>
      </c>
      <c r="P1305" s="78" t="s">
        <v>65</v>
      </c>
      <c r="Q1305" s="77">
        <v>45929</v>
      </c>
      <c r="R1305" s="78" t="s">
        <v>286</v>
      </c>
      <c r="S1305" s="36" t="str">
        <f>VLOOKUP(Tabla911[[#This Row],[CODIGO DEL PRODUCTO]],Tabla79[],2,FALSE)</f>
        <v>CPF 40 AVELLANEDA</v>
      </c>
      <c r="T1305" s="37">
        <v>36180</v>
      </c>
      <c r="U1305" s="78"/>
    </row>
    <row r="1306" spans="15:21" x14ac:dyDescent="0.25">
      <c r="O1306" s="76">
        <v>101985</v>
      </c>
      <c r="P1306" s="78" t="s">
        <v>370</v>
      </c>
      <c r="Q1306" s="77">
        <v>45930</v>
      </c>
      <c r="R1306" s="78" t="s">
        <v>42</v>
      </c>
      <c r="S1306" s="36" t="str">
        <f>VLOOKUP(Tabla911[[#This Row],[CODIGO DEL PRODUCTO]],Tabla79[],2,FALSE)</f>
        <v>ARENA FINA</v>
      </c>
      <c r="T1306" s="37">
        <v>33960</v>
      </c>
      <c r="U1306" s="78"/>
    </row>
    <row r="1307" spans="15:21" x14ac:dyDescent="0.25">
      <c r="O1307" s="76">
        <v>101988</v>
      </c>
      <c r="P1307" s="78" t="s">
        <v>550</v>
      </c>
      <c r="Q1307" s="77">
        <v>45930</v>
      </c>
      <c r="R1307" s="78" t="s">
        <v>42</v>
      </c>
      <c r="S1307" s="36" t="str">
        <f>VLOOKUP(Tabla911[[#This Row],[CODIGO DEL PRODUCTO]],Tabla79[],2,FALSE)</f>
        <v>ARENA FINA</v>
      </c>
      <c r="T1307" s="37">
        <v>37520</v>
      </c>
      <c r="U1307" s="78"/>
    </row>
    <row r="1308" spans="15:21" x14ac:dyDescent="0.25">
      <c r="O1308" s="76">
        <v>101994</v>
      </c>
      <c r="P1308" s="78" t="s">
        <v>370</v>
      </c>
      <c r="Q1308" s="77">
        <v>45930</v>
      </c>
      <c r="R1308" s="78" t="s">
        <v>42</v>
      </c>
      <c r="S1308" s="36" t="str">
        <f>VLOOKUP(Tabla911[[#This Row],[CODIGO DEL PRODUCTO]],Tabla79[],2,FALSE)</f>
        <v>ARENA FINA</v>
      </c>
      <c r="T1308" s="37">
        <v>33960</v>
      </c>
      <c r="U1308" s="78"/>
    </row>
    <row r="1309" spans="15:21" x14ac:dyDescent="0.25">
      <c r="O1309" s="76">
        <v>101995</v>
      </c>
      <c r="P1309" s="78" t="s">
        <v>550</v>
      </c>
      <c r="Q1309" s="77">
        <v>45930</v>
      </c>
      <c r="R1309" s="78" t="s">
        <v>42</v>
      </c>
      <c r="S1309" s="36" t="str">
        <f>VLOOKUP(Tabla911[[#This Row],[CODIGO DEL PRODUCTO]],Tabla79[],2,FALSE)</f>
        <v>ARENA FINA</v>
      </c>
      <c r="T1309" s="37">
        <v>37120</v>
      </c>
      <c r="U1309" s="78"/>
    </row>
    <row r="1310" spans="15:21" x14ac:dyDescent="0.25">
      <c r="O1310" s="76">
        <v>104838</v>
      </c>
      <c r="P1310" s="78" t="s">
        <v>238</v>
      </c>
      <c r="Q1310" s="77">
        <v>45930</v>
      </c>
      <c r="R1310" s="78" t="s">
        <v>43</v>
      </c>
      <c r="S1310" s="36" t="str">
        <f>VLOOKUP(Tabla911[[#This Row],[CODIGO DEL PRODUCTO]],Tabla79[],2,FALSE)</f>
        <v>PIEDRA 6-20</v>
      </c>
      <c r="T1310" s="37">
        <v>34800</v>
      </c>
      <c r="U1310" s="78"/>
    </row>
    <row r="1311" spans="15:21" x14ac:dyDescent="0.25">
      <c r="O1311" s="76">
        <v>104839</v>
      </c>
      <c r="P1311" s="78" t="s">
        <v>150</v>
      </c>
      <c r="Q1311" s="77">
        <v>45930</v>
      </c>
      <c r="R1311" s="78" t="s">
        <v>43</v>
      </c>
      <c r="S1311" s="36" t="str">
        <f>VLOOKUP(Tabla911[[#This Row],[CODIGO DEL PRODUCTO]],Tabla79[],2,FALSE)</f>
        <v>PIEDRA 6-20</v>
      </c>
      <c r="T1311" s="37">
        <v>35540</v>
      </c>
      <c r="U1311" s="78"/>
    </row>
    <row r="1312" spans="15:21" x14ac:dyDescent="0.25">
      <c r="O1312" s="76">
        <v>104854</v>
      </c>
      <c r="P1312" s="78" t="s">
        <v>355</v>
      </c>
      <c r="Q1312" s="77">
        <v>45930</v>
      </c>
      <c r="R1312" s="78" t="s">
        <v>43</v>
      </c>
      <c r="S1312" s="36" t="str">
        <f>VLOOKUP(Tabla911[[#This Row],[CODIGO DEL PRODUCTO]],Tabla79[],2,FALSE)</f>
        <v>PIEDRA 6-20</v>
      </c>
      <c r="T1312" s="37">
        <v>35040</v>
      </c>
      <c r="U1312" s="78"/>
    </row>
    <row r="1313" spans="15:21" x14ac:dyDescent="0.25">
      <c r="O1313" s="76">
        <v>104855</v>
      </c>
      <c r="P1313" s="78" t="s">
        <v>583</v>
      </c>
      <c r="Q1313" s="77">
        <v>45930</v>
      </c>
      <c r="R1313" s="78" t="s">
        <v>43</v>
      </c>
      <c r="S1313" s="36" t="str">
        <f>VLOOKUP(Tabla911[[#This Row],[CODIGO DEL PRODUCTO]],Tabla79[],2,FALSE)</f>
        <v>PIEDRA 6-20</v>
      </c>
      <c r="T1313" s="37">
        <v>35100</v>
      </c>
      <c r="U1313" s="78"/>
    </row>
    <row r="1314" spans="15:21" x14ac:dyDescent="0.25">
      <c r="O1314" s="76">
        <v>104860</v>
      </c>
      <c r="P1314" s="78" t="s">
        <v>156</v>
      </c>
      <c r="Q1314" s="77">
        <v>45930</v>
      </c>
      <c r="R1314" s="78" t="s">
        <v>43</v>
      </c>
      <c r="S1314" s="36" t="str">
        <f>VLOOKUP(Tabla911[[#This Row],[CODIGO DEL PRODUCTO]],Tabla79[],2,FALSE)</f>
        <v>PIEDRA 6-20</v>
      </c>
      <c r="T1314" s="37">
        <v>35280</v>
      </c>
      <c r="U1314" s="78"/>
    </row>
    <row r="1315" spans="15:21" x14ac:dyDescent="0.25">
      <c r="O1315" s="76">
        <v>144679</v>
      </c>
      <c r="P1315" s="78" t="s">
        <v>296</v>
      </c>
      <c r="Q1315" s="77">
        <v>45930</v>
      </c>
      <c r="R1315" s="78" t="s">
        <v>43</v>
      </c>
      <c r="S1315" s="36" t="str">
        <f>VLOOKUP(Tabla911[[#This Row],[CODIGO DEL PRODUCTO]],Tabla79[],2,FALSE)</f>
        <v>PIEDRA 6-20</v>
      </c>
      <c r="T1315" s="37">
        <v>36040</v>
      </c>
      <c r="U1315" s="78"/>
    </row>
    <row r="1316" spans="15:21" x14ac:dyDescent="0.25">
      <c r="O1316" s="76">
        <v>2659753</v>
      </c>
      <c r="P1316" s="78" t="s">
        <v>65</v>
      </c>
      <c r="Q1316" s="77">
        <v>45930</v>
      </c>
      <c r="R1316" s="78" t="s">
        <v>286</v>
      </c>
      <c r="S1316" s="36" t="str">
        <f>VLOOKUP(Tabla911[[#This Row],[CODIGO DEL PRODUCTO]],Tabla79[],2,FALSE)</f>
        <v>CPF 40 AVELLANEDA</v>
      </c>
      <c r="T1316" s="37">
        <v>36080</v>
      </c>
      <c r="U1316" s="78"/>
    </row>
    <row r="1317" spans="15:21" x14ac:dyDescent="0.25">
      <c r="O1317" s="76">
        <v>102003</v>
      </c>
      <c r="P1317" s="78" t="s">
        <v>370</v>
      </c>
      <c r="Q1317" s="77">
        <v>45931</v>
      </c>
      <c r="R1317" s="78" t="s">
        <v>42</v>
      </c>
      <c r="S1317" s="36" t="str">
        <f>VLOOKUP(Tabla911[[#This Row],[CODIGO DEL PRODUCTO]],Tabla79[],2,FALSE)</f>
        <v>ARENA FINA</v>
      </c>
      <c r="T1317" s="37">
        <v>36160</v>
      </c>
      <c r="U1317" s="78"/>
    </row>
    <row r="1318" spans="15:21" x14ac:dyDescent="0.25">
      <c r="O1318" s="76">
        <v>102005</v>
      </c>
      <c r="P1318" s="78" t="s">
        <v>550</v>
      </c>
      <c r="Q1318" s="77">
        <v>45931</v>
      </c>
      <c r="R1318" s="78" t="s">
        <v>42</v>
      </c>
      <c r="S1318" s="36" t="str">
        <f>VLOOKUP(Tabla911[[#This Row],[CODIGO DEL PRODUCTO]],Tabla79[],2,FALSE)</f>
        <v>ARENA FINA</v>
      </c>
      <c r="T1318" s="37">
        <v>37480</v>
      </c>
      <c r="U1318" s="78"/>
    </row>
    <row r="1319" spans="15:21" x14ac:dyDescent="0.25">
      <c r="O1319" s="76">
        <v>102007</v>
      </c>
      <c r="P1319" s="78" t="s">
        <v>370</v>
      </c>
      <c r="Q1319" s="77">
        <v>45931</v>
      </c>
      <c r="R1319" s="78" t="s">
        <v>42</v>
      </c>
      <c r="S1319" s="36" t="str">
        <f>VLOOKUP(Tabla911[[#This Row],[CODIGO DEL PRODUCTO]],Tabla79[],2,FALSE)</f>
        <v>ARENA FINA</v>
      </c>
      <c r="T1319" s="37">
        <v>35100</v>
      </c>
      <c r="U1319" s="78"/>
    </row>
    <row r="1320" spans="15:21" x14ac:dyDescent="0.25">
      <c r="O1320" s="76">
        <v>102009</v>
      </c>
      <c r="P1320" s="78" t="s">
        <v>550</v>
      </c>
      <c r="Q1320" s="77">
        <v>45931</v>
      </c>
      <c r="R1320" s="78" t="s">
        <v>42</v>
      </c>
      <c r="S1320" s="36" t="str">
        <f>VLOOKUP(Tabla911[[#This Row],[CODIGO DEL PRODUCTO]],Tabla79[],2,FALSE)</f>
        <v>ARENA FINA</v>
      </c>
      <c r="T1320" s="37">
        <v>36820</v>
      </c>
      <c r="U1320" s="78"/>
    </row>
    <row r="1321" spans="15:21" x14ac:dyDescent="0.25">
      <c r="O1321" s="76">
        <v>104867</v>
      </c>
      <c r="P1321" s="78" t="s">
        <v>150</v>
      </c>
      <c r="Q1321" s="77">
        <v>45931</v>
      </c>
      <c r="R1321" s="78" t="s">
        <v>43</v>
      </c>
      <c r="S1321" s="36" t="str">
        <f>VLOOKUP(Tabla911[[#This Row],[CODIGO DEL PRODUCTO]],Tabla79[],2,FALSE)</f>
        <v>PIEDRA 6-20</v>
      </c>
      <c r="T1321" s="37">
        <v>35520</v>
      </c>
      <c r="U1321" s="78"/>
    </row>
    <row r="1322" spans="15:21" x14ac:dyDescent="0.25">
      <c r="O1322" s="76">
        <v>104870</v>
      </c>
      <c r="P1322" s="78" t="s">
        <v>238</v>
      </c>
      <c r="Q1322" s="77">
        <v>45931</v>
      </c>
      <c r="R1322" s="78" t="s">
        <v>43</v>
      </c>
      <c r="S1322" s="36" t="str">
        <f>VLOOKUP(Tabla911[[#This Row],[CODIGO DEL PRODUCTO]],Tabla79[],2,FALSE)</f>
        <v>PIEDRA 6-20</v>
      </c>
      <c r="T1322" s="37">
        <v>35340</v>
      </c>
      <c r="U1322" s="78"/>
    </row>
    <row r="1323" spans="15:21" x14ac:dyDescent="0.25">
      <c r="O1323" s="76">
        <v>104892</v>
      </c>
      <c r="P1323" s="78" t="s">
        <v>355</v>
      </c>
      <c r="Q1323" s="77">
        <v>45931</v>
      </c>
      <c r="R1323" s="78" t="s">
        <v>43</v>
      </c>
      <c r="S1323" s="36" t="str">
        <f>VLOOKUP(Tabla911[[#This Row],[CODIGO DEL PRODUCTO]],Tabla79[],2,FALSE)</f>
        <v>PIEDRA 6-20</v>
      </c>
      <c r="T1323" s="37">
        <v>35040</v>
      </c>
      <c r="U1323" s="78"/>
    </row>
    <row r="1324" spans="15:21" x14ac:dyDescent="0.25">
      <c r="O1324" s="76">
        <v>104895</v>
      </c>
      <c r="P1324" s="78" t="s">
        <v>299</v>
      </c>
      <c r="Q1324" s="77">
        <v>45931</v>
      </c>
      <c r="R1324" s="78" t="s">
        <v>43</v>
      </c>
      <c r="S1324" s="36" t="str">
        <f>VLOOKUP(Tabla911[[#This Row],[CODIGO DEL PRODUCTO]],Tabla79[],2,FALSE)</f>
        <v>PIEDRA 6-20</v>
      </c>
      <c r="T1324" s="37">
        <v>35700</v>
      </c>
      <c r="U1324" s="78"/>
    </row>
    <row r="1325" spans="15:21" x14ac:dyDescent="0.25">
      <c r="O1325" s="76">
        <v>104901</v>
      </c>
      <c r="P1325" s="78" t="s">
        <v>156</v>
      </c>
      <c r="Q1325" s="77">
        <v>45931</v>
      </c>
      <c r="R1325" s="78" t="s">
        <v>43</v>
      </c>
      <c r="S1325" s="36" t="str">
        <f>VLOOKUP(Tabla911[[#This Row],[CODIGO DEL PRODUCTO]],Tabla79[],2,FALSE)</f>
        <v>PIEDRA 6-20</v>
      </c>
      <c r="T1325" s="37">
        <v>34940</v>
      </c>
      <c r="U1325" s="78"/>
    </row>
    <row r="1326" spans="15:21" x14ac:dyDescent="0.25">
      <c r="O1326" s="76">
        <v>2660162</v>
      </c>
      <c r="P1326" s="78" t="s">
        <v>65</v>
      </c>
      <c r="Q1326" s="77">
        <v>45931</v>
      </c>
      <c r="R1326" s="78" t="s">
        <v>286</v>
      </c>
      <c r="S1326" s="36" t="str">
        <f>VLOOKUP(Tabla911[[#This Row],[CODIGO DEL PRODUCTO]],Tabla79[],2,FALSE)</f>
        <v>CPF 40 AVELLANEDA</v>
      </c>
      <c r="T1326" s="37">
        <v>35870</v>
      </c>
      <c r="U1326" s="78"/>
    </row>
    <row r="1327" spans="15:21" x14ac:dyDescent="0.25">
      <c r="O1327" s="76">
        <v>102018</v>
      </c>
      <c r="P1327" s="78" t="s">
        <v>550</v>
      </c>
      <c r="Q1327" s="77">
        <v>45932</v>
      </c>
      <c r="R1327" s="78" t="s">
        <v>42</v>
      </c>
      <c r="S1327" s="36" t="str">
        <f>VLOOKUP(Tabla911[[#This Row],[CODIGO DEL PRODUCTO]],Tabla79[],2,FALSE)</f>
        <v>ARENA FINA</v>
      </c>
      <c r="T1327" s="37">
        <v>36620</v>
      </c>
      <c r="U1327" s="78"/>
    </row>
    <row r="1328" spans="15:21" x14ac:dyDescent="0.25">
      <c r="O1328" s="76">
        <v>102019</v>
      </c>
      <c r="P1328" s="78" t="s">
        <v>370</v>
      </c>
      <c r="Q1328" s="77">
        <v>45932</v>
      </c>
      <c r="R1328" s="78" t="s">
        <v>42</v>
      </c>
      <c r="S1328" s="36" t="str">
        <f>VLOOKUP(Tabla911[[#This Row],[CODIGO DEL PRODUCTO]],Tabla79[],2,FALSE)</f>
        <v>ARENA FINA</v>
      </c>
      <c r="T1328" s="37">
        <v>35080</v>
      </c>
      <c r="U1328" s="78"/>
    </row>
    <row r="1329" spans="15:21" x14ac:dyDescent="0.25">
      <c r="O1329" s="76">
        <v>102028</v>
      </c>
      <c r="P1329" s="78" t="s">
        <v>370</v>
      </c>
      <c r="Q1329" s="77">
        <v>45932</v>
      </c>
      <c r="R1329" s="78" t="s">
        <v>42</v>
      </c>
      <c r="S1329" s="36" t="str">
        <f>VLOOKUP(Tabla911[[#This Row],[CODIGO DEL PRODUCTO]],Tabla79[],2,FALSE)</f>
        <v>ARENA FINA</v>
      </c>
      <c r="T1329" s="37">
        <v>34840</v>
      </c>
      <c r="U1329" s="78"/>
    </row>
    <row r="1330" spans="15:21" x14ac:dyDescent="0.25">
      <c r="O1330" s="76">
        <v>102030</v>
      </c>
      <c r="P1330" s="78" t="s">
        <v>550</v>
      </c>
      <c r="Q1330" s="77">
        <v>45932</v>
      </c>
      <c r="R1330" s="78" t="s">
        <v>42</v>
      </c>
      <c r="S1330" s="36" t="str">
        <f>VLOOKUP(Tabla911[[#This Row],[CODIGO DEL PRODUCTO]],Tabla79[],2,FALSE)</f>
        <v>ARENA FINA</v>
      </c>
      <c r="T1330" s="37">
        <v>36540</v>
      </c>
      <c r="U1330" s="78"/>
    </row>
    <row r="1331" spans="15:21" x14ac:dyDescent="0.25">
      <c r="O1331" s="76">
        <v>216315</v>
      </c>
      <c r="P1331" s="78" t="s">
        <v>516</v>
      </c>
      <c r="Q1331" s="77">
        <v>45932</v>
      </c>
      <c r="R1331" s="78" t="s">
        <v>43</v>
      </c>
      <c r="S1331" s="36" t="str">
        <f>VLOOKUP(Tabla911[[#This Row],[CODIGO DEL PRODUCTO]],Tabla79[],2,FALSE)</f>
        <v>PIEDRA 6-20</v>
      </c>
      <c r="T1331" s="37">
        <v>35540</v>
      </c>
      <c r="U1331" s="78"/>
    </row>
    <row r="1332" spans="15:21" x14ac:dyDescent="0.25">
      <c r="O1332" s="76">
        <v>104904</v>
      </c>
      <c r="P1332" s="78" t="s">
        <v>238</v>
      </c>
      <c r="Q1332" s="77">
        <v>45932</v>
      </c>
      <c r="R1332" s="78" t="s">
        <v>43</v>
      </c>
      <c r="S1332" s="36" t="str">
        <f>VLOOKUP(Tabla911[[#This Row],[CODIGO DEL PRODUCTO]],Tabla79[],2,FALSE)</f>
        <v>PIEDRA 6-20</v>
      </c>
      <c r="T1332" s="37">
        <v>35480</v>
      </c>
      <c r="U1332" s="78"/>
    </row>
    <row r="1333" spans="15:21" x14ac:dyDescent="0.25">
      <c r="O1333" s="76">
        <v>104906</v>
      </c>
      <c r="P1333" s="78" t="s">
        <v>150</v>
      </c>
      <c r="Q1333" s="77">
        <v>45932</v>
      </c>
      <c r="R1333" s="78" t="s">
        <v>43</v>
      </c>
      <c r="S1333" s="36" t="str">
        <f>VLOOKUP(Tabla911[[#This Row],[CODIGO DEL PRODUCTO]],Tabla79[],2,FALSE)</f>
        <v>PIEDRA 6-20</v>
      </c>
      <c r="T1333" s="37">
        <v>36060</v>
      </c>
      <c r="U1333" s="78"/>
    </row>
    <row r="1334" spans="15:21" x14ac:dyDescent="0.25">
      <c r="O1334" s="76">
        <v>104916</v>
      </c>
      <c r="P1334" s="78" t="s">
        <v>355</v>
      </c>
      <c r="Q1334" s="77">
        <v>45932</v>
      </c>
      <c r="R1334" s="78" t="s">
        <v>43</v>
      </c>
      <c r="S1334" s="36" t="str">
        <f>VLOOKUP(Tabla911[[#This Row],[CODIGO DEL PRODUCTO]],Tabla79[],2,FALSE)</f>
        <v>PIEDRA 6-20</v>
      </c>
      <c r="T1334" s="37">
        <v>35520</v>
      </c>
      <c r="U1334" s="78"/>
    </row>
    <row r="1335" spans="15:21" x14ac:dyDescent="0.25">
      <c r="O1335" s="76">
        <v>104922</v>
      </c>
      <c r="P1335" s="78" t="s">
        <v>156</v>
      </c>
      <c r="Q1335" s="77">
        <v>45932</v>
      </c>
      <c r="R1335" s="78" t="s">
        <v>43</v>
      </c>
      <c r="S1335" s="36" t="str">
        <f>VLOOKUP(Tabla911[[#This Row],[CODIGO DEL PRODUCTO]],Tabla79[],2,FALSE)</f>
        <v>PIEDRA 6-20</v>
      </c>
      <c r="T1335" s="37">
        <v>35400</v>
      </c>
      <c r="U1335" s="78"/>
    </row>
    <row r="1336" spans="15:21" x14ac:dyDescent="0.25">
      <c r="O1336" s="76">
        <v>104925</v>
      </c>
      <c r="P1336" s="78" t="s">
        <v>299</v>
      </c>
      <c r="Q1336" s="77">
        <v>45932</v>
      </c>
      <c r="R1336" s="78" t="s">
        <v>43</v>
      </c>
      <c r="S1336" s="36" t="str">
        <f>VLOOKUP(Tabla911[[#This Row],[CODIGO DEL PRODUCTO]],Tabla79[],2,FALSE)</f>
        <v>PIEDRA 6-20</v>
      </c>
      <c r="T1336" s="37">
        <v>34500</v>
      </c>
      <c r="U1336" s="78"/>
    </row>
    <row r="1337" spans="15:21" x14ac:dyDescent="0.25">
      <c r="O1337" s="76">
        <v>2660407</v>
      </c>
      <c r="P1337" s="78" t="s">
        <v>65</v>
      </c>
      <c r="Q1337" s="77">
        <v>45932</v>
      </c>
      <c r="R1337" s="78" t="s">
        <v>286</v>
      </c>
      <c r="S1337" s="36" t="str">
        <f>VLOOKUP(Tabla911[[#This Row],[CODIGO DEL PRODUCTO]],Tabla79[],2,FALSE)</f>
        <v>CPF 40 AVELLANEDA</v>
      </c>
      <c r="T1337" s="37">
        <v>36160</v>
      </c>
      <c r="U1337" s="78"/>
    </row>
    <row r="1338" spans="15:21" x14ac:dyDescent="0.25">
      <c r="O1338" s="76">
        <v>2660467</v>
      </c>
      <c r="P1338" s="78" t="s">
        <v>296</v>
      </c>
      <c r="Q1338" s="77">
        <v>45932</v>
      </c>
      <c r="R1338" s="78" t="s">
        <v>286</v>
      </c>
      <c r="S1338" s="36" t="str">
        <f>VLOOKUP(Tabla911[[#This Row],[CODIGO DEL PRODUCTO]],Tabla79[],2,FALSE)</f>
        <v>CPF 40 AVELLANEDA</v>
      </c>
      <c r="T1338" s="37">
        <v>36320</v>
      </c>
      <c r="U1338" s="78"/>
    </row>
    <row r="1339" spans="15:21" x14ac:dyDescent="0.25">
      <c r="O1339" s="76">
        <v>34960</v>
      </c>
      <c r="P1339" s="78" t="s">
        <v>449</v>
      </c>
      <c r="Q1339" s="77">
        <v>45933</v>
      </c>
      <c r="R1339" s="78" t="s">
        <v>425</v>
      </c>
      <c r="S1339" s="36" t="str">
        <f>VLOOKUP(Tabla911[[#This Row],[CODIGO DEL PRODUCTO]],Tabla79[],2,FALSE)</f>
        <v>W351R</v>
      </c>
      <c r="T1339" s="37">
        <v>1000</v>
      </c>
      <c r="U1339" s="78"/>
    </row>
    <row r="1340" spans="15:21" x14ac:dyDescent="0.25">
      <c r="O1340" s="76">
        <v>102039</v>
      </c>
      <c r="P1340" s="78" t="s">
        <v>370</v>
      </c>
      <c r="Q1340" s="77">
        <v>45933</v>
      </c>
      <c r="R1340" s="78" t="s">
        <v>42</v>
      </c>
      <c r="S1340" s="36" t="str">
        <f>VLOOKUP(Tabla911[[#This Row],[CODIGO DEL PRODUCTO]],Tabla79[],2,FALSE)</f>
        <v>ARENA FINA</v>
      </c>
      <c r="T1340" s="37">
        <v>36140</v>
      </c>
      <c r="U1340" s="78"/>
    </row>
    <row r="1341" spans="15:21" x14ac:dyDescent="0.25">
      <c r="O1341" s="76">
        <v>102041</v>
      </c>
      <c r="P1341" s="78" t="s">
        <v>550</v>
      </c>
      <c r="Q1341" s="77">
        <v>45933</v>
      </c>
      <c r="R1341" s="78" t="s">
        <v>42</v>
      </c>
      <c r="S1341" s="36" t="str">
        <f>VLOOKUP(Tabla911[[#This Row],[CODIGO DEL PRODUCTO]],Tabla79[],2,FALSE)</f>
        <v>ARENA FINA</v>
      </c>
      <c r="T1341" s="37">
        <v>36160</v>
      </c>
      <c r="U1341" s="78"/>
    </row>
    <row r="1342" spans="15:21" x14ac:dyDescent="0.25">
      <c r="O1342" s="76">
        <v>102045</v>
      </c>
      <c r="P1342" s="78" t="s">
        <v>370</v>
      </c>
      <c r="Q1342" s="77">
        <v>45933</v>
      </c>
      <c r="R1342" s="78" t="s">
        <v>42</v>
      </c>
      <c r="S1342" s="36" t="str">
        <f>VLOOKUP(Tabla911[[#This Row],[CODIGO DEL PRODUCTO]],Tabla79[],2,FALSE)</f>
        <v>ARENA FINA</v>
      </c>
      <c r="T1342" s="37">
        <v>34940</v>
      </c>
      <c r="U1342" s="78"/>
    </row>
    <row r="1343" spans="15:21" x14ac:dyDescent="0.25">
      <c r="O1343" s="76">
        <v>102046</v>
      </c>
      <c r="P1343" s="78" t="s">
        <v>550</v>
      </c>
      <c r="Q1343" s="77">
        <v>45933</v>
      </c>
      <c r="R1343" s="78" t="s">
        <v>42</v>
      </c>
      <c r="S1343" s="36" t="str">
        <f>VLOOKUP(Tabla911[[#This Row],[CODIGO DEL PRODUCTO]],Tabla79[],2,FALSE)</f>
        <v>ARENA FINA</v>
      </c>
      <c r="T1343" s="37">
        <v>37300</v>
      </c>
      <c r="U1343" s="78"/>
    </row>
    <row r="1344" spans="15:21" x14ac:dyDescent="0.25">
      <c r="O1344" s="76">
        <v>104931</v>
      </c>
      <c r="P1344" s="78" t="s">
        <v>238</v>
      </c>
      <c r="Q1344" s="77">
        <v>45933</v>
      </c>
      <c r="R1344" s="78" t="s">
        <v>43</v>
      </c>
      <c r="S1344" s="36" t="str">
        <f>VLOOKUP(Tabla911[[#This Row],[CODIGO DEL PRODUCTO]],Tabla79[],2,FALSE)</f>
        <v>PIEDRA 6-20</v>
      </c>
      <c r="T1344" s="37">
        <v>35340</v>
      </c>
      <c r="U1344" s="78"/>
    </row>
    <row r="1345" spans="15:21" x14ac:dyDescent="0.25">
      <c r="O1345" s="76">
        <v>104933</v>
      </c>
      <c r="P1345" s="78" t="s">
        <v>150</v>
      </c>
      <c r="Q1345" s="77">
        <v>45933</v>
      </c>
      <c r="R1345" s="78" t="s">
        <v>43</v>
      </c>
      <c r="S1345" s="36" t="str">
        <f>VLOOKUP(Tabla911[[#This Row],[CODIGO DEL PRODUCTO]],Tabla79[],2,FALSE)</f>
        <v>PIEDRA 6-20</v>
      </c>
      <c r="T1345" s="37">
        <v>35720</v>
      </c>
      <c r="U1345" s="78"/>
    </row>
    <row r="1346" spans="15:21" x14ac:dyDescent="0.25">
      <c r="O1346" s="76">
        <v>104940</v>
      </c>
      <c r="P1346" s="78" t="s">
        <v>355</v>
      </c>
      <c r="Q1346" s="77">
        <v>45933</v>
      </c>
      <c r="R1346" s="78" t="s">
        <v>43</v>
      </c>
      <c r="S1346" s="36" t="str">
        <f>VLOOKUP(Tabla911[[#This Row],[CODIGO DEL PRODUCTO]],Tabla79[],2,FALSE)</f>
        <v>PIEDRA 6-20</v>
      </c>
      <c r="T1346" s="37">
        <v>34700</v>
      </c>
      <c r="U1346" s="78"/>
    </row>
    <row r="1347" spans="15:21" x14ac:dyDescent="0.25">
      <c r="O1347" s="76">
        <v>104944</v>
      </c>
      <c r="P1347" s="78" t="s">
        <v>299</v>
      </c>
      <c r="Q1347" s="77">
        <v>45933</v>
      </c>
      <c r="R1347" s="78" t="s">
        <v>43</v>
      </c>
      <c r="S1347" s="36" t="str">
        <f>VLOOKUP(Tabla911[[#This Row],[CODIGO DEL PRODUCTO]],Tabla79[],2,FALSE)</f>
        <v>PIEDRA 6-20</v>
      </c>
      <c r="T1347" s="37">
        <v>35980</v>
      </c>
      <c r="U1347" s="78"/>
    </row>
    <row r="1348" spans="15:21" x14ac:dyDescent="0.25">
      <c r="O1348" s="76">
        <v>104946</v>
      </c>
      <c r="P1348" s="78" t="s">
        <v>156</v>
      </c>
      <c r="Q1348" s="77">
        <v>45933</v>
      </c>
      <c r="R1348" s="78" t="s">
        <v>43</v>
      </c>
      <c r="S1348" s="36" t="str">
        <f>VLOOKUP(Tabla911[[#This Row],[CODIGO DEL PRODUCTO]],Tabla79[],2,FALSE)</f>
        <v>PIEDRA 6-20</v>
      </c>
      <c r="T1348" s="37">
        <v>34940</v>
      </c>
      <c r="U1348" s="78"/>
    </row>
    <row r="1349" spans="15:21" x14ac:dyDescent="0.25">
      <c r="O1349" s="76">
        <v>2660766</v>
      </c>
      <c r="P1349" s="78" t="s">
        <v>296</v>
      </c>
      <c r="Q1349" s="77">
        <v>45933</v>
      </c>
      <c r="R1349" s="78" t="s">
        <v>286</v>
      </c>
      <c r="S1349" s="36" t="str">
        <f>VLOOKUP(Tabla911[[#This Row],[CODIGO DEL PRODUCTO]],Tabla79[],2,FALSE)</f>
        <v>CPF 40 AVELLANEDA</v>
      </c>
      <c r="T1349" s="37">
        <v>36360</v>
      </c>
      <c r="U1349" s="78"/>
    </row>
    <row r="1350" spans="15:21" x14ac:dyDescent="0.25">
      <c r="O1350" s="76">
        <v>2660771</v>
      </c>
      <c r="P1350" s="78" t="s">
        <v>65</v>
      </c>
      <c r="Q1350" s="77">
        <v>45933</v>
      </c>
      <c r="R1350" s="78" t="s">
        <v>286</v>
      </c>
      <c r="S1350" s="36" t="str">
        <f>VLOOKUP(Tabla911[[#This Row],[CODIGO DEL PRODUCTO]],Tabla79[],2,FALSE)</f>
        <v>CPF 40 AVELLANEDA</v>
      </c>
      <c r="T1350" s="37">
        <v>36020</v>
      </c>
      <c r="U1350" s="78"/>
    </row>
    <row r="1351" spans="15:21" x14ac:dyDescent="0.25">
      <c r="O1351" s="76">
        <v>102057</v>
      </c>
      <c r="P1351" s="78" t="s">
        <v>370</v>
      </c>
      <c r="Q1351" s="77">
        <v>45934</v>
      </c>
      <c r="R1351" s="78" t="s">
        <v>42</v>
      </c>
      <c r="S1351" s="36" t="str">
        <f>VLOOKUP(Tabla911[[#This Row],[CODIGO DEL PRODUCTO]],Tabla79[],2,FALSE)</f>
        <v>ARENA FINA</v>
      </c>
      <c r="T1351" s="37">
        <v>34480</v>
      </c>
      <c r="U1351" s="78"/>
    </row>
    <row r="1352" spans="15:21" x14ac:dyDescent="0.25">
      <c r="O1352" s="76">
        <v>102058</v>
      </c>
      <c r="P1352" s="78" t="s">
        <v>550</v>
      </c>
      <c r="Q1352" s="77">
        <v>45934</v>
      </c>
      <c r="R1352" s="78" t="s">
        <v>42</v>
      </c>
      <c r="S1352" s="36" t="str">
        <f>VLOOKUP(Tabla911[[#This Row],[CODIGO DEL PRODUCTO]],Tabla79[],2,FALSE)</f>
        <v>ARENA FINA</v>
      </c>
      <c r="T1352" s="37">
        <v>36020</v>
      </c>
      <c r="U1352" s="78"/>
    </row>
    <row r="1353" spans="15:21" x14ac:dyDescent="0.25">
      <c r="O1353" s="76">
        <v>104953</v>
      </c>
      <c r="P1353" s="78" t="s">
        <v>150</v>
      </c>
      <c r="Q1353" s="77">
        <v>45934</v>
      </c>
      <c r="R1353" s="78" t="s">
        <v>43</v>
      </c>
      <c r="S1353" s="36" t="str">
        <f>VLOOKUP(Tabla911[[#This Row],[CODIGO DEL PRODUCTO]],Tabla79[],2,FALSE)</f>
        <v>PIEDRA 6-20</v>
      </c>
      <c r="T1353" s="37">
        <v>35480</v>
      </c>
      <c r="U1353" s="78"/>
    </row>
    <row r="1354" spans="15:21" x14ac:dyDescent="0.25">
      <c r="O1354" s="76">
        <v>2660963</v>
      </c>
      <c r="P1354" s="78" t="s">
        <v>65</v>
      </c>
      <c r="Q1354" s="77">
        <v>45934</v>
      </c>
      <c r="R1354" s="78" t="s">
        <v>286</v>
      </c>
      <c r="S1354" s="36" t="str">
        <f>VLOOKUP(Tabla911[[#This Row],[CODIGO DEL PRODUCTO]],Tabla79[],2,FALSE)</f>
        <v>CPF 40 AVELLANEDA</v>
      </c>
      <c r="T1354" s="37">
        <v>35840</v>
      </c>
      <c r="U1354" s="78"/>
    </row>
    <row r="1355" spans="15:21" x14ac:dyDescent="0.25">
      <c r="O1355" s="76">
        <v>2660971</v>
      </c>
      <c r="P1355" s="78" t="s">
        <v>296</v>
      </c>
      <c r="Q1355" s="77">
        <v>45934</v>
      </c>
      <c r="R1355" s="78" t="s">
        <v>286</v>
      </c>
      <c r="S1355" s="36" t="str">
        <f>VLOOKUP(Tabla911[[#This Row],[CODIGO DEL PRODUCTO]],Tabla79[],2,FALSE)</f>
        <v>CPF 40 AVELLANEDA</v>
      </c>
      <c r="T1355" s="37">
        <v>36140</v>
      </c>
      <c r="U1355" s="78"/>
    </row>
    <row r="1356" spans="15:21" x14ac:dyDescent="0.25">
      <c r="O1356" s="76">
        <v>102067</v>
      </c>
      <c r="P1356" s="78" t="s">
        <v>370</v>
      </c>
      <c r="Q1356" s="77">
        <v>45936</v>
      </c>
      <c r="R1356" s="78" t="s">
        <v>42</v>
      </c>
      <c r="S1356" s="36" t="str">
        <f>VLOOKUP(Tabla911[[#This Row],[CODIGO DEL PRODUCTO]],Tabla79[],2,FALSE)</f>
        <v>ARENA FINA</v>
      </c>
      <c r="T1356" s="37">
        <v>35900</v>
      </c>
      <c r="U1356" s="78"/>
    </row>
    <row r="1357" spans="15:21" x14ac:dyDescent="0.25">
      <c r="O1357" s="76">
        <v>102074</v>
      </c>
      <c r="P1357" s="78" t="s">
        <v>370</v>
      </c>
      <c r="Q1357" s="77">
        <v>45936</v>
      </c>
      <c r="R1357" s="78" t="s">
        <v>42</v>
      </c>
      <c r="S1357" s="36" t="str">
        <f>VLOOKUP(Tabla911[[#This Row],[CODIGO DEL PRODUCTO]],Tabla79[],2,FALSE)</f>
        <v>ARENA FINA</v>
      </c>
      <c r="T1357" s="37">
        <v>37300</v>
      </c>
      <c r="U1357" s="78"/>
    </row>
    <row r="1358" spans="15:21" x14ac:dyDescent="0.25">
      <c r="O1358" s="76">
        <v>104963</v>
      </c>
      <c r="P1358" s="78" t="s">
        <v>160</v>
      </c>
      <c r="Q1358" s="77">
        <v>45936</v>
      </c>
      <c r="R1358" s="78" t="s">
        <v>43</v>
      </c>
      <c r="S1358" s="36" t="str">
        <f>VLOOKUP(Tabla911[[#This Row],[CODIGO DEL PRODUCTO]],Tabla79[],2,FALSE)</f>
        <v>PIEDRA 6-20</v>
      </c>
      <c r="T1358" s="37">
        <v>34300</v>
      </c>
      <c r="U1358" s="78"/>
    </row>
    <row r="1359" spans="15:21" x14ac:dyDescent="0.25">
      <c r="O1359" s="76">
        <v>104965</v>
      </c>
      <c r="P1359" s="78" t="s">
        <v>156</v>
      </c>
      <c r="Q1359" s="77">
        <v>45936</v>
      </c>
      <c r="R1359" s="78" t="s">
        <v>43</v>
      </c>
      <c r="S1359" s="36" t="str">
        <f>VLOOKUP(Tabla911[[#This Row],[CODIGO DEL PRODUCTO]],Tabla79[],2,FALSE)</f>
        <v>PIEDRA 6-20</v>
      </c>
      <c r="T1359" s="37">
        <v>34420</v>
      </c>
      <c r="U1359" s="78"/>
    </row>
    <row r="1360" spans="15:21" x14ac:dyDescent="0.25">
      <c r="O1360" s="76">
        <v>104967</v>
      </c>
      <c r="P1360" s="78" t="s">
        <v>586</v>
      </c>
      <c r="Q1360" s="77">
        <v>45936</v>
      </c>
      <c r="R1360" s="78" t="s">
        <v>43</v>
      </c>
      <c r="S1360" s="36" t="str">
        <f>VLOOKUP(Tabla911[[#This Row],[CODIGO DEL PRODUCTO]],Tabla79[],2,FALSE)</f>
        <v>PIEDRA 6-20</v>
      </c>
      <c r="T1360" s="37">
        <v>34520</v>
      </c>
      <c r="U1360" s="78"/>
    </row>
    <row r="1361" spans="15:21" x14ac:dyDescent="0.25">
      <c r="O1361" s="76">
        <v>145120</v>
      </c>
      <c r="P1361" s="78" t="s">
        <v>587</v>
      </c>
      <c r="Q1361" s="77">
        <v>45936</v>
      </c>
      <c r="R1361" s="78" t="s">
        <v>43</v>
      </c>
      <c r="S1361" s="36" t="str">
        <f>VLOOKUP(Tabla911[[#This Row],[CODIGO DEL PRODUCTO]],Tabla79[],2,FALSE)</f>
        <v>PIEDRA 6-20</v>
      </c>
      <c r="T1361" s="37">
        <v>35020</v>
      </c>
      <c r="U1361" s="78"/>
    </row>
    <row r="1362" spans="15:21" x14ac:dyDescent="0.25">
      <c r="O1362" s="76">
        <v>145141</v>
      </c>
      <c r="P1362" s="78" t="s">
        <v>119</v>
      </c>
      <c r="Q1362" s="77">
        <v>45936</v>
      </c>
      <c r="R1362" s="78" t="s">
        <v>43</v>
      </c>
      <c r="S1362" s="36" t="str">
        <f>VLOOKUP(Tabla911[[#This Row],[CODIGO DEL PRODUCTO]],Tabla79[],2,FALSE)</f>
        <v>PIEDRA 6-20</v>
      </c>
      <c r="T1362" s="37">
        <v>35760</v>
      </c>
      <c r="U1362" s="78"/>
    </row>
    <row r="1363" spans="15:21" x14ac:dyDescent="0.25">
      <c r="O1363" s="76">
        <v>2661329</v>
      </c>
      <c r="P1363" s="78" t="s">
        <v>65</v>
      </c>
      <c r="Q1363" s="77">
        <v>45936</v>
      </c>
      <c r="R1363" s="78" t="s">
        <v>286</v>
      </c>
      <c r="S1363" s="36" t="str">
        <f>VLOOKUP(Tabla911[[#This Row],[CODIGO DEL PRODUCTO]],Tabla79[],2,FALSE)</f>
        <v>CPF 40 AVELLANEDA</v>
      </c>
      <c r="T1363" s="37">
        <v>35820</v>
      </c>
      <c r="U1363" s="78"/>
    </row>
    <row r="1364" spans="15:21" x14ac:dyDescent="0.25">
      <c r="O1364" s="76">
        <v>2661344</v>
      </c>
      <c r="P1364" s="78" t="s">
        <v>296</v>
      </c>
      <c r="Q1364" s="77">
        <v>45936</v>
      </c>
      <c r="R1364" s="78" t="s">
        <v>286</v>
      </c>
      <c r="S1364" s="36" t="str">
        <f>VLOOKUP(Tabla911[[#This Row],[CODIGO DEL PRODUCTO]],Tabla79[],2,FALSE)</f>
        <v>CPF 40 AVELLANEDA</v>
      </c>
      <c r="T1364" s="37">
        <v>36280</v>
      </c>
      <c r="U1364" s="78"/>
    </row>
    <row r="1365" spans="15:21" x14ac:dyDescent="0.25">
      <c r="O1365" s="76">
        <v>102084</v>
      </c>
      <c r="P1365" s="78" t="s">
        <v>370</v>
      </c>
      <c r="Q1365" s="77">
        <v>45937</v>
      </c>
      <c r="R1365" s="78" t="s">
        <v>42</v>
      </c>
      <c r="S1365" s="36" t="str">
        <f>VLOOKUP(Tabla911[[#This Row],[CODIGO DEL PRODUCTO]],Tabla79[],2,FALSE)</f>
        <v>ARENA FINA</v>
      </c>
      <c r="T1365" s="37">
        <v>34240</v>
      </c>
      <c r="U1365" s="78"/>
    </row>
    <row r="1366" spans="15:21" x14ac:dyDescent="0.25">
      <c r="O1366" s="76">
        <v>102087</v>
      </c>
      <c r="P1366" s="78" t="s">
        <v>550</v>
      </c>
      <c r="Q1366" s="77">
        <v>45937</v>
      </c>
      <c r="R1366" s="78" t="s">
        <v>42</v>
      </c>
      <c r="S1366" s="36" t="str">
        <f>VLOOKUP(Tabla911[[#This Row],[CODIGO DEL PRODUCTO]],Tabla79[],2,FALSE)</f>
        <v>ARENA FINA</v>
      </c>
      <c r="T1366" s="37">
        <v>36800</v>
      </c>
      <c r="U1366" s="78"/>
    </row>
    <row r="1367" spans="15:21" x14ac:dyDescent="0.25">
      <c r="O1367" s="76">
        <v>102092</v>
      </c>
      <c r="P1367" s="78" t="s">
        <v>370</v>
      </c>
      <c r="Q1367" s="77">
        <v>45937</v>
      </c>
      <c r="R1367" s="78" t="s">
        <v>42</v>
      </c>
      <c r="S1367" s="36" t="str">
        <f>VLOOKUP(Tabla911[[#This Row],[CODIGO DEL PRODUCTO]],Tabla79[],2,FALSE)</f>
        <v>ARENA FINA</v>
      </c>
      <c r="T1367" s="37">
        <v>35480</v>
      </c>
      <c r="U1367" s="78"/>
    </row>
    <row r="1368" spans="15:21" x14ac:dyDescent="0.25">
      <c r="O1368" s="76">
        <v>102093</v>
      </c>
      <c r="P1368" s="78" t="s">
        <v>550</v>
      </c>
      <c r="Q1368" s="77">
        <v>45937</v>
      </c>
      <c r="R1368" s="78" t="s">
        <v>42</v>
      </c>
      <c r="S1368" s="36" t="str">
        <f>VLOOKUP(Tabla911[[#This Row],[CODIGO DEL PRODUCTO]],Tabla79[],2,FALSE)</f>
        <v>ARENA FINA</v>
      </c>
      <c r="T1368" s="37">
        <v>37980</v>
      </c>
      <c r="U1368" s="78"/>
    </row>
    <row r="1369" spans="15:21" x14ac:dyDescent="0.25">
      <c r="O1369" s="76">
        <v>216461</v>
      </c>
      <c r="P1369" s="78" t="s">
        <v>516</v>
      </c>
      <c r="Q1369" s="77">
        <v>45937</v>
      </c>
      <c r="R1369" s="78" t="s">
        <v>43</v>
      </c>
      <c r="S1369" s="36" t="str">
        <f>VLOOKUP(Tabla911[[#This Row],[CODIGO DEL PRODUCTO]],Tabla79[],2,FALSE)</f>
        <v>PIEDRA 6-20</v>
      </c>
      <c r="T1369" s="37">
        <v>35780</v>
      </c>
      <c r="U1369" s="78"/>
    </row>
    <row r="1370" spans="15:21" x14ac:dyDescent="0.25">
      <c r="O1370" s="76">
        <v>104981</v>
      </c>
      <c r="P1370" s="78" t="s">
        <v>150</v>
      </c>
      <c r="Q1370" s="77">
        <v>45937</v>
      </c>
      <c r="R1370" s="78" t="s">
        <v>43</v>
      </c>
      <c r="S1370" s="36" t="str">
        <f>VLOOKUP(Tabla911[[#This Row],[CODIGO DEL PRODUCTO]],Tabla79[],2,FALSE)</f>
        <v>PIEDRA 6-20</v>
      </c>
      <c r="T1370" s="37">
        <v>35040</v>
      </c>
      <c r="U1370" s="78"/>
    </row>
    <row r="1371" spans="15:21" x14ac:dyDescent="0.25">
      <c r="O1371" s="76">
        <v>104983</v>
      </c>
      <c r="P1371" s="78" t="s">
        <v>570</v>
      </c>
      <c r="Q1371" s="77">
        <v>45937</v>
      </c>
      <c r="R1371" s="78" t="s">
        <v>43</v>
      </c>
      <c r="S1371" s="36" t="str">
        <f>VLOOKUP(Tabla911[[#This Row],[CODIGO DEL PRODUCTO]],Tabla79[],2,FALSE)</f>
        <v>PIEDRA 6-20</v>
      </c>
      <c r="T1371" s="37">
        <v>34320</v>
      </c>
      <c r="U1371" s="78"/>
    </row>
    <row r="1372" spans="15:21" x14ac:dyDescent="0.25">
      <c r="O1372" s="76">
        <v>104990</v>
      </c>
      <c r="P1372" s="78" t="s">
        <v>160</v>
      </c>
      <c r="Q1372" s="77">
        <v>45937</v>
      </c>
      <c r="R1372" s="78" t="s">
        <v>43</v>
      </c>
      <c r="S1372" s="36" t="str">
        <f>VLOOKUP(Tabla911[[#This Row],[CODIGO DEL PRODUCTO]],Tabla79[],2,FALSE)</f>
        <v>PIEDRA 6-20</v>
      </c>
      <c r="T1372" s="37">
        <v>33940</v>
      </c>
      <c r="U1372" s="78"/>
    </row>
    <row r="1373" spans="15:21" x14ac:dyDescent="0.25">
      <c r="O1373" s="76">
        <v>104994</v>
      </c>
      <c r="P1373" s="78" t="s">
        <v>156</v>
      </c>
      <c r="Q1373" s="77">
        <v>45937</v>
      </c>
      <c r="R1373" s="78" t="s">
        <v>43</v>
      </c>
      <c r="S1373" s="36" t="str">
        <f>VLOOKUP(Tabla911[[#This Row],[CODIGO DEL PRODUCTO]],Tabla79[],2,FALSE)</f>
        <v>PIEDRA 6-20</v>
      </c>
      <c r="T1373" s="37">
        <v>35320</v>
      </c>
      <c r="U1373" s="78"/>
    </row>
    <row r="1374" spans="15:21" x14ac:dyDescent="0.25">
      <c r="O1374" s="76">
        <v>2661601</v>
      </c>
      <c r="P1374" s="78" t="s">
        <v>65</v>
      </c>
      <c r="Q1374" s="77">
        <v>45937</v>
      </c>
      <c r="R1374" s="78" t="s">
        <v>286</v>
      </c>
      <c r="S1374" s="36" t="str">
        <f>VLOOKUP(Tabla911[[#This Row],[CODIGO DEL PRODUCTO]],Tabla79[],2,FALSE)</f>
        <v>CPF 40 AVELLANEDA</v>
      </c>
      <c r="T1374" s="37">
        <v>35640</v>
      </c>
      <c r="U1374" s="78"/>
    </row>
    <row r="1375" spans="15:21" x14ac:dyDescent="0.25">
      <c r="O1375" s="76">
        <v>2661644</v>
      </c>
      <c r="P1375" s="78" t="s">
        <v>296</v>
      </c>
      <c r="Q1375" s="77">
        <v>45937</v>
      </c>
      <c r="R1375" s="78" t="s">
        <v>286</v>
      </c>
      <c r="S1375" s="36" t="str">
        <f>VLOOKUP(Tabla911[[#This Row],[CODIGO DEL PRODUCTO]],Tabla79[],2,FALSE)</f>
        <v>CPF 40 AVELLANEDA</v>
      </c>
      <c r="T1375" s="37">
        <v>36320</v>
      </c>
      <c r="U1375" s="78"/>
    </row>
    <row r="1376" spans="15:21" x14ac:dyDescent="0.25">
      <c r="O1376" s="76">
        <v>102104</v>
      </c>
      <c r="P1376" s="78" t="s">
        <v>370</v>
      </c>
      <c r="Q1376" s="77">
        <v>45938</v>
      </c>
      <c r="R1376" s="78" t="s">
        <v>42</v>
      </c>
      <c r="S1376" s="36" t="str">
        <f>VLOOKUP(Tabla911[[#This Row],[CODIGO DEL PRODUCTO]],Tabla79[],2,FALSE)</f>
        <v>ARENA FINA</v>
      </c>
      <c r="T1376" s="37">
        <v>34220</v>
      </c>
      <c r="U1376" s="78"/>
    </row>
    <row r="1377" spans="15:21" x14ac:dyDescent="0.25">
      <c r="O1377" s="76">
        <v>102111</v>
      </c>
      <c r="P1377" s="78" t="s">
        <v>550</v>
      </c>
      <c r="Q1377" s="77">
        <v>45938</v>
      </c>
      <c r="R1377" s="78" t="s">
        <v>42</v>
      </c>
      <c r="S1377" s="36" t="str">
        <f>VLOOKUP(Tabla911[[#This Row],[CODIGO DEL PRODUCTO]],Tabla79[],2,FALSE)</f>
        <v>ARENA FINA</v>
      </c>
      <c r="T1377" s="37">
        <v>37100</v>
      </c>
      <c r="U1377" s="78"/>
    </row>
    <row r="1378" spans="15:21" x14ac:dyDescent="0.25">
      <c r="O1378" s="76">
        <v>102119</v>
      </c>
      <c r="P1378" s="78" t="s">
        <v>550</v>
      </c>
      <c r="Q1378" s="77">
        <v>45938</v>
      </c>
      <c r="R1378" s="78" t="s">
        <v>42</v>
      </c>
      <c r="S1378" s="36" t="str">
        <f>VLOOKUP(Tabla911[[#This Row],[CODIGO DEL PRODUCTO]],Tabla79[],2,FALSE)</f>
        <v>ARENA FINA</v>
      </c>
      <c r="T1378" s="37">
        <v>37000</v>
      </c>
      <c r="U1378" s="78"/>
    </row>
    <row r="1379" spans="15:21" x14ac:dyDescent="0.25">
      <c r="O1379" s="76">
        <v>216500</v>
      </c>
      <c r="P1379" s="78" t="s">
        <v>516</v>
      </c>
      <c r="Q1379" s="77">
        <v>45938</v>
      </c>
      <c r="R1379" s="78" t="s">
        <v>43</v>
      </c>
      <c r="S1379" s="36" t="str">
        <f>VLOOKUP(Tabla911[[#This Row],[CODIGO DEL PRODUCTO]],Tabla79[],2,FALSE)</f>
        <v>PIEDRA 6-20</v>
      </c>
      <c r="T1379" s="37">
        <v>35420</v>
      </c>
      <c r="U1379" s="78"/>
    </row>
    <row r="1380" spans="15:21" x14ac:dyDescent="0.25">
      <c r="O1380" s="76">
        <v>104999</v>
      </c>
      <c r="P1380" s="78" t="s">
        <v>150</v>
      </c>
      <c r="Q1380" s="77">
        <v>45938</v>
      </c>
      <c r="R1380" s="78" t="s">
        <v>43</v>
      </c>
      <c r="S1380" s="36" t="str">
        <f>VLOOKUP(Tabla911[[#This Row],[CODIGO DEL PRODUCTO]],Tabla79[],2,FALSE)</f>
        <v>PIEDRA 6-20</v>
      </c>
      <c r="T1380" s="37">
        <v>35600</v>
      </c>
      <c r="U1380" s="78"/>
    </row>
    <row r="1381" spans="15:21" x14ac:dyDescent="0.25">
      <c r="O1381" s="76">
        <v>105002</v>
      </c>
      <c r="P1381" s="78" t="s">
        <v>570</v>
      </c>
      <c r="Q1381" s="77">
        <v>45938</v>
      </c>
      <c r="R1381" s="78" t="s">
        <v>43</v>
      </c>
      <c r="S1381" s="36" t="str">
        <f>VLOOKUP(Tabla911[[#This Row],[CODIGO DEL PRODUCTO]],Tabla79[],2,FALSE)</f>
        <v>PIEDRA 6-20</v>
      </c>
      <c r="T1381" s="37">
        <v>34780</v>
      </c>
      <c r="U1381" s="78"/>
    </row>
    <row r="1382" spans="15:21" x14ac:dyDescent="0.25">
      <c r="O1382" s="76">
        <v>105011</v>
      </c>
      <c r="P1382" s="78" t="s">
        <v>160</v>
      </c>
      <c r="Q1382" s="77">
        <v>45938</v>
      </c>
      <c r="R1382" s="78" t="s">
        <v>43</v>
      </c>
      <c r="S1382" s="36" t="str">
        <f>VLOOKUP(Tabla911[[#This Row],[CODIGO DEL PRODUCTO]],Tabla79[],2,FALSE)</f>
        <v>PIEDRA 6-20</v>
      </c>
      <c r="T1382" s="37">
        <v>34120</v>
      </c>
      <c r="U1382" s="78"/>
    </row>
    <row r="1383" spans="15:21" x14ac:dyDescent="0.25">
      <c r="O1383" s="76">
        <v>105018</v>
      </c>
      <c r="P1383" s="78" t="s">
        <v>156</v>
      </c>
      <c r="Q1383" s="77">
        <v>45938</v>
      </c>
      <c r="R1383" s="78" t="s">
        <v>43</v>
      </c>
      <c r="S1383" s="36" t="str">
        <f>VLOOKUP(Tabla911[[#This Row],[CODIGO DEL PRODUCTO]],Tabla79[],2,FALSE)</f>
        <v>PIEDRA 6-20</v>
      </c>
      <c r="T1383" s="37">
        <v>35340</v>
      </c>
      <c r="U1383" s="78"/>
    </row>
    <row r="1384" spans="15:21" x14ac:dyDescent="0.25">
      <c r="O1384" s="76">
        <v>2661906</v>
      </c>
      <c r="P1384" s="78" t="s">
        <v>65</v>
      </c>
      <c r="Q1384" s="77">
        <v>45938</v>
      </c>
      <c r="R1384" s="78" t="s">
        <v>286</v>
      </c>
      <c r="S1384" s="36" t="str">
        <f>VLOOKUP(Tabla911[[#This Row],[CODIGO DEL PRODUCTO]],Tabla79[],2,FALSE)</f>
        <v>CPF 40 AVELLANEDA</v>
      </c>
      <c r="T1384" s="37">
        <v>36120</v>
      </c>
      <c r="U1384" s="78"/>
    </row>
    <row r="1385" spans="15:21" x14ac:dyDescent="0.25">
      <c r="O1385" s="76">
        <v>102129</v>
      </c>
      <c r="P1385" s="78" t="s">
        <v>370</v>
      </c>
      <c r="Q1385" s="77">
        <v>45939</v>
      </c>
      <c r="R1385" s="78" t="s">
        <v>42</v>
      </c>
      <c r="S1385" s="36" t="str">
        <f>VLOOKUP(Tabla911[[#This Row],[CODIGO DEL PRODUCTO]],Tabla79[],2,FALSE)</f>
        <v>ARENA FINA</v>
      </c>
      <c r="T1385" s="37">
        <v>35540</v>
      </c>
      <c r="U1385" s="78"/>
    </row>
    <row r="1386" spans="15:21" x14ac:dyDescent="0.25">
      <c r="O1386" s="76">
        <v>102133</v>
      </c>
      <c r="P1386" s="78" t="s">
        <v>550</v>
      </c>
      <c r="Q1386" s="77">
        <v>45939</v>
      </c>
      <c r="R1386" s="78" t="s">
        <v>42</v>
      </c>
      <c r="S1386" s="36" t="str">
        <f>VLOOKUP(Tabla911[[#This Row],[CODIGO DEL PRODUCTO]],Tabla79[],2,FALSE)</f>
        <v>ARENA FINA</v>
      </c>
      <c r="T1386" s="37">
        <v>37300</v>
      </c>
      <c r="U1386" s="78"/>
    </row>
    <row r="1387" spans="15:21" x14ac:dyDescent="0.25">
      <c r="O1387" s="76">
        <v>102138</v>
      </c>
      <c r="P1387" s="78" t="s">
        <v>370</v>
      </c>
      <c r="Q1387" s="77">
        <v>45939</v>
      </c>
      <c r="R1387" s="78" t="s">
        <v>42</v>
      </c>
      <c r="S1387" s="36" t="str">
        <f>VLOOKUP(Tabla911[[#This Row],[CODIGO DEL PRODUCTO]],Tabla79[],2,FALSE)</f>
        <v>ARENA FINA</v>
      </c>
      <c r="T1387" s="37">
        <v>36040</v>
      </c>
      <c r="U1387" s="78"/>
    </row>
    <row r="1388" spans="15:21" x14ac:dyDescent="0.25">
      <c r="O1388" s="76">
        <v>216555</v>
      </c>
      <c r="P1388" s="78" t="s">
        <v>516</v>
      </c>
      <c r="Q1388" s="77">
        <v>45939</v>
      </c>
      <c r="R1388" s="78" t="s">
        <v>43</v>
      </c>
      <c r="S1388" s="36" t="str">
        <f>VLOOKUP(Tabla911[[#This Row],[CODIGO DEL PRODUCTO]],Tabla79[],2,FALSE)</f>
        <v>PIEDRA 6-20</v>
      </c>
      <c r="T1388" s="37">
        <v>35180</v>
      </c>
      <c r="U1388" s="78"/>
    </row>
    <row r="1389" spans="15:21" x14ac:dyDescent="0.25">
      <c r="O1389" s="76">
        <v>105020</v>
      </c>
      <c r="P1389" s="78" t="s">
        <v>150</v>
      </c>
      <c r="Q1389" s="77">
        <v>45939</v>
      </c>
      <c r="R1389" s="78" t="s">
        <v>43</v>
      </c>
      <c r="S1389" s="36" t="str">
        <f>VLOOKUP(Tabla911[[#This Row],[CODIGO DEL PRODUCTO]],Tabla79[],2,FALSE)</f>
        <v>PIEDRA 6-20</v>
      </c>
      <c r="T1389" s="37">
        <v>35880</v>
      </c>
      <c r="U1389" s="78"/>
    </row>
    <row r="1390" spans="15:21" x14ac:dyDescent="0.25">
      <c r="O1390" s="76">
        <v>105024</v>
      </c>
      <c r="P1390" s="78" t="s">
        <v>570</v>
      </c>
      <c r="Q1390" s="77">
        <v>45939</v>
      </c>
      <c r="R1390" s="78" t="s">
        <v>43</v>
      </c>
      <c r="S1390" s="36" t="str">
        <f>VLOOKUP(Tabla911[[#This Row],[CODIGO DEL PRODUCTO]],Tabla79[],2,FALSE)</f>
        <v>PIEDRA 6-20</v>
      </c>
      <c r="T1390" s="37">
        <v>34500</v>
      </c>
      <c r="U1390" s="78"/>
    </row>
    <row r="1391" spans="15:21" x14ac:dyDescent="0.25">
      <c r="O1391" s="76">
        <v>105030</v>
      </c>
      <c r="P1391" s="78" t="s">
        <v>160</v>
      </c>
      <c r="Q1391" s="77">
        <v>45939</v>
      </c>
      <c r="R1391" s="78" t="s">
        <v>43</v>
      </c>
      <c r="S1391" s="36" t="str">
        <f>VLOOKUP(Tabla911[[#This Row],[CODIGO DEL PRODUCTO]],Tabla79[],2,FALSE)</f>
        <v>PIEDRA 6-20</v>
      </c>
      <c r="T1391" s="37">
        <v>34680</v>
      </c>
      <c r="U1391" s="78"/>
    </row>
    <row r="1392" spans="15:21" x14ac:dyDescent="0.25">
      <c r="O1392" s="76">
        <v>105035</v>
      </c>
      <c r="P1392" s="78" t="s">
        <v>156</v>
      </c>
      <c r="Q1392" s="77">
        <v>45939</v>
      </c>
      <c r="R1392" s="78" t="s">
        <v>43</v>
      </c>
      <c r="S1392" s="36" t="str">
        <f>VLOOKUP(Tabla911[[#This Row],[CODIGO DEL PRODUCTO]],Tabla79[],2,FALSE)</f>
        <v>PIEDRA 6-20</v>
      </c>
      <c r="T1392" s="37">
        <v>35420</v>
      </c>
      <c r="U1392" s="78"/>
    </row>
    <row r="1393" spans="15:21" x14ac:dyDescent="0.25">
      <c r="O1393" s="76">
        <v>105037</v>
      </c>
      <c r="P1393" s="78" t="s">
        <v>586</v>
      </c>
      <c r="Q1393" s="77">
        <v>45939</v>
      </c>
      <c r="R1393" s="78" t="s">
        <v>43</v>
      </c>
      <c r="S1393" s="36" t="str">
        <f>VLOOKUP(Tabla911[[#This Row],[CODIGO DEL PRODUCTO]],Tabla79[],2,FALSE)</f>
        <v>PIEDRA 6-20</v>
      </c>
      <c r="T1393" s="37">
        <v>35040</v>
      </c>
      <c r="U1393" s="78"/>
    </row>
    <row r="1394" spans="15:21" x14ac:dyDescent="0.25">
      <c r="O1394" s="76">
        <v>2662213</v>
      </c>
      <c r="P1394" s="78" t="s">
        <v>65</v>
      </c>
      <c r="Q1394" s="77">
        <v>45939</v>
      </c>
      <c r="R1394" s="78" t="s">
        <v>286</v>
      </c>
      <c r="S1394" s="36" t="str">
        <f>VLOOKUP(Tabla911[[#This Row],[CODIGO DEL PRODUCTO]],Tabla79[],2,FALSE)</f>
        <v>CPF 40 AVELLANEDA</v>
      </c>
      <c r="T1394" s="37">
        <v>36020</v>
      </c>
      <c r="U1394" s="78"/>
    </row>
    <row r="1395" spans="15:21" x14ac:dyDescent="0.25">
      <c r="O1395" s="76">
        <v>102147</v>
      </c>
      <c r="P1395" s="78" t="s">
        <v>370</v>
      </c>
      <c r="Q1395" s="77">
        <v>45940</v>
      </c>
      <c r="R1395" s="78" t="s">
        <v>42</v>
      </c>
      <c r="S1395" s="36" t="str">
        <f>VLOOKUP(Tabla911[[#This Row],[CODIGO DEL PRODUCTO]],Tabla79[],2,FALSE)</f>
        <v>ARENA FINA</v>
      </c>
      <c r="T1395" s="37">
        <v>35540</v>
      </c>
      <c r="U1395" s="78"/>
    </row>
    <row r="1396" spans="15:21" x14ac:dyDescent="0.25">
      <c r="O1396" s="76">
        <v>102148</v>
      </c>
      <c r="P1396" s="78" t="s">
        <v>550</v>
      </c>
      <c r="Q1396" s="77">
        <v>45940</v>
      </c>
      <c r="R1396" s="78" t="s">
        <v>42</v>
      </c>
      <c r="S1396" s="36" t="str">
        <f>VLOOKUP(Tabla911[[#This Row],[CODIGO DEL PRODUCTO]],Tabla79[],2,FALSE)</f>
        <v>ARENA FINA</v>
      </c>
      <c r="T1396" s="37">
        <v>38000</v>
      </c>
      <c r="U1396" s="78"/>
    </row>
    <row r="1397" spans="15:21" x14ac:dyDescent="0.25">
      <c r="O1397" s="76">
        <v>105041</v>
      </c>
      <c r="P1397" s="78" t="s">
        <v>150</v>
      </c>
      <c r="Q1397" s="77">
        <v>45940</v>
      </c>
      <c r="R1397" s="78" t="s">
        <v>43</v>
      </c>
      <c r="S1397" s="36" t="str">
        <f>VLOOKUP(Tabla911[[#This Row],[CODIGO DEL PRODUCTO]],Tabla79[],2,FALSE)</f>
        <v>PIEDRA 6-20</v>
      </c>
      <c r="T1397" s="37">
        <v>34840</v>
      </c>
      <c r="U1397" s="78"/>
    </row>
    <row r="1398" spans="15:21" x14ac:dyDescent="0.25">
      <c r="O1398" s="76">
        <v>105044</v>
      </c>
      <c r="P1398" s="78" t="s">
        <v>570</v>
      </c>
      <c r="Q1398" s="77">
        <v>45940</v>
      </c>
      <c r="R1398" s="78" t="s">
        <v>43</v>
      </c>
      <c r="S1398" s="36" t="str">
        <f>VLOOKUP(Tabla911[[#This Row],[CODIGO DEL PRODUCTO]],Tabla79[],2,FALSE)</f>
        <v>PIEDRA 6-20</v>
      </c>
      <c r="T1398" s="37">
        <v>34500</v>
      </c>
      <c r="U1398" s="78"/>
    </row>
    <row r="1399" spans="15:21" x14ac:dyDescent="0.25">
      <c r="O1399" s="76">
        <v>105047</v>
      </c>
      <c r="P1399" s="78" t="s">
        <v>160</v>
      </c>
      <c r="Q1399" s="77">
        <v>45940</v>
      </c>
      <c r="R1399" s="78" t="s">
        <v>43</v>
      </c>
      <c r="S1399" s="36" t="str">
        <f>VLOOKUP(Tabla911[[#This Row],[CODIGO DEL PRODUCTO]],Tabla79[],2,FALSE)</f>
        <v>PIEDRA 6-20</v>
      </c>
      <c r="T1399" s="37">
        <v>34740</v>
      </c>
      <c r="U1399" s="78"/>
    </row>
    <row r="1400" spans="15:21" x14ac:dyDescent="0.25">
      <c r="O1400" s="76">
        <v>105048</v>
      </c>
      <c r="P1400" s="78" t="s">
        <v>586</v>
      </c>
      <c r="Q1400" s="77">
        <v>45940</v>
      </c>
      <c r="R1400" s="78" t="s">
        <v>43</v>
      </c>
      <c r="S1400" s="36" t="str">
        <f>VLOOKUP(Tabla911[[#This Row],[CODIGO DEL PRODUCTO]],Tabla79[],2,FALSE)</f>
        <v>PIEDRA 6-20</v>
      </c>
      <c r="T1400" s="37">
        <v>34280</v>
      </c>
      <c r="U1400" s="78"/>
    </row>
    <row r="1401" spans="15:21" x14ac:dyDescent="0.25">
      <c r="O1401" s="76">
        <v>105050</v>
      </c>
      <c r="P1401" s="78" t="s">
        <v>156</v>
      </c>
      <c r="Q1401" s="77">
        <v>45940</v>
      </c>
      <c r="R1401" s="78" t="s">
        <v>43</v>
      </c>
      <c r="S1401" s="36" t="str">
        <f>VLOOKUP(Tabla911[[#This Row],[CODIGO DEL PRODUCTO]],Tabla79[],2,FALSE)</f>
        <v>PIEDRA 6-20</v>
      </c>
      <c r="T1401" s="37">
        <v>35660</v>
      </c>
      <c r="U1401" s="78"/>
    </row>
    <row r="1402" spans="15:21" x14ac:dyDescent="0.25">
      <c r="O1402" s="76">
        <v>2662538</v>
      </c>
      <c r="P1402" s="78" t="s">
        <v>65</v>
      </c>
      <c r="Q1402" s="77">
        <v>45940</v>
      </c>
      <c r="R1402" s="78" t="s">
        <v>286</v>
      </c>
      <c r="S1402" s="36" t="str">
        <f>VLOOKUP(Tabla911[[#This Row],[CODIGO DEL PRODUCTO]],Tabla79[],2,FALSE)</f>
        <v>CPF 40 AVELLANEDA</v>
      </c>
      <c r="T1402" s="37">
        <v>36040</v>
      </c>
      <c r="U1402" s="78"/>
    </row>
    <row r="1403" spans="15:21" x14ac:dyDescent="0.25">
      <c r="O1403" s="76">
        <v>2662686</v>
      </c>
      <c r="P1403" s="78" t="s">
        <v>65</v>
      </c>
      <c r="Q1403" s="77">
        <v>45941</v>
      </c>
      <c r="R1403" s="78" t="s">
        <v>286</v>
      </c>
      <c r="S1403" s="36" t="str">
        <f>VLOOKUP(Tabla911[[#This Row],[CODIGO DEL PRODUCTO]],Tabla79[],2,FALSE)</f>
        <v>CPF 40 AVELLANEDA</v>
      </c>
      <c r="T1403" s="37">
        <v>36120</v>
      </c>
      <c r="U1403" s="78"/>
    </row>
    <row r="1404" spans="15:21" x14ac:dyDescent="0.25">
      <c r="O1404" s="76">
        <v>102151</v>
      </c>
      <c r="P1404" s="78" t="s">
        <v>370</v>
      </c>
      <c r="Q1404" s="77">
        <v>45943</v>
      </c>
      <c r="R1404" s="78" t="s">
        <v>42</v>
      </c>
      <c r="S1404" s="36" t="str">
        <f>VLOOKUP(Tabla911[[#This Row],[CODIGO DEL PRODUCTO]],Tabla79[],2,FALSE)</f>
        <v>ARENA FINA</v>
      </c>
      <c r="T1404" s="37">
        <v>35640</v>
      </c>
      <c r="U1404" s="78"/>
    </row>
    <row r="1405" spans="15:21" x14ac:dyDescent="0.25">
      <c r="O1405" s="76">
        <v>102159</v>
      </c>
      <c r="P1405" s="78" t="s">
        <v>550</v>
      </c>
      <c r="Q1405" s="77">
        <v>45943</v>
      </c>
      <c r="R1405" s="78" t="s">
        <v>42</v>
      </c>
      <c r="S1405" s="36" t="str">
        <f>VLOOKUP(Tabla911[[#This Row],[CODIGO DEL PRODUCTO]],Tabla79[],2,FALSE)</f>
        <v>ARENA FINA</v>
      </c>
      <c r="T1405" s="37">
        <v>36800</v>
      </c>
      <c r="U1405" s="78"/>
    </row>
    <row r="1406" spans="15:21" x14ac:dyDescent="0.25">
      <c r="O1406" s="76">
        <v>102161</v>
      </c>
      <c r="P1406" s="78" t="s">
        <v>370</v>
      </c>
      <c r="Q1406" s="77">
        <v>45943</v>
      </c>
      <c r="R1406" s="78" t="s">
        <v>42</v>
      </c>
      <c r="S1406" s="36" t="str">
        <f>VLOOKUP(Tabla911[[#This Row],[CODIGO DEL PRODUCTO]],Tabla79[],2,FALSE)</f>
        <v>ARENA FINA</v>
      </c>
      <c r="T1406" s="37">
        <v>34800</v>
      </c>
      <c r="U1406" s="78"/>
    </row>
    <row r="1407" spans="15:21" x14ac:dyDescent="0.25">
      <c r="O1407" s="76">
        <v>105055</v>
      </c>
      <c r="P1407" s="78" t="s">
        <v>355</v>
      </c>
      <c r="Q1407" s="77">
        <v>45943</v>
      </c>
      <c r="R1407" s="78" t="s">
        <v>43</v>
      </c>
      <c r="S1407" s="36" t="str">
        <f>VLOOKUP(Tabla911[[#This Row],[CODIGO DEL PRODUCTO]],Tabla79[],2,FALSE)</f>
        <v>PIEDRA 6-20</v>
      </c>
      <c r="T1407" s="37">
        <v>35300</v>
      </c>
      <c r="U1407" s="78"/>
    </row>
    <row r="1408" spans="15:21" x14ac:dyDescent="0.25">
      <c r="O1408" s="76">
        <v>105066</v>
      </c>
      <c r="P1408" s="78" t="s">
        <v>234</v>
      </c>
      <c r="Q1408" s="77">
        <v>45943</v>
      </c>
      <c r="R1408" s="78" t="s">
        <v>43</v>
      </c>
      <c r="S1408" s="36" t="str">
        <f>VLOOKUP(Tabla911[[#This Row],[CODIGO DEL PRODUCTO]],Tabla79[],2,FALSE)</f>
        <v>PIEDRA 6-20</v>
      </c>
      <c r="T1408" s="37">
        <v>35480</v>
      </c>
      <c r="U1408" s="78"/>
    </row>
    <row r="1409" spans="15:21" x14ac:dyDescent="0.25">
      <c r="O1409" s="76">
        <v>105070</v>
      </c>
      <c r="P1409" s="78" t="s">
        <v>156</v>
      </c>
      <c r="Q1409" s="77">
        <v>45943</v>
      </c>
      <c r="R1409" s="78" t="s">
        <v>43</v>
      </c>
      <c r="S1409" s="36" t="str">
        <f>VLOOKUP(Tabla911[[#This Row],[CODIGO DEL PRODUCTO]],Tabla79[],2,FALSE)</f>
        <v>PIEDRA 6-20</v>
      </c>
      <c r="T1409" s="37">
        <v>35600</v>
      </c>
      <c r="U1409" s="78"/>
    </row>
    <row r="1410" spans="15:21" x14ac:dyDescent="0.25">
      <c r="O1410" s="76">
        <v>105072</v>
      </c>
      <c r="P1410" s="78" t="s">
        <v>115</v>
      </c>
      <c r="Q1410" s="77">
        <v>45943</v>
      </c>
      <c r="R1410" s="78" t="s">
        <v>43</v>
      </c>
      <c r="S1410" s="36" t="str">
        <f>VLOOKUP(Tabla911[[#This Row],[CODIGO DEL PRODUCTO]],Tabla79[],2,FALSE)</f>
        <v>PIEDRA 6-20</v>
      </c>
      <c r="T1410" s="37">
        <v>34940</v>
      </c>
      <c r="U1410" s="78"/>
    </row>
    <row r="1411" spans="15:21" x14ac:dyDescent="0.25">
      <c r="O1411" s="76">
        <v>2662893</v>
      </c>
      <c r="P1411" s="78" t="s">
        <v>65</v>
      </c>
      <c r="Q1411" s="77">
        <v>45943</v>
      </c>
      <c r="R1411" s="78" t="s">
        <v>286</v>
      </c>
      <c r="S1411" s="36" t="str">
        <f>VLOOKUP(Tabla911[[#This Row],[CODIGO DEL PRODUCTO]],Tabla79[],2,FALSE)</f>
        <v>CPF 40 AVELLANEDA</v>
      </c>
      <c r="T1411" s="37">
        <v>35900</v>
      </c>
      <c r="U1411" s="78"/>
    </row>
    <row r="1412" spans="15:21" x14ac:dyDescent="0.25">
      <c r="O1412" s="76">
        <v>102164</v>
      </c>
      <c r="P1412" s="78" t="s">
        <v>370</v>
      </c>
      <c r="Q1412" s="77">
        <v>45944</v>
      </c>
      <c r="R1412" s="78" t="s">
        <v>42</v>
      </c>
      <c r="S1412" s="36" t="str">
        <f>VLOOKUP(Tabla911[[#This Row],[CODIGO DEL PRODUCTO]],Tabla79[],2,FALSE)</f>
        <v>ARENA FINA</v>
      </c>
      <c r="T1412" s="37">
        <v>34860</v>
      </c>
      <c r="U1412" s="78"/>
    </row>
    <row r="1413" spans="15:21" x14ac:dyDescent="0.25">
      <c r="O1413" s="76">
        <v>102180</v>
      </c>
      <c r="P1413" s="78" t="s">
        <v>370</v>
      </c>
      <c r="Q1413" s="77">
        <v>45944</v>
      </c>
      <c r="R1413" s="78" t="s">
        <v>42</v>
      </c>
      <c r="S1413" s="36" t="str">
        <f>VLOOKUP(Tabla911[[#This Row],[CODIGO DEL PRODUCTO]],Tabla79[],2,FALSE)</f>
        <v>ARENA FINA</v>
      </c>
      <c r="T1413" s="37">
        <v>34100</v>
      </c>
      <c r="U1413" s="78"/>
    </row>
    <row r="1414" spans="15:21" x14ac:dyDescent="0.25">
      <c r="O1414" s="76">
        <v>102181</v>
      </c>
      <c r="P1414" s="78" t="s">
        <v>550</v>
      </c>
      <c r="Q1414" s="77">
        <v>45944</v>
      </c>
      <c r="R1414" s="78" t="s">
        <v>42</v>
      </c>
      <c r="S1414" s="36" t="str">
        <f>VLOOKUP(Tabla911[[#This Row],[CODIGO DEL PRODUCTO]],Tabla79[],2,FALSE)</f>
        <v>ARENA FINA</v>
      </c>
      <c r="T1414" s="37">
        <v>35420</v>
      </c>
      <c r="U1414" s="78"/>
    </row>
    <row r="1415" spans="15:21" x14ac:dyDescent="0.25">
      <c r="O1415" s="76">
        <v>105075</v>
      </c>
      <c r="P1415" s="78" t="s">
        <v>150</v>
      </c>
      <c r="Q1415" s="77">
        <v>45944</v>
      </c>
      <c r="R1415" s="78" t="s">
        <v>43</v>
      </c>
      <c r="S1415" s="36" t="str">
        <f>VLOOKUP(Tabla911[[#This Row],[CODIGO DEL PRODUCTO]],Tabla79[],2,FALSE)</f>
        <v>PIEDRA 6-20</v>
      </c>
      <c r="T1415" s="37">
        <v>35480</v>
      </c>
      <c r="U1415" s="78"/>
    </row>
    <row r="1416" spans="15:21" x14ac:dyDescent="0.25">
      <c r="O1416" s="76">
        <v>105091</v>
      </c>
      <c r="P1416" s="78" t="s">
        <v>355</v>
      </c>
      <c r="Q1416" s="77">
        <v>45944</v>
      </c>
      <c r="R1416" s="78" t="s">
        <v>43</v>
      </c>
      <c r="S1416" s="36" t="str">
        <f>VLOOKUP(Tabla911[[#This Row],[CODIGO DEL PRODUCTO]],Tabla79[],2,FALSE)</f>
        <v>PIEDRA 6-20</v>
      </c>
      <c r="T1416" s="37">
        <v>35560</v>
      </c>
      <c r="U1416" s="78"/>
    </row>
    <row r="1417" spans="15:21" x14ac:dyDescent="0.25">
      <c r="O1417" s="76">
        <v>105097</v>
      </c>
      <c r="P1417" s="78" t="s">
        <v>234</v>
      </c>
      <c r="Q1417" s="77">
        <v>45944</v>
      </c>
      <c r="R1417" s="78" t="s">
        <v>43</v>
      </c>
      <c r="S1417" s="36" t="str">
        <f>VLOOKUP(Tabla911[[#This Row],[CODIGO DEL PRODUCTO]],Tabla79[],2,FALSE)</f>
        <v>PIEDRA 6-20</v>
      </c>
      <c r="T1417" s="37">
        <v>35680</v>
      </c>
      <c r="U1417" s="78"/>
    </row>
    <row r="1418" spans="15:21" x14ac:dyDescent="0.25">
      <c r="O1418" s="76">
        <v>105101</v>
      </c>
      <c r="P1418" s="78" t="s">
        <v>115</v>
      </c>
      <c r="Q1418" s="77">
        <v>45944</v>
      </c>
      <c r="R1418" s="78" t="s">
        <v>43</v>
      </c>
      <c r="S1418" s="36" t="str">
        <f>VLOOKUP(Tabla911[[#This Row],[CODIGO DEL PRODUCTO]],Tabla79[],2,FALSE)</f>
        <v>PIEDRA 6-20</v>
      </c>
      <c r="T1418" s="37">
        <v>34880</v>
      </c>
      <c r="U1418" s="78"/>
    </row>
    <row r="1419" spans="15:21" x14ac:dyDescent="0.25">
      <c r="O1419" s="76">
        <v>105102</v>
      </c>
      <c r="P1419" s="78" t="s">
        <v>156</v>
      </c>
      <c r="Q1419" s="77">
        <v>45944</v>
      </c>
      <c r="R1419" s="78" t="s">
        <v>43</v>
      </c>
      <c r="S1419" s="36" t="str">
        <f>VLOOKUP(Tabla911[[#This Row],[CODIGO DEL PRODUCTO]],Tabla79[],2,FALSE)</f>
        <v>PIEDRA 6-20</v>
      </c>
      <c r="T1419" s="37">
        <v>34580</v>
      </c>
      <c r="U1419" s="78"/>
    </row>
    <row r="1420" spans="15:21" x14ac:dyDescent="0.25">
      <c r="O1420" s="76">
        <v>2663188</v>
      </c>
      <c r="P1420" s="78" t="s">
        <v>65</v>
      </c>
      <c r="Q1420" s="77">
        <v>45944</v>
      </c>
      <c r="R1420" s="78" t="s">
        <v>286</v>
      </c>
      <c r="S1420" s="36" t="str">
        <f>VLOOKUP(Tabla911[[#This Row],[CODIGO DEL PRODUCTO]],Tabla79[],2,FALSE)</f>
        <v>CPF 40 AVELLANEDA</v>
      </c>
      <c r="T1420" s="37">
        <v>36100</v>
      </c>
      <c r="U1420" s="78"/>
    </row>
    <row r="1421" spans="15:21" x14ac:dyDescent="0.25">
      <c r="O1421" s="76">
        <v>35141</v>
      </c>
      <c r="P1421" s="78" t="s">
        <v>449</v>
      </c>
      <c r="Q1421" s="77">
        <v>45939</v>
      </c>
      <c r="R1421" s="78" t="s">
        <v>425</v>
      </c>
      <c r="S1421" s="36" t="str">
        <f>VLOOKUP(Tabla911[[#This Row],[CODIGO DEL PRODUCTO]],Tabla79[],2,FALSE)</f>
        <v>W351R</v>
      </c>
      <c r="T1421" s="37">
        <v>2000</v>
      </c>
      <c r="U1421" s="78"/>
    </row>
    <row r="1422" spans="15:21" x14ac:dyDescent="0.25">
      <c r="O1422" s="76">
        <v>35278</v>
      </c>
      <c r="P1422" s="78" t="s">
        <v>449</v>
      </c>
      <c r="Q1422" s="77">
        <v>45944</v>
      </c>
      <c r="R1422" s="78" t="s">
        <v>425</v>
      </c>
      <c r="S1422" s="36" t="str">
        <f>VLOOKUP(Tabla911[[#This Row],[CODIGO DEL PRODUCTO]],Tabla79[],2,FALSE)</f>
        <v>W351R</v>
      </c>
      <c r="T1422" s="37">
        <v>2000</v>
      </c>
      <c r="U1422" s="78"/>
    </row>
    <row r="1423" spans="15:21" x14ac:dyDescent="0.25">
      <c r="O1423" s="76">
        <v>102187</v>
      </c>
      <c r="P1423" s="78" t="s">
        <v>370</v>
      </c>
      <c r="Q1423" s="77">
        <v>45945</v>
      </c>
      <c r="R1423" s="78" t="s">
        <v>42</v>
      </c>
      <c r="S1423" s="36" t="str">
        <f>VLOOKUP(Tabla911[[#This Row],[CODIGO DEL PRODUCTO]],Tabla79[],2,FALSE)</f>
        <v>ARENA FINA</v>
      </c>
      <c r="T1423" s="37">
        <v>35280</v>
      </c>
      <c r="U1423" s="78"/>
    </row>
    <row r="1424" spans="15:21" x14ac:dyDescent="0.25">
      <c r="O1424" s="76">
        <v>102199</v>
      </c>
      <c r="P1424" s="78" t="s">
        <v>550</v>
      </c>
      <c r="Q1424" s="77">
        <v>45945</v>
      </c>
      <c r="R1424" s="78" t="s">
        <v>42</v>
      </c>
      <c r="S1424" s="36" t="str">
        <f>VLOOKUP(Tabla911[[#This Row],[CODIGO DEL PRODUCTO]],Tabla79[],2,FALSE)</f>
        <v>ARENA FINA</v>
      </c>
      <c r="T1424" s="37">
        <v>37060</v>
      </c>
      <c r="U1424" s="78"/>
    </row>
    <row r="1425" spans="15:21" x14ac:dyDescent="0.25">
      <c r="O1425" s="76">
        <v>102200</v>
      </c>
      <c r="P1425" s="78" t="s">
        <v>370</v>
      </c>
      <c r="Q1425" s="77">
        <v>45945</v>
      </c>
      <c r="R1425" s="78" t="s">
        <v>42</v>
      </c>
      <c r="S1425" s="36" t="str">
        <f>VLOOKUP(Tabla911[[#This Row],[CODIGO DEL PRODUCTO]],Tabla79[],2,FALSE)</f>
        <v>ARENA FINA</v>
      </c>
      <c r="T1425" s="37">
        <v>35960</v>
      </c>
      <c r="U1425" s="78"/>
    </row>
    <row r="1426" spans="15:21" x14ac:dyDescent="0.25">
      <c r="O1426" s="76">
        <v>216707</v>
      </c>
      <c r="P1426" s="78" t="s">
        <v>516</v>
      </c>
      <c r="Q1426" s="77">
        <v>45945</v>
      </c>
      <c r="R1426" s="78" t="s">
        <v>43</v>
      </c>
      <c r="S1426" s="36" t="str">
        <f>VLOOKUP(Tabla911[[#This Row],[CODIGO DEL PRODUCTO]],Tabla79[],2,FALSE)</f>
        <v>PIEDRA 6-20</v>
      </c>
      <c r="T1426" s="37">
        <v>33760</v>
      </c>
      <c r="U1426" s="78"/>
    </row>
    <row r="1427" spans="15:21" x14ac:dyDescent="0.25">
      <c r="O1427" s="76">
        <v>105106</v>
      </c>
      <c r="P1427" s="78" t="s">
        <v>150</v>
      </c>
      <c r="Q1427" s="77">
        <v>45945</v>
      </c>
      <c r="R1427" s="78" t="s">
        <v>43</v>
      </c>
      <c r="S1427" s="36" t="str">
        <f>VLOOKUP(Tabla911[[#This Row],[CODIGO DEL PRODUCTO]],Tabla79[],2,FALSE)</f>
        <v>PIEDRA 6-20</v>
      </c>
      <c r="T1427" s="37">
        <v>35020</v>
      </c>
      <c r="U1427" s="78"/>
    </row>
    <row r="1428" spans="15:21" x14ac:dyDescent="0.25">
      <c r="O1428" s="76">
        <v>105119</v>
      </c>
      <c r="P1428" s="78" t="s">
        <v>355</v>
      </c>
      <c r="Q1428" s="77">
        <v>45945</v>
      </c>
      <c r="R1428" s="78" t="s">
        <v>43</v>
      </c>
      <c r="S1428" s="36" t="str">
        <f>VLOOKUP(Tabla911[[#This Row],[CODIGO DEL PRODUCTO]],Tabla79[],2,FALSE)</f>
        <v>PIEDRA 6-20</v>
      </c>
      <c r="T1428" s="37">
        <v>35100</v>
      </c>
      <c r="U1428" s="78"/>
    </row>
    <row r="1429" spans="15:21" x14ac:dyDescent="0.25">
      <c r="O1429" s="76">
        <v>105130</v>
      </c>
      <c r="P1429" s="78" t="s">
        <v>234</v>
      </c>
      <c r="Q1429" s="77">
        <v>45945</v>
      </c>
      <c r="R1429" s="78" t="s">
        <v>43</v>
      </c>
      <c r="S1429" s="36" t="str">
        <f>VLOOKUP(Tabla911[[#This Row],[CODIGO DEL PRODUCTO]],Tabla79[],2,FALSE)</f>
        <v>PIEDRA 6-20</v>
      </c>
      <c r="T1429" s="37">
        <v>35420</v>
      </c>
      <c r="U1429" s="78"/>
    </row>
    <row r="1430" spans="15:21" x14ac:dyDescent="0.25">
      <c r="O1430" s="76">
        <v>105133</v>
      </c>
      <c r="P1430" s="78" t="s">
        <v>115</v>
      </c>
      <c r="Q1430" s="77">
        <v>45945</v>
      </c>
      <c r="R1430" s="78" t="s">
        <v>43</v>
      </c>
      <c r="S1430" s="36" t="str">
        <f>VLOOKUP(Tabla911[[#This Row],[CODIGO DEL PRODUCTO]],Tabla79[],2,FALSE)</f>
        <v>PIEDRA 6-20</v>
      </c>
      <c r="T1430" s="37">
        <v>35420</v>
      </c>
      <c r="U1430" s="78"/>
    </row>
    <row r="1431" spans="15:21" x14ac:dyDescent="0.25">
      <c r="O1431" s="76">
        <v>105138</v>
      </c>
      <c r="P1431" s="78" t="s">
        <v>156</v>
      </c>
      <c r="Q1431" s="77">
        <v>45945</v>
      </c>
      <c r="R1431" s="78" t="s">
        <v>43</v>
      </c>
      <c r="S1431" s="36" t="str">
        <f>VLOOKUP(Tabla911[[#This Row],[CODIGO DEL PRODUCTO]],Tabla79[],2,FALSE)</f>
        <v>PIEDRA 6-20</v>
      </c>
      <c r="T1431" s="37">
        <v>35740</v>
      </c>
      <c r="U1431" s="78"/>
    </row>
    <row r="1432" spans="15:21" x14ac:dyDescent="0.25">
      <c r="O1432" s="76">
        <v>2663587</v>
      </c>
      <c r="P1432" s="78" t="s">
        <v>65</v>
      </c>
      <c r="Q1432" s="77">
        <v>45945</v>
      </c>
      <c r="R1432" s="78" t="s">
        <v>286</v>
      </c>
      <c r="S1432" s="36" t="str">
        <f>VLOOKUP(Tabla911[[#This Row],[CODIGO DEL PRODUCTO]],Tabla79[],2,FALSE)</f>
        <v>CPF 40 AVELLANEDA</v>
      </c>
      <c r="T1432" s="37">
        <v>35620</v>
      </c>
      <c r="U1432" s="78"/>
    </row>
    <row r="1433" spans="15:21" x14ac:dyDescent="0.25">
      <c r="O1433" s="76">
        <v>102203</v>
      </c>
      <c r="P1433" s="78" t="s">
        <v>370</v>
      </c>
      <c r="Q1433" s="77">
        <v>45946</v>
      </c>
      <c r="R1433" s="78" t="s">
        <v>42</v>
      </c>
      <c r="S1433" s="36" t="str">
        <f>VLOOKUP(Tabla911[[#This Row],[CODIGO DEL PRODUCTO]],Tabla79[],2,FALSE)</f>
        <v>ARENA FINA</v>
      </c>
      <c r="T1433" s="37">
        <v>36280</v>
      </c>
      <c r="U1433" s="78"/>
    </row>
    <row r="1434" spans="15:21" x14ac:dyDescent="0.25">
      <c r="O1434" s="76">
        <v>102212</v>
      </c>
      <c r="P1434" s="78" t="s">
        <v>370</v>
      </c>
      <c r="Q1434" s="77">
        <v>45946</v>
      </c>
      <c r="R1434" s="78" t="s">
        <v>42</v>
      </c>
      <c r="S1434" s="36" t="str">
        <f>VLOOKUP(Tabla911[[#This Row],[CODIGO DEL PRODUCTO]],Tabla79[],2,FALSE)</f>
        <v>ARENA FINA</v>
      </c>
      <c r="T1434" s="37">
        <v>34540</v>
      </c>
      <c r="U1434" s="78"/>
    </row>
    <row r="1435" spans="15:21" x14ac:dyDescent="0.25">
      <c r="O1435" s="76">
        <v>102213</v>
      </c>
      <c r="P1435" s="78" t="s">
        <v>550</v>
      </c>
      <c r="Q1435" s="77">
        <v>45946</v>
      </c>
      <c r="R1435" s="78" t="s">
        <v>42</v>
      </c>
      <c r="S1435" s="36" t="str">
        <f>VLOOKUP(Tabla911[[#This Row],[CODIGO DEL PRODUCTO]],Tabla79[],2,FALSE)</f>
        <v>ARENA FINA</v>
      </c>
      <c r="T1435" s="37">
        <v>35700</v>
      </c>
      <c r="U1435" s="78"/>
    </row>
    <row r="1436" spans="15:21" x14ac:dyDescent="0.25">
      <c r="O1436" s="76">
        <v>216759</v>
      </c>
      <c r="P1436" s="78" t="s">
        <v>516</v>
      </c>
      <c r="Q1436" s="77">
        <v>45946</v>
      </c>
      <c r="R1436" s="78" t="s">
        <v>43</v>
      </c>
      <c r="S1436" s="36" t="str">
        <f>VLOOKUP(Tabla911[[#This Row],[CODIGO DEL PRODUCTO]],Tabla79[],2,FALSE)</f>
        <v>PIEDRA 6-20</v>
      </c>
      <c r="T1436" s="37">
        <v>35500</v>
      </c>
      <c r="U1436" s="78"/>
    </row>
    <row r="1437" spans="15:21" x14ac:dyDescent="0.25">
      <c r="O1437" s="76">
        <v>105141</v>
      </c>
      <c r="P1437" s="78" t="s">
        <v>150</v>
      </c>
      <c r="Q1437" s="77">
        <v>45946</v>
      </c>
      <c r="R1437" s="78" t="s">
        <v>43</v>
      </c>
      <c r="S1437" s="36" t="str">
        <f>VLOOKUP(Tabla911[[#This Row],[CODIGO DEL PRODUCTO]],Tabla79[],2,FALSE)</f>
        <v>PIEDRA 6-20</v>
      </c>
      <c r="T1437" s="37">
        <v>35340</v>
      </c>
      <c r="U1437" s="78"/>
    </row>
    <row r="1438" spans="15:21" x14ac:dyDescent="0.25">
      <c r="O1438" s="76">
        <v>105151</v>
      </c>
      <c r="P1438" s="78" t="s">
        <v>355</v>
      </c>
      <c r="Q1438" s="77">
        <v>45946</v>
      </c>
      <c r="R1438" s="78" t="s">
        <v>43</v>
      </c>
      <c r="S1438" s="36" t="str">
        <f>VLOOKUP(Tabla911[[#This Row],[CODIGO DEL PRODUCTO]],Tabla79[],2,FALSE)</f>
        <v>PIEDRA 6-20</v>
      </c>
      <c r="T1438" s="37">
        <v>34380</v>
      </c>
      <c r="U1438" s="78"/>
    </row>
    <row r="1439" spans="15:21" x14ac:dyDescent="0.25">
      <c r="O1439" s="76">
        <v>105161</v>
      </c>
      <c r="P1439" s="78" t="s">
        <v>156</v>
      </c>
      <c r="Q1439" s="77">
        <v>45946</v>
      </c>
      <c r="R1439" s="78" t="s">
        <v>43</v>
      </c>
      <c r="S1439" s="36" t="str">
        <f>VLOOKUP(Tabla911[[#This Row],[CODIGO DEL PRODUCTO]],Tabla79[],2,FALSE)</f>
        <v>PIEDRA 6-20</v>
      </c>
      <c r="T1439" s="37">
        <v>34240</v>
      </c>
      <c r="U1439" s="78"/>
    </row>
    <row r="1440" spans="15:21" x14ac:dyDescent="0.25">
      <c r="O1440" s="76">
        <v>105162</v>
      </c>
      <c r="P1440" s="78" t="s">
        <v>115</v>
      </c>
      <c r="Q1440" s="77">
        <v>45946</v>
      </c>
      <c r="R1440" s="78" t="s">
        <v>43</v>
      </c>
      <c r="S1440" s="36" t="str">
        <f>VLOOKUP(Tabla911[[#This Row],[CODIGO DEL PRODUCTO]],Tabla79[],2,FALSE)</f>
        <v>PIEDRA 6-20</v>
      </c>
      <c r="T1440" s="37">
        <v>34480</v>
      </c>
      <c r="U1440" s="78"/>
    </row>
    <row r="1441" spans="15:21" x14ac:dyDescent="0.25">
      <c r="O1441" s="76">
        <v>2663855</v>
      </c>
      <c r="P1441" s="78" t="s">
        <v>65</v>
      </c>
      <c r="Q1441" s="77">
        <v>45946</v>
      </c>
      <c r="R1441" s="78" t="s">
        <v>286</v>
      </c>
      <c r="S1441" s="36" t="str">
        <f>VLOOKUP(Tabla911[[#This Row],[CODIGO DEL PRODUCTO]],Tabla79[],2,FALSE)</f>
        <v>CPF 40 AVELLANEDA</v>
      </c>
      <c r="T1441" s="37">
        <v>35960</v>
      </c>
      <c r="U1441" s="78"/>
    </row>
    <row r="1442" spans="15:21" x14ac:dyDescent="0.25">
      <c r="O1442" s="76">
        <v>102219</v>
      </c>
      <c r="P1442" s="78" t="s">
        <v>370</v>
      </c>
      <c r="Q1442" s="77">
        <v>45947</v>
      </c>
      <c r="R1442" s="78" t="s">
        <v>42</v>
      </c>
      <c r="S1442" s="36" t="str">
        <f>VLOOKUP(Tabla911[[#This Row],[CODIGO DEL PRODUCTO]],Tabla79[],2,FALSE)</f>
        <v>ARENA FINA</v>
      </c>
      <c r="T1442" s="37">
        <v>35520</v>
      </c>
      <c r="U1442" s="78"/>
    </row>
    <row r="1443" spans="15:21" x14ac:dyDescent="0.25">
      <c r="O1443" s="76">
        <v>102229</v>
      </c>
      <c r="P1443" s="78" t="s">
        <v>550</v>
      </c>
      <c r="Q1443" s="77">
        <v>45947</v>
      </c>
      <c r="R1443" s="78" t="s">
        <v>42</v>
      </c>
      <c r="S1443" s="36" t="str">
        <f>VLOOKUP(Tabla911[[#This Row],[CODIGO DEL PRODUCTO]],Tabla79[],2,FALSE)</f>
        <v>ARENA FINA</v>
      </c>
      <c r="T1443" s="37">
        <v>35700</v>
      </c>
      <c r="U1443" s="78"/>
    </row>
    <row r="1444" spans="15:21" x14ac:dyDescent="0.25">
      <c r="O1444" s="76">
        <v>102231</v>
      </c>
      <c r="P1444" s="78" t="s">
        <v>370</v>
      </c>
      <c r="Q1444" s="77">
        <v>45947</v>
      </c>
      <c r="R1444" s="78" t="s">
        <v>42</v>
      </c>
      <c r="S1444" s="36" t="str">
        <f>VLOOKUP(Tabla911[[#This Row],[CODIGO DEL PRODUCTO]],Tabla79[],2,FALSE)</f>
        <v>ARENA FINA</v>
      </c>
      <c r="T1444" s="37">
        <v>36020</v>
      </c>
      <c r="U1444" s="78"/>
    </row>
    <row r="1445" spans="15:21" x14ac:dyDescent="0.25">
      <c r="O1445" s="76">
        <v>105164</v>
      </c>
      <c r="P1445" s="78" t="s">
        <v>234</v>
      </c>
      <c r="Q1445" s="77">
        <v>45947</v>
      </c>
      <c r="R1445" s="78" t="s">
        <v>43</v>
      </c>
      <c r="S1445" s="36" t="str">
        <f>VLOOKUP(Tabla911[[#This Row],[CODIGO DEL PRODUCTO]],Tabla79[],2,FALSE)</f>
        <v>PIEDRA 6-20</v>
      </c>
      <c r="T1445" s="37">
        <v>35040</v>
      </c>
      <c r="U1445" s="78"/>
    </row>
    <row r="1446" spans="15:21" x14ac:dyDescent="0.25">
      <c r="O1446" s="76">
        <v>105168</v>
      </c>
      <c r="P1446" s="78" t="s">
        <v>150</v>
      </c>
      <c r="Q1446" s="77">
        <v>45947</v>
      </c>
      <c r="R1446" s="78" t="s">
        <v>43</v>
      </c>
      <c r="S1446" s="36" t="str">
        <f>VLOOKUP(Tabla911[[#This Row],[CODIGO DEL PRODUCTO]],Tabla79[],2,FALSE)</f>
        <v>PIEDRA 6-20</v>
      </c>
      <c r="T1446" s="37">
        <v>35160</v>
      </c>
      <c r="U1446" s="78"/>
    </row>
    <row r="1447" spans="15:21" x14ac:dyDescent="0.25">
      <c r="O1447" s="76">
        <v>105178</v>
      </c>
      <c r="P1447" s="78" t="s">
        <v>355</v>
      </c>
      <c r="Q1447" s="77">
        <v>45947</v>
      </c>
      <c r="R1447" s="78" t="s">
        <v>43</v>
      </c>
      <c r="S1447" s="36" t="str">
        <f>VLOOKUP(Tabla911[[#This Row],[CODIGO DEL PRODUCTO]],Tabla79[],2,FALSE)</f>
        <v>PIEDRA 6-20</v>
      </c>
      <c r="T1447" s="37">
        <v>35300</v>
      </c>
      <c r="U1447" s="78"/>
    </row>
    <row r="1448" spans="15:21" x14ac:dyDescent="0.25">
      <c r="O1448" s="76">
        <v>105183</v>
      </c>
      <c r="P1448" s="78" t="s">
        <v>115</v>
      </c>
      <c r="Q1448" s="77">
        <v>45947</v>
      </c>
      <c r="R1448" s="78" t="s">
        <v>43</v>
      </c>
      <c r="S1448" s="36" t="str">
        <f>VLOOKUP(Tabla911[[#This Row],[CODIGO DEL PRODUCTO]],Tabla79[],2,FALSE)</f>
        <v>PIEDRA 6-20</v>
      </c>
      <c r="T1448" s="37">
        <v>34240</v>
      </c>
      <c r="U1448" s="78"/>
    </row>
    <row r="1449" spans="15:21" x14ac:dyDescent="0.25">
      <c r="O1449" s="76">
        <v>105185</v>
      </c>
      <c r="P1449" s="78" t="s">
        <v>151</v>
      </c>
      <c r="Q1449" s="77">
        <v>45947</v>
      </c>
      <c r="R1449" s="78" t="s">
        <v>43</v>
      </c>
      <c r="S1449" s="36" t="str">
        <f>VLOOKUP(Tabla911[[#This Row],[CODIGO DEL PRODUCTO]],Tabla79[],2,FALSE)</f>
        <v>PIEDRA 6-20</v>
      </c>
      <c r="T1449" s="37">
        <v>34340</v>
      </c>
      <c r="U1449" s="78"/>
    </row>
    <row r="1450" spans="15:21" x14ac:dyDescent="0.25">
      <c r="O1450" s="76">
        <v>105186</v>
      </c>
      <c r="P1450" s="78" t="s">
        <v>156</v>
      </c>
      <c r="Q1450" s="77">
        <v>45947</v>
      </c>
      <c r="R1450" s="78" t="s">
        <v>43</v>
      </c>
      <c r="S1450" s="36" t="str">
        <f>VLOOKUP(Tabla911[[#This Row],[CODIGO DEL PRODUCTO]],Tabla79[],2,FALSE)</f>
        <v>PIEDRA 6-20</v>
      </c>
      <c r="T1450" s="37">
        <v>34260</v>
      </c>
      <c r="U1450" s="78"/>
    </row>
    <row r="1451" spans="15:21" x14ac:dyDescent="0.25">
      <c r="O1451" s="76">
        <v>2664021</v>
      </c>
      <c r="P1451" s="78" t="s">
        <v>65</v>
      </c>
      <c r="Q1451" s="77">
        <v>45947</v>
      </c>
      <c r="R1451" s="78" t="s">
        <v>286</v>
      </c>
      <c r="S1451" s="36" t="str">
        <f>VLOOKUP(Tabla911[[#This Row],[CODIGO DEL PRODUCTO]],Tabla79[],2,FALSE)</f>
        <v>CPF 40 AVELLANEDA</v>
      </c>
      <c r="T1451" s="37">
        <v>35860</v>
      </c>
      <c r="U1451" s="78"/>
    </row>
    <row r="1452" spans="15:21" x14ac:dyDescent="0.25">
      <c r="O1452" s="76">
        <v>102239</v>
      </c>
      <c r="P1452" s="78" t="s">
        <v>370</v>
      </c>
      <c r="Q1452" s="77">
        <v>45948</v>
      </c>
      <c r="R1452" s="78" t="s">
        <v>42</v>
      </c>
      <c r="S1452" s="36" t="str">
        <f>VLOOKUP(Tabla911[[#This Row],[CODIGO DEL PRODUCTO]],Tabla79[],2,FALSE)</f>
        <v>ARENA FINA</v>
      </c>
      <c r="T1452" s="37">
        <v>36340</v>
      </c>
      <c r="U1452" s="78"/>
    </row>
    <row r="1453" spans="15:21" x14ac:dyDescent="0.25">
      <c r="O1453" s="76">
        <v>102240</v>
      </c>
      <c r="P1453" s="78" t="s">
        <v>550</v>
      </c>
      <c r="Q1453" s="77">
        <v>45948</v>
      </c>
      <c r="R1453" s="78" t="s">
        <v>42</v>
      </c>
      <c r="S1453" s="36" t="str">
        <f>VLOOKUP(Tabla911[[#This Row],[CODIGO DEL PRODUCTO]],Tabla79[],2,FALSE)</f>
        <v>ARENA FINA</v>
      </c>
      <c r="T1453" s="37">
        <v>36860</v>
      </c>
      <c r="U1453" s="78"/>
    </row>
    <row r="1454" spans="15:21" x14ac:dyDescent="0.25">
      <c r="O1454" s="76">
        <v>216815</v>
      </c>
      <c r="P1454" s="78" t="s">
        <v>516</v>
      </c>
      <c r="Q1454" s="77">
        <v>45947</v>
      </c>
      <c r="R1454" s="78" t="s">
        <v>43</v>
      </c>
      <c r="S1454" s="36" t="str">
        <f>VLOOKUP(Tabla911[[#This Row],[CODIGO DEL PRODUCTO]],Tabla79[],2,FALSE)</f>
        <v>PIEDRA 6-20</v>
      </c>
      <c r="T1454" s="37">
        <v>36480</v>
      </c>
      <c r="U1454" s="78"/>
    </row>
    <row r="1455" spans="15:21" x14ac:dyDescent="0.25">
      <c r="O1455" s="76">
        <v>2664321</v>
      </c>
      <c r="P1455" s="78" t="s">
        <v>65</v>
      </c>
      <c r="Q1455" s="77">
        <v>45948</v>
      </c>
      <c r="R1455" s="78" t="s">
        <v>286</v>
      </c>
      <c r="S1455" s="36" t="str">
        <f>VLOOKUP(Tabla911[[#This Row],[CODIGO DEL PRODUCTO]],Tabla79[],2,FALSE)</f>
        <v>CPF 40 AVELLANEDA</v>
      </c>
      <c r="T1455" s="37">
        <v>35900</v>
      </c>
      <c r="U1455" s="78"/>
    </row>
    <row r="1456" spans="15:21" x14ac:dyDescent="0.25">
      <c r="O1456" s="76">
        <v>102246</v>
      </c>
      <c r="P1456" s="78" t="s">
        <v>370</v>
      </c>
      <c r="Q1456" s="77">
        <v>45950</v>
      </c>
      <c r="R1456" s="78" t="s">
        <v>42</v>
      </c>
      <c r="S1456" s="36" t="str">
        <f>VLOOKUP(Tabla911[[#This Row],[CODIGO DEL PRODUCTO]],Tabla79[],2,FALSE)</f>
        <v>ARENA FINA</v>
      </c>
      <c r="T1456" s="37">
        <v>35000</v>
      </c>
      <c r="U1456" s="78"/>
    </row>
    <row r="1457" spans="15:21" x14ac:dyDescent="0.25">
      <c r="O1457" s="76">
        <v>102255</v>
      </c>
      <c r="P1457" s="78" t="s">
        <v>550</v>
      </c>
      <c r="Q1457" s="77">
        <v>45950</v>
      </c>
      <c r="R1457" s="78" t="s">
        <v>42</v>
      </c>
      <c r="S1457" s="36" t="str">
        <f>VLOOKUP(Tabla911[[#This Row],[CODIGO DEL PRODUCTO]],Tabla79[],2,FALSE)</f>
        <v>ARENA FINA</v>
      </c>
      <c r="T1457" s="37">
        <v>35780</v>
      </c>
      <c r="U1457" s="78"/>
    </row>
    <row r="1458" spans="15:21" x14ac:dyDescent="0.25">
      <c r="O1458" s="76">
        <v>102256</v>
      </c>
      <c r="P1458" s="78" t="s">
        <v>370</v>
      </c>
      <c r="Q1458" s="77">
        <v>45950</v>
      </c>
      <c r="R1458" s="78" t="s">
        <v>42</v>
      </c>
      <c r="S1458" s="36" t="str">
        <f>VLOOKUP(Tabla911[[#This Row],[CODIGO DEL PRODUCTO]],Tabla79[],2,FALSE)</f>
        <v>ARENA FINA</v>
      </c>
      <c r="T1458" s="37">
        <v>35280</v>
      </c>
      <c r="U1458" s="78"/>
    </row>
    <row r="1459" spans="15:21" x14ac:dyDescent="0.25">
      <c r="O1459" s="76">
        <v>105209</v>
      </c>
      <c r="P1459" s="78" t="s">
        <v>218</v>
      </c>
      <c r="Q1459" s="77">
        <v>45950</v>
      </c>
      <c r="R1459" s="78" t="s">
        <v>40</v>
      </c>
      <c r="S1459" s="36" t="str">
        <f>VLOOKUP(Tabla911[[#This Row],[CODIGO DEL PRODUCTO]],Tabla79[],2,FALSE)</f>
        <v>PIEDRA 0-6</v>
      </c>
      <c r="T1459" s="37">
        <v>35020</v>
      </c>
      <c r="U1459" s="78"/>
    </row>
    <row r="1460" spans="15:21" x14ac:dyDescent="0.25">
      <c r="O1460" s="76">
        <v>105215</v>
      </c>
      <c r="P1460" s="78" t="s">
        <v>252</v>
      </c>
      <c r="Q1460" s="77">
        <v>45950</v>
      </c>
      <c r="R1460" s="78" t="s">
        <v>40</v>
      </c>
      <c r="S1460" s="36" t="str">
        <f>VLOOKUP(Tabla911[[#This Row],[CODIGO DEL PRODUCTO]],Tabla79[],2,FALSE)</f>
        <v>PIEDRA 0-6</v>
      </c>
      <c r="T1460" s="37">
        <v>34280</v>
      </c>
      <c r="U1460" s="78"/>
    </row>
    <row r="1461" spans="15:21" x14ac:dyDescent="0.25">
      <c r="O1461" s="76">
        <v>105218</v>
      </c>
      <c r="P1461" s="78" t="s">
        <v>234</v>
      </c>
      <c r="Q1461" s="77">
        <v>45950</v>
      </c>
      <c r="R1461" s="78" t="s">
        <v>43</v>
      </c>
      <c r="S1461" s="36" t="str">
        <f>VLOOKUP(Tabla911[[#This Row],[CODIGO DEL PRODUCTO]],Tabla79[],2,FALSE)</f>
        <v>PIEDRA 6-20</v>
      </c>
      <c r="T1461" s="37">
        <v>35200</v>
      </c>
      <c r="U1461" s="78"/>
    </row>
    <row r="1462" spans="15:21" x14ac:dyDescent="0.25">
      <c r="O1462" s="76">
        <v>105221</v>
      </c>
      <c r="P1462" s="78" t="s">
        <v>155</v>
      </c>
      <c r="Q1462" s="77">
        <v>45950</v>
      </c>
      <c r="R1462" s="78" t="s">
        <v>40</v>
      </c>
      <c r="S1462" s="36" t="str">
        <f>VLOOKUP(Tabla911[[#This Row],[CODIGO DEL PRODUCTO]],Tabla79[],2,FALSE)</f>
        <v>PIEDRA 0-6</v>
      </c>
      <c r="T1462" s="37">
        <v>34520</v>
      </c>
      <c r="U1462" s="78"/>
    </row>
    <row r="1463" spans="15:21" x14ac:dyDescent="0.25">
      <c r="O1463" s="76">
        <v>2664760</v>
      </c>
      <c r="P1463" s="78" t="s">
        <v>65</v>
      </c>
      <c r="Q1463" s="77">
        <v>45950</v>
      </c>
      <c r="R1463" s="78" t="s">
        <v>286</v>
      </c>
      <c r="S1463" s="36" t="str">
        <f>VLOOKUP(Tabla911[[#This Row],[CODIGO DEL PRODUCTO]],Tabla79[],2,FALSE)</f>
        <v>CPF 40 AVELLANEDA</v>
      </c>
      <c r="T1463" s="37">
        <v>35960</v>
      </c>
      <c r="U1463" s="78"/>
    </row>
    <row r="1464" spans="15:21" x14ac:dyDescent="0.25">
      <c r="O1464" s="76">
        <v>102270</v>
      </c>
      <c r="P1464" s="78" t="s">
        <v>550</v>
      </c>
      <c r="Q1464" s="77">
        <v>45951</v>
      </c>
      <c r="R1464" s="78" t="s">
        <v>42</v>
      </c>
      <c r="S1464" s="36" t="str">
        <f>VLOOKUP(Tabla911[[#This Row],[CODIGO DEL PRODUCTO]],Tabla79[],2,FALSE)</f>
        <v>ARENA FINA</v>
      </c>
      <c r="T1464" s="37">
        <v>35880</v>
      </c>
      <c r="U1464" s="78"/>
    </row>
    <row r="1465" spans="15:21" x14ac:dyDescent="0.25">
      <c r="O1465" s="76">
        <v>216912</v>
      </c>
      <c r="P1465" s="78" t="s">
        <v>516</v>
      </c>
      <c r="Q1465" s="77">
        <v>45951</v>
      </c>
      <c r="R1465" s="78" t="s">
        <v>43</v>
      </c>
      <c r="S1465" s="36" t="str">
        <f>VLOOKUP(Tabla911[[#This Row],[CODIGO DEL PRODUCTO]],Tabla79[],2,FALSE)</f>
        <v>PIEDRA 6-20</v>
      </c>
      <c r="T1465" s="37">
        <v>36240</v>
      </c>
      <c r="U1465" s="78"/>
    </row>
    <row r="1466" spans="15:21" x14ac:dyDescent="0.25">
      <c r="O1466" s="76">
        <v>105240</v>
      </c>
      <c r="P1466" s="78" t="s">
        <v>218</v>
      </c>
      <c r="Q1466" s="77">
        <v>45951</v>
      </c>
      <c r="R1466" s="78" t="s">
        <v>40</v>
      </c>
      <c r="S1466" s="36" t="str">
        <f>VLOOKUP(Tabla911[[#This Row],[CODIGO DEL PRODUCTO]],Tabla79[],2,FALSE)</f>
        <v>PIEDRA 0-6</v>
      </c>
      <c r="T1466" s="37">
        <v>34940</v>
      </c>
      <c r="U1466" s="78"/>
    </row>
    <row r="1467" spans="15:21" x14ac:dyDescent="0.25">
      <c r="O1467" s="76">
        <v>105247</v>
      </c>
      <c r="P1467" s="78" t="s">
        <v>234</v>
      </c>
      <c r="Q1467" s="77">
        <v>45951</v>
      </c>
      <c r="R1467" s="78" t="s">
        <v>43</v>
      </c>
      <c r="S1467" s="36" t="str">
        <f>VLOOKUP(Tabla911[[#This Row],[CODIGO DEL PRODUCTO]],Tabla79[],2,FALSE)</f>
        <v>PIEDRA 6-20</v>
      </c>
      <c r="T1467" s="37">
        <v>34700</v>
      </c>
      <c r="U1467" s="78"/>
    </row>
    <row r="1468" spans="15:21" x14ac:dyDescent="0.25">
      <c r="O1468" s="76">
        <v>105250</v>
      </c>
      <c r="P1468" s="78" t="s">
        <v>252</v>
      </c>
      <c r="Q1468" s="77">
        <v>45951</v>
      </c>
      <c r="R1468" s="78" t="s">
        <v>40</v>
      </c>
      <c r="S1468" s="36" t="str">
        <f>VLOOKUP(Tabla911[[#This Row],[CODIGO DEL PRODUCTO]],Tabla79[],2,FALSE)</f>
        <v>PIEDRA 0-6</v>
      </c>
      <c r="T1468" s="37">
        <v>35880</v>
      </c>
      <c r="U1468" s="78"/>
    </row>
    <row r="1469" spans="15:21" x14ac:dyDescent="0.25">
      <c r="O1469" s="76">
        <v>105254</v>
      </c>
      <c r="P1469" s="78" t="s">
        <v>155</v>
      </c>
      <c r="Q1469" s="77">
        <v>45951</v>
      </c>
      <c r="R1469" s="78" t="s">
        <v>40</v>
      </c>
      <c r="S1469" s="36" t="str">
        <f>VLOOKUP(Tabla911[[#This Row],[CODIGO DEL PRODUCTO]],Tabla79[],2,FALSE)</f>
        <v>PIEDRA 0-6</v>
      </c>
      <c r="T1469" s="37">
        <v>35180</v>
      </c>
      <c r="U1469" s="78"/>
    </row>
    <row r="1470" spans="15:21" x14ac:dyDescent="0.25">
      <c r="O1470" s="76">
        <v>105255</v>
      </c>
      <c r="P1470" s="78" t="s">
        <v>156</v>
      </c>
      <c r="Q1470" s="77">
        <v>45951</v>
      </c>
      <c r="R1470" s="78" t="s">
        <v>43</v>
      </c>
      <c r="S1470" s="36" t="str">
        <f>VLOOKUP(Tabla911[[#This Row],[CODIGO DEL PRODUCTO]],Tabla79[],2,FALSE)</f>
        <v>PIEDRA 6-20</v>
      </c>
      <c r="T1470" s="37">
        <v>35240</v>
      </c>
      <c r="U1470" s="78"/>
    </row>
    <row r="1471" spans="15:21" x14ac:dyDescent="0.25">
      <c r="O1471" s="76">
        <v>2665071</v>
      </c>
      <c r="P1471" s="78" t="s">
        <v>65</v>
      </c>
      <c r="Q1471" s="77">
        <v>45951</v>
      </c>
      <c r="R1471" s="78" t="s">
        <v>286</v>
      </c>
      <c r="S1471" s="36" t="str">
        <f>VLOOKUP(Tabla911[[#This Row],[CODIGO DEL PRODUCTO]],Tabla79[],2,FALSE)</f>
        <v>CPF 40 AVELLANEDA</v>
      </c>
      <c r="T1471" s="37">
        <v>35660</v>
      </c>
      <c r="U1471" s="78"/>
    </row>
    <row r="1472" spans="15:21" x14ac:dyDescent="0.25">
      <c r="O1472" s="76">
        <v>102280</v>
      </c>
      <c r="P1472" s="78" t="s">
        <v>370</v>
      </c>
      <c r="Q1472" s="77">
        <v>45952</v>
      </c>
      <c r="R1472" s="78" t="s">
        <v>42</v>
      </c>
      <c r="S1472" s="36" t="str">
        <f>VLOOKUP(Tabla911[[#This Row],[CODIGO DEL PRODUCTO]],Tabla79[],2,FALSE)</f>
        <v>ARENA FINA</v>
      </c>
      <c r="T1472" s="37">
        <v>37420</v>
      </c>
      <c r="U1472" s="78"/>
    </row>
    <row r="1473" spans="15:21" x14ac:dyDescent="0.25">
      <c r="O1473" s="76">
        <v>102293</v>
      </c>
      <c r="P1473" s="78" t="s">
        <v>370</v>
      </c>
      <c r="Q1473" s="77">
        <v>45952</v>
      </c>
      <c r="R1473" s="78" t="s">
        <v>42</v>
      </c>
      <c r="S1473" s="36" t="str">
        <f>VLOOKUP(Tabla911[[#This Row],[CODIGO DEL PRODUCTO]],Tabla79[],2,FALSE)</f>
        <v>ARENA FINA</v>
      </c>
      <c r="T1473" s="37">
        <v>32980</v>
      </c>
      <c r="U1473" s="78"/>
    </row>
    <row r="1474" spans="15:21" x14ac:dyDescent="0.25">
      <c r="O1474" s="76">
        <v>102294</v>
      </c>
      <c r="P1474" s="78" t="s">
        <v>550</v>
      </c>
      <c r="Q1474" s="77">
        <v>45952</v>
      </c>
      <c r="R1474" s="78" t="s">
        <v>42</v>
      </c>
      <c r="S1474" s="36" t="str">
        <f>VLOOKUP(Tabla911[[#This Row],[CODIGO DEL PRODUCTO]],Tabla79[],2,FALSE)</f>
        <v>ARENA FINA</v>
      </c>
      <c r="T1474" s="37">
        <v>37200</v>
      </c>
      <c r="U1474" s="78"/>
    </row>
    <row r="1475" spans="15:21" x14ac:dyDescent="0.25">
      <c r="O1475" s="76">
        <v>105280</v>
      </c>
      <c r="P1475" s="78" t="s">
        <v>218</v>
      </c>
      <c r="Q1475" s="77">
        <v>45952</v>
      </c>
      <c r="R1475" s="78" t="s">
        <v>40</v>
      </c>
      <c r="S1475" s="36" t="str">
        <f>VLOOKUP(Tabla911[[#This Row],[CODIGO DEL PRODUCTO]],Tabla79[],2,FALSE)</f>
        <v>PIEDRA 0-6</v>
      </c>
      <c r="T1475" s="37">
        <v>35560</v>
      </c>
      <c r="U1475" s="78"/>
    </row>
    <row r="1476" spans="15:21" x14ac:dyDescent="0.25">
      <c r="O1476" s="76">
        <v>105286</v>
      </c>
      <c r="P1476" s="78" t="s">
        <v>234</v>
      </c>
      <c r="Q1476" s="77">
        <v>45952</v>
      </c>
      <c r="R1476" s="78" t="s">
        <v>43</v>
      </c>
      <c r="S1476" s="36" t="str">
        <f>VLOOKUP(Tabla911[[#This Row],[CODIGO DEL PRODUCTO]],Tabla79[],2,FALSE)</f>
        <v>PIEDRA 6-20</v>
      </c>
      <c r="T1476" s="37">
        <v>35420</v>
      </c>
      <c r="U1476" s="78"/>
    </row>
    <row r="1477" spans="15:21" x14ac:dyDescent="0.25">
      <c r="O1477" s="76">
        <v>105289</v>
      </c>
      <c r="P1477" s="78" t="s">
        <v>156</v>
      </c>
      <c r="Q1477" s="77">
        <v>45952</v>
      </c>
      <c r="R1477" s="78" t="s">
        <v>43</v>
      </c>
      <c r="S1477" s="36" t="str">
        <f>VLOOKUP(Tabla911[[#This Row],[CODIGO DEL PRODUCTO]],Tabla79[],2,FALSE)</f>
        <v>PIEDRA 6-20</v>
      </c>
      <c r="T1477" s="37">
        <v>34880</v>
      </c>
      <c r="U1477" s="78"/>
    </row>
    <row r="1478" spans="15:21" x14ac:dyDescent="0.25">
      <c r="O1478" s="76">
        <v>105290</v>
      </c>
      <c r="P1478" s="78" t="s">
        <v>155</v>
      </c>
      <c r="Q1478" s="77">
        <v>45952</v>
      </c>
      <c r="R1478" s="78" t="s">
        <v>40</v>
      </c>
      <c r="S1478" s="36" t="str">
        <f>VLOOKUP(Tabla911[[#This Row],[CODIGO DEL PRODUCTO]],Tabla79[],2,FALSE)</f>
        <v>PIEDRA 0-6</v>
      </c>
      <c r="T1478" s="37">
        <v>33940</v>
      </c>
      <c r="U1478" s="78"/>
    </row>
    <row r="1479" spans="15:21" x14ac:dyDescent="0.25">
      <c r="O1479" s="76">
        <v>2665424</v>
      </c>
      <c r="P1479" s="78" t="s">
        <v>65</v>
      </c>
      <c r="Q1479" s="77">
        <v>45952</v>
      </c>
      <c r="R1479" s="78" t="s">
        <v>286</v>
      </c>
      <c r="S1479" s="36" t="str">
        <f>VLOOKUP(Tabla911[[#This Row],[CODIGO DEL PRODUCTO]],Tabla79[],2,FALSE)</f>
        <v>CPF 40 AVELLANEDA</v>
      </c>
      <c r="T1479" s="37">
        <v>36040</v>
      </c>
      <c r="U1479" s="78"/>
    </row>
    <row r="1480" spans="15:21" x14ac:dyDescent="0.25">
      <c r="O1480" s="76">
        <v>216172</v>
      </c>
      <c r="P1480" s="78" t="s">
        <v>516</v>
      </c>
      <c r="Q1480" s="77">
        <v>45929</v>
      </c>
      <c r="R1480" s="78" t="s">
        <v>43</v>
      </c>
      <c r="S1480" s="36" t="str">
        <f>VLOOKUP(Tabla911[[#This Row],[CODIGO DEL PRODUCTO]],Tabla79[],2,FALSE)</f>
        <v>PIEDRA 6-20</v>
      </c>
      <c r="T1480" s="37">
        <v>34980</v>
      </c>
      <c r="U1480" s="78"/>
    </row>
    <row r="1481" spans="15:21" x14ac:dyDescent="0.25">
      <c r="O1481" s="76">
        <v>216862</v>
      </c>
      <c r="P1481" s="78" t="s">
        <v>516</v>
      </c>
      <c r="Q1481" s="77">
        <v>45950</v>
      </c>
      <c r="R1481" s="78" t="s">
        <v>43</v>
      </c>
      <c r="S1481" s="36" t="str">
        <f>VLOOKUP(Tabla911[[#This Row],[CODIGO DEL PRODUCTO]],Tabla79[],2,FALSE)</f>
        <v>PIEDRA 6-20</v>
      </c>
      <c r="T1481" s="37">
        <v>36700</v>
      </c>
      <c r="U1481" s="78"/>
    </row>
    <row r="1482" spans="15:21" x14ac:dyDescent="0.25">
      <c r="O1482" s="76">
        <v>102311</v>
      </c>
      <c r="P1482" s="78" t="s">
        <v>550</v>
      </c>
      <c r="Q1482" s="77">
        <v>45953</v>
      </c>
      <c r="R1482" s="78" t="s">
        <v>42</v>
      </c>
      <c r="S1482" s="36" t="str">
        <f>VLOOKUP(Tabla911[[#This Row],[CODIGO DEL PRODUCTO]],Tabla79[],2,FALSE)</f>
        <v>ARENA FINA</v>
      </c>
      <c r="T1482" s="37">
        <v>37680</v>
      </c>
      <c r="U1482" s="78"/>
    </row>
    <row r="1483" spans="15:21" x14ac:dyDescent="0.25">
      <c r="O1483" s="76">
        <v>105317</v>
      </c>
      <c r="P1483" s="78" t="s">
        <v>349</v>
      </c>
      <c r="Q1483" s="77">
        <v>45953</v>
      </c>
      <c r="R1483" s="78" t="s">
        <v>43</v>
      </c>
      <c r="S1483" s="36" t="str">
        <f>VLOOKUP(Tabla911[[#This Row],[CODIGO DEL PRODUCTO]],Tabla79[],2,FALSE)</f>
        <v>PIEDRA 6-20</v>
      </c>
      <c r="T1483" s="37">
        <v>35900</v>
      </c>
      <c r="U1483" s="78"/>
    </row>
    <row r="1484" spans="15:21" x14ac:dyDescent="0.25">
      <c r="O1484" s="76">
        <v>105324</v>
      </c>
      <c r="P1484" s="78" t="s">
        <v>234</v>
      </c>
      <c r="Q1484" s="77">
        <v>45953</v>
      </c>
      <c r="R1484" s="78" t="s">
        <v>43</v>
      </c>
      <c r="S1484" s="36" t="str">
        <f>VLOOKUP(Tabla911[[#This Row],[CODIGO DEL PRODUCTO]],Tabla79[],2,FALSE)</f>
        <v>PIEDRA 6-20</v>
      </c>
      <c r="T1484" s="37">
        <v>34800</v>
      </c>
      <c r="U1484" s="78"/>
    </row>
    <row r="1485" spans="15:21" x14ac:dyDescent="0.25">
      <c r="O1485" s="76">
        <v>105325</v>
      </c>
      <c r="P1485" s="78" t="s">
        <v>252</v>
      </c>
      <c r="Q1485" s="77">
        <v>45953</v>
      </c>
      <c r="R1485" s="78" t="s">
        <v>40</v>
      </c>
      <c r="S1485" s="36" t="str">
        <f>VLOOKUP(Tabla911[[#This Row],[CODIGO DEL PRODUCTO]],Tabla79[],2,FALSE)</f>
        <v>PIEDRA 0-6</v>
      </c>
      <c r="T1485" s="37">
        <v>34080</v>
      </c>
      <c r="U1485" s="78"/>
    </row>
    <row r="1486" spans="15:21" x14ac:dyDescent="0.25">
      <c r="O1486" s="76">
        <v>105328</v>
      </c>
      <c r="P1486" s="78" t="s">
        <v>156</v>
      </c>
      <c r="Q1486" s="77">
        <v>45953</v>
      </c>
      <c r="R1486" s="78" t="s">
        <v>43</v>
      </c>
      <c r="S1486" s="36" t="str">
        <f>VLOOKUP(Tabla911[[#This Row],[CODIGO DEL PRODUCTO]],Tabla79[],2,FALSE)</f>
        <v>PIEDRA 6-20</v>
      </c>
      <c r="T1486" s="37">
        <v>35140</v>
      </c>
      <c r="U1486" s="78"/>
    </row>
    <row r="1487" spans="15:21" x14ac:dyDescent="0.25">
      <c r="O1487" s="76">
        <v>105329</v>
      </c>
      <c r="P1487" s="78" t="s">
        <v>155</v>
      </c>
      <c r="Q1487" s="77">
        <v>45953</v>
      </c>
      <c r="R1487" s="78" t="s">
        <v>40</v>
      </c>
      <c r="S1487" s="36" t="str">
        <f>VLOOKUP(Tabla911[[#This Row],[CODIGO DEL PRODUCTO]],Tabla79[],2,FALSE)</f>
        <v>PIEDRA 0-6</v>
      </c>
      <c r="T1487" s="37">
        <v>34620</v>
      </c>
      <c r="U1487" s="78"/>
    </row>
    <row r="1488" spans="15:21" x14ac:dyDescent="0.25">
      <c r="O1488" s="76">
        <v>2665767</v>
      </c>
      <c r="P1488" s="78" t="s">
        <v>65</v>
      </c>
      <c r="Q1488" s="77">
        <v>45953</v>
      </c>
      <c r="R1488" s="78" t="s">
        <v>286</v>
      </c>
      <c r="S1488" s="36" t="str">
        <f>VLOOKUP(Tabla911[[#This Row],[CODIGO DEL PRODUCTO]],Tabla79[],2,FALSE)</f>
        <v>CPF 40 AVELLANEDA</v>
      </c>
      <c r="T1488" s="37">
        <v>35860</v>
      </c>
      <c r="U1488" s="78"/>
    </row>
    <row r="1489" spans="15:21" x14ac:dyDescent="0.25">
      <c r="O1489" s="76">
        <v>35702</v>
      </c>
      <c r="P1489" s="78" t="s">
        <v>449</v>
      </c>
      <c r="Q1489" s="77">
        <v>45945</v>
      </c>
      <c r="R1489" s="78" t="s">
        <v>425</v>
      </c>
      <c r="S1489" s="36" t="str">
        <f>VLOOKUP(Tabla911[[#This Row],[CODIGO DEL PRODUCTO]],Tabla79[],2,FALSE)</f>
        <v>W351R</v>
      </c>
      <c r="T1489" s="37">
        <v>1000</v>
      </c>
      <c r="U1489" s="78"/>
    </row>
    <row r="1490" spans="15:21" x14ac:dyDescent="0.25">
      <c r="O1490" s="76">
        <v>35693</v>
      </c>
      <c r="P1490" s="78" t="s">
        <v>449</v>
      </c>
      <c r="Q1490" s="77">
        <v>45951</v>
      </c>
      <c r="R1490" s="78" t="s">
        <v>599</v>
      </c>
      <c r="S1490" s="36" t="str">
        <f>VLOOKUP(Tabla911[[#This Row],[CODIGO DEL PRODUCTO]],Tabla79[],2,FALSE)</f>
        <v>MAPETARD CH DRUMS 220KG</v>
      </c>
      <c r="T1490" s="37">
        <v>1</v>
      </c>
      <c r="U1490" s="78"/>
    </row>
    <row r="1491" spans="15:21" x14ac:dyDescent="0.25">
      <c r="O1491" s="76">
        <v>215135</v>
      </c>
      <c r="P1491" s="78" t="s">
        <v>516</v>
      </c>
      <c r="Q1491" s="77">
        <v>45901</v>
      </c>
      <c r="R1491" s="78" t="s">
        <v>43</v>
      </c>
      <c r="S1491" s="36" t="str">
        <f>VLOOKUP(Tabla911[[#This Row],[CODIGO DEL PRODUCTO]],Tabla79[],2,FALSE)</f>
        <v>PIEDRA 6-20</v>
      </c>
      <c r="T1491" s="37">
        <v>35820</v>
      </c>
      <c r="U1491" s="78"/>
    </row>
    <row r="1492" spans="15:21" x14ac:dyDescent="0.25">
      <c r="O1492" s="76">
        <v>217053</v>
      </c>
      <c r="P1492" s="78" t="s">
        <v>516</v>
      </c>
      <c r="Q1492" s="77">
        <v>45954</v>
      </c>
      <c r="R1492" s="78" t="s">
        <v>43</v>
      </c>
      <c r="S1492" s="36" t="str">
        <f>VLOOKUP(Tabla911[[#This Row],[CODIGO DEL PRODUCTO]],Tabla79[],2,FALSE)</f>
        <v>PIEDRA 6-20</v>
      </c>
      <c r="T1492" s="37">
        <v>34340</v>
      </c>
      <c r="U1492" s="78"/>
    </row>
    <row r="1493" spans="15:21" x14ac:dyDescent="0.25">
      <c r="O1493" s="76">
        <v>102321</v>
      </c>
      <c r="P1493" s="78" t="s">
        <v>370</v>
      </c>
      <c r="Q1493" s="77">
        <v>45954</v>
      </c>
      <c r="R1493" s="78" t="s">
        <v>42</v>
      </c>
      <c r="S1493" s="36" t="str">
        <f>VLOOKUP(Tabla911[[#This Row],[CODIGO DEL PRODUCTO]],Tabla79[],2,FALSE)</f>
        <v>ARENA FINA</v>
      </c>
      <c r="T1493" s="37">
        <v>34460</v>
      </c>
      <c r="U1493" s="78"/>
    </row>
    <row r="1494" spans="15:21" x14ac:dyDescent="0.25">
      <c r="O1494" s="76">
        <v>102331</v>
      </c>
      <c r="P1494" s="78" t="s">
        <v>370</v>
      </c>
      <c r="Q1494" s="77">
        <v>45954</v>
      </c>
      <c r="R1494" s="78" t="s">
        <v>42</v>
      </c>
      <c r="S1494" s="36" t="str">
        <f>VLOOKUP(Tabla911[[#This Row],[CODIGO DEL PRODUCTO]],Tabla79[],2,FALSE)</f>
        <v>ARENA FINA</v>
      </c>
      <c r="T1494" s="37">
        <v>35540</v>
      </c>
      <c r="U1494" s="78"/>
    </row>
    <row r="1495" spans="15:21" x14ac:dyDescent="0.25">
      <c r="O1495" s="76">
        <v>102332</v>
      </c>
      <c r="P1495" s="78" t="s">
        <v>550</v>
      </c>
      <c r="Q1495" s="77">
        <v>45954</v>
      </c>
      <c r="R1495" s="78" t="s">
        <v>42</v>
      </c>
      <c r="S1495" s="36" t="str">
        <f>VLOOKUP(Tabla911[[#This Row],[CODIGO DEL PRODUCTO]],Tabla79[],2,FALSE)</f>
        <v>ARENA FINA</v>
      </c>
      <c r="T1495" s="37">
        <v>36080</v>
      </c>
      <c r="U1495" s="78"/>
    </row>
    <row r="1496" spans="15:21" x14ac:dyDescent="0.25">
      <c r="O1496" s="76">
        <v>105342</v>
      </c>
      <c r="P1496" s="78" t="s">
        <v>218</v>
      </c>
      <c r="Q1496" s="77">
        <v>45954</v>
      </c>
      <c r="R1496" s="78" t="s">
        <v>40</v>
      </c>
      <c r="S1496" s="36" t="str">
        <f>VLOOKUP(Tabla911[[#This Row],[CODIGO DEL PRODUCTO]],Tabla79[],2,FALSE)</f>
        <v>PIEDRA 0-6</v>
      </c>
      <c r="T1496" s="37">
        <v>35320</v>
      </c>
      <c r="U1496" s="78"/>
    </row>
    <row r="1497" spans="15:21" x14ac:dyDescent="0.25">
      <c r="O1497" s="76">
        <v>105348</v>
      </c>
      <c r="P1497" s="78" t="s">
        <v>252</v>
      </c>
      <c r="Q1497" s="77">
        <v>45954</v>
      </c>
      <c r="R1497" s="78" t="s">
        <v>40</v>
      </c>
      <c r="S1497" s="36" t="str">
        <f>VLOOKUP(Tabla911[[#This Row],[CODIGO DEL PRODUCTO]],Tabla79[],2,FALSE)</f>
        <v>PIEDRA 0-6</v>
      </c>
      <c r="T1497" s="37">
        <v>35880</v>
      </c>
      <c r="U1497" s="78"/>
    </row>
    <row r="1498" spans="15:21" x14ac:dyDescent="0.25">
      <c r="O1498" s="76">
        <v>105352</v>
      </c>
      <c r="P1498" s="78" t="s">
        <v>234</v>
      </c>
      <c r="Q1498" s="77">
        <v>45954</v>
      </c>
      <c r="R1498" s="78" t="s">
        <v>43</v>
      </c>
      <c r="S1498" s="36" t="str">
        <f>VLOOKUP(Tabla911[[#This Row],[CODIGO DEL PRODUCTO]],Tabla79[],2,FALSE)</f>
        <v>PIEDRA 6-20</v>
      </c>
      <c r="T1498" s="37">
        <v>35160</v>
      </c>
      <c r="U1498" s="78"/>
    </row>
    <row r="1499" spans="15:21" x14ac:dyDescent="0.25">
      <c r="O1499" s="76">
        <v>105358</v>
      </c>
      <c r="P1499" s="78" t="s">
        <v>155</v>
      </c>
      <c r="Q1499" s="77">
        <v>45954</v>
      </c>
      <c r="R1499" s="78" t="s">
        <v>40</v>
      </c>
      <c r="S1499" s="36" t="str">
        <f>VLOOKUP(Tabla911[[#This Row],[CODIGO DEL PRODUCTO]],Tabla79[],2,FALSE)</f>
        <v>PIEDRA 0-6</v>
      </c>
      <c r="T1499" s="37">
        <v>35600</v>
      </c>
      <c r="U1499" s="78"/>
    </row>
    <row r="1500" spans="15:21" x14ac:dyDescent="0.25">
      <c r="O1500" s="76">
        <v>105359</v>
      </c>
      <c r="P1500" s="78" t="s">
        <v>156</v>
      </c>
      <c r="Q1500" s="77">
        <v>45954</v>
      </c>
      <c r="R1500" s="78" t="s">
        <v>43</v>
      </c>
      <c r="S1500" s="36" t="str">
        <f>VLOOKUP(Tabla911[[#This Row],[CODIGO DEL PRODUCTO]],Tabla79[],2,FALSE)</f>
        <v>PIEDRA 6-20</v>
      </c>
      <c r="T1500" s="37">
        <v>35560</v>
      </c>
      <c r="U1500" s="78"/>
    </row>
    <row r="1501" spans="15:21" x14ac:dyDescent="0.25">
      <c r="O1501" s="76">
        <v>2665959</v>
      </c>
      <c r="P1501" s="78" t="s">
        <v>65</v>
      </c>
      <c r="Q1501" s="77">
        <v>45954</v>
      </c>
      <c r="R1501" s="78" t="s">
        <v>286</v>
      </c>
      <c r="S1501" s="36" t="str">
        <f>VLOOKUP(Tabla911[[#This Row],[CODIGO DEL PRODUCTO]],Tabla79[],2,FALSE)</f>
        <v>CPF 40 AVELLANEDA</v>
      </c>
      <c r="T1501" s="37">
        <v>35940</v>
      </c>
      <c r="U1501" s="78"/>
    </row>
    <row r="1502" spans="15:21" x14ac:dyDescent="0.25">
      <c r="O1502" s="76">
        <v>102339</v>
      </c>
      <c r="P1502" s="78" t="s">
        <v>370</v>
      </c>
      <c r="Q1502" s="77">
        <v>45955</v>
      </c>
      <c r="R1502" s="78" t="s">
        <v>42</v>
      </c>
      <c r="S1502" s="36" t="str">
        <f>VLOOKUP(Tabla911[[#This Row],[CODIGO DEL PRODUCTO]],Tabla79[],2,FALSE)</f>
        <v>ARENA FINA</v>
      </c>
      <c r="T1502" s="37">
        <v>35720</v>
      </c>
      <c r="U1502" s="78"/>
    </row>
    <row r="1503" spans="15:21" x14ac:dyDescent="0.25">
      <c r="O1503" s="76">
        <v>102340</v>
      </c>
      <c r="P1503" s="78" t="s">
        <v>550</v>
      </c>
      <c r="Q1503" s="77">
        <v>45955</v>
      </c>
      <c r="R1503" s="78" t="s">
        <v>42</v>
      </c>
      <c r="S1503" s="36" t="str">
        <f>VLOOKUP(Tabla911[[#This Row],[CODIGO DEL PRODUCTO]],Tabla79[],2,FALSE)</f>
        <v>ARENA FINA</v>
      </c>
      <c r="T1503" s="37">
        <v>36720</v>
      </c>
      <c r="U1503" s="78"/>
    </row>
    <row r="1504" spans="15:21" x14ac:dyDescent="0.25">
      <c r="O1504" s="76">
        <v>105371</v>
      </c>
      <c r="P1504" s="78" t="s">
        <v>197</v>
      </c>
      <c r="Q1504" s="77">
        <v>45955</v>
      </c>
      <c r="R1504" s="78" t="s">
        <v>40</v>
      </c>
      <c r="S1504" s="36" t="str">
        <f>VLOOKUP(Tabla911[[#This Row],[CODIGO DEL PRODUCTO]],Tabla79[],2,FALSE)</f>
        <v>PIEDRA 0-6</v>
      </c>
      <c r="T1504" s="37">
        <v>35780</v>
      </c>
      <c r="U1504" s="78"/>
    </row>
    <row r="1505" spans="15:24" x14ac:dyDescent="0.25">
      <c r="O1505" s="76">
        <v>2666243</v>
      </c>
      <c r="P1505" s="78" t="s">
        <v>65</v>
      </c>
      <c r="Q1505" s="77">
        <v>45955</v>
      </c>
      <c r="R1505" s="78" t="s">
        <v>286</v>
      </c>
      <c r="S1505" s="36" t="str">
        <f>VLOOKUP(Tabla911[[#This Row],[CODIGO DEL PRODUCTO]],Tabla79[],2,FALSE)</f>
        <v>CPF 40 AVELLANEDA</v>
      </c>
      <c r="T1505" s="37">
        <v>35700</v>
      </c>
      <c r="U1505" s="78"/>
    </row>
    <row r="1506" spans="15:24" x14ac:dyDescent="0.25">
      <c r="O1506" s="76">
        <v>102341</v>
      </c>
      <c r="P1506" s="78" t="s">
        <v>370</v>
      </c>
      <c r="Q1506" s="77">
        <v>45957</v>
      </c>
      <c r="R1506" s="78" t="s">
        <v>42</v>
      </c>
      <c r="S1506" s="36" t="str">
        <f>VLOOKUP(Tabla911[[#This Row],[CODIGO DEL PRODUCTO]],Tabla79[],2,FALSE)</f>
        <v>ARENA FINA</v>
      </c>
      <c r="T1506" s="37">
        <v>35020</v>
      </c>
      <c r="U1506" s="78"/>
    </row>
    <row r="1507" spans="15:24" x14ac:dyDescent="0.25">
      <c r="O1507" s="76">
        <v>102350</v>
      </c>
      <c r="P1507" s="78" t="s">
        <v>550</v>
      </c>
      <c r="Q1507" s="77">
        <v>45957</v>
      </c>
      <c r="R1507" s="78" t="s">
        <v>42</v>
      </c>
      <c r="S1507" s="36" t="str">
        <f>VLOOKUP(Tabla911[[#This Row],[CODIGO DEL PRODUCTO]],Tabla79[],2,FALSE)</f>
        <v>ARENA FINA</v>
      </c>
      <c r="T1507" s="37">
        <v>36060</v>
      </c>
      <c r="U1507" s="78"/>
    </row>
    <row r="1508" spans="15:24" x14ac:dyDescent="0.25">
      <c r="O1508" s="76">
        <v>102352</v>
      </c>
      <c r="P1508" s="78" t="s">
        <v>370</v>
      </c>
      <c r="Q1508" s="77">
        <v>45957</v>
      </c>
      <c r="R1508" s="78" t="s">
        <v>42</v>
      </c>
      <c r="S1508" s="36" t="str">
        <f>VLOOKUP(Tabla911[[#This Row],[CODIGO DEL PRODUCTO]],Tabla79[],2,FALSE)</f>
        <v>ARENA FINA</v>
      </c>
      <c r="T1508" s="37">
        <v>34780</v>
      </c>
      <c r="U1508" s="78"/>
    </row>
    <row r="1509" spans="15:24" x14ac:dyDescent="0.25">
      <c r="O1509" s="76">
        <v>217071</v>
      </c>
      <c r="P1509" s="78" t="s">
        <v>516</v>
      </c>
      <c r="Q1509" s="77">
        <v>45957</v>
      </c>
      <c r="R1509" s="78" t="s">
        <v>43</v>
      </c>
      <c r="S1509" s="36" t="str">
        <f>VLOOKUP(Tabla911[[#This Row],[CODIGO DEL PRODUCTO]],Tabla79[],2,FALSE)</f>
        <v>PIEDRA 6-20</v>
      </c>
      <c r="T1509" s="37">
        <v>36000</v>
      </c>
      <c r="U1509" s="78"/>
    </row>
    <row r="1510" spans="15:24" x14ac:dyDescent="0.25">
      <c r="O1510" s="76">
        <v>105395</v>
      </c>
      <c r="P1510" s="78" t="s">
        <v>287</v>
      </c>
      <c r="Q1510" s="77">
        <v>45957</v>
      </c>
      <c r="R1510" s="78" t="s">
        <v>40</v>
      </c>
      <c r="S1510" s="36" t="str">
        <f>VLOOKUP(Tabla911[[#This Row],[CODIGO DEL PRODUCTO]],Tabla79[],2,FALSE)</f>
        <v>PIEDRA 0-6</v>
      </c>
      <c r="T1510" s="37">
        <v>34140</v>
      </c>
      <c r="U1510" s="78"/>
    </row>
    <row r="1511" spans="15:24" x14ac:dyDescent="0.25">
      <c r="O1511" s="76">
        <v>105405</v>
      </c>
      <c r="P1511" s="78" t="s">
        <v>234</v>
      </c>
      <c r="Q1511" s="77">
        <v>45957</v>
      </c>
      <c r="R1511" s="78" t="s">
        <v>43</v>
      </c>
      <c r="S1511" s="36" t="str">
        <f>VLOOKUP(Tabla911[[#This Row],[CODIGO DEL PRODUCTO]],Tabla79[],2,FALSE)</f>
        <v>PIEDRA 6-20</v>
      </c>
      <c r="T1511" s="37">
        <v>34900</v>
      </c>
      <c r="U1511" s="78"/>
    </row>
    <row r="1512" spans="15:24" x14ac:dyDescent="0.25">
      <c r="O1512" s="76">
        <v>105414</v>
      </c>
      <c r="P1512" s="78" t="s">
        <v>156</v>
      </c>
      <c r="Q1512" s="77">
        <v>45957</v>
      </c>
      <c r="R1512" s="78" t="s">
        <v>40</v>
      </c>
      <c r="S1512" s="36" t="str">
        <f>VLOOKUP(Tabla911[[#This Row],[CODIGO DEL PRODUCTO]],Tabla79[],2,FALSE)</f>
        <v>PIEDRA 0-6</v>
      </c>
      <c r="T1512" s="37">
        <v>34860</v>
      </c>
      <c r="U1512" s="78"/>
    </row>
    <row r="1513" spans="15:24" x14ac:dyDescent="0.25">
      <c r="O1513" s="76">
        <v>146585</v>
      </c>
      <c r="P1513" s="78" t="s">
        <v>343</v>
      </c>
      <c r="Q1513" s="77">
        <v>45957</v>
      </c>
      <c r="R1513" s="78" t="s">
        <v>43</v>
      </c>
      <c r="S1513" s="36" t="str">
        <f>VLOOKUP(Tabla911[[#This Row],[CODIGO DEL PRODUCTO]],Tabla79[],2,FALSE)</f>
        <v>PIEDRA 6-20</v>
      </c>
      <c r="T1513" s="37">
        <v>35680</v>
      </c>
      <c r="U1513" s="78"/>
    </row>
    <row r="1514" spans="15:24" x14ac:dyDescent="0.25">
      <c r="O1514" s="76">
        <v>2666621</v>
      </c>
      <c r="P1514" s="78" t="s">
        <v>65</v>
      </c>
      <c r="Q1514" s="77">
        <v>45957</v>
      </c>
      <c r="R1514" s="78" t="s">
        <v>286</v>
      </c>
      <c r="S1514" s="36" t="str">
        <f>VLOOKUP(Tabla911[[#This Row],[CODIGO DEL PRODUCTO]],Tabla79[],2,FALSE)</f>
        <v>CPF 40 AVELLANEDA</v>
      </c>
      <c r="T1514" s="37">
        <v>36640</v>
      </c>
      <c r="U1514" s="78"/>
    </row>
    <row r="1515" spans="15:24" x14ac:dyDescent="0.25">
      <c r="O1515" s="76">
        <v>102360</v>
      </c>
      <c r="P1515" s="78" t="s">
        <v>370</v>
      </c>
      <c r="Q1515" s="77">
        <v>45958</v>
      </c>
      <c r="R1515" s="78" t="s">
        <v>42</v>
      </c>
      <c r="S1515" s="36" t="str">
        <f>VLOOKUP(Tabla911[[#This Row],[CODIGO DEL PRODUCTO]],Tabla79[],2,FALSE)</f>
        <v>ARENA FINA</v>
      </c>
      <c r="T1515" s="37">
        <v>35160</v>
      </c>
      <c r="U1515" s="78"/>
      <c r="V1515" s="7">
        <v>45958</v>
      </c>
      <c r="W1515" t="s">
        <v>605</v>
      </c>
      <c r="X1515" t="s">
        <v>606</v>
      </c>
    </row>
    <row r="1516" spans="15:24" x14ac:dyDescent="0.25">
      <c r="O1516" s="76">
        <v>102370</v>
      </c>
      <c r="P1516" s="78" t="s">
        <v>370</v>
      </c>
      <c r="Q1516" s="77">
        <v>45958</v>
      </c>
      <c r="R1516" s="78" t="s">
        <v>42</v>
      </c>
      <c r="S1516" s="36" t="str">
        <f>VLOOKUP(Tabla911[[#This Row],[CODIGO DEL PRODUCTO]],Tabla79[],2,FALSE)</f>
        <v>ARENA FINA</v>
      </c>
      <c r="T1516" s="37">
        <v>34260</v>
      </c>
      <c r="U1516" s="78"/>
    </row>
    <row r="1517" spans="15:24" x14ac:dyDescent="0.25">
      <c r="O1517" s="76">
        <v>102371</v>
      </c>
      <c r="P1517" s="78" t="s">
        <v>550</v>
      </c>
      <c r="Q1517" s="77">
        <v>45958</v>
      </c>
      <c r="R1517" s="78" t="s">
        <v>42</v>
      </c>
      <c r="S1517" s="36" t="str">
        <f>VLOOKUP(Tabla911[[#This Row],[CODIGO DEL PRODUCTO]],Tabla79[],2,FALSE)</f>
        <v>ARENA FINA</v>
      </c>
      <c r="T1517" s="37">
        <v>36000</v>
      </c>
      <c r="U1517" s="78"/>
    </row>
    <row r="1518" spans="15:24" x14ac:dyDescent="0.25">
      <c r="O1518" s="76">
        <v>217130</v>
      </c>
      <c r="P1518" s="78" t="s">
        <v>516</v>
      </c>
      <c r="Q1518" s="77">
        <v>45958</v>
      </c>
      <c r="R1518" s="78" t="s">
        <v>43</v>
      </c>
      <c r="S1518" s="36" t="str">
        <f>VLOOKUP(Tabla911[[#This Row],[CODIGO DEL PRODUCTO]],Tabla79[],2,FALSE)</f>
        <v>PIEDRA 6-20</v>
      </c>
      <c r="T1518" s="37">
        <v>35160</v>
      </c>
      <c r="U1518" s="78"/>
    </row>
    <row r="1519" spans="15:24" x14ac:dyDescent="0.25">
      <c r="O1519" s="76">
        <v>146644</v>
      </c>
      <c r="P1519" s="78" t="s">
        <v>231</v>
      </c>
      <c r="Q1519" s="77">
        <v>45958</v>
      </c>
      <c r="R1519" s="78" t="s">
        <v>40</v>
      </c>
      <c r="S1519" s="36" t="str">
        <f>VLOOKUP(Tabla911[[#This Row],[CODIGO DEL PRODUCTO]],Tabla79[],2,FALSE)</f>
        <v>PIEDRA 0-6</v>
      </c>
      <c r="T1519" s="37">
        <v>34740</v>
      </c>
      <c r="U1519" s="78"/>
    </row>
    <row r="1520" spans="15:24" x14ac:dyDescent="0.25">
      <c r="O1520" s="76">
        <v>146657</v>
      </c>
      <c r="P1520" s="78" t="s">
        <v>119</v>
      </c>
      <c r="Q1520" s="77">
        <v>45958</v>
      </c>
      <c r="R1520" s="78" t="s">
        <v>43</v>
      </c>
      <c r="S1520" s="36" t="str">
        <f>VLOOKUP(Tabla911[[#This Row],[CODIGO DEL PRODUCTO]],Tabla79[],2,FALSE)</f>
        <v>PIEDRA 6-20</v>
      </c>
      <c r="T1520" s="37">
        <v>35840</v>
      </c>
      <c r="U1520" s="78"/>
    </row>
    <row r="1521" spans="15:21" x14ac:dyDescent="0.25">
      <c r="O1521" s="76">
        <v>146666</v>
      </c>
      <c r="P1521" s="78" t="s">
        <v>607</v>
      </c>
      <c r="Q1521" s="77">
        <v>45958</v>
      </c>
      <c r="R1521" s="78" t="s">
        <v>40</v>
      </c>
      <c r="S1521" s="36" t="str">
        <f>VLOOKUP(Tabla911[[#This Row],[CODIGO DEL PRODUCTO]],Tabla79[],2,FALSE)</f>
        <v>PIEDRA 0-6</v>
      </c>
      <c r="T1521" s="37">
        <v>34540</v>
      </c>
      <c r="U1521" s="78"/>
    </row>
    <row r="1522" spans="15:21" x14ac:dyDescent="0.25">
      <c r="O1522" s="76">
        <v>146669</v>
      </c>
      <c r="P1522" s="78" t="s">
        <v>493</v>
      </c>
      <c r="Q1522" s="77">
        <v>45958</v>
      </c>
      <c r="R1522" s="78" t="s">
        <v>40</v>
      </c>
      <c r="S1522" s="36" t="str">
        <f>VLOOKUP(Tabla911[[#This Row],[CODIGO DEL PRODUCTO]],Tabla79[],2,FALSE)</f>
        <v>PIEDRA 0-6</v>
      </c>
      <c r="T1522" s="37">
        <v>34420</v>
      </c>
      <c r="U1522" s="78"/>
    </row>
    <row r="1523" spans="15:21" x14ac:dyDescent="0.25">
      <c r="O1523" s="76">
        <v>2666874</v>
      </c>
      <c r="P1523" s="78" t="s">
        <v>65</v>
      </c>
      <c r="Q1523" s="77">
        <v>45958</v>
      </c>
      <c r="R1523" s="78" t="s">
        <v>286</v>
      </c>
      <c r="S1523" s="36" t="str">
        <f>VLOOKUP(Tabla911[[#This Row],[CODIGO DEL PRODUCTO]],Tabla79[],2,FALSE)</f>
        <v>CPF 40 AVELLANEDA</v>
      </c>
      <c r="T1523" s="37">
        <v>35640</v>
      </c>
      <c r="U1523" s="78"/>
    </row>
    <row r="1524" spans="15:21" x14ac:dyDescent="0.25">
      <c r="O1524" s="76">
        <v>102379</v>
      </c>
      <c r="P1524" s="78" t="s">
        <v>370</v>
      </c>
      <c r="Q1524" s="77">
        <v>45959</v>
      </c>
      <c r="R1524" s="78" t="s">
        <v>42</v>
      </c>
      <c r="S1524" s="36" t="str">
        <f>VLOOKUP(Tabla911[[#This Row],[CODIGO DEL PRODUCTO]],Tabla79[],2,FALSE)</f>
        <v>ARENA FINA</v>
      </c>
      <c r="T1524" s="37">
        <v>36240</v>
      </c>
      <c r="U1524" s="78"/>
    </row>
    <row r="1525" spans="15:21" x14ac:dyDescent="0.25">
      <c r="O1525" s="76">
        <v>102386</v>
      </c>
      <c r="P1525" s="78" t="s">
        <v>550</v>
      </c>
      <c r="Q1525" s="77">
        <v>45959</v>
      </c>
      <c r="R1525" s="78" t="s">
        <v>42</v>
      </c>
      <c r="S1525" s="36" t="str">
        <f>VLOOKUP(Tabla911[[#This Row],[CODIGO DEL PRODUCTO]],Tabla79[],2,FALSE)</f>
        <v>ARENA FINA</v>
      </c>
      <c r="T1525" s="37">
        <v>36580</v>
      </c>
      <c r="U1525" s="78"/>
    </row>
    <row r="1526" spans="15:21" x14ac:dyDescent="0.25">
      <c r="O1526" s="76">
        <v>102387</v>
      </c>
      <c r="P1526" s="78" t="s">
        <v>370</v>
      </c>
      <c r="Q1526" s="77">
        <v>45959</v>
      </c>
      <c r="R1526" s="78" t="s">
        <v>42</v>
      </c>
      <c r="S1526" s="36" t="str">
        <f>VLOOKUP(Tabla911[[#This Row],[CODIGO DEL PRODUCTO]],Tabla79[],2,FALSE)</f>
        <v>ARENA FINA</v>
      </c>
      <c r="T1526" s="37">
        <v>36120</v>
      </c>
      <c r="U1526" s="78"/>
    </row>
    <row r="1527" spans="15:21" x14ac:dyDescent="0.25">
      <c r="O1527" s="76">
        <v>105451</v>
      </c>
      <c r="P1527" s="78" t="s">
        <v>349</v>
      </c>
      <c r="Q1527" s="77">
        <v>45959</v>
      </c>
      <c r="R1527" s="78" t="s">
        <v>43</v>
      </c>
      <c r="S1527" s="36" t="str">
        <f>VLOOKUP(Tabla911[[#This Row],[CODIGO DEL PRODUCTO]],Tabla79[],2,FALSE)</f>
        <v>PIEDRA 6-20</v>
      </c>
      <c r="T1527" s="37">
        <v>35740</v>
      </c>
      <c r="U1527" s="78"/>
    </row>
    <row r="1528" spans="15:21" x14ac:dyDescent="0.25">
      <c r="O1528" s="76">
        <v>105458</v>
      </c>
      <c r="P1528" s="78" t="s">
        <v>238</v>
      </c>
      <c r="Q1528" s="77">
        <v>45959</v>
      </c>
      <c r="R1528" s="78" t="s">
        <v>40</v>
      </c>
      <c r="S1528" s="36" t="str">
        <f>VLOOKUP(Tabla911[[#This Row],[CODIGO DEL PRODUCTO]],Tabla79[],2,FALSE)</f>
        <v>PIEDRA 0-6</v>
      </c>
      <c r="T1528" s="37">
        <v>34860</v>
      </c>
      <c r="U1528" s="78"/>
    </row>
    <row r="1529" spans="15:21" x14ac:dyDescent="0.25">
      <c r="O1529" s="76">
        <v>105461</v>
      </c>
      <c r="P1529" s="78" t="s">
        <v>156</v>
      </c>
      <c r="Q1529" s="77">
        <v>45959</v>
      </c>
      <c r="R1529" s="78" t="s">
        <v>40</v>
      </c>
      <c r="S1529" s="36" t="str">
        <f>VLOOKUP(Tabla911[[#This Row],[CODIGO DEL PRODUCTO]],Tabla79[],2,FALSE)</f>
        <v>PIEDRA 0-6</v>
      </c>
      <c r="T1529" s="37">
        <v>35460</v>
      </c>
      <c r="U1529" s="78"/>
    </row>
    <row r="1530" spans="15:21" x14ac:dyDescent="0.25">
      <c r="O1530" s="76">
        <v>146661</v>
      </c>
      <c r="P1530" s="78" t="s">
        <v>296</v>
      </c>
      <c r="Q1530" s="77">
        <v>45959</v>
      </c>
      <c r="R1530" s="78" t="s">
        <v>43</v>
      </c>
      <c r="S1530" s="36" t="str">
        <f>VLOOKUP(Tabla911[[#This Row],[CODIGO DEL PRODUCTO]],Tabla79[],2,FALSE)</f>
        <v>PIEDRA 6-20</v>
      </c>
      <c r="T1530" s="37">
        <v>35300</v>
      </c>
      <c r="U1530" s="78"/>
    </row>
    <row r="1531" spans="15:21" x14ac:dyDescent="0.25">
      <c r="O1531" s="76">
        <v>2667199</v>
      </c>
      <c r="P1531" s="78" t="s">
        <v>65</v>
      </c>
      <c r="Q1531" s="77">
        <v>45959</v>
      </c>
      <c r="R1531" s="78" t="s">
        <v>286</v>
      </c>
      <c r="S1531" s="36" t="str">
        <f>VLOOKUP(Tabla911[[#This Row],[CODIGO DEL PRODUCTO]],Tabla79[],2,FALSE)</f>
        <v>CPF 40 AVELLANEDA</v>
      </c>
      <c r="T1531" s="37">
        <v>35820</v>
      </c>
      <c r="U1531" s="78"/>
    </row>
    <row r="1532" spans="15:21" x14ac:dyDescent="0.25">
      <c r="O1532" s="76">
        <v>36045</v>
      </c>
      <c r="P1532" s="78" t="s">
        <v>449</v>
      </c>
      <c r="Q1532" s="77">
        <v>45959</v>
      </c>
      <c r="R1532" s="78" t="s">
        <v>425</v>
      </c>
      <c r="S1532" s="36" t="str">
        <f>VLOOKUP(Tabla911[[#This Row],[CODIGO DEL PRODUCTO]],Tabla79[],2,FALSE)</f>
        <v>W351R</v>
      </c>
      <c r="T1532" s="37">
        <v>1000</v>
      </c>
      <c r="U1532" s="78"/>
    </row>
    <row r="1533" spans="15:21" x14ac:dyDescent="0.25">
      <c r="O1533" s="76">
        <v>102402</v>
      </c>
      <c r="P1533" s="78" t="s">
        <v>550</v>
      </c>
      <c r="Q1533" s="77">
        <v>45960</v>
      </c>
      <c r="R1533" s="78" t="s">
        <v>42</v>
      </c>
      <c r="S1533" s="36" t="str">
        <f>VLOOKUP(Tabla911[[#This Row],[CODIGO DEL PRODUCTO]],Tabla79[],2,FALSE)</f>
        <v>ARENA FINA</v>
      </c>
      <c r="T1533" s="37">
        <v>36480</v>
      </c>
      <c r="U1533" s="78"/>
    </row>
    <row r="1534" spans="15:21" x14ac:dyDescent="0.25">
      <c r="O1534" s="76">
        <v>217258</v>
      </c>
      <c r="P1534" s="78" t="s">
        <v>516</v>
      </c>
      <c r="Q1534" s="77">
        <v>45960</v>
      </c>
      <c r="R1534" s="78" t="s">
        <v>43</v>
      </c>
      <c r="S1534" s="36" t="str">
        <f>VLOOKUP(Tabla911[[#This Row],[CODIGO DEL PRODUCTO]],Tabla79[],2,FALSE)</f>
        <v>PIEDRA 6-20</v>
      </c>
      <c r="T1534" s="37">
        <v>35480</v>
      </c>
      <c r="U1534" s="78"/>
    </row>
    <row r="1535" spans="15:21" x14ac:dyDescent="0.25">
      <c r="O1535" s="76">
        <v>105475</v>
      </c>
      <c r="P1535" s="78" t="s">
        <v>234</v>
      </c>
      <c r="Q1535" s="77">
        <v>45960</v>
      </c>
      <c r="R1535" s="78" t="s">
        <v>43</v>
      </c>
      <c r="S1535" s="36" t="str">
        <f>VLOOKUP(Tabla911[[#This Row],[CODIGO DEL PRODUCTO]],Tabla79[],2,FALSE)</f>
        <v>PIEDRA 6-20</v>
      </c>
      <c r="T1535" s="37">
        <v>35700</v>
      </c>
      <c r="U1535" s="78"/>
    </row>
    <row r="1536" spans="15:21" x14ac:dyDescent="0.25">
      <c r="O1536" s="76">
        <v>105478</v>
      </c>
      <c r="P1536" s="78" t="s">
        <v>287</v>
      </c>
      <c r="Q1536" s="77">
        <v>45960</v>
      </c>
      <c r="R1536" s="78" t="s">
        <v>40</v>
      </c>
      <c r="S1536" s="36" t="str">
        <f>VLOOKUP(Tabla911[[#This Row],[CODIGO DEL PRODUCTO]],Tabla79[],2,FALSE)</f>
        <v>PIEDRA 0-6</v>
      </c>
      <c r="T1536" s="37">
        <v>35160</v>
      </c>
      <c r="U1536" s="78"/>
    </row>
    <row r="1537" spans="15:24" x14ac:dyDescent="0.25">
      <c r="O1537" s="76">
        <v>105491</v>
      </c>
      <c r="P1537" s="78" t="s">
        <v>238</v>
      </c>
      <c r="Q1537" s="77">
        <v>45960</v>
      </c>
      <c r="R1537" s="78" t="s">
        <v>40</v>
      </c>
      <c r="S1537" s="36" t="str">
        <f>VLOOKUP(Tabla911[[#This Row],[CODIGO DEL PRODUCTO]],Tabla79[],2,FALSE)</f>
        <v>PIEDRA 0-6</v>
      </c>
      <c r="T1537" s="37">
        <v>34800</v>
      </c>
      <c r="U1537" s="78"/>
    </row>
    <row r="1538" spans="15:24" x14ac:dyDescent="0.25">
      <c r="O1538" s="76">
        <v>105492</v>
      </c>
      <c r="P1538" s="78" t="s">
        <v>156</v>
      </c>
      <c r="Q1538" s="77">
        <v>45960</v>
      </c>
      <c r="R1538" s="78" t="s">
        <v>40</v>
      </c>
      <c r="S1538" s="36" t="str">
        <f>VLOOKUP(Tabla911[[#This Row],[CODIGO DEL PRODUCTO]],Tabla79[],2,FALSE)</f>
        <v>PIEDRA 0-6</v>
      </c>
      <c r="T1538" s="37">
        <v>35500</v>
      </c>
      <c r="U1538" s="78"/>
    </row>
    <row r="1539" spans="15:24" x14ac:dyDescent="0.25">
      <c r="O1539" s="76">
        <v>146860</v>
      </c>
      <c r="P1539" s="78" t="s">
        <v>119</v>
      </c>
      <c r="Q1539" s="77">
        <v>45960</v>
      </c>
      <c r="R1539" s="78" t="s">
        <v>43</v>
      </c>
      <c r="S1539" s="36" t="str">
        <f>VLOOKUP(Tabla911[[#This Row],[CODIGO DEL PRODUCTO]],Tabla79[],2,FALSE)</f>
        <v>PIEDRA 6-20</v>
      </c>
      <c r="T1539" s="37">
        <v>35100</v>
      </c>
      <c r="U1539" s="78"/>
    </row>
    <row r="1540" spans="15:24" x14ac:dyDescent="0.25">
      <c r="O1540" s="76">
        <v>2667501</v>
      </c>
      <c r="P1540" s="78" t="s">
        <v>65</v>
      </c>
      <c r="Q1540" s="77">
        <v>45960</v>
      </c>
      <c r="R1540" s="78" t="s">
        <v>286</v>
      </c>
      <c r="S1540" s="36" t="str">
        <f>VLOOKUP(Tabla911[[#This Row],[CODIGO DEL PRODUCTO]],Tabla79[],2,FALSE)</f>
        <v>CPF 40 AVELLANEDA</v>
      </c>
      <c r="T1540" s="37">
        <v>36260</v>
      </c>
      <c r="U1540" s="78"/>
    </row>
    <row r="1541" spans="15:24" x14ac:dyDescent="0.25">
      <c r="O1541" s="76">
        <v>102414</v>
      </c>
      <c r="P1541" s="78" t="s">
        <v>550</v>
      </c>
      <c r="Q1541" s="77">
        <v>45961</v>
      </c>
      <c r="R1541" s="78" t="s">
        <v>42</v>
      </c>
      <c r="S1541" s="36" t="str">
        <f>VLOOKUP(Tabla911[[#This Row],[CODIGO DEL PRODUCTO]],Tabla79[],2,FALSE)</f>
        <v>ARENA FINA</v>
      </c>
      <c r="T1541" s="37">
        <v>36900</v>
      </c>
      <c r="U1541" s="78"/>
    </row>
    <row r="1542" spans="15:24" x14ac:dyDescent="0.25">
      <c r="O1542" s="76">
        <v>102418</v>
      </c>
      <c r="P1542" s="78" t="s">
        <v>370</v>
      </c>
      <c r="Q1542" s="77">
        <v>45961</v>
      </c>
      <c r="R1542" s="78" t="s">
        <v>42</v>
      </c>
      <c r="S1542" s="36" t="str">
        <f>VLOOKUP(Tabla911[[#This Row],[CODIGO DEL PRODUCTO]],Tabla79[],2,FALSE)</f>
        <v>ARENA FINA</v>
      </c>
      <c r="T1542" s="37">
        <v>35480</v>
      </c>
      <c r="U1542" s="78"/>
    </row>
    <row r="1543" spans="15:24" x14ac:dyDescent="0.25">
      <c r="O1543" s="76">
        <v>105502</v>
      </c>
      <c r="P1543" s="78" t="s">
        <v>234</v>
      </c>
      <c r="Q1543" s="77">
        <v>45961</v>
      </c>
      <c r="R1543" s="78" t="s">
        <v>43</v>
      </c>
      <c r="S1543" s="36" t="str">
        <f>VLOOKUP(Tabla911[[#This Row],[CODIGO DEL PRODUCTO]],Tabla79[],2,FALSE)</f>
        <v>PIEDRA 6-20</v>
      </c>
      <c r="T1543" s="37">
        <v>35160</v>
      </c>
      <c r="U1543" s="78"/>
    </row>
    <row r="1544" spans="15:24" x14ac:dyDescent="0.25">
      <c r="O1544" s="76">
        <v>105507</v>
      </c>
      <c r="P1544" s="78" t="s">
        <v>287</v>
      </c>
      <c r="Q1544" s="77">
        <v>45961</v>
      </c>
      <c r="R1544" s="78" t="s">
        <v>40</v>
      </c>
      <c r="S1544" s="36" t="str">
        <f>VLOOKUP(Tabla911[[#This Row],[CODIGO DEL PRODUCTO]],Tabla79[],2,FALSE)</f>
        <v>PIEDRA 0-6</v>
      </c>
      <c r="T1544" s="37">
        <v>35120</v>
      </c>
      <c r="U1544" s="78"/>
    </row>
    <row r="1545" spans="15:24" x14ac:dyDescent="0.25">
      <c r="O1545" s="76">
        <v>105517</v>
      </c>
      <c r="P1545" s="78" t="s">
        <v>238</v>
      </c>
      <c r="Q1545" s="77">
        <v>45961</v>
      </c>
      <c r="R1545" s="78" t="s">
        <v>40</v>
      </c>
      <c r="S1545" s="36" t="str">
        <f>VLOOKUP(Tabla911[[#This Row],[CODIGO DEL PRODUCTO]],Tabla79[],2,FALSE)</f>
        <v>PIEDRA 0-6</v>
      </c>
      <c r="T1545" s="37">
        <v>35100</v>
      </c>
      <c r="U1545" s="78"/>
    </row>
    <row r="1546" spans="15:24" x14ac:dyDescent="0.25">
      <c r="O1546" s="76">
        <v>105521</v>
      </c>
      <c r="P1546" s="78" t="s">
        <v>156</v>
      </c>
      <c r="Q1546" s="77">
        <v>45961</v>
      </c>
      <c r="R1546" s="78" t="s">
        <v>40</v>
      </c>
      <c r="S1546" s="36" t="str">
        <f>VLOOKUP(Tabla911[[#This Row],[CODIGO DEL PRODUCTO]],Tabla79[],2,FALSE)</f>
        <v>PIEDRA 0-6</v>
      </c>
      <c r="T1546" s="37">
        <v>34880</v>
      </c>
      <c r="U1546" s="78"/>
    </row>
    <row r="1547" spans="15:24" x14ac:dyDescent="0.25">
      <c r="O1547" s="76">
        <v>2667676</v>
      </c>
      <c r="P1547" s="78" t="s">
        <v>65</v>
      </c>
      <c r="Q1547" s="77">
        <v>45961</v>
      </c>
      <c r="R1547" s="78" t="s">
        <v>286</v>
      </c>
      <c r="S1547" s="36" t="str">
        <f>VLOOKUP(Tabla911[[#This Row],[CODIGO DEL PRODUCTO]],Tabla79[],2,FALSE)</f>
        <v>CPF 40 AVELLANEDA</v>
      </c>
      <c r="T1547" s="37">
        <v>35780</v>
      </c>
      <c r="U1547" s="78"/>
    </row>
    <row r="1548" spans="15:24" x14ac:dyDescent="0.25">
      <c r="O1548" s="76">
        <v>105529</v>
      </c>
      <c r="P1548" s="78" t="s">
        <v>218</v>
      </c>
      <c r="Q1548" s="77">
        <v>45962</v>
      </c>
      <c r="R1548" s="78" t="s">
        <v>40</v>
      </c>
      <c r="S1548" s="36" t="str">
        <f>VLOOKUP(Tabla911[[#This Row],[CODIGO DEL PRODUCTO]],Tabla79[],2,FALSE)</f>
        <v>PIEDRA 0-6</v>
      </c>
      <c r="T1548" s="37">
        <v>35340</v>
      </c>
      <c r="U1548" s="78"/>
    </row>
    <row r="1549" spans="15:24" x14ac:dyDescent="0.25">
      <c r="O1549" s="76">
        <v>147005</v>
      </c>
      <c r="P1549" s="78" t="s">
        <v>231</v>
      </c>
      <c r="Q1549" s="77">
        <v>45962</v>
      </c>
      <c r="R1549" s="78" t="s">
        <v>43</v>
      </c>
      <c r="S1549" s="36" t="str">
        <f>VLOOKUP(Tabla911[[#This Row],[CODIGO DEL PRODUCTO]],Tabla79[],2,FALSE)</f>
        <v>PIEDRA 6-20</v>
      </c>
      <c r="T1549" s="37">
        <v>35740</v>
      </c>
      <c r="U1549" s="78"/>
    </row>
    <row r="1550" spans="15:24" x14ac:dyDescent="0.25">
      <c r="O1550" s="76">
        <v>2667974</v>
      </c>
      <c r="P1550" s="78" t="s">
        <v>65</v>
      </c>
      <c r="Q1550" s="77">
        <v>45962</v>
      </c>
      <c r="R1550" s="78" t="s">
        <v>286</v>
      </c>
      <c r="S1550" s="36" t="str">
        <f>VLOOKUP(Tabla911[[#This Row],[CODIGO DEL PRODUCTO]],Tabla79[],2,FALSE)</f>
        <v>CPF 40 AVELLANEDA</v>
      </c>
      <c r="T1550" s="37">
        <v>35760</v>
      </c>
      <c r="U1550" s="78"/>
    </row>
    <row r="1551" spans="15:24" x14ac:dyDescent="0.25">
      <c r="O1551" s="76">
        <v>102428</v>
      </c>
      <c r="P1551" s="78" t="s">
        <v>370</v>
      </c>
      <c r="Q1551" s="77">
        <v>45964</v>
      </c>
      <c r="R1551" s="78" t="s">
        <v>42</v>
      </c>
      <c r="S1551" s="36" t="str">
        <f>VLOOKUP(Tabla911[[#This Row],[CODIGO DEL PRODUCTO]],Tabla79[],2,FALSE)</f>
        <v>ARENA FINA</v>
      </c>
      <c r="T1551" s="37">
        <v>35500</v>
      </c>
      <c r="U1551" s="78"/>
      <c r="V1551" s="7">
        <v>45964</v>
      </c>
      <c r="W1551" t="s">
        <v>609</v>
      </c>
      <c r="X1551" t="s">
        <v>610</v>
      </c>
    </row>
    <row r="1552" spans="15:24" x14ac:dyDescent="0.25">
      <c r="O1552" s="76">
        <v>102434</v>
      </c>
      <c r="P1552" s="78" t="s">
        <v>370</v>
      </c>
      <c r="Q1552" s="77">
        <v>45964</v>
      </c>
      <c r="R1552" s="78" t="s">
        <v>42</v>
      </c>
      <c r="S1552" s="36" t="str">
        <f>VLOOKUP(Tabla911[[#This Row],[CODIGO DEL PRODUCTO]],Tabla79[],2,FALSE)</f>
        <v>ARENA FINA</v>
      </c>
      <c r="T1552" s="37">
        <v>36440</v>
      </c>
      <c r="U1552" s="78"/>
    </row>
    <row r="1553" spans="15:24" x14ac:dyDescent="0.25">
      <c r="O1553" s="76">
        <v>217346</v>
      </c>
      <c r="P1553" s="78" t="s">
        <v>516</v>
      </c>
      <c r="Q1553" s="77">
        <v>45964</v>
      </c>
      <c r="R1553" s="78" t="s">
        <v>43</v>
      </c>
      <c r="S1553" s="36" t="str">
        <f>VLOOKUP(Tabla911[[#This Row],[CODIGO DEL PRODUCTO]],Tabla79[],2,FALSE)</f>
        <v>PIEDRA 6-20</v>
      </c>
      <c r="T1553" s="37">
        <v>34400</v>
      </c>
      <c r="U1553" s="78"/>
    </row>
    <row r="1554" spans="15:24" x14ac:dyDescent="0.25">
      <c r="O1554" s="76">
        <v>105540</v>
      </c>
      <c r="P1554" s="78" t="s">
        <v>299</v>
      </c>
      <c r="Q1554" s="77">
        <v>45964</v>
      </c>
      <c r="R1554" s="78" t="s">
        <v>40</v>
      </c>
      <c r="S1554" s="36" t="str">
        <f>VLOOKUP(Tabla911[[#This Row],[CODIGO DEL PRODUCTO]],Tabla79[],2,FALSE)</f>
        <v>PIEDRA 0-6</v>
      </c>
      <c r="T1554" s="37">
        <v>35720</v>
      </c>
      <c r="U1554" s="78"/>
    </row>
    <row r="1555" spans="15:24" x14ac:dyDescent="0.25">
      <c r="O1555" s="76">
        <v>105550</v>
      </c>
      <c r="P1555" s="78" t="s">
        <v>218</v>
      </c>
      <c r="Q1555" s="77">
        <v>45964</v>
      </c>
      <c r="R1555" s="78" t="s">
        <v>40</v>
      </c>
      <c r="S1555" s="36" t="str">
        <f>VLOOKUP(Tabla911[[#This Row],[CODIGO DEL PRODUCTO]],Tabla79[],2,FALSE)</f>
        <v>PIEDRA 0-6</v>
      </c>
      <c r="T1555" s="37">
        <v>35520</v>
      </c>
      <c r="U1555" s="78"/>
    </row>
    <row r="1556" spans="15:24" x14ac:dyDescent="0.25">
      <c r="O1556" s="76">
        <v>147001</v>
      </c>
      <c r="P1556" s="78" t="s">
        <v>338</v>
      </c>
      <c r="Q1556" s="77">
        <v>45964</v>
      </c>
      <c r="R1556" s="78" t="s">
        <v>43</v>
      </c>
      <c r="S1556" s="36" t="str">
        <f>VLOOKUP(Tabla911[[#This Row],[CODIGO DEL PRODUCTO]],Tabla79[],2,FALSE)</f>
        <v>PIEDRA 6-20</v>
      </c>
      <c r="T1556" s="37">
        <v>33040</v>
      </c>
      <c r="U1556" s="78"/>
    </row>
    <row r="1557" spans="15:24" x14ac:dyDescent="0.25">
      <c r="O1557" s="76">
        <v>2668332</v>
      </c>
      <c r="P1557" s="78" t="s">
        <v>65</v>
      </c>
      <c r="Q1557" s="77">
        <v>45964</v>
      </c>
      <c r="R1557" s="78" t="s">
        <v>286</v>
      </c>
      <c r="S1557" s="36" t="str">
        <f>VLOOKUP(Tabla911[[#This Row],[CODIGO DEL PRODUCTO]],Tabla79[],2,FALSE)</f>
        <v>CPF 40 AVELLANEDA</v>
      </c>
      <c r="T1557" s="37">
        <v>36060</v>
      </c>
      <c r="U1557" s="78"/>
    </row>
    <row r="1558" spans="15:24" x14ac:dyDescent="0.25">
      <c r="O1558" s="76">
        <v>102440</v>
      </c>
      <c r="P1558" s="78" t="s">
        <v>370</v>
      </c>
      <c r="Q1558" s="77">
        <v>45965</v>
      </c>
      <c r="R1558" s="78" t="s">
        <v>42</v>
      </c>
      <c r="S1558" s="36" t="str">
        <f>VLOOKUP(Tabla911[[#This Row],[CODIGO DEL PRODUCTO]],Tabla79[],2,FALSE)</f>
        <v>ARENA FINA</v>
      </c>
      <c r="T1558" s="37">
        <v>36040</v>
      </c>
      <c r="U1558" s="78"/>
      <c r="V1558" s="7">
        <v>45965</v>
      </c>
      <c r="W1558" t="s">
        <v>611</v>
      </c>
      <c r="X1558" t="s">
        <v>612</v>
      </c>
    </row>
    <row r="1559" spans="15:24" x14ac:dyDescent="0.25">
      <c r="O1559" s="76">
        <v>102447</v>
      </c>
      <c r="P1559" s="78" t="s">
        <v>370</v>
      </c>
      <c r="Q1559" s="77">
        <v>45965</v>
      </c>
      <c r="R1559" s="78" t="s">
        <v>42</v>
      </c>
      <c r="S1559" s="36" t="str">
        <f>VLOOKUP(Tabla911[[#This Row],[CODIGO DEL PRODUCTO]],Tabla79[],2,FALSE)</f>
        <v>ARENA FINA</v>
      </c>
      <c r="T1559" s="37">
        <v>34780</v>
      </c>
      <c r="U1559" s="78"/>
    </row>
    <row r="1560" spans="15:24" x14ac:dyDescent="0.25">
      <c r="O1560" s="76">
        <v>217404</v>
      </c>
      <c r="P1560" s="78" t="s">
        <v>516</v>
      </c>
      <c r="Q1560" s="77">
        <v>45965</v>
      </c>
      <c r="R1560" s="78" t="s">
        <v>43</v>
      </c>
      <c r="S1560" s="36" t="str">
        <f>VLOOKUP(Tabla911[[#This Row],[CODIGO DEL PRODUCTO]],Tabla79[],2,FALSE)</f>
        <v>PIEDRA 6-20</v>
      </c>
      <c r="T1560" s="37">
        <v>35940</v>
      </c>
      <c r="U1560" s="78"/>
    </row>
    <row r="1561" spans="15:24" x14ac:dyDescent="0.25">
      <c r="O1561" s="76">
        <v>105566</v>
      </c>
      <c r="P1561" s="78" t="s">
        <v>254</v>
      </c>
      <c r="Q1561" s="77">
        <v>45965</v>
      </c>
      <c r="R1561" s="78" t="s">
        <v>40</v>
      </c>
      <c r="S1561" s="36" t="str">
        <f>VLOOKUP(Tabla911[[#This Row],[CODIGO DEL PRODUCTO]],Tabla79[],2,FALSE)</f>
        <v>PIEDRA 0-6</v>
      </c>
      <c r="T1561" s="37">
        <v>34280</v>
      </c>
      <c r="U1561" s="78"/>
    </row>
    <row r="1562" spans="15:24" x14ac:dyDescent="0.25">
      <c r="O1562" s="76">
        <v>105584</v>
      </c>
      <c r="P1562" s="78" t="s">
        <v>218</v>
      </c>
      <c r="Q1562" s="77">
        <v>45965</v>
      </c>
      <c r="R1562" s="78" t="s">
        <v>40</v>
      </c>
      <c r="S1562" s="36" t="str">
        <f>VLOOKUP(Tabla911[[#This Row],[CODIGO DEL PRODUCTO]],Tabla79[],2,FALSE)</f>
        <v>PIEDRA 0-6</v>
      </c>
      <c r="T1562" s="37">
        <v>34900</v>
      </c>
      <c r="U1562" s="78"/>
    </row>
    <row r="1563" spans="15:24" x14ac:dyDescent="0.25">
      <c r="O1563" s="76">
        <v>105587</v>
      </c>
      <c r="P1563" s="78" t="s">
        <v>244</v>
      </c>
      <c r="Q1563" s="77">
        <v>45965</v>
      </c>
      <c r="R1563" s="78" t="s">
        <v>40</v>
      </c>
      <c r="S1563" s="36" t="str">
        <f>VLOOKUP(Tabla911[[#This Row],[CODIGO DEL PRODUCTO]],Tabla79[],2,FALSE)</f>
        <v>PIEDRA 0-6</v>
      </c>
      <c r="T1563" s="37">
        <v>33940</v>
      </c>
      <c r="U1563" s="78"/>
    </row>
    <row r="1564" spans="15:24" x14ac:dyDescent="0.25">
      <c r="O1564" s="76">
        <v>105591</v>
      </c>
      <c r="P1564" s="78" t="s">
        <v>349</v>
      </c>
      <c r="Q1564" s="77">
        <v>45965</v>
      </c>
      <c r="R1564" s="78" t="s">
        <v>43</v>
      </c>
      <c r="S1564" s="36" t="str">
        <f>VLOOKUP(Tabla911[[#This Row],[CODIGO DEL PRODUCTO]],Tabla79[],2,FALSE)</f>
        <v>PIEDRA 6-20</v>
      </c>
      <c r="T1564" s="37">
        <v>35860</v>
      </c>
      <c r="U1564" s="78"/>
    </row>
    <row r="1565" spans="15:24" x14ac:dyDescent="0.25">
      <c r="O1565" s="76">
        <v>105604</v>
      </c>
      <c r="P1565" s="78" t="s">
        <v>252</v>
      </c>
      <c r="Q1565" s="77">
        <v>45965</v>
      </c>
      <c r="R1565" s="78" t="s">
        <v>40</v>
      </c>
      <c r="S1565" s="36" t="str">
        <f>VLOOKUP(Tabla911[[#This Row],[CODIGO DEL PRODUCTO]],Tabla79[],2,FALSE)</f>
        <v>PIEDRA 0-6</v>
      </c>
      <c r="T1565" s="37">
        <v>35180</v>
      </c>
      <c r="U1565" s="78"/>
    </row>
    <row r="1566" spans="15:24" x14ac:dyDescent="0.25">
      <c r="O1566" s="76">
        <v>105608</v>
      </c>
      <c r="P1566" s="78" t="s">
        <v>156</v>
      </c>
      <c r="Q1566" s="77">
        <v>45965</v>
      </c>
      <c r="R1566" s="78" t="s">
        <v>40</v>
      </c>
      <c r="S1566" s="36" t="str">
        <f>VLOOKUP(Tabla911[[#This Row],[CODIGO DEL PRODUCTO]],Tabla79[],2,FALSE)</f>
        <v>PIEDRA 0-6</v>
      </c>
      <c r="T1566" s="37">
        <v>34420</v>
      </c>
      <c r="U1566" s="78"/>
    </row>
    <row r="1567" spans="15:24" x14ac:dyDescent="0.25">
      <c r="O1567" s="76">
        <v>2668626</v>
      </c>
      <c r="P1567" s="78" t="s">
        <v>65</v>
      </c>
      <c r="Q1567" s="77">
        <v>45965</v>
      </c>
      <c r="R1567" s="78" t="s">
        <v>286</v>
      </c>
      <c r="S1567" s="36" t="str">
        <f>VLOOKUP(Tabla911[[#This Row],[CODIGO DEL PRODUCTO]],Tabla79[],2,FALSE)</f>
        <v>CPF 40 AVELLANEDA</v>
      </c>
      <c r="T1567" s="37">
        <v>35960</v>
      </c>
      <c r="U1567" s="78"/>
    </row>
    <row r="1568" spans="15:24" x14ac:dyDescent="0.25">
      <c r="O1568" s="76">
        <v>36227</v>
      </c>
      <c r="P1568" s="78" t="s">
        <v>449</v>
      </c>
      <c r="Q1568" s="77">
        <v>45960</v>
      </c>
      <c r="R1568" s="78" t="s">
        <v>425</v>
      </c>
      <c r="S1568" s="36" t="str">
        <f>VLOOKUP(Tabla911[[#This Row],[CODIGO DEL PRODUCTO]],Tabla79[],2,FALSE)</f>
        <v>W351R</v>
      </c>
      <c r="T1568" s="37">
        <v>1000</v>
      </c>
      <c r="U1568" s="78"/>
    </row>
    <row r="1569" spans="15:24" x14ac:dyDescent="0.25">
      <c r="O1569" s="76">
        <v>102456</v>
      </c>
      <c r="P1569" s="78" t="s">
        <v>370</v>
      </c>
      <c r="Q1569" s="77">
        <v>45966</v>
      </c>
      <c r="R1569" s="78" t="s">
        <v>42</v>
      </c>
      <c r="S1569" s="36" t="str">
        <f>VLOOKUP(Tabla911[[#This Row],[CODIGO DEL PRODUCTO]],Tabla79[],2,FALSE)</f>
        <v>ARENA FINA</v>
      </c>
      <c r="T1569" s="37">
        <v>35760</v>
      </c>
      <c r="U1569" s="78"/>
    </row>
    <row r="1570" spans="15:24" x14ac:dyDescent="0.25">
      <c r="O1570" s="76">
        <v>102464</v>
      </c>
      <c r="P1570" s="78" t="s">
        <v>370</v>
      </c>
      <c r="Q1570" s="77">
        <v>45966</v>
      </c>
      <c r="R1570" s="78" t="s">
        <v>42</v>
      </c>
      <c r="S1570" s="36" t="str">
        <f>VLOOKUP(Tabla911[[#This Row],[CODIGO DEL PRODUCTO]],Tabla79[],2,FALSE)</f>
        <v>ARENA FINA</v>
      </c>
      <c r="T1570" s="37">
        <v>33860</v>
      </c>
      <c r="U1570" s="78"/>
    </row>
    <row r="1571" spans="15:24" x14ac:dyDescent="0.25">
      <c r="O1571" s="76">
        <v>105617</v>
      </c>
      <c r="P1571" s="78" t="s">
        <v>254</v>
      </c>
      <c r="Q1571" s="77">
        <v>45966</v>
      </c>
      <c r="R1571" s="78" t="s">
        <v>40</v>
      </c>
      <c r="S1571" s="36" t="str">
        <f>VLOOKUP(Tabla911[[#This Row],[CODIGO DEL PRODUCTO]],Tabla79[],2,FALSE)</f>
        <v>PIEDRA 0-6</v>
      </c>
      <c r="T1571" s="37">
        <v>33920</v>
      </c>
      <c r="U1571" s="78"/>
    </row>
    <row r="1572" spans="15:24" x14ac:dyDescent="0.25">
      <c r="O1572" s="76">
        <v>105630</v>
      </c>
      <c r="P1572" s="78" t="s">
        <v>218</v>
      </c>
      <c r="Q1572" s="77">
        <v>45966</v>
      </c>
      <c r="R1572" s="78" t="s">
        <v>40</v>
      </c>
      <c r="S1572" s="36" t="str">
        <f>VLOOKUP(Tabla911[[#This Row],[CODIGO DEL PRODUCTO]],Tabla79[],2,FALSE)</f>
        <v>PIEDRA 0-6</v>
      </c>
      <c r="T1572" s="37">
        <v>34560</v>
      </c>
      <c r="U1572" s="78"/>
    </row>
    <row r="1573" spans="15:24" x14ac:dyDescent="0.25">
      <c r="O1573" s="76">
        <v>105648</v>
      </c>
      <c r="P1573" s="78" t="s">
        <v>349</v>
      </c>
      <c r="Q1573" s="77">
        <v>45966</v>
      </c>
      <c r="R1573" s="78" t="s">
        <v>43</v>
      </c>
      <c r="S1573" s="36" t="str">
        <f>VLOOKUP(Tabla911[[#This Row],[CODIGO DEL PRODUCTO]],Tabla79[],2,FALSE)</f>
        <v>PIEDRA 6-20</v>
      </c>
      <c r="T1573" s="37">
        <v>36380</v>
      </c>
      <c r="U1573" s="78"/>
    </row>
    <row r="1574" spans="15:24" x14ac:dyDescent="0.25">
      <c r="O1574" s="76">
        <v>105654</v>
      </c>
      <c r="P1574" s="78" t="s">
        <v>156</v>
      </c>
      <c r="Q1574" s="77">
        <v>45966</v>
      </c>
      <c r="R1574" s="78" t="s">
        <v>40</v>
      </c>
      <c r="S1574" s="36" t="str">
        <f>VLOOKUP(Tabla911[[#This Row],[CODIGO DEL PRODUCTO]],Tabla79[],2,FALSE)</f>
        <v>PIEDRA 0-6</v>
      </c>
      <c r="T1574" s="37">
        <v>34240</v>
      </c>
      <c r="U1574" s="78"/>
    </row>
    <row r="1575" spans="15:24" x14ac:dyDescent="0.25">
      <c r="O1575" s="76">
        <v>2668955</v>
      </c>
      <c r="P1575" s="78" t="s">
        <v>65</v>
      </c>
      <c r="Q1575" s="77">
        <v>45966</v>
      </c>
      <c r="R1575" s="78" t="s">
        <v>286</v>
      </c>
      <c r="S1575" s="36" t="str">
        <f>VLOOKUP(Tabla911[[#This Row],[CODIGO DEL PRODUCTO]],Tabla79[],2,FALSE)</f>
        <v>CPF 40 AVELLANEDA</v>
      </c>
      <c r="T1575" s="37">
        <v>35820</v>
      </c>
      <c r="U1575" s="78"/>
    </row>
    <row r="1576" spans="15:24" x14ac:dyDescent="0.25">
      <c r="O1576" s="76">
        <v>102470</v>
      </c>
      <c r="P1576" s="78" t="s">
        <v>370</v>
      </c>
      <c r="Q1576" s="77">
        <v>45967</v>
      </c>
      <c r="R1576" s="78" t="s">
        <v>42</v>
      </c>
      <c r="S1576" s="36" t="str">
        <f>VLOOKUP(Tabla911[[#This Row],[CODIGO DEL PRODUCTO]],Tabla79[],2,FALSE)</f>
        <v>ARENA FINA</v>
      </c>
      <c r="T1576" s="37">
        <v>35620</v>
      </c>
      <c r="U1576" s="78"/>
      <c r="V1576" s="7">
        <v>45967</v>
      </c>
      <c r="W1576" t="s">
        <v>614</v>
      </c>
      <c r="X1576" t="s">
        <v>615</v>
      </c>
    </row>
    <row r="1577" spans="15:24" x14ac:dyDescent="0.25">
      <c r="O1577" s="76">
        <v>102478</v>
      </c>
      <c r="P1577" s="78" t="s">
        <v>370</v>
      </c>
      <c r="Q1577" s="77">
        <v>45967</v>
      </c>
      <c r="R1577" s="78" t="s">
        <v>42</v>
      </c>
      <c r="S1577" s="36" t="str">
        <f>VLOOKUP(Tabla911[[#This Row],[CODIGO DEL PRODUCTO]],Tabla79[],2,FALSE)</f>
        <v>ARENA FINA</v>
      </c>
      <c r="T1577" s="37">
        <v>35020</v>
      </c>
      <c r="U1577" s="78"/>
    </row>
    <row r="1578" spans="15:24" x14ac:dyDescent="0.25">
      <c r="O1578" s="76">
        <v>217516</v>
      </c>
      <c r="P1578" s="78" t="s">
        <v>516</v>
      </c>
      <c r="Q1578" s="77">
        <v>45967</v>
      </c>
      <c r="R1578" s="78" t="s">
        <v>43</v>
      </c>
      <c r="S1578" s="36" t="str">
        <f>VLOOKUP(Tabla911[[#This Row],[CODIGO DEL PRODUCTO]],Tabla79[],2,FALSE)</f>
        <v>PIEDRA 6-20</v>
      </c>
      <c r="T1578" s="37">
        <v>35900</v>
      </c>
      <c r="U1578" s="78"/>
    </row>
    <row r="1579" spans="15:24" x14ac:dyDescent="0.25">
      <c r="O1579" s="76">
        <v>105659</v>
      </c>
      <c r="P1579" s="78" t="s">
        <v>254</v>
      </c>
      <c r="Q1579" s="77">
        <v>45967</v>
      </c>
      <c r="R1579" s="78" t="s">
        <v>40</v>
      </c>
      <c r="S1579" s="36" t="str">
        <f>VLOOKUP(Tabla911[[#This Row],[CODIGO DEL PRODUCTO]],Tabla79[],2,FALSE)</f>
        <v>PIEDRA 0-6</v>
      </c>
      <c r="T1579" s="37">
        <v>34360</v>
      </c>
      <c r="U1579" s="78"/>
    </row>
    <row r="1580" spans="15:24" x14ac:dyDescent="0.25">
      <c r="O1580" s="76">
        <v>105670</v>
      </c>
      <c r="P1580" s="78" t="s">
        <v>244</v>
      </c>
      <c r="Q1580" s="77">
        <v>45967</v>
      </c>
      <c r="R1580" s="78" t="s">
        <v>40</v>
      </c>
      <c r="S1580" s="36" t="str">
        <f>VLOOKUP(Tabla911[[#This Row],[CODIGO DEL PRODUCTO]],Tabla79[],2,FALSE)</f>
        <v>PIEDRA 0-6</v>
      </c>
      <c r="T1580" s="37">
        <v>33560</v>
      </c>
      <c r="U1580" s="78"/>
    </row>
    <row r="1581" spans="15:24" x14ac:dyDescent="0.25">
      <c r="O1581" s="76">
        <v>105706</v>
      </c>
      <c r="P1581" s="78" t="s">
        <v>254</v>
      </c>
      <c r="Q1581" s="77">
        <v>45967</v>
      </c>
      <c r="R1581" s="78" t="s">
        <v>40</v>
      </c>
      <c r="S1581" s="36" t="str">
        <f>VLOOKUP(Tabla911[[#This Row],[CODIGO DEL PRODUCTO]],Tabla79[],2,FALSE)</f>
        <v>PIEDRA 0-6</v>
      </c>
      <c r="T1581" s="37">
        <v>34720</v>
      </c>
      <c r="U1581" s="78"/>
      <c r="W1581" t="s">
        <v>616</v>
      </c>
    </row>
    <row r="1582" spans="15:24" x14ac:dyDescent="0.25">
      <c r="O1582" s="76">
        <v>147229</v>
      </c>
      <c r="P1582" s="78" t="s">
        <v>296</v>
      </c>
      <c r="Q1582" s="77">
        <v>45967</v>
      </c>
      <c r="R1582" s="78" t="s">
        <v>43</v>
      </c>
      <c r="S1582" s="36" t="str">
        <f>VLOOKUP(Tabla911[[#This Row],[CODIGO DEL PRODUCTO]],Tabla79[],2,FALSE)</f>
        <v>PIEDRA 6-20</v>
      </c>
      <c r="T1582" s="37">
        <v>34800</v>
      </c>
      <c r="U1582" s="78"/>
    </row>
    <row r="1583" spans="15:24" x14ac:dyDescent="0.25">
      <c r="O1583" s="76">
        <v>2669196</v>
      </c>
      <c r="P1583" s="78" t="s">
        <v>65</v>
      </c>
      <c r="Q1583" s="77">
        <v>45967</v>
      </c>
      <c r="R1583" s="78" t="s">
        <v>286</v>
      </c>
      <c r="S1583" s="36" t="str">
        <f>VLOOKUP(Tabla911[[#This Row],[CODIGO DEL PRODUCTO]],Tabla79[],2,FALSE)</f>
        <v>CPF 40 AVELLANEDA</v>
      </c>
      <c r="T1583" s="37">
        <v>35920</v>
      </c>
      <c r="U1583" s="78"/>
    </row>
    <row r="1584" spans="15:24" x14ac:dyDescent="0.25">
      <c r="O1584" s="76">
        <v>102488</v>
      </c>
      <c r="P1584" s="78" t="s">
        <v>370</v>
      </c>
      <c r="Q1584" s="77">
        <v>45968</v>
      </c>
      <c r="R1584" s="78" t="s">
        <v>42</v>
      </c>
      <c r="S1584" s="36" t="str">
        <f>VLOOKUP(Tabla911[[#This Row],[CODIGO DEL PRODUCTO]],Tabla79[],2,FALSE)</f>
        <v>ARENA FINA</v>
      </c>
      <c r="T1584" s="37">
        <v>34280</v>
      </c>
      <c r="U1584" s="78"/>
    </row>
    <row r="1585" spans="15:21" x14ac:dyDescent="0.25">
      <c r="O1585" s="76">
        <v>102493</v>
      </c>
      <c r="P1585" s="78" t="s">
        <v>550</v>
      </c>
      <c r="Q1585" s="77">
        <v>45968</v>
      </c>
      <c r="R1585" s="78" t="s">
        <v>42</v>
      </c>
      <c r="S1585" s="36" t="str">
        <f>VLOOKUP(Tabla911[[#This Row],[CODIGO DEL PRODUCTO]],Tabla79[],2,FALSE)</f>
        <v>ARENA FINA</v>
      </c>
      <c r="T1585" s="37">
        <v>35960</v>
      </c>
      <c r="U1585" s="78"/>
    </row>
    <row r="1586" spans="15:21" x14ac:dyDescent="0.25">
      <c r="O1586" s="76">
        <v>102494</v>
      </c>
      <c r="P1586" s="78" t="s">
        <v>370</v>
      </c>
      <c r="Q1586" s="77">
        <v>45968</v>
      </c>
      <c r="R1586" s="78" t="s">
        <v>42</v>
      </c>
      <c r="S1586" s="36" t="str">
        <f>VLOOKUP(Tabla911[[#This Row],[CODIGO DEL PRODUCTO]],Tabla79[],2,FALSE)</f>
        <v>ARENA FINA</v>
      </c>
      <c r="T1586" s="37">
        <v>34360</v>
      </c>
      <c r="U1586" s="78"/>
    </row>
    <row r="1587" spans="15:21" x14ac:dyDescent="0.25">
      <c r="O1587" s="76">
        <v>105711</v>
      </c>
      <c r="P1587" s="78" t="s">
        <v>234</v>
      </c>
      <c r="Q1587" s="77">
        <v>45968</v>
      </c>
      <c r="R1587" s="78" t="s">
        <v>40</v>
      </c>
      <c r="S1587" s="36" t="str">
        <f>VLOOKUP(Tabla911[[#This Row],[CODIGO DEL PRODUCTO]],Tabla79[],2,FALSE)</f>
        <v>PIEDRA 0-6</v>
      </c>
      <c r="T1587" s="37">
        <v>34840</v>
      </c>
      <c r="U1587" s="78"/>
    </row>
    <row r="1588" spans="15:21" x14ac:dyDescent="0.25">
      <c r="O1588" s="76">
        <v>105714</v>
      </c>
      <c r="P1588" s="78" t="s">
        <v>218</v>
      </c>
      <c r="Q1588" s="77">
        <v>45968</v>
      </c>
      <c r="R1588" s="78" t="s">
        <v>40</v>
      </c>
      <c r="S1588" s="36" t="str">
        <f>VLOOKUP(Tabla911[[#This Row],[CODIGO DEL PRODUCTO]],Tabla79[],2,FALSE)</f>
        <v>PIEDRA 0-6</v>
      </c>
      <c r="T1588" s="37">
        <v>35100</v>
      </c>
      <c r="U1588" s="78"/>
    </row>
    <row r="1589" spans="15:21" x14ac:dyDescent="0.25">
      <c r="O1589" s="76">
        <v>105717</v>
      </c>
      <c r="P1589" s="78" t="s">
        <v>244</v>
      </c>
      <c r="Q1589" s="77">
        <v>45968</v>
      </c>
      <c r="R1589" s="78" t="s">
        <v>40</v>
      </c>
      <c r="S1589" s="36" t="str">
        <f>VLOOKUP(Tabla911[[#This Row],[CODIGO DEL PRODUCTO]],Tabla79[],2,FALSE)</f>
        <v>PIEDRA 0-6</v>
      </c>
      <c r="T1589" s="37">
        <v>33360</v>
      </c>
      <c r="U1589" s="78"/>
    </row>
    <row r="1590" spans="15:21" x14ac:dyDescent="0.25">
      <c r="O1590" s="76">
        <v>105728</v>
      </c>
      <c r="P1590" s="78" t="s">
        <v>254</v>
      </c>
      <c r="Q1590" s="77">
        <v>45968</v>
      </c>
      <c r="R1590" s="78" t="s">
        <v>40</v>
      </c>
      <c r="S1590" s="36" t="str">
        <f>VLOOKUP(Tabla911[[#This Row],[CODIGO DEL PRODUCTO]],Tabla79[],2,FALSE)</f>
        <v>PIEDRA 0-6</v>
      </c>
      <c r="T1590" s="37">
        <v>34960</v>
      </c>
      <c r="U1590" s="78"/>
    </row>
    <row r="1591" spans="15:21" x14ac:dyDescent="0.25">
      <c r="O1591" s="76">
        <v>105739</v>
      </c>
      <c r="P1591" s="78" t="s">
        <v>156</v>
      </c>
      <c r="Q1591" s="77">
        <v>45968</v>
      </c>
      <c r="R1591" s="78" t="s">
        <v>40</v>
      </c>
      <c r="S1591" s="36" t="str">
        <f>VLOOKUP(Tabla911[[#This Row],[CODIGO DEL PRODUCTO]],Tabla79[],2,FALSE)</f>
        <v>PIEDRA 0-6</v>
      </c>
      <c r="T1591" s="37">
        <v>35400</v>
      </c>
      <c r="U1591" s="78"/>
    </row>
    <row r="1592" spans="15:21" x14ac:dyDescent="0.25">
      <c r="O1592" s="76">
        <v>2669383</v>
      </c>
      <c r="P1592" s="78" t="s">
        <v>65</v>
      </c>
      <c r="Q1592" s="77">
        <v>45968</v>
      </c>
      <c r="R1592" s="78" t="s">
        <v>286</v>
      </c>
      <c r="S1592" s="36" t="str">
        <f>VLOOKUP(Tabla911[[#This Row],[CODIGO DEL PRODUCTO]],Tabla79[],2,FALSE)</f>
        <v>CPF 40 AVELLANEDA</v>
      </c>
      <c r="T1592" s="37">
        <v>35720</v>
      </c>
      <c r="U1592" s="78"/>
    </row>
    <row r="1593" spans="15:21" x14ac:dyDescent="0.25">
      <c r="O1593" s="76">
        <v>102497</v>
      </c>
      <c r="P1593" s="78" t="s">
        <v>370</v>
      </c>
      <c r="Q1593" s="77">
        <v>45969</v>
      </c>
      <c r="R1593" s="78" t="s">
        <v>42</v>
      </c>
      <c r="S1593" s="36" t="str">
        <f>VLOOKUP(Tabla911[[#This Row],[CODIGO DEL PRODUCTO]],Tabla79[],2,FALSE)</f>
        <v>ARENA FINA</v>
      </c>
      <c r="T1593" s="37">
        <v>35480</v>
      </c>
      <c r="U1593" s="78"/>
    </row>
    <row r="1594" spans="15:21" x14ac:dyDescent="0.25">
      <c r="O1594" s="76">
        <v>102499</v>
      </c>
      <c r="P1594" s="78" t="s">
        <v>550</v>
      </c>
      <c r="Q1594" s="77">
        <v>45969</v>
      </c>
      <c r="R1594" s="78" t="s">
        <v>42</v>
      </c>
      <c r="S1594" s="36" t="str">
        <f>VLOOKUP(Tabla911[[#This Row],[CODIGO DEL PRODUCTO]],Tabla79[],2,FALSE)</f>
        <v>ARENA FINA</v>
      </c>
      <c r="T1594" s="37">
        <v>36180</v>
      </c>
      <c r="U1594" s="78"/>
    </row>
    <row r="1595" spans="15:21" x14ac:dyDescent="0.25">
      <c r="O1595" s="76">
        <v>105749</v>
      </c>
      <c r="P1595" s="78" t="s">
        <v>218</v>
      </c>
      <c r="Q1595" s="77">
        <v>45969</v>
      </c>
      <c r="R1595" s="78" t="s">
        <v>40</v>
      </c>
      <c r="S1595" s="36" t="str">
        <f>VLOOKUP(Tabla911[[#This Row],[CODIGO DEL PRODUCTO]],Tabla79[],2,FALSE)</f>
        <v>PIEDRA 0-6</v>
      </c>
      <c r="T1595" s="37">
        <v>34920</v>
      </c>
      <c r="U1595" s="78"/>
    </row>
    <row r="1596" spans="15:21" x14ac:dyDescent="0.25">
      <c r="O1596" s="76">
        <v>105751</v>
      </c>
      <c r="P1596" s="78" t="s">
        <v>238</v>
      </c>
      <c r="Q1596" s="77">
        <v>45969</v>
      </c>
      <c r="R1596" s="78" t="s">
        <v>40</v>
      </c>
      <c r="S1596" s="36" t="str">
        <f>VLOOKUP(Tabla911[[#This Row],[CODIGO DEL PRODUCTO]],Tabla79[],2,FALSE)</f>
        <v>PIEDRA 0-6</v>
      </c>
      <c r="T1596" s="37">
        <v>34280</v>
      </c>
      <c r="U1596" s="78"/>
    </row>
    <row r="1597" spans="15:21" x14ac:dyDescent="0.25">
      <c r="O1597" s="76">
        <v>147383</v>
      </c>
      <c r="P1597" s="78" t="s">
        <v>119</v>
      </c>
      <c r="Q1597" s="77">
        <v>45969</v>
      </c>
      <c r="R1597" s="78" t="s">
        <v>43</v>
      </c>
      <c r="S1597" s="36" t="str">
        <f>VLOOKUP(Tabla911[[#This Row],[CODIGO DEL PRODUCTO]],Tabla79[],2,FALSE)</f>
        <v>PIEDRA 6-20</v>
      </c>
      <c r="T1597" s="37">
        <v>35760</v>
      </c>
      <c r="U1597" s="78"/>
    </row>
    <row r="1598" spans="15:21" x14ac:dyDescent="0.25">
      <c r="O1598" s="76">
        <v>2669676</v>
      </c>
      <c r="P1598" s="78" t="s">
        <v>65</v>
      </c>
      <c r="Q1598" s="77">
        <v>45969</v>
      </c>
      <c r="R1598" s="78" t="s">
        <v>286</v>
      </c>
      <c r="S1598" s="36" t="str">
        <f>VLOOKUP(Tabla911[[#This Row],[CODIGO DEL PRODUCTO]],Tabla79[],2,FALSE)</f>
        <v>CPF 40 AVELLANEDA</v>
      </c>
      <c r="T1598" s="37">
        <v>35920</v>
      </c>
      <c r="U1598" s="78"/>
    </row>
    <row r="1599" spans="15:21" x14ac:dyDescent="0.25">
      <c r="O1599" s="76">
        <v>102503</v>
      </c>
      <c r="P1599" s="78" t="s">
        <v>370</v>
      </c>
      <c r="Q1599" s="77">
        <v>45971</v>
      </c>
      <c r="R1599" s="78" t="s">
        <v>42</v>
      </c>
      <c r="S1599" s="36" t="str">
        <f>VLOOKUP(Tabla911[[#This Row],[CODIGO DEL PRODUCTO]],Tabla79[],2,FALSE)</f>
        <v>ARENA FINA</v>
      </c>
      <c r="T1599" s="37">
        <v>37600</v>
      </c>
      <c r="U1599" s="78"/>
    </row>
    <row r="1600" spans="15:21" x14ac:dyDescent="0.25">
      <c r="O1600" s="76">
        <v>102510</v>
      </c>
      <c r="P1600" s="78" t="s">
        <v>370</v>
      </c>
      <c r="Q1600" s="77">
        <v>45971</v>
      </c>
      <c r="R1600" s="78" t="s">
        <v>42</v>
      </c>
      <c r="S1600" s="36" t="str">
        <f>VLOOKUP(Tabla911[[#This Row],[CODIGO DEL PRODUCTO]],Tabla79[],2,FALSE)</f>
        <v>ARENA FINA</v>
      </c>
      <c r="T1600" s="37">
        <v>33300</v>
      </c>
      <c r="U1600" s="78"/>
    </row>
    <row r="1601" spans="15:24" x14ac:dyDescent="0.25">
      <c r="O1601" s="76">
        <v>105765</v>
      </c>
      <c r="P1601" s="78" t="s">
        <v>287</v>
      </c>
      <c r="Q1601" s="77">
        <v>45971</v>
      </c>
      <c r="R1601" s="78" t="s">
        <v>40</v>
      </c>
      <c r="S1601" s="36" t="str">
        <f>VLOOKUP(Tabla911[[#This Row],[CODIGO DEL PRODUCTO]],Tabla79[],2,FALSE)</f>
        <v>PIEDRA 0-6</v>
      </c>
      <c r="T1601" s="37">
        <v>34260</v>
      </c>
      <c r="U1601" s="78"/>
    </row>
    <row r="1602" spans="15:24" x14ac:dyDescent="0.25">
      <c r="O1602" s="76">
        <v>105773</v>
      </c>
      <c r="P1602" s="78" t="s">
        <v>299</v>
      </c>
      <c r="Q1602" s="77">
        <v>45971</v>
      </c>
      <c r="R1602" s="78" t="s">
        <v>40</v>
      </c>
      <c r="S1602" s="36" t="str">
        <f>VLOOKUP(Tabla911[[#This Row],[CODIGO DEL PRODUCTO]],Tabla79[],2,FALSE)</f>
        <v>PIEDRA 0-6</v>
      </c>
      <c r="T1602" s="37">
        <v>35280</v>
      </c>
      <c r="U1602" s="78"/>
    </row>
    <row r="1603" spans="15:24" x14ac:dyDescent="0.25">
      <c r="O1603" s="76">
        <v>105776</v>
      </c>
      <c r="P1603" s="78" t="s">
        <v>238</v>
      </c>
      <c r="Q1603" s="77">
        <v>45971</v>
      </c>
      <c r="R1603" s="78" t="s">
        <v>40</v>
      </c>
      <c r="S1603" s="36" t="str">
        <f>VLOOKUP(Tabla911[[#This Row],[CODIGO DEL PRODUCTO]],Tabla79[],2,FALSE)</f>
        <v>PIEDRA 0-6</v>
      </c>
      <c r="T1603" s="37">
        <v>35140</v>
      </c>
      <c r="U1603" s="78"/>
    </row>
    <row r="1604" spans="15:24" x14ac:dyDescent="0.25">
      <c r="O1604" s="76">
        <v>2670037</v>
      </c>
      <c r="P1604" s="78" t="s">
        <v>65</v>
      </c>
      <c r="Q1604" s="77">
        <v>45971</v>
      </c>
      <c r="R1604" s="78" t="s">
        <v>286</v>
      </c>
      <c r="S1604" s="36" t="str">
        <f>VLOOKUP(Tabla911[[#This Row],[CODIGO DEL PRODUCTO]],Tabla79[],2,FALSE)</f>
        <v>CPF 40 AVELLANEDA</v>
      </c>
      <c r="T1604" s="37">
        <v>36160</v>
      </c>
      <c r="U1604" s="78"/>
    </row>
    <row r="1605" spans="15:24" x14ac:dyDescent="0.25">
      <c r="O1605" s="76">
        <v>105799</v>
      </c>
      <c r="P1605" s="78" t="s">
        <v>151</v>
      </c>
      <c r="Q1605" s="77">
        <v>45972</v>
      </c>
      <c r="R1605" s="78" t="s">
        <v>40</v>
      </c>
      <c r="S1605" s="36" t="str">
        <f>VLOOKUP(Tabla911[[#This Row],[CODIGO DEL PRODUCTO]],Tabla79[],2,FALSE)</f>
        <v>PIEDRA 0-6</v>
      </c>
      <c r="T1605" s="37">
        <v>34420</v>
      </c>
      <c r="U1605" s="78"/>
    </row>
    <row r="1606" spans="15:24" x14ac:dyDescent="0.25">
      <c r="O1606" s="76">
        <v>105805</v>
      </c>
      <c r="P1606" s="78" t="s">
        <v>299</v>
      </c>
      <c r="Q1606" s="77">
        <v>45972</v>
      </c>
      <c r="R1606" s="78" t="s">
        <v>40</v>
      </c>
      <c r="S1606" s="36" t="str">
        <f>VLOOKUP(Tabla911[[#This Row],[CODIGO DEL PRODUCTO]],Tabla79[],2,FALSE)</f>
        <v>PIEDRA 0-6</v>
      </c>
      <c r="T1606" s="37">
        <v>35740</v>
      </c>
      <c r="U1606" s="78"/>
    </row>
    <row r="1607" spans="15:24" x14ac:dyDescent="0.25">
      <c r="O1607" s="76">
        <v>105807</v>
      </c>
      <c r="P1607" s="78" t="s">
        <v>238</v>
      </c>
      <c r="Q1607" s="77">
        <v>45972</v>
      </c>
      <c r="R1607" s="78" t="s">
        <v>40</v>
      </c>
      <c r="S1607" s="36" t="str">
        <f>VLOOKUP(Tabla911[[#This Row],[CODIGO DEL PRODUCTO]],Tabla79[],2,FALSE)</f>
        <v>PIEDRA 0-6</v>
      </c>
      <c r="T1607" s="37">
        <v>34340</v>
      </c>
      <c r="U1607" s="78"/>
    </row>
    <row r="1608" spans="15:24" x14ac:dyDescent="0.25">
      <c r="O1608" s="76">
        <v>2670322</v>
      </c>
      <c r="P1608" s="78" t="s">
        <v>65</v>
      </c>
      <c r="Q1608" s="77">
        <v>45972</v>
      </c>
      <c r="R1608" s="78" t="s">
        <v>286</v>
      </c>
      <c r="S1608" s="36" t="str">
        <f>VLOOKUP(Tabla911[[#This Row],[CODIGO DEL PRODUCTO]],Tabla79[],2,FALSE)</f>
        <v>CPF 40 AVELLANEDA</v>
      </c>
      <c r="T1608" s="37">
        <v>36180</v>
      </c>
      <c r="U1608" s="78"/>
    </row>
    <row r="1609" spans="15:24" x14ac:dyDescent="0.25">
      <c r="O1609" s="76">
        <v>102521</v>
      </c>
      <c r="P1609" s="78" t="s">
        <v>370</v>
      </c>
      <c r="Q1609" s="77">
        <v>45973</v>
      </c>
      <c r="R1609" s="78" t="s">
        <v>42</v>
      </c>
      <c r="S1609" s="36" t="str">
        <f>VLOOKUP(Tabla911[[#This Row],[CODIGO DEL PRODUCTO]],Tabla79[],2,FALSE)</f>
        <v>ARENA FINA</v>
      </c>
      <c r="T1609" s="37">
        <v>36860</v>
      </c>
      <c r="U1609" s="78"/>
      <c r="V1609" s="7">
        <v>45973</v>
      </c>
      <c r="W1609" t="s">
        <v>622</v>
      </c>
      <c r="X1609" t="s">
        <v>624</v>
      </c>
    </row>
    <row r="1610" spans="15:24" x14ac:dyDescent="0.25">
      <c r="O1610" s="76">
        <v>102528</v>
      </c>
      <c r="P1610" s="78" t="s">
        <v>370</v>
      </c>
      <c r="Q1610" s="77">
        <v>45973</v>
      </c>
      <c r="R1610" s="78" t="s">
        <v>42</v>
      </c>
      <c r="S1610" s="36" t="str">
        <f>VLOOKUP(Tabla911[[#This Row],[CODIGO DEL PRODUCTO]],Tabla79[],2,FALSE)</f>
        <v>ARENA FINA</v>
      </c>
      <c r="T1610" s="37">
        <v>36120</v>
      </c>
      <c r="U1610" s="78"/>
      <c r="V1610" s="7">
        <v>45973</v>
      </c>
      <c r="W1610" t="s">
        <v>623</v>
      </c>
      <c r="X1610" t="s">
        <v>625</v>
      </c>
    </row>
    <row r="1611" spans="15:24" x14ac:dyDescent="0.25">
      <c r="O1611" s="76">
        <v>217694</v>
      </c>
      <c r="P1611" s="78" t="s">
        <v>516</v>
      </c>
      <c r="Q1611" s="77">
        <v>45973</v>
      </c>
      <c r="R1611" s="78" t="s">
        <v>43</v>
      </c>
      <c r="S1611" s="36" t="str">
        <f>VLOOKUP(Tabla911[[#This Row],[CODIGO DEL PRODUCTO]],Tabla79[],2,FALSE)</f>
        <v>PIEDRA 6-20</v>
      </c>
      <c r="T1611" s="37">
        <v>33080</v>
      </c>
      <c r="U1611" s="78"/>
    </row>
    <row r="1612" spans="15:24" x14ac:dyDescent="0.25">
      <c r="O1612" s="76">
        <v>105752</v>
      </c>
      <c r="P1612" s="78" t="s">
        <v>234</v>
      </c>
      <c r="Q1612" s="77">
        <v>45973</v>
      </c>
      <c r="R1612" s="78" t="s">
        <v>43</v>
      </c>
      <c r="S1612" s="36" t="str">
        <f>VLOOKUP(Tabla911[[#This Row],[CODIGO DEL PRODUCTO]],Tabla79[],2,FALSE)</f>
        <v>PIEDRA 6-20</v>
      </c>
      <c r="T1612" s="37">
        <v>35220</v>
      </c>
      <c r="U1612" s="78"/>
    </row>
    <row r="1613" spans="15:24" x14ac:dyDescent="0.25">
      <c r="O1613" s="76">
        <v>105822</v>
      </c>
      <c r="P1613" s="78" t="s">
        <v>287</v>
      </c>
      <c r="Q1613" s="77">
        <v>45973</v>
      </c>
      <c r="R1613" s="78" t="s">
        <v>40</v>
      </c>
      <c r="S1613" s="36" t="str">
        <f>VLOOKUP(Tabla911[[#This Row],[CODIGO DEL PRODUCTO]],Tabla79[],2,FALSE)</f>
        <v>PIEDRA 0-6</v>
      </c>
      <c r="T1613" s="37">
        <v>35040</v>
      </c>
      <c r="U1613" s="78"/>
    </row>
    <row r="1614" spans="15:24" x14ac:dyDescent="0.25">
      <c r="O1614" s="76">
        <v>105824</v>
      </c>
      <c r="P1614" s="78" t="s">
        <v>197</v>
      </c>
      <c r="Q1614" s="77">
        <v>45973</v>
      </c>
      <c r="R1614" s="78" t="s">
        <v>40</v>
      </c>
      <c r="S1614" s="36" t="str">
        <f>VLOOKUP(Tabla911[[#This Row],[CODIGO DEL PRODUCTO]],Tabla79[],2,FALSE)</f>
        <v>PIEDRA 0-6</v>
      </c>
      <c r="T1614" s="37">
        <v>35300</v>
      </c>
      <c r="U1614" s="78"/>
    </row>
    <row r="1615" spans="15:24" x14ac:dyDescent="0.25">
      <c r="O1615" s="76">
        <v>105842</v>
      </c>
      <c r="P1615" s="78" t="s">
        <v>299</v>
      </c>
      <c r="Q1615" s="77">
        <v>45973</v>
      </c>
      <c r="R1615" s="78" t="s">
        <v>40</v>
      </c>
      <c r="S1615" s="36" t="str">
        <f>VLOOKUP(Tabla911[[#This Row],[CODIGO DEL PRODUCTO]],Tabla79[],2,FALSE)</f>
        <v>PIEDRA 0-6</v>
      </c>
      <c r="T1615" s="37">
        <v>35600</v>
      </c>
      <c r="U1615" s="78"/>
    </row>
    <row r="1616" spans="15:24" x14ac:dyDescent="0.25">
      <c r="O1616" s="76">
        <v>105847</v>
      </c>
      <c r="P1616" s="78" t="s">
        <v>238</v>
      </c>
      <c r="Q1616" s="77">
        <v>45973</v>
      </c>
      <c r="R1616" s="78" t="s">
        <v>40</v>
      </c>
      <c r="S1616" s="36" t="str">
        <f>VLOOKUP(Tabla911[[#This Row],[CODIGO DEL PRODUCTO]],Tabla79[],2,FALSE)</f>
        <v>PIEDRA 0-6</v>
      </c>
      <c r="T1616" s="37">
        <v>35220</v>
      </c>
      <c r="U1616" s="78"/>
    </row>
    <row r="1617" spans="15:21" x14ac:dyDescent="0.25">
      <c r="O1617" s="76">
        <v>2670647</v>
      </c>
      <c r="P1617" s="78" t="s">
        <v>65</v>
      </c>
      <c r="Q1617" s="77">
        <v>45973</v>
      </c>
      <c r="R1617" s="78" t="s">
        <v>286</v>
      </c>
      <c r="S1617" s="36" t="str">
        <f>VLOOKUP(Tabla911[[#This Row],[CODIGO DEL PRODUCTO]],Tabla79[],2,FALSE)</f>
        <v>CPF 40 AVELLANEDA</v>
      </c>
      <c r="T1617" s="37">
        <v>35900</v>
      </c>
      <c r="U1617" s="78"/>
    </row>
    <row r="1618" spans="15:21" x14ac:dyDescent="0.25">
      <c r="O1618" s="76">
        <v>36860</v>
      </c>
      <c r="P1618" s="78" t="s">
        <v>449</v>
      </c>
      <c r="Q1618" s="77">
        <v>45973</v>
      </c>
      <c r="R1618" s="78" t="s">
        <v>425</v>
      </c>
      <c r="S1618" s="36" t="str">
        <f>VLOOKUP(Tabla911[[#This Row],[CODIGO DEL PRODUCTO]],Tabla79[],2,FALSE)</f>
        <v>W351R</v>
      </c>
      <c r="T1618" s="37">
        <v>1000</v>
      </c>
      <c r="U1618" s="78"/>
    </row>
    <row r="1619" spans="15:21" x14ac:dyDescent="0.25">
      <c r="O1619" s="76">
        <v>102537</v>
      </c>
      <c r="P1619" s="78" t="s">
        <v>370</v>
      </c>
      <c r="Q1619" s="77">
        <v>45974</v>
      </c>
      <c r="R1619" s="78" t="s">
        <v>42</v>
      </c>
      <c r="S1619" s="36" t="str">
        <f>VLOOKUP(Tabla911[[#This Row],[CODIGO DEL PRODUCTO]],Tabla79[],2,FALSE)</f>
        <v>ARENA FINA</v>
      </c>
      <c r="T1619" s="37">
        <v>35760</v>
      </c>
      <c r="U1619" s="78"/>
    </row>
    <row r="1620" spans="15:21" x14ac:dyDescent="0.25">
      <c r="O1620" s="76">
        <v>102547</v>
      </c>
      <c r="P1620" s="78" t="s">
        <v>370</v>
      </c>
      <c r="Q1620" s="77">
        <v>45974</v>
      </c>
      <c r="R1620" s="78" t="s">
        <v>42</v>
      </c>
      <c r="S1620" s="36" t="str">
        <f>VLOOKUP(Tabla911[[#This Row],[CODIGO DEL PRODUCTO]],Tabla79[],2,FALSE)</f>
        <v>ARENA FINA</v>
      </c>
      <c r="T1620" s="37">
        <v>34980</v>
      </c>
      <c r="U1620" s="78"/>
    </row>
    <row r="1621" spans="15:21" x14ac:dyDescent="0.25">
      <c r="O1621" s="76">
        <v>105852</v>
      </c>
      <c r="P1621" s="78" t="s">
        <v>287</v>
      </c>
      <c r="Q1621" s="77">
        <v>45974</v>
      </c>
      <c r="R1621" s="78" t="s">
        <v>40</v>
      </c>
      <c r="S1621" s="36" t="str">
        <f>VLOOKUP(Tabla911[[#This Row],[CODIGO DEL PRODUCTO]],Tabla79[],2,FALSE)</f>
        <v>PIEDRA 0-6</v>
      </c>
      <c r="T1621" s="37">
        <v>35060</v>
      </c>
      <c r="U1621" s="78"/>
    </row>
    <row r="1622" spans="15:21" x14ac:dyDescent="0.25">
      <c r="O1622" s="76">
        <v>105858</v>
      </c>
      <c r="P1622" s="78" t="s">
        <v>234</v>
      </c>
      <c r="Q1622" s="77">
        <v>45974</v>
      </c>
      <c r="R1622" s="78" t="s">
        <v>43</v>
      </c>
      <c r="S1622" s="36" t="str">
        <f>VLOOKUP(Tabla911[[#This Row],[CODIGO DEL PRODUCTO]],Tabla79[],2,FALSE)</f>
        <v>PIEDRA 6-20</v>
      </c>
      <c r="T1622" s="37">
        <v>35820</v>
      </c>
      <c r="U1622" s="78"/>
    </row>
    <row r="1623" spans="15:21" x14ac:dyDescent="0.25">
      <c r="O1623" s="76">
        <v>105878</v>
      </c>
      <c r="P1623" s="78" t="s">
        <v>299</v>
      </c>
      <c r="Q1623" s="77">
        <v>45974</v>
      </c>
      <c r="R1623" s="78" t="s">
        <v>40</v>
      </c>
      <c r="S1623" s="36" t="str">
        <f>VLOOKUP(Tabla911[[#This Row],[CODIGO DEL PRODUCTO]],Tabla79[],2,FALSE)</f>
        <v>PIEDRA 0-6</v>
      </c>
      <c r="T1623" s="37">
        <v>35300</v>
      </c>
      <c r="U1623" s="78"/>
    </row>
    <row r="1624" spans="15:21" x14ac:dyDescent="0.25">
      <c r="O1624" s="76">
        <v>105881</v>
      </c>
      <c r="P1624" s="78" t="s">
        <v>238</v>
      </c>
      <c r="Q1624" s="77">
        <v>45974</v>
      </c>
      <c r="R1624" s="78" t="s">
        <v>40</v>
      </c>
      <c r="S1624" s="36" t="str">
        <f>VLOOKUP(Tabla911[[#This Row],[CODIGO DEL PRODUCTO]],Tabla79[],2,FALSE)</f>
        <v>PIEDRA 0-6</v>
      </c>
      <c r="T1624" s="37">
        <v>35220</v>
      </c>
      <c r="U1624" s="78"/>
    </row>
    <row r="1625" spans="15:21" x14ac:dyDescent="0.25">
      <c r="O1625" s="76">
        <v>2670933</v>
      </c>
      <c r="P1625" s="78" t="s">
        <v>65</v>
      </c>
      <c r="Q1625" s="77">
        <v>45974</v>
      </c>
      <c r="R1625" s="78" t="s">
        <v>286</v>
      </c>
      <c r="S1625" s="36" t="str">
        <f>VLOOKUP(Tabla911[[#This Row],[CODIGO DEL PRODUCTO]],Tabla79[],2,FALSE)</f>
        <v>CPF 40 AVELLANEDA</v>
      </c>
      <c r="T1625" s="37">
        <v>35880</v>
      </c>
      <c r="U1625" s="78"/>
    </row>
    <row r="1626" spans="15:21" x14ac:dyDescent="0.25">
      <c r="O1626" s="76">
        <v>102556</v>
      </c>
      <c r="P1626" s="78" t="s">
        <v>370</v>
      </c>
      <c r="Q1626" s="77">
        <v>45975</v>
      </c>
      <c r="R1626" s="78" t="s">
        <v>42</v>
      </c>
      <c r="S1626" s="36" t="str">
        <f>VLOOKUP(Tabla911[[#This Row],[CODIGO DEL PRODUCTO]],Tabla79[],2,FALSE)</f>
        <v>ARENA FINA</v>
      </c>
      <c r="T1626" s="37">
        <v>36480</v>
      </c>
      <c r="U1626" s="78"/>
    </row>
    <row r="1627" spans="15:21" x14ac:dyDescent="0.25">
      <c r="O1627" s="76">
        <v>102561</v>
      </c>
      <c r="P1627" s="78" t="s">
        <v>370</v>
      </c>
      <c r="Q1627" s="77">
        <v>45975</v>
      </c>
      <c r="R1627" s="78" t="s">
        <v>42</v>
      </c>
      <c r="S1627" s="36" t="str">
        <f>VLOOKUP(Tabla911[[#This Row],[CODIGO DEL PRODUCTO]],Tabla79[],2,FALSE)</f>
        <v>ARENA FINA</v>
      </c>
      <c r="T1627" s="37">
        <v>35160</v>
      </c>
      <c r="U1627" s="78"/>
    </row>
    <row r="1628" spans="15:21" x14ac:dyDescent="0.25">
      <c r="O1628" s="76">
        <v>105885</v>
      </c>
      <c r="P1628" s="78" t="s">
        <v>287</v>
      </c>
      <c r="Q1628" s="77">
        <v>45975</v>
      </c>
      <c r="R1628" s="78" t="s">
        <v>40</v>
      </c>
      <c r="S1628" s="36" t="str">
        <f>VLOOKUP(Tabla911[[#This Row],[CODIGO DEL PRODUCTO]],Tabla79[],2,FALSE)</f>
        <v>PIEDRA 0-6</v>
      </c>
      <c r="T1628" s="37">
        <v>34400</v>
      </c>
      <c r="U1628" s="78"/>
    </row>
    <row r="1629" spans="15:21" x14ac:dyDescent="0.25">
      <c r="O1629" s="76">
        <v>105888</v>
      </c>
      <c r="P1629" s="78" t="s">
        <v>234</v>
      </c>
      <c r="Q1629" s="77">
        <v>45975</v>
      </c>
      <c r="R1629" s="78" t="s">
        <v>43</v>
      </c>
      <c r="S1629" s="36" t="str">
        <f>VLOOKUP(Tabla911[[#This Row],[CODIGO DEL PRODUCTO]],Tabla79[],2,FALSE)</f>
        <v>PIEDRA 6-20</v>
      </c>
      <c r="T1629" s="37">
        <v>34920</v>
      </c>
      <c r="U1629" s="78"/>
    </row>
    <row r="1630" spans="15:21" x14ac:dyDescent="0.25">
      <c r="O1630" s="76">
        <v>105906</v>
      </c>
      <c r="P1630" s="78" t="s">
        <v>299</v>
      </c>
      <c r="Q1630" s="77">
        <v>45975</v>
      </c>
      <c r="R1630" s="78" t="s">
        <v>40</v>
      </c>
      <c r="S1630" s="36" t="str">
        <f>VLOOKUP(Tabla911[[#This Row],[CODIGO DEL PRODUCTO]],Tabla79[],2,FALSE)</f>
        <v>PIEDRA 0-6</v>
      </c>
      <c r="T1630" s="37">
        <v>35160</v>
      </c>
      <c r="U1630" s="78"/>
    </row>
    <row r="1631" spans="15:21" x14ac:dyDescent="0.25">
      <c r="O1631" s="76">
        <v>105917</v>
      </c>
      <c r="P1631" s="78" t="s">
        <v>238</v>
      </c>
      <c r="Q1631" s="77">
        <v>45975</v>
      </c>
      <c r="R1631" s="78" t="s">
        <v>40</v>
      </c>
      <c r="S1631" s="36" t="str">
        <f>VLOOKUP(Tabla911[[#This Row],[CODIGO DEL PRODUCTO]],Tabla79[],2,FALSE)</f>
        <v>PIEDRA 0-6</v>
      </c>
      <c r="T1631" s="37">
        <v>35740</v>
      </c>
      <c r="U1631" s="78"/>
    </row>
    <row r="1632" spans="15:21" x14ac:dyDescent="0.25">
      <c r="O1632" s="76">
        <v>2671064</v>
      </c>
      <c r="P1632" s="78" t="s">
        <v>65</v>
      </c>
      <c r="Q1632" s="77">
        <v>45975</v>
      </c>
      <c r="R1632" s="78" t="s">
        <v>286</v>
      </c>
      <c r="S1632" s="36" t="str">
        <f>VLOOKUP(Tabla911[[#This Row],[CODIGO DEL PRODUCTO]],Tabla79[],2,FALSE)</f>
        <v>CPF 40 AVELLANEDA</v>
      </c>
      <c r="T1632" s="37">
        <v>35900</v>
      </c>
      <c r="U1632" s="78"/>
    </row>
    <row r="1633" spans="15:21" x14ac:dyDescent="0.25">
      <c r="O1633" s="76">
        <v>102567</v>
      </c>
      <c r="P1633" s="78" t="s">
        <v>370</v>
      </c>
      <c r="Q1633" s="77">
        <v>45976</v>
      </c>
      <c r="R1633" s="78" t="s">
        <v>42</v>
      </c>
      <c r="S1633" s="36" t="str">
        <f>VLOOKUP(Tabla911[[#This Row],[CODIGO DEL PRODUCTO]],Tabla79[],2,FALSE)</f>
        <v>ARENA FINA</v>
      </c>
      <c r="T1633" s="37">
        <v>35460</v>
      </c>
      <c r="U1633" s="78"/>
    </row>
    <row r="1634" spans="15:21" x14ac:dyDescent="0.25">
      <c r="O1634" s="76">
        <v>105922</v>
      </c>
      <c r="P1634" s="78" t="s">
        <v>287</v>
      </c>
      <c r="Q1634" s="77">
        <v>45976</v>
      </c>
      <c r="R1634" s="78" t="s">
        <v>40</v>
      </c>
      <c r="S1634" s="36" t="str">
        <f>VLOOKUP(Tabla911[[#This Row],[CODIGO DEL PRODUCTO]],Tabla79[],2,FALSE)</f>
        <v>PIEDRA 0-6</v>
      </c>
      <c r="T1634" s="37">
        <v>35500</v>
      </c>
      <c r="U1634" s="78"/>
    </row>
    <row r="1635" spans="15:21" x14ac:dyDescent="0.25">
      <c r="O1635" s="76">
        <v>147752</v>
      </c>
      <c r="P1635" s="78" t="s">
        <v>119</v>
      </c>
      <c r="Q1635" s="77">
        <v>45976</v>
      </c>
      <c r="R1635" s="78" t="s">
        <v>43</v>
      </c>
      <c r="S1635" s="36" t="str">
        <f>VLOOKUP(Tabla911[[#This Row],[CODIGO DEL PRODUCTO]],Tabla79[],2,FALSE)</f>
        <v>PIEDRA 6-20</v>
      </c>
      <c r="T1635" s="37">
        <v>35320</v>
      </c>
      <c r="U1635" s="78"/>
    </row>
    <row r="1636" spans="15:21" x14ac:dyDescent="0.25">
      <c r="O1636" s="76">
        <v>2671401</v>
      </c>
      <c r="P1636" s="78" t="s">
        <v>65</v>
      </c>
      <c r="Q1636" s="77">
        <v>45976</v>
      </c>
      <c r="R1636" s="78" t="s">
        <v>286</v>
      </c>
      <c r="S1636" s="36" t="str">
        <f>VLOOKUP(Tabla911[[#This Row],[CODIGO DEL PRODUCTO]],Tabla79[],2,FALSE)</f>
        <v>CPF 40 AVELLANEDA</v>
      </c>
      <c r="T1636" s="37">
        <v>35860</v>
      </c>
      <c r="U1636" s="78"/>
    </row>
    <row r="1637" spans="15:21" x14ac:dyDescent="0.25">
      <c r="O1637" s="76">
        <v>2671454</v>
      </c>
      <c r="P1637" s="78" t="s">
        <v>296</v>
      </c>
      <c r="Q1637" s="77">
        <v>45976</v>
      </c>
      <c r="R1637" s="78" t="s">
        <v>286</v>
      </c>
      <c r="S1637" s="36" t="str">
        <f>VLOOKUP(Tabla911[[#This Row],[CODIGO DEL PRODUCTO]],Tabla79[],2,FALSE)</f>
        <v>CPF 40 AVELLANEDA</v>
      </c>
      <c r="T1637" s="37">
        <v>36360</v>
      </c>
      <c r="U1637" s="78"/>
    </row>
    <row r="1638" spans="15:21" x14ac:dyDescent="0.25">
      <c r="O1638" s="76">
        <v>102573</v>
      </c>
      <c r="P1638" s="78" t="s">
        <v>370</v>
      </c>
      <c r="Q1638" s="77">
        <v>45978</v>
      </c>
      <c r="R1638" s="78" t="s">
        <v>42</v>
      </c>
      <c r="S1638" s="36" t="str">
        <f>VLOOKUP(Tabla911[[#This Row],[CODIGO DEL PRODUCTO]],Tabla79[],2,FALSE)</f>
        <v>ARENA FINA</v>
      </c>
      <c r="T1638" s="37">
        <v>34280</v>
      </c>
      <c r="U1638" s="78"/>
    </row>
    <row r="1639" spans="15:21" x14ac:dyDescent="0.25">
      <c r="O1639" s="76">
        <v>102585</v>
      </c>
      <c r="P1639" s="78" t="s">
        <v>370</v>
      </c>
      <c r="Q1639" s="77">
        <v>45978</v>
      </c>
      <c r="R1639" s="78" t="s">
        <v>42</v>
      </c>
      <c r="S1639" s="36" t="str">
        <f>VLOOKUP(Tabla911[[#This Row],[CODIGO DEL PRODUCTO]],Tabla79[],2,FALSE)</f>
        <v>ARENA FINA</v>
      </c>
      <c r="T1639" s="37">
        <v>34980</v>
      </c>
      <c r="U1639" s="78"/>
    </row>
    <row r="1640" spans="15:21" x14ac:dyDescent="0.25">
      <c r="O1640" s="76">
        <v>105936</v>
      </c>
      <c r="P1640" s="78" t="s">
        <v>244</v>
      </c>
      <c r="Q1640" s="77">
        <v>45978</v>
      </c>
      <c r="R1640" s="78" t="s">
        <v>43</v>
      </c>
      <c r="S1640" s="36" t="str">
        <f>VLOOKUP(Tabla911[[#This Row],[CODIGO DEL PRODUCTO]],Tabla79[],2,FALSE)</f>
        <v>PIEDRA 6-20</v>
      </c>
      <c r="T1640" s="37">
        <v>33980</v>
      </c>
      <c r="U1640" s="78"/>
    </row>
    <row r="1641" spans="15:21" x14ac:dyDescent="0.25">
      <c r="O1641" s="76">
        <v>105947</v>
      </c>
      <c r="P1641" s="78" t="s">
        <v>285</v>
      </c>
      <c r="Q1641" s="77">
        <v>45978</v>
      </c>
      <c r="R1641" s="78" t="s">
        <v>40</v>
      </c>
      <c r="S1641" s="36" t="str">
        <f>VLOOKUP(Tabla911[[#This Row],[CODIGO DEL PRODUCTO]],Tabla79[],2,FALSE)</f>
        <v>PIEDRA 0-6</v>
      </c>
      <c r="T1641" s="37">
        <v>35240</v>
      </c>
      <c r="U1641" s="78"/>
    </row>
    <row r="1642" spans="15:21" x14ac:dyDescent="0.25">
      <c r="O1642" s="76">
        <v>105961</v>
      </c>
      <c r="P1642" s="78" t="s">
        <v>197</v>
      </c>
      <c r="Q1642" s="77">
        <v>45978</v>
      </c>
      <c r="R1642" s="78" t="s">
        <v>43</v>
      </c>
      <c r="S1642" s="36" t="str">
        <f>VLOOKUP(Tabla911[[#This Row],[CODIGO DEL PRODUCTO]],Tabla79[],2,FALSE)</f>
        <v>PIEDRA 6-20</v>
      </c>
      <c r="T1642" s="37">
        <v>34960</v>
      </c>
      <c r="U1642" s="78"/>
    </row>
    <row r="1643" spans="15:21" x14ac:dyDescent="0.25">
      <c r="O1643" s="76">
        <v>105965</v>
      </c>
      <c r="P1643" s="78" t="s">
        <v>156</v>
      </c>
      <c r="Q1643" s="77">
        <v>45978</v>
      </c>
      <c r="R1643" s="78" t="s">
        <v>43</v>
      </c>
      <c r="S1643" s="36" t="str">
        <f>VLOOKUP(Tabla911[[#This Row],[CODIGO DEL PRODUCTO]],Tabla79[],2,FALSE)</f>
        <v>PIEDRA 6-20</v>
      </c>
      <c r="T1643" s="37">
        <v>35940</v>
      </c>
      <c r="U1643" s="78"/>
    </row>
    <row r="1644" spans="15:21" x14ac:dyDescent="0.25">
      <c r="O1644" s="76">
        <v>2671721</v>
      </c>
      <c r="P1644" s="78" t="s">
        <v>296</v>
      </c>
      <c r="Q1644" s="77">
        <v>45978</v>
      </c>
      <c r="R1644" s="78" t="s">
        <v>286</v>
      </c>
      <c r="S1644" s="36" t="str">
        <f>VLOOKUP(Tabla911[[#This Row],[CODIGO DEL PRODUCTO]],Tabla79[],2,FALSE)</f>
        <v>CPF 40 AVELLANEDA</v>
      </c>
      <c r="T1644" s="37">
        <v>36340</v>
      </c>
      <c r="U1644" s="78"/>
    </row>
    <row r="1645" spans="15:21" x14ac:dyDescent="0.25">
      <c r="O1645" s="76">
        <v>2671699</v>
      </c>
      <c r="P1645" s="78" t="s">
        <v>65</v>
      </c>
      <c r="Q1645" s="77">
        <v>45978</v>
      </c>
      <c r="R1645" s="78" t="s">
        <v>286</v>
      </c>
      <c r="S1645" s="36" t="str">
        <f>VLOOKUP(Tabla911[[#This Row],[CODIGO DEL PRODUCTO]],Tabla79[],2,FALSE)</f>
        <v>CPF 40 AVELLANEDA</v>
      </c>
      <c r="T1645" s="37">
        <v>36060</v>
      </c>
      <c r="U1645" s="78"/>
    </row>
    <row r="1646" spans="15:21" x14ac:dyDescent="0.25">
      <c r="O1646" s="76">
        <v>37022</v>
      </c>
      <c r="P1646" s="78" t="s">
        <v>449</v>
      </c>
      <c r="Q1646" s="77">
        <v>45979</v>
      </c>
      <c r="R1646" s="78" t="s">
        <v>425</v>
      </c>
      <c r="S1646" s="36" t="str">
        <f>VLOOKUP(Tabla911[[#This Row],[CODIGO DEL PRODUCTO]],Tabla79[],2,FALSE)</f>
        <v>W351R</v>
      </c>
      <c r="T1646" s="37">
        <v>2000</v>
      </c>
      <c r="U1646" s="78"/>
    </row>
    <row r="1647" spans="15:21" x14ac:dyDescent="0.25">
      <c r="O1647" s="76">
        <v>37023</v>
      </c>
      <c r="P1647" s="78" t="s">
        <v>449</v>
      </c>
      <c r="Q1647" s="77">
        <v>45979</v>
      </c>
      <c r="R1647" s="78" t="s">
        <v>450</v>
      </c>
      <c r="S1647" s="36" t="str">
        <f>VLOOKUP(Tabla911[[#This Row],[CODIGO DEL PRODUCTO]],Tabla79[],2,FALSE)</f>
        <v>W500R</v>
      </c>
      <c r="T1647" s="37">
        <v>1</v>
      </c>
      <c r="U1647" s="78"/>
    </row>
    <row r="1648" spans="15:21" x14ac:dyDescent="0.25">
      <c r="O1648" s="76">
        <v>102597</v>
      </c>
      <c r="P1648" s="78" t="s">
        <v>370</v>
      </c>
      <c r="Q1648" s="77">
        <v>45979</v>
      </c>
      <c r="R1648" s="78" t="s">
        <v>42</v>
      </c>
      <c r="S1648" s="36" t="str">
        <f>VLOOKUP(Tabla911[[#This Row],[CODIGO DEL PRODUCTO]],Tabla79[],2,FALSE)</f>
        <v>ARENA FINA</v>
      </c>
      <c r="T1648" s="37">
        <v>34640</v>
      </c>
      <c r="U1648" s="78"/>
    </row>
    <row r="1649" spans="15:21" x14ac:dyDescent="0.25">
      <c r="O1649" s="76">
        <v>102595</v>
      </c>
      <c r="P1649" s="78" t="s">
        <v>370</v>
      </c>
      <c r="Q1649" s="77">
        <v>45979</v>
      </c>
      <c r="R1649" s="78" t="s">
        <v>42</v>
      </c>
      <c r="S1649" s="36" t="str">
        <f>VLOOKUP(Tabla911[[#This Row],[CODIGO DEL PRODUCTO]],Tabla79[],2,FALSE)</f>
        <v>ARENA FINA</v>
      </c>
      <c r="T1649" s="37">
        <v>34220</v>
      </c>
      <c r="U1649" s="78"/>
    </row>
    <row r="1650" spans="15:21" x14ac:dyDescent="0.25">
      <c r="O1650" s="76">
        <v>105972</v>
      </c>
      <c r="P1650" s="78" t="s">
        <v>252</v>
      </c>
      <c r="Q1650" s="77">
        <v>45979</v>
      </c>
      <c r="R1650" s="78" t="s">
        <v>43</v>
      </c>
      <c r="S1650" s="36" t="str">
        <f>VLOOKUP(Tabla911[[#This Row],[CODIGO DEL PRODUCTO]],Tabla79[],2,FALSE)</f>
        <v>PIEDRA 6-20</v>
      </c>
      <c r="T1650" s="37">
        <v>33780</v>
      </c>
      <c r="U1650" s="78"/>
    </row>
    <row r="1651" spans="15:21" x14ac:dyDescent="0.25">
      <c r="O1651" s="76">
        <v>105995</v>
      </c>
      <c r="P1651" s="78" t="s">
        <v>285</v>
      </c>
      <c r="Q1651" s="77">
        <v>45979</v>
      </c>
      <c r="R1651" s="78" t="s">
        <v>40</v>
      </c>
      <c r="S1651" s="36" t="str">
        <f>VLOOKUP(Tabla911[[#This Row],[CODIGO DEL PRODUCTO]],Tabla79[],2,FALSE)</f>
        <v>PIEDRA 0-6</v>
      </c>
      <c r="T1651" s="37">
        <v>34360</v>
      </c>
      <c r="U1651" s="78"/>
    </row>
    <row r="1652" spans="15:21" x14ac:dyDescent="0.25">
      <c r="O1652" s="76">
        <v>106004</v>
      </c>
      <c r="P1652" s="78" t="s">
        <v>244</v>
      </c>
      <c r="Q1652" s="77">
        <v>45979</v>
      </c>
      <c r="R1652" s="78" t="s">
        <v>43</v>
      </c>
      <c r="S1652" s="36" t="str">
        <f>VLOOKUP(Tabla911[[#This Row],[CODIGO DEL PRODUCTO]],Tabla79[],2,FALSE)</f>
        <v>PIEDRA 6-20</v>
      </c>
      <c r="T1652" s="37">
        <v>34480</v>
      </c>
      <c r="U1652" s="78"/>
    </row>
    <row r="1653" spans="15:21" x14ac:dyDescent="0.25">
      <c r="O1653" s="76">
        <v>106010</v>
      </c>
      <c r="P1653" s="78" t="s">
        <v>197</v>
      </c>
      <c r="Q1653" s="77">
        <v>45979</v>
      </c>
      <c r="R1653" s="78" t="s">
        <v>43</v>
      </c>
      <c r="S1653" s="36" t="str">
        <f>VLOOKUP(Tabla911[[#This Row],[CODIGO DEL PRODUCTO]],Tabla79[],2,FALSE)</f>
        <v>PIEDRA 6-20</v>
      </c>
      <c r="T1653" s="37">
        <v>35400</v>
      </c>
      <c r="U1653" s="78"/>
    </row>
    <row r="1654" spans="15:21" x14ac:dyDescent="0.25">
      <c r="O1654" s="76">
        <v>106014</v>
      </c>
      <c r="P1654" s="78" t="s">
        <v>156</v>
      </c>
      <c r="Q1654" s="77">
        <v>45979</v>
      </c>
      <c r="R1654" s="78" t="s">
        <v>43</v>
      </c>
      <c r="S1654" s="36" t="str">
        <f>VLOOKUP(Tabla911[[#This Row],[CODIGO DEL PRODUCTO]],Tabla79[],2,FALSE)</f>
        <v>PIEDRA 6-20</v>
      </c>
      <c r="T1654" s="37">
        <v>35160</v>
      </c>
      <c r="U1654" s="78"/>
    </row>
    <row r="1655" spans="15:21" x14ac:dyDescent="0.25">
      <c r="O1655" s="76">
        <v>2671980</v>
      </c>
      <c r="P1655" s="78" t="s">
        <v>65</v>
      </c>
      <c r="Q1655" s="77">
        <v>45979</v>
      </c>
      <c r="R1655" s="78" t="s">
        <v>286</v>
      </c>
      <c r="S1655" s="36" t="str">
        <f>VLOOKUP(Tabla911[[#This Row],[CODIGO DEL PRODUCTO]],Tabla79[],2,FALSE)</f>
        <v>CPF 40 AVELLANEDA</v>
      </c>
      <c r="T1655" s="37">
        <v>35780</v>
      </c>
      <c r="U1655" s="78"/>
    </row>
    <row r="1656" spans="15:21" x14ac:dyDescent="0.25">
      <c r="O1656" s="76">
        <v>2672011</v>
      </c>
      <c r="P1656" s="78" t="s">
        <v>296</v>
      </c>
      <c r="Q1656" s="77">
        <v>45979</v>
      </c>
      <c r="R1656" s="78" t="s">
        <v>286</v>
      </c>
      <c r="S1656" s="36" t="str">
        <f>VLOOKUP(Tabla911[[#This Row],[CODIGO DEL PRODUCTO]],Tabla79[],2,FALSE)</f>
        <v>CPF 40 AVELLANEDA</v>
      </c>
      <c r="T1656" s="37">
        <v>36300</v>
      </c>
      <c r="U1656" s="78"/>
    </row>
    <row r="1657" spans="15:21" x14ac:dyDescent="0.25">
      <c r="O1657" s="76">
        <v>102602</v>
      </c>
      <c r="P1657" s="78" t="s">
        <v>370</v>
      </c>
      <c r="Q1657" s="77">
        <v>45980</v>
      </c>
      <c r="R1657" s="78" t="s">
        <v>42</v>
      </c>
      <c r="S1657" s="36" t="str">
        <f>VLOOKUP(Tabla911[[#This Row],[CODIGO DEL PRODUCTO]],Tabla79[],2,FALSE)</f>
        <v>ARENA FINA</v>
      </c>
      <c r="T1657" s="37">
        <v>36460</v>
      </c>
      <c r="U1657" s="78"/>
    </row>
    <row r="1658" spans="15:21" x14ac:dyDescent="0.25">
      <c r="O1658" s="76">
        <v>102607</v>
      </c>
      <c r="P1658" s="78" t="s">
        <v>370</v>
      </c>
      <c r="Q1658" s="77">
        <v>45980</v>
      </c>
      <c r="R1658" s="78" t="s">
        <v>42</v>
      </c>
      <c r="S1658" s="36" t="str">
        <f>VLOOKUP(Tabla911[[#This Row],[CODIGO DEL PRODUCTO]],Tabla79[],2,FALSE)</f>
        <v>ARENA FINA</v>
      </c>
      <c r="T1658" s="37">
        <v>35780</v>
      </c>
      <c r="U1658" s="78"/>
    </row>
    <row r="1659" spans="15:21" x14ac:dyDescent="0.25">
      <c r="O1659" s="76">
        <v>106027</v>
      </c>
      <c r="P1659" s="78" t="s">
        <v>252</v>
      </c>
      <c r="Q1659" s="77">
        <v>45980</v>
      </c>
      <c r="R1659" s="78" t="s">
        <v>43</v>
      </c>
      <c r="S1659" s="36" t="str">
        <f>VLOOKUP(Tabla911[[#This Row],[CODIGO DEL PRODUCTO]],Tabla79[],2,FALSE)</f>
        <v>PIEDRA 6-20</v>
      </c>
      <c r="T1659" s="37">
        <v>35400</v>
      </c>
      <c r="U1659" s="78"/>
    </row>
    <row r="1660" spans="15:21" x14ac:dyDescent="0.25">
      <c r="O1660" s="76">
        <v>106031</v>
      </c>
      <c r="P1660" s="78" t="s">
        <v>285</v>
      </c>
      <c r="Q1660" s="77">
        <v>45980</v>
      </c>
      <c r="R1660" s="78" t="s">
        <v>40</v>
      </c>
      <c r="S1660" s="36" t="str">
        <f>VLOOKUP(Tabla911[[#This Row],[CODIGO DEL PRODUCTO]],Tabla79[],2,FALSE)</f>
        <v>PIEDRA 0-6</v>
      </c>
      <c r="T1660" s="37">
        <v>35180</v>
      </c>
      <c r="U1660" s="78"/>
    </row>
    <row r="1661" spans="15:21" x14ac:dyDescent="0.25">
      <c r="O1661" s="76">
        <v>106033</v>
      </c>
      <c r="P1661" s="78" t="s">
        <v>355</v>
      </c>
      <c r="Q1661" s="77">
        <v>45980</v>
      </c>
      <c r="R1661" s="78" t="s">
        <v>40</v>
      </c>
      <c r="S1661" s="36" t="str">
        <f>VLOOKUP(Tabla911[[#This Row],[CODIGO DEL PRODUCTO]],Tabla79[],2,FALSE)</f>
        <v>PIEDRA 0-6</v>
      </c>
      <c r="T1661" s="37">
        <v>33960</v>
      </c>
      <c r="U1661" s="78"/>
    </row>
    <row r="1662" spans="15:21" x14ac:dyDescent="0.25">
      <c r="O1662" s="76">
        <v>106036</v>
      </c>
      <c r="P1662" s="78" t="s">
        <v>244</v>
      </c>
      <c r="Q1662" s="77">
        <v>45980</v>
      </c>
      <c r="R1662" s="78" t="s">
        <v>43</v>
      </c>
      <c r="S1662" s="36" t="str">
        <f>VLOOKUP(Tabla911[[#This Row],[CODIGO DEL PRODUCTO]],Tabla79[],2,FALSE)</f>
        <v>PIEDRA 6-20</v>
      </c>
      <c r="T1662" s="37">
        <v>33940</v>
      </c>
      <c r="U1662" s="78"/>
    </row>
    <row r="1663" spans="15:21" x14ac:dyDescent="0.25">
      <c r="O1663" s="76">
        <v>106040</v>
      </c>
      <c r="P1663" s="78" t="s">
        <v>197</v>
      </c>
      <c r="Q1663" s="77">
        <v>45980</v>
      </c>
      <c r="R1663" s="78" t="s">
        <v>43</v>
      </c>
      <c r="S1663" s="36" t="str">
        <f>VLOOKUP(Tabla911[[#This Row],[CODIGO DEL PRODUCTO]],Tabla79[],2,FALSE)</f>
        <v>PIEDRA 6-20</v>
      </c>
      <c r="T1663" s="37">
        <v>35380</v>
      </c>
      <c r="U1663" s="78"/>
    </row>
    <row r="1664" spans="15:21" x14ac:dyDescent="0.25">
      <c r="O1664" s="76">
        <v>106051</v>
      </c>
      <c r="P1664" s="78" t="s">
        <v>156</v>
      </c>
      <c r="Q1664" s="77">
        <v>45980</v>
      </c>
      <c r="R1664" s="78" t="s">
        <v>43</v>
      </c>
      <c r="S1664" s="36" t="str">
        <f>VLOOKUP(Tabla911[[#This Row],[CODIGO DEL PRODUCTO]],Tabla79[],2,FALSE)</f>
        <v>PIEDRA 6-20</v>
      </c>
      <c r="T1664" s="37">
        <v>35360</v>
      </c>
      <c r="U1664" s="78"/>
    </row>
    <row r="1665" spans="15:21" x14ac:dyDescent="0.25">
      <c r="O1665" s="76">
        <v>2672328</v>
      </c>
      <c r="P1665" s="78" t="s">
        <v>65</v>
      </c>
      <c r="Q1665" s="77">
        <v>45980</v>
      </c>
      <c r="R1665" s="78" t="s">
        <v>286</v>
      </c>
      <c r="S1665" s="36" t="str">
        <f>VLOOKUP(Tabla911[[#This Row],[CODIGO DEL PRODUCTO]],Tabla79[],2,FALSE)</f>
        <v>CPF 40 AVELLANEDA</v>
      </c>
      <c r="T1665" s="37">
        <v>35920</v>
      </c>
      <c r="U1665" s="78"/>
    </row>
    <row r="1666" spans="15:21" x14ac:dyDescent="0.25">
      <c r="O1666" s="76">
        <v>2672381</v>
      </c>
      <c r="P1666" s="78" t="s">
        <v>296</v>
      </c>
      <c r="Q1666" s="77">
        <v>45980</v>
      </c>
      <c r="R1666" s="78" t="s">
        <v>286</v>
      </c>
      <c r="S1666" s="36" t="str">
        <f>VLOOKUP(Tabla911[[#This Row],[CODIGO DEL PRODUCTO]],Tabla79[],2,FALSE)</f>
        <v>CPF 40 AVELLANEDA</v>
      </c>
      <c r="T1666" s="37">
        <v>36240</v>
      </c>
      <c r="U1666" s="78"/>
    </row>
    <row r="1667" spans="15:21" x14ac:dyDescent="0.25">
      <c r="O1667" s="76">
        <v>102613</v>
      </c>
      <c r="P1667" s="78" t="s">
        <v>370</v>
      </c>
      <c r="Q1667" s="77">
        <v>45981</v>
      </c>
      <c r="R1667" s="78" t="s">
        <v>42</v>
      </c>
      <c r="S1667" s="36" t="str">
        <f>VLOOKUP(Tabla911[[#This Row],[CODIGO DEL PRODUCTO]],Tabla79[],2,FALSE)</f>
        <v>ARENA FINA</v>
      </c>
      <c r="T1667" s="37">
        <v>34580</v>
      </c>
      <c r="U1667" s="78"/>
    </row>
    <row r="1668" spans="15:21" x14ac:dyDescent="0.25">
      <c r="O1668" s="76">
        <v>102617</v>
      </c>
      <c r="P1668" s="78" t="s">
        <v>370</v>
      </c>
      <c r="Q1668" s="77">
        <v>45981</v>
      </c>
      <c r="R1668" s="78" t="s">
        <v>42</v>
      </c>
      <c r="S1668" s="36" t="str">
        <f>VLOOKUP(Tabla911[[#This Row],[CODIGO DEL PRODUCTO]],Tabla79[],2,FALSE)</f>
        <v>ARENA FINA</v>
      </c>
      <c r="T1668" s="37">
        <v>35240</v>
      </c>
      <c r="U1668" s="78"/>
    </row>
    <row r="1669" spans="15:21" x14ac:dyDescent="0.25">
      <c r="O1669" s="76">
        <v>218000</v>
      </c>
      <c r="P1669" s="78" t="s">
        <v>516</v>
      </c>
      <c r="Q1669" s="77">
        <v>45981</v>
      </c>
      <c r="R1669" s="78" t="s">
        <v>43</v>
      </c>
      <c r="S1669" s="36" t="str">
        <f>VLOOKUP(Tabla911[[#This Row],[CODIGO DEL PRODUCTO]],Tabla79[],2,FALSE)</f>
        <v>PIEDRA 6-20</v>
      </c>
      <c r="T1669" s="37">
        <v>36460</v>
      </c>
      <c r="U1669" s="78"/>
    </row>
    <row r="1670" spans="15:21" x14ac:dyDescent="0.25">
      <c r="O1670" s="76">
        <v>106059</v>
      </c>
      <c r="P1670" s="78" t="s">
        <v>252</v>
      </c>
      <c r="Q1670" s="77">
        <v>45981</v>
      </c>
      <c r="R1670" s="78" t="s">
        <v>43</v>
      </c>
      <c r="S1670" s="36" t="str">
        <f>VLOOKUP(Tabla911[[#This Row],[CODIGO DEL PRODUCTO]],Tabla79[],2,FALSE)</f>
        <v>PIEDRA 6-20</v>
      </c>
      <c r="T1670" s="37">
        <v>35260</v>
      </c>
      <c r="U1670" s="78"/>
    </row>
    <row r="1671" spans="15:21" x14ac:dyDescent="0.25">
      <c r="O1671" s="76">
        <v>106072</v>
      </c>
      <c r="P1671" s="78" t="s">
        <v>285</v>
      </c>
      <c r="Q1671" s="77">
        <v>45981</v>
      </c>
      <c r="R1671" s="78" t="s">
        <v>40</v>
      </c>
      <c r="S1671" s="36" t="str">
        <f>VLOOKUP(Tabla911[[#This Row],[CODIGO DEL PRODUCTO]],Tabla79[],2,FALSE)</f>
        <v>PIEDRA 0-6</v>
      </c>
      <c r="T1671" s="37">
        <v>35060</v>
      </c>
      <c r="U1671" s="78"/>
    </row>
    <row r="1672" spans="15:21" x14ac:dyDescent="0.25">
      <c r="O1672" s="76">
        <v>106075</v>
      </c>
      <c r="P1672" s="78" t="s">
        <v>244</v>
      </c>
      <c r="Q1672" s="77">
        <v>45981</v>
      </c>
      <c r="R1672" s="78" t="s">
        <v>43</v>
      </c>
      <c r="S1672" s="36" t="str">
        <f>VLOOKUP(Tabla911[[#This Row],[CODIGO DEL PRODUCTO]],Tabla79[],2,FALSE)</f>
        <v>PIEDRA 6-20</v>
      </c>
      <c r="T1672" s="37">
        <v>34520</v>
      </c>
      <c r="U1672" s="78"/>
    </row>
    <row r="1673" spans="15:21" x14ac:dyDescent="0.25">
      <c r="O1673" s="76">
        <v>106092</v>
      </c>
      <c r="P1673" s="78" t="s">
        <v>156</v>
      </c>
      <c r="Q1673" s="77">
        <v>45981</v>
      </c>
      <c r="R1673" s="78" t="s">
        <v>43</v>
      </c>
      <c r="S1673" s="36" t="str">
        <f>VLOOKUP(Tabla911[[#This Row],[CODIGO DEL PRODUCTO]],Tabla79[],2,FALSE)</f>
        <v>PIEDRA 6-20</v>
      </c>
      <c r="T1673" s="37">
        <v>35100</v>
      </c>
      <c r="U1673" s="78"/>
    </row>
    <row r="1674" spans="15:21" x14ac:dyDescent="0.25">
      <c r="O1674" s="76">
        <v>148026</v>
      </c>
      <c r="P1674" s="78" t="s">
        <v>119</v>
      </c>
      <c r="Q1674" s="77">
        <v>45981</v>
      </c>
      <c r="R1674" s="78" t="s">
        <v>43</v>
      </c>
      <c r="S1674" s="36" t="str">
        <f>VLOOKUP(Tabla911[[#This Row],[CODIGO DEL PRODUCTO]],Tabla79[],2,FALSE)</f>
        <v>PIEDRA 6-20</v>
      </c>
      <c r="T1674" s="37">
        <v>36220</v>
      </c>
      <c r="U1674" s="78"/>
    </row>
    <row r="1675" spans="15:21" x14ac:dyDescent="0.25">
      <c r="O1675" s="76">
        <v>2672623</v>
      </c>
      <c r="P1675" s="78" t="s">
        <v>65</v>
      </c>
      <c r="Q1675" s="77">
        <v>45981</v>
      </c>
      <c r="R1675" s="78" t="s">
        <v>286</v>
      </c>
      <c r="S1675" s="36" t="str">
        <f>VLOOKUP(Tabla911[[#This Row],[CODIGO DEL PRODUCTO]],Tabla79[],2,FALSE)</f>
        <v>CPF 40 AVELLANEDA</v>
      </c>
      <c r="T1675" s="37">
        <v>35860</v>
      </c>
      <c r="U1675" s="78"/>
    </row>
    <row r="1676" spans="15:21" x14ac:dyDescent="0.25">
      <c r="O1676" s="76">
        <v>2672702</v>
      </c>
      <c r="P1676" s="78" t="s">
        <v>296</v>
      </c>
      <c r="Q1676" s="77">
        <v>45981</v>
      </c>
      <c r="R1676" s="78" t="s">
        <v>286</v>
      </c>
      <c r="S1676" s="36" t="str">
        <f>VLOOKUP(Tabla911[[#This Row],[CODIGO DEL PRODUCTO]],Tabla79[],2,FALSE)</f>
        <v>CPF 40 AVELLANEDA</v>
      </c>
      <c r="T1676" s="37">
        <v>36660</v>
      </c>
      <c r="U1676" s="78"/>
    </row>
    <row r="1677" spans="15:21" x14ac:dyDescent="0.25">
      <c r="O1677" s="76">
        <v>102623</v>
      </c>
      <c r="P1677" s="78" t="s">
        <v>370</v>
      </c>
      <c r="Q1677" s="77">
        <v>45982</v>
      </c>
      <c r="R1677" s="78" t="s">
        <v>42</v>
      </c>
      <c r="S1677" s="36" t="str">
        <f>VLOOKUP(Tabla911[[#This Row],[CODIGO DEL PRODUCTO]],Tabla79[],2,FALSE)</f>
        <v>ARENA FINA</v>
      </c>
      <c r="T1677" s="37">
        <v>34080</v>
      </c>
      <c r="U1677" s="78"/>
    </row>
    <row r="1678" spans="15:21" x14ac:dyDescent="0.25">
      <c r="O1678" s="76">
        <v>102627</v>
      </c>
      <c r="P1678" s="78" t="s">
        <v>370</v>
      </c>
      <c r="Q1678" s="77">
        <v>45982</v>
      </c>
      <c r="R1678" s="78" t="s">
        <v>42</v>
      </c>
      <c r="S1678" s="36" t="str">
        <f>VLOOKUP(Tabla911[[#This Row],[CODIGO DEL PRODUCTO]],Tabla79[],2,FALSE)</f>
        <v>ARENA FINA</v>
      </c>
      <c r="T1678" s="37">
        <v>35040</v>
      </c>
      <c r="U1678" s="78"/>
    </row>
    <row r="1679" spans="15:21" x14ac:dyDescent="0.25">
      <c r="O1679" s="76">
        <v>106104</v>
      </c>
      <c r="P1679" s="78" t="s">
        <v>197</v>
      </c>
      <c r="Q1679" s="77">
        <v>45982</v>
      </c>
      <c r="R1679" s="78" t="s">
        <v>43</v>
      </c>
      <c r="S1679" s="36" t="str">
        <f>VLOOKUP(Tabla911[[#This Row],[CODIGO DEL PRODUCTO]],Tabla79[],2,FALSE)</f>
        <v>PIEDRA 6-20</v>
      </c>
      <c r="T1679" s="37">
        <v>35620</v>
      </c>
      <c r="U1679" s="78"/>
    </row>
    <row r="1680" spans="15:21" x14ac:dyDescent="0.25">
      <c r="O1680" s="76">
        <v>106107</v>
      </c>
      <c r="P1680" s="78" t="s">
        <v>252</v>
      </c>
      <c r="Q1680" s="77">
        <v>45982</v>
      </c>
      <c r="R1680" s="78" t="s">
        <v>43</v>
      </c>
      <c r="S1680" s="36" t="str">
        <f>VLOOKUP(Tabla911[[#This Row],[CODIGO DEL PRODUCTO]],Tabla79[],2,FALSE)</f>
        <v>PIEDRA 6-20</v>
      </c>
      <c r="T1680" s="37">
        <v>35440</v>
      </c>
      <c r="U1680" s="78"/>
    </row>
    <row r="1681" spans="15:21" x14ac:dyDescent="0.25">
      <c r="O1681" s="76">
        <v>106116</v>
      </c>
      <c r="P1681" s="78" t="s">
        <v>285</v>
      </c>
      <c r="Q1681" s="77">
        <v>45982</v>
      </c>
      <c r="R1681" s="78" t="s">
        <v>40</v>
      </c>
      <c r="S1681" s="36" t="str">
        <f>VLOOKUP(Tabla911[[#This Row],[CODIGO DEL PRODUCTO]],Tabla79[],2,FALSE)</f>
        <v>PIEDRA 0-6</v>
      </c>
      <c r="T1681" s="37">
        <v>34720</v>
      </c>
      <c r="U1681" s="78"/>
    </row>
    <row r="1682" spans="15:21" x14ac:dyDescent="0.25">
      <c r="O1682" s="76">
        <v>106127</v>
      </c>
      <c r="P1682" s="78" t="s">
        <v>254</v>
      </c>
      <c r="Q1682" s="77">
        <v>45982</v>
      </c>
      <c r="R1682" s="78" t="s">
        <v>48</v>
      </c>
      <c r="S1682" s="36" t="str">
        <f>VLOOKUP(Tabla911[[#This Row],[CODIGO DEL PRODUCTO]],Tabla79[],2,FALSE)</f>
        <v>PIEDRA 6-12</v>
      </c>
      <c r="T1682" s="37">
        <v>34960</v>
      </c>
      <c r="U1682" s="78"/>
    </row>
    <row r="1683" spans="15:21" x14ac:dyDescent="0.25">
      <c r="O1683" s="76">
        <v>106138</v>
      </c>
      <c r="P1683" s="78" t="s">
        <v>156</v>
      </c>
      <c r="Q1683" s="77">
        <v>45982</v>
      </c>
      <c r="R1683" s="78" t="s">
        <v>43</v>
      </c>
      <c r="S1683" s="36" t="str">
        <f>VLOOKUP(Tabla911[[#This Row],[CODIGO DEL PRODUCTO]],Tabla79[],2,FALSE)</f>
        <v>PIEDRA 6-20</v>
      </c>
      <c r="T1683" s="37">
        <v>35040</v>
      </c>
      <c r="U1683" s="78"/>
    </row>
    <row r="1684" spans="15:21" x14ac:dyDescent="0.25">
      <c r="O1684" s="76">
        <v>148169</v>
      </c>
      <c r="P1684" s="78" t="s">
        <v>342</v>
      </c>
      <c r="Q1684" s="77">
        <v>45982</v>
      </c>
      <c r="R1684" s="78" t="s">
        <v>43</v>
      </c>
      <c r="S1684" s="36" t="str">
        <f>VLOOKUP(Tabla911[[#This Row],[CODIGO DEL PRODUCTO]],Tabla79[],2,FALSE)</f>
        <v>PIEDRA 6-20</v>
      </c>
      <c r="T1684" s="37">
        <v>34920</v>
      </c>
      <c r="U1684" s="78"/>
    </row>
    <row r="1685" spans="15:21" x14ac:dyDescent="0.25">
      <c r="O1685" s="76">
        <v>2672915</v>
      </c>
      <c r="P1685" s="78" t="s">
        <v>65</v>
      </c>
      <c r="Q1685" s="77">
        <v>45982</v>
      </c>
      <c r="R1685" s="78" t="s">
        <v>286</v>
      </c>
      <c r="S1685" s="36" t="str">
        <f>VLOOKUP(Tabla911[[#This Row],[CODIGO DEL PRODUCTO]],Tabla79[],2,FALSE)</f>
        <v>CPF 40 AVELLANEDA</v>
      </c>
      <c r="T1685" s="37">
        <v>36120</v>
      </c>
      <c r="U1685" s="78"/>
    </row>
    <row r="1686" spans="15:21" x14ac:dyDescent="0.25">
      <c r="O1686" s="76">
        <v>2673036</v>
      </c>
      <c r="P1686" s="78" t="s">
        <v>296</v>
      </c>
      <c r="Q1686" s="77">
        <v>45982</v>
      </c>
      <c r="R1686" s="78" t="s">
        <v>286</v>
      </c>
      <c r="S1686" s="36" t="str">
        <f>VLOOKUP(Tabla911[[#This Row],[CODIGO DEL PRODUCTO]],Tabla79[],2,FALSE)</f>
        <v>CPF 40 AVELLANEDA</v>
      </c>
      <c r="T1686" s="37">
        <v>36340</v>
      </c>
      <c r="U1686" s="78"/>
    </row>
    <row r="1687" spans="15:21" x14ac:dyDescent="0.25">
      <c r="O1687" s="76">
        <v>102633</v>
      </c>
      <c r="P1687" s="78" t="s">
        <v>370</v>
      </c>
      <c r="Q1687" s="77">
        <v>45983</v>
      </c>
      <c r="R1687" s="78" t="s">
        <v>42</v>
      </c>
      <c r="S1687" s="36" t="str">
        <f>VLOOKUP(Tabla911[[#This Row],[CODIGO DEL PRODUCTO]],Tabla79[],2,FALSE)</f>
        <v>ARENA FINA</v>
      </c>
      <c r="T1687" s="37">
        <v>35420</v>
      </c>
      <c r="U1687" s="78"/>
    </row>
    <row r="1688" spans="15:21" x14ac:dyDescent="0.25">
      <c r="O1688" s="76">
        <v>106149</v>
      </c>
      <c r="P1688" s="78" t="s">
        <v>252</v>
      </c>
      <c r="Q1688" s="77">
        <v>45983</v>
      </c>
      <c r="R1688" s="78" t="s">
        <v>43</v>
      </c>
      <c r="S1688" s="36" t="str">
        <f>VLOOKUP(Tabla911[[#This Row],[CODIGO DEL PRODUCTO]],Tabla79[],2,FALSE)</f>
        <v>PIEDRA 6-20</v>
      </c>
      <c r="T1688" s="37">
        <v>35280</v>
      </c>
      <c r="U1688" s="78"/>
    </row>
    <row r="1689" spans="15:21" x14ac:dyDescent="0.25">
      <c r="O1689" s="76">
        <v>106150</v>
      </c>
      <c r="P1689" s="78" t="s">
        <v>197</v>
      </c>
      <c r="Q1689" s="77">
        <v>45983</v>
      </c>
      <c r="R1689" s="78" t="s">
        <v>43</v>
      </c>
      <c r="S1689" s="36" t="str">
        <f>VLOOKUP(Tabla911[[#This Row],[CODIGO DEL PRODUCTO]],Tabla79[],2,FALSE)</f>
        <v>PIEDRA 6-20</v>
      </c>
      <c r="T1689" s="37">
        <v>34760</v>
      </c>
      <c r="U1689" s="78"/>
    </row>
    <row r="1690" spans="15:21" x14ac:dyDescent="0.25">
      <c r="O1690" s="76">
        <v>102638</v>
      </c>
      <c r="P1690" s="78" t="s">
        <v>370</v>
      </c>
      <c r="Q1690" s="77">
        <v>45986</v>
      </c>
      <c r="R1690" s="78" t="s">
        <v>42</v>
      </c>
      <c r="S1690" s="36" t="str">
        <f>VLOOKUP(Tabla911[[#This Row],[CODIGO DEL PRODUCTO]],Tabla79[],2,FALSE)</f>
        <v>ARENA FINA</v>
      </c>
      <c r="T1690" s="37">
        <v>34700</v>
      </c>
      <c r="U1690" s="78"/>
    </row>
    <row r="1691" spans="15:21" x14ac:dyDescent="0.25">
      <c r="O1691" s="76">
        <v>102646</v>
      </c>
      <c r="P1691" s="78" t="s">
        <v>370</v>
      </c>
      <c r="Q1691" s="77">
        <v>45986</v>
      </c>
      <c r="R1691" s="78" t="s">
        <v>42</v>
      </c>
      <c r="S1691" s="36" t="str">
        <f>VLOOKUP(Tabla911[[#This Row],[CODIGO DEL PRODUCTO]],Tabla79[],2,FALSE)</f>
        <v>ARENA FINA</v>
      </c>
      <c r="T1691" s="37">
        <v>35040</v>
      </c>
      <c r="U1691" s="78"/>
    </row>
    <row r="1692" spans="15:21" x14ac:dyDescent="0.25">
      <c r="O1692" s="76">
        <v>102647</v>
      </c>
      <c r="P1692" s="78" t="s">
        <v>550</v>
      </c>
      <c r="Q1692" s="77">
        <v>45986</v>
      </c>
      <c r="R1692" s="78" t="s">
        <v>42</v>
      </c>
      <c r="S1692" s="36" t="str">
        <f>VLOOKUP(Tabla911[[#This Row],[CODIGO DEL PRODUCTO]],Tabla79[],2,FALSE)</f>
        <v>ARENA FINA</v>
      </c>
      <c r="T1692" s="37">
        <v>35600</v>
      </c>
      <c r="U1692" s="78"/>
    </row>
    <row r="1693" spans="15:21" x14ac:dyDescent="0.25">
      <c r="O1693" s="76">
        <v>102651</v>
      </c>
      <c r="P1693" s="78" t="s">
        <v>637</v>
      </c>
      <c r="Q1693" s="77">
        <v>45986</v>
      </c>
      <c r="R1693" s="78" t="s">
        <v>42</v>
      </c>
      <c r="S1693" s="36" t="str">
        <f>VLOOKUP(Tabla911[[#This Row],[CODIGO DEL PRODUCTO]],Tabla79[],2,FALSE)</f>
        <v>ARENA FINA</v>
      </c>
      <c r="T1693" s="37">
        <v>35040</v>
      </c>
      <c r="U1693" s="78"/>
    </row>
    <row r="1694" spans="15:21" x14ac:dyDescent="0.25">
      <c r="O1694" s="76">
        <v>102652</v>
      </c>
      <c r="P1694" s="78" t="s">
        <v>551</v>
      </c>
      <c r="Q1694" s="77">
        <v>45986</v>
      </c>
      <c r="R1694" s="78" t="s">
        <v>42</v>
      </c>
      <c r="S1694" s="36" t="str">
        <f>VLOOKUP(Tabla911[[#This Row],[CODIGO DEL PRODUCTO]],Tabla79[],2,FALSE)</f>
        <v>ARENA FINA</v>
      </c>
      <c r="T1694" s="37">
        <v>38140</v>
      </c>
      <c r="U1694" s="78"/>
    </row>
    <row r="1695" spans="15:21" x14ac:dyDescent="0.25">
      <c r="O1695" s="76">
        <v>106163</v>
      </c>
      <c r="P1695" s="78" t="s">
        <v>234</v>
      </c>
      <c r="Q1695" s="77">
        <v>45986</v>
      </c>
      <c r="R1695" s="78" t="s">
        <v>43</v>
      </c>
      <c r="S1695" s="36" t="str">
        <f>VLOOKUP(Tabla911[[#This Row],[CODIGO DEL PRODUCTO]],Tabla79[],2,FALSE)</f>
        <v>PIEDRA 6-20</v>
      </c>
      <c r="T1695" s="37">
        <v>34880</v>
      </c>
      <c r="U1695" s="78"/>
    </row>
    <row r="1696" spans="15:21" x14ac:dyDescent="0.25">
      <c r="O1696" s="76">
        <v>106167</v>
      </c>
      <c r="P1696" s="78" t="s">
        <v>150</v>
      </c>
      <c r="Q1696" s="77">
        <v>45986</v>
      </c>
      <c r="R1696" s="78" t="s">
        <v>40</v>
      </c>
      <c r="S1696" s="36" t="str">
        <f>VLOOKUP(Tabla911[[#This Row],[CODIGO DEL PRODUCTO]],Tabla79[],2,FALSE)</f>
        <v>PIEDRA 0-6</v>
      </c>
      <c r="T1696" s="37">
        <v>34920</v>
      </c>
      <c r="U1696" s="78"/>
    </row>
    <row r="1697" spans="15:24" x14ac:dyDescent="0.25">
      <c r="O1697" s="76">
        <v>106168</v>
      </c>
      <c r="P1697" s="78" t="s">
        <v>355</v>
      </c>
      <c r="Q1697" s="77">
        <v>45986</v>
      </c>
      <c r="R1697" s="78" t="s">
        <v>43</v>
      </c>
      <c r="S1697" s="36" t="str">
        <f>VLOOKUP(Tabla911[[#This Row],[CODIGO DEL PRODUCTO]],Tabla79[],2,FALSE)</f>
        <v>PIEDRA 6-20</v>
      </c>
      <c r="T1697" s="37">
        <v>34560</v>
      </c>
      <c r="U1697" s="78"/>
    </row>
    <row r="1698" spans="15:24" x14ac:dyDescent="0.25">
      <c r="O1698" s="76">
        <v>106182</v>
      </c>
      <c r="P1698" s="78" t="s">
        <v>197</v>
      </c>
      <c r="Q1698" s="77">
        <v>45986</v>
      </c>
      <c r="R1698" s="78" t="s">
        <v>43</v>
      </c>
      <c r="S1698" s="36" t="str">
        <f>VLOOKUP(Tabla911[[#This Row],[CODIGO DEL PRODUCTO]],Tabla79[],2,FALSE)</f>
        <v>PIEDRA 6-20</v>
      </c>
      <c r="T1698" s="37">
        <v>34540</v>
      </c>
      <c r="U1698" s="78"/>
    </row>
    <row r="1699" spans="15:24" x14ac:dyDescent="0.25">
      <c r="O1699" s="76">
        <v>106187</v>
      </c>
      <c r="P1699" s="78" t="s">
        <v>318</v>
      </c>
      <c r="Q1699" s="77">
        <v>45986</v>
      </c>
      <c r="R1699" s="78" t="s">
        <v>43</v>
      </c>
      <c r="S1699" s="36" t="str">
        <f>VLOOKUP(Tabla911[[#This Row],[CODIGO DEL PRODUCTO]],Tabla79[],2,FALSE)</f>
        <v>PIEDRA 6-20</v>
      </c>
      <c r="T1699" s="37">
        <v>34180</v>
      </c>
      <c r="U1699" s="78"/>
    </row>
    <row r="1700" spans="15:24" x14ac:dyDescent="0.25">
      <c r="O1700" s="76">
        <v>106188</v>
      </c>
      <c r="P1700" s="78" t="s">
        <v>263</v>
      </c>
      <c r="Q1700" s="77">
        <v>45986</v>
      </c>
      <c r="R1700" s="78" t="s">
        <v>43</v>
      </c>
      <c r="S1700" s="36" t="str">
        <f>VLOOKUP(Tabla911[[#This Row],[CODIGO DEL PRODUCTO]],Tabla79[],2,FALSE)</f>
        <v>PIEDRA 6-20</v>
      </c>
      <c r="T1700" s="37">
        <v>35480</v>
      </c>
      <c r="U1700" s="78"/>
    </row>
    <row r="1701" spans="15:24" x14ac:dyDescent="0.25">
      <c r="O1701" s="76">
        <v>2673084</v>
      </c>
      <c r="P1701" s="78" t="s">
        <v>65</v>
      </c>
      <c r="Q1701" s="77">
        <v>45986</v>
      </c>
      <c r="R1701" s="78" t="s">
        <v>286</v>
      </c>
      <c r="S1701" s="36" t="str">
        <f>VLOOKUP(Tabla911[[#This Row],[CODIGO DEL PRODUCTO]],Tabla79[],2,FALSE)</f>
        <v>CPF 40 AVELLANEDA</v>
      </c>
      <c r="T1701" s="37">
        <v>35180</v>
      </c>
      <c r="U1701" s="78"/>
    </row>
    <row r="1702" spans="15:24" x14ac:dyDescent="0.25">
      <c r="O1702" s="76">
        <v>102657</v>
      </c>
      <c r="P1702" s="78" t="s">
        <v>370</v>
      </c>
      <c r="Q1702" s="77">
        <v>45987</v>
      </c>
      <c r="R1702" s="78" t="s">
        <v>42</v>
      </c>
      <c r="S1702" s="36" t="str">
        <f>VLOOKUP(Tabla911[[#This Row],[CODIGO DEL PRODUCTO]],Tabla79[],2,FALSE)</f>
        <v>ARENA FINA</v>
      </c>
      <c r="T1702" s="37">
        <v>35120</v>
      </c>
      <c r="U1702" s="78"/>
      <c r="V1702" s="7">
        <v>45987</v>
      </c>
      <c r="W1702" t="s">
        <v>639</v>
      </c>
      <c r="X1702" t="s">
        <v>640</v>
      </c>
    </row>
    <row r="1703" spans="15:24" x14ac:dyDescent="0.25">
      <c r="O1703" s="76">
        <v>106203</v>
      </c>
      <c r="P1703" s="78" t="s">
        <v>150</v>
      </c>
      <c r="Q1703" s="77">
        <v>45987</v>
      </c>
      <c r="R1703" s="78" t="s">
        <v>40</v>
      </c>
      <c r="S1703" s="36" t="str">
        <f>VLOOKUP(Tabla911[[#This Row],[CODIGO DEL PRODUCTO]],Tabla79[],2,FALSE)</f>
        <v>PIEDRA 0-6</v>
      </c>
      <c r="T1703" s="37">
        <v>35660</v>
      </c>
      <c r="U1703" s="78"/>
    </row>
    <row r="1704" spans="15:24" x14ac:dyDescent="0.25">
      <c r="O1704" s="76">
        <v>106205</v>
      </c>
      <c r="P1704" s="78" t="s">
        <v>355</v>
      </c>
      <c r="Q1704" s="77">
        <v>45987</v>
      </c>
      <c r="R1704" s="78" t="s">
        <v>43</v>
      </c>
      <c r="S1704" s="36" t="str">
        <f>VLOOKUP(Tabla911[[#This Row],[CODIGO DEL PRODUCTO]],Tabla79[],2,FALSE)</f>
        <v>PIEDRA 6-20</v>
      </c>
      <c r="T1704" s="37">
        <v>34780</v>
      </c>
      <c r="U1704" s="78"/>
    </row>
    <row r="1705" spans="15:24" x14ac:dyDescent="0.25">
      <c r="O1705" s="76">
        <v>106220</v>
      </c>
      <c r="P1705" s="78" t="s">
        <v>197</v>
      </c>
      <c r="Q1705" s="77">
        <v>45987</v>
      </c>
      <c r="R1705" s="78" t="s">
        <v>43</v>
      </c>
      <c r="S1705" s="36" t="str">
        <f>VLOOKUP(Tabla911[[#This Row],[CODIGO DEL PRODUCTO]],Tabla79[],2,FALSE)</f>
        <v>PIEDRA 6-20</v>
      </c>
      <c r="T1705" s="37">
        <v>36060</v>
      </c>
      <c r="U1705" s="78"/>
    </row>
    <row r="1706" spans="15:24" x14ac:dyDescent="0.25">
      <c r="O1706" s="76">
        <v>106223</v>
      </c>
      <c r="P1706" s="78" t="s">
        <v>318</v>
      </c>
      <c r="Q1706" s="77">
        <v>45987</v>
      </c>
      <c r="R1706" s="78" t="s">
        <v>43</v>
      </c>
      <c r="S1706" s="36" t="str">
        <f>VLOOKUP(Tabla911[[#This Row],[CODIGO DEL PRODUCTO]],Tabla79[],2,FALSE)</f>
        <v>PIEDRA 6-20</v>
      </c>
      <c r="T1706" s="37">
        <v>34780</v>
      </c>
      <c r="U1706" s="78"/>
    </row>
    <row r="1707" spans="15:24" x14ac:dyDescent="0.25">
      <c r="O1707" s="76">
        <v>106230</v>
      </c>
      <c r="P1707" s="78" t="s">
        <v>263</v>
      </c>
      <c r="Q1707" s="77">
        <v>45987</v>
      </c>
      <c r="R1707" s="78" t="s">
        <v>43</v>
      </c>
      <c r="S1707" s="36" t="str">
        <f>VLOOKUP(Tabla911[[#This Row],[CODIGO DEL PRODUCTO]],Tabla79[],2,FALSE)</f>
        <v>PIEDRA 6-20</v>
      </c>
      <c r="T1707" s="37">
        <v>35060</v>
      </c>
      <c r="U1707" s="78"/>
    </row>
    <row r="1708" spans="15:24" x14ac:dyDescent="0.25">
      <c r="O1708" s="76">
        <v>2673489</v>
      </c>
      <c r="P1708" s="78" t="s">
        <v>65</v>
      </c>
      <c r="Q1708" s="77">
        <v>45987</v>
      </c>
      <c r="R1708" s="78" t="s">
        <v>286</v>
      </c>
      <c r="S1708" s="36" t="str">
        <f>VLOOKUP(Tabla911[[#This Row],[CODIGO DEL PRODUCTO]],Tabla79[],2,FALSE)</f>
        <v>CPF 40 AVELLANEDA</v>
      </c>
      <c r="T1708" s="37">
        <v>36000</v>
      </c>
      <c r="U1708" s="78"/>
    </row>
    <row r="1709" spans="15:24" x14ac:dyDescent="0.25">
      <c r="O1709" s="76">
        <v>2673555</v>
      </c>
      <c r="P1709" s="78" t="s">
        <v>296</v>
      </c>
      <c r="Q1709" s="77">
        <v>45987</v>
      </c>
      <c r="R1709" s="78" t="s">
        <v>286</v>
      </c>
      <c r="S1709" s="36" t="str">
        <f>VLOOKUP(Tabla911[[#This Row],[CODIGO DEL PRODUCTO]],Tabla79[],2,FALSE)</f>
        <v>CPF 40 AVELLANEDA</v>
      </c>
      <c r="T1709" s="37">
        <v>36720</v>
      </c>
      <c r="U1709" s="78"/>
    </row>
    <row r="1710" spans="15:24" x14ac:dyDescent="0.25">
      <c r="O1710" s="76">
        <v>102666</v>
      </c>
      <c r="P1710" s="78" t="s">
        <v>370</v>
      </c>
      <c r="Q1710" s="77">
        <v>45988</v>
      </c>
      <c r="R1710" s="78" t="s">
        <v>42</v>
      </c>
      <c r="S1710" s="36" t="str">
        <f>VLOOKUP(Tabla911[[#This Row],[CODIGO DEL PRODUCTO]],Tabla79[],2,FALSE)</f>
        <v>ARENA FINA</v>
      </c>
      <c r="T1710" s="37">
        <v>35700</v>
      </c>
      <c r="U1710" s="78"/>
    </row>
    <row r="1711" spans="15:24" x14ac:dyDescent="0.25">
      <c r="O1711" s="76">
        <v>102668</v>
      </c>
      <c r="P1711" s="78" t="s">
        <v>567</v>
      </c>
      <c r="Q1711" s="77">
        <v>45988</v>
      </c>
      <c r="R1711" s="78" t="s">
        <v>42</v>
      </c>
      <c r="S1711" s="36" t="str">
        <f>VLOOKUP(Tabla911[[#This Row],[CODIGO DEL PRODUCTO]],Tabla79[],2,FALSE)</f>
        <v>ARENA FINA</v>
      </c>
      <c r="T1711" s="37">
        <v>35820</v>
      </c>
      <c r="U1711" s="78"/>
    </row>
    <row r="1712" spans="15:24" x14ac:dyDescent="0.25">
      <c r="O1712" s="76">
        <v>102671</v>
      </c>
      <c r="P1712" s="78" t="s">
        <v>370</v>
      </c>
      <c r="Q1712" s="77">
        <v>45988</v>
      </c>
      <c r="R1712" s="78" t="s">
        <v>42</v>
      </c>
      <c r="S1712" s="36" t="str">
        <f>VLOOKUP(Tabla911[[#This Row],[CODIGO DEL PRODUCTO]],Tabla79[],2,FALSE)</f>
        <v>ARENA FINA</v>
      </c>
      <c r="T1712" s="37">
        <v>35240</v>
      </c>
      <c r="U1712" s="78"/>
    </row>
    <row r="1713" spans="15:21" x14ac:dyDescent="0.25">
      <c r="O1713" s="76">
        <v>102673</v>
      </c>
      <c r="P1713" s="78" t="s">
        <v>567</v>
      </c>
      <c r="Q1713" s="77">
        <v>45988</v>
      </c>
      <c r="R1713" s="78" t="s">
        <v>42</v>
      </c>
      <c r="S1713" s="36" t="str">
        <f>VLOOKUP(Tabla911[[#This Row],[CODIGO DEL PRODUCTO]],Tabla79[],2,FALSE)</f>
        <v>ARENA FINA</v>
      </c>
      <c r="T1713" s="37">
        <v>39160</v>
      </c>
      <c r="U1713" s="78"/>
    </row>
    <row r="1714" spans="15:21" x14ac:dyDescent="0.25">
      <c r="O1714" s="76">
        <v>102674</v>
      </c>
      <c r="P1714" s="78" t="s">
        <v>637</v>
      </c>
      <c r="Q1714" s="77">
        <v>45988</v>
      </c>
      <c r="R1714" s="78" t="s">
        <v>42</v>
      </c>
      <c r="S1714" s="36" t="str">
        <f>VLOOKUP(Tabla911[[#This Row],[CODIGO DEL PRODUCTO]],Tabla79[],2,FALSE)</f>
        <v>ARENA FINA</v>
      </c>
      <c r="T1714" s="37">
        <v>35220</v>
      </c>
      <c r="U1714" s="78"/>
    </row>
    <row r="1715" spans="15:21" x14ac:dyDescent="0.25">
      <c r="O1715" s="76">
        <v>106241</v>
      </c>
      <c r="P1715" s="78" t="s">
        <v>355</v>
      </c>
      <c r="Q1715" s="77">
        <v>45988</v>
      </c>
      <c r="R1715" s="78" t="s">
        <v>43</v>
      </c>
      <c r="S1715" s="36" t="str">
        <f>VLOOKUP(Tabla911[[#This Row],[CODIGO DEL PRODUCTO]],Tabla79[],2,FALSE)</f>
        <v>PIEDRA 6-20</v>
      </c>
      <c r="T1715" s="37">
        <v>34760</v>
      </c>
      <c r="U1715" s="78"/>
    </row>
    <row r="1716" spans="15:21" x14ac:dyDescent="0.25">
      <c r="O1716" s="76">
        <v>106244</v>
      </c>
      <c r="P1716" s="78" t="s">
        <v>150</v>
      </c>
      <c r="Q1716" s="77">
        <v>45988</v>
      </c>
      <c r="R1716" s="78" t="s">
        <v>40</v>
      </c>
      <c r="S1716" s="36" t="str">
        <f>VLOOKUP(Tabla911[[#This Row],[CODIGO DEL PRODUCTO]],Tabla79[],2,FALSE)</f>
        <v>PIEDRA 0-6</v>
      </c>
      <c r="T1716" s="37">
        <v>35240</v>
      </c>
      <c r="U1716" s="78"/>
    </row>
    <row r="1717" spans="15:21" x14ac:dyDescent="0.25">
      <c r="O1717" s="76">
        <v>106263</v>
      </c>
      <c r="P1717" s="78" t="s">
        <v>318</v>
      </c>
      <c r="Q1717" s="77">
        <v>45988</v>
      </c>
      <c r="R1717" s="78" t="s">
        <v>43</v>
      </c>
      <c r="S1717" s="36" t="str">
        <f>VLOOKUP(Tabla911[[#This Row],[CODIGO DEL PRODUCTO]],Tabla79[],2,FALSE)</f>
        <v>PIEDRA 6-20</v>
      </c>
      <c r="T1717" s="37">
        <v>35340</v>
      </c>
      <c r="U1717" s="78"/>
    </row>
    <row r="1718" spans="15:21" x14ac:dyDescent="0.25">
      <c r="O1718" s="76">
        <v>106269</v>
      </c>
      <c r="P1718" s="78" t="s">
        <v>263</v>
      </c>
      <c r="Q1718" s="77">
        <v>45988</v>
      </c>
      <c r="R1718" s="78" t="s">
        <v>43</v>
      </c>
      <c r="S1718" s="36" t="str">
        <f>VLOOKUP(Tabla911[[#This Row],[CODIGO DEL PRODUCTO]],Tabla79[],2,FALSE)</f>
        <v>PIEDRA 6-20</v>
      </c>
      <c r="T1718" s="37">
        <v>35520</v>
      </c>
      <c r="U1718" s="78"/>
    </row>
    <row r="1719" spans="15:21" x14ac:dyDescent="0.25">
      <c r="O1719" s="76">
        <v>148354</v>
      </c>
      <c r="P1719" s="78" t="s">
        <v>119</v>
      </c>
      <c r="Q1719" s="77">
        <v>45988</v>
      </c>
      <c r="R1719" s="78" t="s">
        <v>43</v>
      </c>
      <c r="S1719" s="36" t="str">
        <f>VLOOKUP(Tabla911[[#This Row],[CODIGO DEL PRODUCTO]],Tabla79[],2,FALSE)</f>
        <v>PIEDRA 6-20</v>
      </c>
      <c r="T1719" s="37">
        <v>36640</v>
      </c>
      <c r="U1719" s="78"/>
    </row>
    <row r="1720" spans="15:21" x14ac:dyDescent="0.25">
      <c r="O1720" s="76">
        <v>2673886</v>
      </c>
      <c r="P1720" s="78" t="s">
        <v>65</v>
      </c>
      <c r="Q1720" s="77">
        <v>45988</v>
      </c>
      <c r="R1720" s="78" t="s">
        <v>286</v>
      </c>
      <c r="S1720" s="36" t="str">
        <f>VLOOKUP(Tabla911[[#This Row],[CODIGO DEL PRODUCTO]],Tabla79[],2,FALSE)</f>
        <v>CPF 40 AVELLANEDA</v>
      </c>
      <c r="T1720" s="37">
        <v>36160</v>
      </c>
      <c r="U1720" s="78"/>
    </row>
    <row r="1721" spans="15:21" x14ac:dyDescent="0.25">
      <c r="O1721" s="76">
        <v>37587</v>
      </c>
      <c r="P1721" s="78" t="s">
        <v>449</v>
      </c>
      <c r="Q1721" s="77">
        <v>45992</v>
      </c>
      <c r="R1721" s="78" t="s">
        <v>425</v>
      </c>
      <c r="S1721" s="36" t="str">
        <f>VLOOKUP(Tabla911[[#This Row],[CODIGO DEL PRODUCTO]],Tabla79[],2,FALSE)</f>
        <v>W351R</v>
      </c>
      <c r="T1721" s="37">
        <v>3000</v>
      </c>
      <c r="U1721" s="78"/>
    </row>
    <row r="1722" spans="15:21" x14ac:dyDescent="0.25">
      <c r="O1722" s="76">
        <v>102675</v>
      </c>
      <c r="P1722" s="78" t="s">
        <v>370</v>
      </c>
      <c r="Q1722" s="77">
        <v>45989</v>
      </c>
      <c r="R1722" s="78" t="s">
        <v>42</v>
      </c>
      <c r="S1722" s="36" t="str">
        <f>VLOOKUP(Tabla911[[#This Row],[CODIGO DEL PRODUCTO]],Tabla79[],2,FALSE)</f>
        <v>ARENA FINA</v>
      </c>
      <c r="T1722" s="37">
        <v>37080</v>
      </c>
      <c r="U1722" s="78"/>
    </row>
    <row r="1723" spans="15:21" x14ac:dyDescent="0.25">
      <c r="O1723" s="76">
        <v>218246</v>
      </c>
      <c r="P1723" s="78" t="s">
        <v>516</v>
      </c>
      <c r="Q1723" s="77">
        <v>45989</v>
      </c>
      <c r="R1723" s="78" t="s">
        <v>43</v>
      </c>
      <c r="S1723" s="36" t="str">
        <f>VLOOKUP(Tabla911[[#This Row],[CODIGO DEL PRODUCTO]],Tabla79[],2,FALSE)</f>
        <v>PIEDRA 6-20</v>
      </c>
      <c r="T1723" s="37">
        <v>34740</v>
      </c>
      <c r="U1723" s="78"/>
    </row>
    <row r="1724" spans="15:21" x14ac:dyDescent="0.25">
      <c r="O1724" s="76">
        <v>106283</v>
      </c>
      <c r="P1724" s="78" t="s">
        <v>355</v>
      </c>
      <c r="Q1724" s="77">
        <v>45989</v>
      </c>
      <c r="R1724" s="78" t="s">
        <v>43</v>
      </c>
      <c r="S1724" s="36" t="str">
        <f>VLOOKUP(Tabla911[[#This Row],[CODIGO DEL PRODUCTO]],Tabla79[],2,FALSE)</f>
        <v>PIEDRA 6-20</v>
      </c>
      <c r="T1724" s="37">
        <v>34660</v>
      </c>
      <c r="U1724" s="78"/>
    </row>
    <row r="1725" spans="15:21" x14ac:dyDescent="0.25">
      <c r="O1725" s="76">
        <v>106284</v>
      </c>
      <c r="P1725" s="78" t="s">
        <v>150</v>
      </c>
      <c r="Q1725" s="77">
        <v>45989</v>
      </c>
      <c r="R1725" s="78" t="s">
        <v>40</v>
      </c>
      <c r="S1725" s="36" t="str">
        <f>VLOOKUP(Tabla911[[#This Row],[CODIGO DEL PRODUCTO]],Tabla79[],2,FALSE)</f>
        <v>PIEDRA 0-6</v>
      </c>
      <c r="T1725" s="37">
        <v>35060</v>
      </c>
      <c r="U1725" s="78"/>
    </row>
    <row r="1726" spans="15:21" x14ac:dyDescent="0.25">
      <c r="O1726" s="76">
        <v>106293</v>
      </c>
      <c r="P1726" s="78" t="s">
        <v>197</v>
      </c>
      <c r="Q1726" s="77">
        <v>45989</v>
      </c>
      <c r="R1726" s="78" t="s">
        <v>43</v>
      </c>
      <c r="S1726" s="36" t="str">
        <f>VLOOKUP(Tabla911[[#This Row],[CODIGO DEL PRODUCTO]],Tabla79[],2,FALSE)</f>
        <v>PIEDRA 6-20</v>
      </c>
      <c r="T1726" s="37">
        <v>34880</v>
      </c>
      <c r="U1726" s="78"/>
    </row>
    <row r="1727" spans="15:21" x14ac:dyDescent="0.25">
      <c r="O1727" s="76">
        <v>106308</v>
      </c>
      <c r="P1727" s="78" t="s">
        <v>263</v>
      </c>
      <c r="Q1727" s="77">
        <v>45989</v>
      </c>
      <c r="R1727" s="78" t="s">
        <v>43</v>
      </c>
      <c r="S1727" s="36" t="str">
        <f>VLOOKUP(Tabla911[[#This Row],[CODIGO DEL PRODUCTO]],Tabla79[],2,FALSE)</f>
        <v>PIEDRA 6-20</v>
      </c>
      <c r="T1727" s="37">
        <v>34680</v>
      </c>
      <c r="U1727" s="78"/>
    </row>
    <row r="1728" spans="15:21" x14ac:dyDescent="0.25">
      <c r="O1728" s="76">
        <v>106312</v>
      </c>
      <c r="P1728" s="78" t="s">
        <v>318</v>
      </c>
      <c r="Q1728" s="77">
        <v>45989</v>
      </c>
      <c r="R1728" s="78" t="s">
        <v>43</v>
      </c>
      <c r="S1728" s="36" t="str">
        <f>VLOOKUP(Tabla911[[#This Row],[CODIGO DEL PRODUCTO]],Tabla79[],2,FALSE)</f>
        <v>PIEDRA 6-20</v>
      </c>
      <c r="T1728" s="37">
        <v>35140</v>
      </c>
      <c r="U1728" s="78"/>
    </row>
    <row r="1729" spans="15:21" x14ac:dyDescent="0.25">
      <c r="O1729" s="76">
        <v>2674140</v>
      </c>
      <c r="P1729" s="78" t="s">
        <v>296</v>
      </c>
      <c r="Q1729" s="77">
        <v>45989</v>
      </c>
      <c r="R1729" s="78" t="s">
        <v>286</v>
      </c>
      <c r="S1729" s="36" t="str">
        <f>VLOOKUP(Tabla911[[#This Row],[CODIGO DEL PRODUCTO]],Tabla79[],2,FALSE)</f>
        <v>CPF 40 AVELLANEDA</v>
      </c>
      <c r="T1729" s="37">
        <v>36180</v>
      </c>
      <c r="U1729" s="78"/>
    </row>
    <row r="1730" spans="15:21" x14ac:dyDescent="0.25">
      <c r="O1730" s="76">
        <v>2674201</v>
      </c>
      <c r="P1730" s="78" t="s">
        <v>65</v>
      </c>
      <c r="Q1730" s="77">
        <v>45989</v>
      </c>
      <c r="R1730" s="78" t="s">
        <v>286</v>
      </c>
      <c r="S1730" s="36" t="str">
        <f>VLOOKUP(Tabla911[[#This Row],[CODIGO DEL PRODUCTO]],Tabla79[],2,FALSE)</f>
        <v>CPF 40 AVELLANEDA</v>
      </c>
      <c r="T1730" s="37">
        <v>35760</v>
      </c>
      <c r="U1730" s="78"/>
    </row>
    <row r="1731" spans="15:21" x14ac:dyDescent="0.25">
      <c r="O1731" s="76">
        <v>102688</v>
      </c>
      <c r="P1731" s="78" t="s">
        <v>370</v>
      </c>
      <c r="Q1731" s="77">
        <v>45990</v>
      </c>
      <c r="R1731" s="78" t="s">
        <v>42</v>
      </c>
      <c r="S1731" s="36" t="str">
        <f>VLOOKUP(Tabla911[[#This Row],[CODIGO DEL PRODUCTO]],Tabla79[],2,FALSE)</f>
        <v>ARENA FINA</v>
      </c>
      <c r="T1731" s="37">
        <v>35480</v>
      </c>
      <c r="U1731" s="78"/>
    </row>
    <row r="1732" spans="15:21" x14ac:dyDescent="0.25">
      <c r="O1732" s="76">
        <v>148493</v>
      </c>
      <c r="P1732" s="78" t="s">
        <v>119</v>
      </c>
      <c r="Q1732" s="77">
        <v>45990</v>
      </c>
      <c r="R1732" s="78" t="s">
        <v>43</v>
      </c>
      <c r="S1732" s="36" t="str">
        <f>VLOOKUP(Tabla911[[#This Row],[CODIGO DEL PRODUCTO]],Tabla79[],2,FALSE)</f>
        <v>PIEDRA 6-20</v>
      </c>
      <c r="T1732" s="37">
        <v>35940</v>
      </c>
      <c r="U1732" s="78"/>
    </row>
    <row r="1733" spans="15:21" x14ac:dyDescent="0.25">
      <c r="O1733" s="76">
        <v>2674540</v>
      </c>
      <c r="P1733" s="78" t="s">
        <v>296</v>
      </c>
      <c r="Q1733" s="77">
        <v>45990</v>
      </c>
      <c r="R1733" s="78" t="s">
        <v>286</v>
      </c>
      <c r="S1733" s="36" t="str">
        <f>VLOOKUP(Tabla911[[#This Row],[CODIGO DEL PRODUCTO]],Tabla79[],2,FALSE)</f>
        <v>CPF 40 AVELLANEDA</v>
      </c>
      <c r="T1733" s="37">
        <v>36340</v>
      </c>
      <c r="U1733" s="78"/>
    </row>
    <row r="1734" spans="15:21" x14ac:dyDescent="0.25">
      <c r="O1734" s="76">
        <v>2674516</v>
      </c>
      <c r="P1734" s="78" t="s">
        <v>65</v>
      </c>
      <c r="Q1734" s="77">
        <v>45990</v>
      </c>
      <c r="R1734" s="78" t="s">
        <v>286</v>
      </c>
      <c r="S1734" s="36" t="str">
        <f>VLOOKUP(Tabla911[[#This Row],[CODIGO DEL PRODUCTO]],Tabla79[],2,FALSE)</f>
        <v>CPF 40 AVELLANEDA</v>
      </c>
      <c r="T1734" s="37">
        <v>35720</v>
      </c>
      <c r="U1734" s="78"/>
    </row>
    <row r="1735" spans="15:21" x14ac:dyDescent="0.25">
      <c r="O1735" s="76">
        <v>102693</v>
      </c>
      <c r="P1735" s="78" t="s">
        <v>370</v>
      </c>
      <c r="Q1735" s="77">
        <v>45992</v>
      </c>
      <c r="R1735" s="78" t="s">
        <v>42</v>
      </c>
      <c r="S1735" s="36" t="str">
        <f>VLOOKUP(Tabla911[[#This Row],[CODIGO DEL PRODUCTO]],Tabla79[],2,FALSE)</f>
        <v>ARENA FINA</v>
      </c>
      <c r="T1735" s="37">
        <v>34740</v>
      </c>
      <c r="U1735" s="78"/>
    </row>
    <row r="1736" spans="15:21" x14ac:dyDescent="0.25">
      <c r="O1736" s="76">
        <v>102697</v>
      </c>
      <c r="P1736" s="78" t="s">
        <v>554</v>
      </c>
      <c r="Q1736" s="77">
        <v>45992</v>
      </c>
      <c r="R1736" s="78" t="s">
        <v>42</v>
      </c>
      <c r="S1736" s="36" t="str">
        <f>VLOOKUP(Tabla911[[#This Row],[CODIGO DEL PRODUCTO]],Tabla79[],2,FALSE)</f>
        <v>ARENA FINA</v>
      </c>
      <c r="T1736" s="37">
        <v>36880</v>
      </c>
      <c r="U1736" s="78"/>
    </row>
    <row r="1737" spans="15:21" x14ac:dyDescent="0.25">
      <c r="O1737" s="76">
        <v>102700</v>
      </c>
      <c r="P1737" s="78" t="s">
        <v>643</v>
      </c>
      <c r="Q1737" s="77">
        <v>45992</v>
      </c>
      <c r="R1737" s="78" t="s">
        <v>42</v>
      </c>
      <c r="S1737" s="36" t="str">
        <f>VLOOKUP(Tabla911[[#This Row],[CODIGO DEL PRODUCTO]],Tabla79[],2,FALSE)</f>
        <v>ARENA FINA</v>
      </c>
      <c r="T1737" s="37">
        <v>35480</v>
      </c>
      <c r="U1737" s="78"/>
    </row>
    <row r="1738" spans="15:21" x14ac:dyDescent="0.25">
      <c r="O1738" s="76">
        <v>102703</v>
      </c>
      <c r="P1738" s="78" t="s">
        <v>370</v>
      </c>
      <c r="Q1738" s="77">
        <v>45992</v>
      </c>
      <c r="R1738" s="78" t="s">
        <v>42</v>
      </c>
      <c r="S1738" s="36" t="str">
        <f>VLOOKUP(Tabla911[[#This Row],[CODIGO DEL PRODUCTO]],Tabla79[],2,FALSE)</f>
        <v>ARENA FINA</v>
      </c>
      <c r="T1738" s="37">
        <v>34960</v>
      </c>
      <c r="U1738" s="78"/>
    </row>
    <row r="1739" spans="15:21" x14ac:dyDescent="0.25">
      <c r="O1739" s="76">
        <v>102706</v>
      </c>
      <c r="P1739" s="78" t="s">
        <v>554</v>
      </c>
      <c r="Q1739" s="77">
        <v>45992</v>
      </c>
      <c r="R1739" s="78" t="s">
        <v>42</v>
      </c>
      <c r="S1739" s="36" t="str">
        <f>VLOOKUP(Tabla911[[#This Row],[CODIGO DEL PRODUCTO]],Tabla79[],2,FALSE)</f>
        <v>ARENA FINA</v>
      </c>
      <c r="T1739" s="37">
        <v>37800</v>
      </c>
      <c r="U1739" s="78"/>
    </row>
    <row r="1740" spans="15:21" x14ac:dyDescent="0.25">
      <c r="O1740" s="76">
        <v>102707</v>
      </c>
      <c r="P1740" s="78" t="s">
        <v>643</v>
      </c>
      <c r="Q1740" s="77">
        <v>45992</v>
      </c>
      <c r="R1740" s="78" t="s">
        <v>42</v>
      </c>
      <c r="S1740" s="36" t="str">
        <f>VLOOKUP(Tabla911[[#This Row],[CODIGO DEL PRODUCTO]],Tabla79[],2,FALSE)</f>
        <v>ARENA FINA</v>
      </c>
      <c r="T1740" s="37">
        <v>35080</v>
      </c>
      <c r="U1740" s="78"/>
    </row>
    <row r="1741" spans="15:21" x14ac:dyDescent="0.25">
      <c r="O1741" s="76">
        <v>102711</v>
      </c>
      <c r="P1741" s="78" t="s">
        <v>644</v>
      </c>
      <c r="Q1741" s="77">
        <v>45992</v>
      </c>
      <c r="R1741" s="78" t="s">
        <v>42</v>
      </c>
      <c r="S1741" s="36" t="str">
        <f>VLOOKUP(Tabla911[[#This Row],[CODIGO DEL PRODUCTO]],Tabla79[],2,FALSE)</f>
        <v>ARENA FINA</v>
      </c>
      <c r="T1741" s="37">
        <v>35820</v>
      </c>
      <c r="U1741" s="78"/>
    </row>
    <row r="1742" spans="15:21" x14ac:dyDescent="0.25">
      <c r="O1742" s="76">
        <v>218285</v>
      </c>
      <c r="P1742" s="78" t="s">
        <v>516</v>
      </c>
      <c r="Q1742" s="77">
        <v>45992</v>
      </c>
      <c r="R1742" s="78" t="s">
        <v>43</v>
      </c>
      <c r="S1742" s="36" t="str">
        <f>VLOOKUP(Tabla911[[#This Row],[CODIGO DEL PRODUCTO]],Tabla79[],2,FALSE)</f>
        <v>PIEDRA 6-20</v>
      </c>
      <c r="T1742" s="37">
        <v>34140</v>
      </c>
      <c r="U1742" s="78"/>
    </row>
    <row r="1743" spans="15:21" x14ac:dyDescent="0.25">
      <c r="O1743" s="76">
        <v>106320</v>
      </c>
      <c r="P1743" s="78" t="s">
        <v>237</v>
      </c>
      <c r="Q1743" s="77">
        <v>45992</v>
      </c>
      <c r="R1743" s="78" t="s">
        <v>43</v>
      </c>
      <c r="S1743" s="36" t="str">
        <f>VLOOKUP(Tabla911[[#This Row],[CODIGO DEL PRODUCTO]],Tabla79[],2,FALSE)</f>
        <v>PIEDRA 6-20</v>
      </c>
      <c r="T1743" s="37">
        <v>34480</v>
      </c>
      <c r="U1743" s="78"/>
    </row>
    <row r="1744" spans="15:21" x14ac:dyDescent="0.25">
      <c r="O1744" s="76">
        <v>106331</v>
      </c>
      <c r="P1744" s="78" t="s">
        <v>160</v>
      </c>
      <c r="Q1744" s="77">
        <v>45992</v>
      </c>
      <c r="R1744" s="78" t="s">
        <v>43</v>
      </c>
      <c r="S1744" s="36" t="str">
        <f>VLOOKUP(Tabla911[[#This Row],[CODIGO DEL PRODUCTO]],Tabla79[],2,FALSE)</f>
        <v>PIEDRA 6-20</v>
      </c>
      <c r="T1744" s="37">
        <v>34460</v>
      </c>
      <c r="U1744" s="78"/>
    </row>
    <row r="1745" spans="15:21" x14ac:dyDescent="0.25">
      <c r="O1745" s="76">
        <v>106352</v>
      </c>
      <c r="P1745" s="78" t="s">
        <v>583</v>
      </c>
      <c r="Q1745" s="77">
        <v>45992</v>
      </c>
      <c r="R1745" s="78" t="s">
        <v>43</v>
      </c>
      <c r="S1745" s="36" t="str">
        <f>VLOOKUP(Tabla911[[#This Row],[CODIGO DEL PRODUCTO]],Tabla79[],2,FALSE)</f>
        <v>PIEDRA 6-20</v>
      </c>
      <c r="T1745" s="37">
        <v>34680</v>
      </c>
      <c r="U1745" s="78"/>
    </row>
    <row r="1746" spans="15:21" x14ac:dyDescent="0.25">
      <c r="O1746" s="76">
        <v>106353</v>
      </c>
      <c r="P1746" s="78" t="s">
        <v>375</v>
      </c>
      <c r="Q1746" s="77">
        <v>45992</v>
      </c>
      <c r="R1746" s="78" t="s">
        <v>43</v>
      </c>
      <c r="S1746" s="36" t="str">
        <f>VLOOKUP(Tabla911[[#This Row],[CODIGO DEL PRODUCTO]],Tabla79[],2,FALSE)</f>
        <v>PIEDRA 6-20</v>
      </c>
      <c r="T1746" s="37">
        <v>34720</v>
      </c>
      <c r="U1746" s="78"/>
    </row>
    <row r="1747" spans="15:21" x14ac:dyDescent="0.25">
      <c r="O1747" s="76">
        <v>106357</v>
      </c>
      <c r="P1747" s="78" t="s">
        <v>155</v>
      </c>
      <c r="Q1747" s="77">
        <v>45992</v>
      </c>
      <c r="R1747" s="78" t="s">
        <v>40</v>
      </c>
      <c r="S1747" s="36" t="str">
        <f>VLOOKUP(Tabla911[[#This Row],[CODIGO DEL PRODUCTO]],Tabla79[],2,FALSE)</f>
        <v>PIEDRA 0-6</v>
      </c>
      <c r="T1747" s="37">
        <v>34840</v>
      </c>
      <c r="U1747" s="78"/>
    </row>
    <row r="1748" spans="15:21" x14ac:dyDescent="0.25">
      <c r="O1748" s="76">
        <v>106362</v>
      </c>
      <c r="P1748" s="78" t="s">
        <v>151</v>
      </c>
      <c r="Q1748" s="77">
        <v>45992</v>
      </c>
      <c r="R1748" s="78" t="s">
        <v>43</v>
      </c>
      <c r="S1748" s="36" t="str">
        <f>VLOOKUP(Tabla911[[#This Row],[CODIGO DEL PRODUCTO]],Tabla79[],2,FALSE)</f>
        <v>PIEDRA 6-20</v>
      </c>
      <c r="T1748" s="37">
        <v>34480</v>
      </c>
      <c r="U1748" s="78"/>
    </row>
    <row r="1749" spans="15:21" x14ac:dyDescent="0.25">
      <c r="O1749" s="76">
        <v>2674952</v>
      </c>
      <c r="P1749" s="78" t="s">
        <v>65</v>
      </c>
      <c r="Q1749" s="77">
        <v>45992</v>
      </c>
      <c r="R1749" s="78" t="s">
        <v>286</v>
      </c>
      <c r="S1749" s="36" t="str">
        <f>VLOOKUP(Tabla911[[#This Row],[CODIGO DEL PRODUCTO]],Tabla79[],2,FALSE)</f>
        <v>CPF 40 AVELLANEDA</v>
      </c>
      <c r="T1749" s="37">
        <v>36560</v>
      </c>
      <c r="U1749" s="78"/>
    </row>
    <row r="1750" spans="15:21" x14ac:dyDescent="0.25">
      <c r="O1750" s="76">
        <v>102714</v>
      </c>
      <c r="P1750" s="78" t="s">
        <v>370</v>
      </c>
      <c r="Q1750" s="77">
        <v>45993</v>
      </c>
      <c r="R1750" s="78" t="s">
        <v>42</v>
      </c>
      <c r="S1750" s="36" t="str">
        <f>VLOOKUP(Tabla911[[#This Row],[CODIGO DEL PRODUCTO]],Tabla79[],2,FALSE)</f>
        <v>ARENA FINA</v>
      </c>
      <c r="T1750" s="37">
        <v>36700</v>
      </c>
      <c r="U1750" s="78"/>
    </row>
    <row r="1751" spans="15:21" x14ac:dyDescent="0.25">
      <c r="O1751" s="76">
        <v>102717</v>
      </c>
      <c r="P1751" s="78" t="s">
        <v>648</v>
      </c>
      <c r="Q1751" s="77">
        <v>45993</v>
      </c>
      <c r="R1751" s="78" t="s">
        <v>42</v>
      </c>
      <c r="S1751" s="36" t="str">
        <f>VLOOKUP(Tabla911[[#This Row],[CODIGO DEL PRODUCTO]],Tabla79[],2,FALSE)</f>
        <v>ARENA FINA</v>
      </c>
      <c r="T1751" s="37">
        <v>35800</v>
      </c>
      <c r="U1751" s="78"/>
    </row>
    <row r="1752" spans="15:21" x14ac:dyDescent="0.25">
      <c r="O1752" s="76">
        <v>102718</v>
      </c>
      <c r="P1752" s="78" t="s">
        <v>549</v>
      </c>
      <c r="Q1752" s="77">
        <v>45993</v>
      </c>
      <c r="R1752" s="78" t="s">
        <v>42</v>
      </c>
      <c r="S1752" s="36" t="str">
        <f>VLOOKUP(Tabla911[[#This Row],[CODIGO DEL PRODUCTO]],Tabla79[],2,FALSE)</f>
        <v>ARENA FINA</v>
      </c>
      <c r="T1752" s="37">
        <v>36340</v>
      </c>
      <c r="U1752" s="78"/>
    </row>
    <row r="1753" spans="15:21" x14ac:dyDescent="0.25">
      <c r="O1753" s="76">
        <v>102723</v>
      </c>
      <c r="P1753" s="78" t="s">
        <v>370</v>
      </c>
      <c r="Q1753" s="77">
        <v>45993</v>
      </c>
      <c r="R1753" s="78" t="s">
        <v>42</v>
      </c>
      <c r="S1753" s="36" t="str">
        <f>VLOOKUP(Tabla911[[#This Row],[CODIGO DEL PRODUCTO]],Tabla79[],2,FALSE)</f>
        <v>ARENA FINA</v>
      </c>
      <c r="T1753" s="37">
        <v>34640</v>
      </c>
      <c r="U1753" s="78"/>
    </row>
    <row r="1754" spans="15:21" x14ac:dyDescent="0.25">
      <c r="O1754" s="76">
        <v>102724</v>
      </c>
      <c r="P1754" s="78" t="s">
        <v>648</v>
      </c>
      <c r="Q1754" s="77">
        <v>45993</v>
      </c>
      <c r="R1754" s="78" t="s">
        <v>42</v>
      </c>
      <c r="S1754" s="36" t="str">
        <f>VLOOKUP(Tabla911[[#This Row],[CODIGO DEL PRODUCTO]],Tabla79[],2,FALSE)</f>
        <v>ARENA FINA</v>
      </c>
      <c r="T1754" s="37">
        <v>37680</v>
      </c>
      <c r="U1754" s="78"/>
    </row>
    <row r="1755" spans="15:21" x14ac:dyDescent="0.25">
      <c r="O1755" s="76">
        <v>102725</v>
      </c>
      <c r="P1755" s="78" t="s">
        <v>549</v>
      </c>
      <c r="Q1755" s="77">
        <v>45993</v>
      </c>
      <c r="R1755" s="78" t="s">
        <v>42</v>
      </c>
      <c r="S1755" s="36" t="str">
        <f>VLOOKUP(Tabla911[[#This Row],[CODIGO DEL PRODUCTO]],Tabla79[],2,FALSE)</f>
        <v>ARENA FINA</v>
      </c>
      <c r="T1755" s="37">
        <v>37620</v>
      </c>
      <c r="U1755" s="78"/>
    </row>
    <row r="1756" spans="15:21" x14ac:dyDescent="0.25">
      <c r="O1756" s="76">
        <v>106372</v>
      </c>
      <c r="P1756" s="78" t="s">
        <v>234</v>
      </c>
      <c r="Q1756" s="77">
        <v>45993</v>
      </c>
      <c r="R1756" s="78" t="s">
        <v>43</v>
      </c>
      <c r="S1756" s="36" t="str">
        <f>VLOOKUP(Tabla911[[#This Row],[CODIGO DEL PRODUCTO]],Tabla79[],2,FALSE)</f>
        <v>PIEDRA 6-20</v>
      </c>
      <c r="T1756" s="37">
        <v>35040</v>
      </c>
      <c r="U1756" s="78"/>
    </row>
    <row r="1757" spans="15:21" x14ac:dyDescent="0.25">
      <c r="O1757" s="76">
        <v>106380</v>
      </c>
      <c r="P1757" s="78" t="s">
        <v>237</v>
      </c>
      <c r="Q1757" s="77">
        <v>45993</v>
      </c>
      <c r="R1757" s="78" t="s">
        <v>43</v>
      </c>
      <c r="S1757" s="36" t="str">
        <f>VLOOKUP(Tabla911[[#This Row],[CODIGO DEL PRODUCTO]],Tabla79[],2,FALSE)</f>
        <v>PIEDRA 6-20</v>
      </c>
      <c r="T1757" s="37">
        <v>34100</v>
      </c>
      <c r="U1757" s="78"/>
    </row>
    <row r="1758" spans="15:21" x14ac:dyDescent="0.25">
      <c r="O1758" s="76">
        <v>106387</v>
      </c>
      <c r="P1758" s="78" t="s">
        <v>375</v>
      </c>
      <c r="Q1758" s="77">
        <v>45993</v>
      </c>
      <c r="R1758" s="78" t="s">
        <v>43</v>
      </c>
      <c r="S1758" s="36" t="str">
        <f>VLOOKUP(Tabla911[[#This Row],[CODIGO DEL PRODUCTO]],Tabla79[],2,FALSE)</f>
        <v>PIEDRA 6-20</v>
      </c>
      <c r="T1758" s="37">
        <v>34480</v>
      </c>
      <c r="U1758" s="78"/>
    </row>
    <row r="1759" spans="15:21" x14ac:dyDescent="0.25">
      <c r="O1759" s="76">
        <v>106389</v>
      </c>
      <c r="P1759" s="78" t="s">
        <v>160</v>
      </c>
      <c r="Q1759" s="77">
        <v>45993</v>
      </c>
      <c r="R1759" s="78" t="s">
        <v>43</v>
      </c>
      <c r="S1759" s="36" t="str">
        <f>VLOOKUP(Tabla911[[#This Row],[CODIGO DEL PRODUCTO]],Tabla79[],2,FALSE)</f>
        <v>PIEDRA 6-20</v>
      </c>
      <c r="T1759" s="37">
        <v>33960</v>
      </c>
      <c r="U1759" s="78"/>
    </row>
    <row r="1760" spans="15:21" x14ac:dyDescent="0.25">
      <c r="O1760" s="76">
        <v>106402</v>
      </c>
      <c r="P1760" s="78" t="s">
        <v>318</v>
      </c>
      <c r="Q1760" s="77">
        <v>45993</v>
      </c>
      <c r="R1760" s="78" t="s">
        <v>40</v>
      </c>
      <c r="S1760" s="36" t="str">
        <f>VLOOKUP(Tabla911[[#This Row],[CODIGO DEL PRODUCTO]],Tabla79[],2,FALSE)</f>
        <v>PIEDRA 0-6</v>
      </c>
      <c r="T1760" s="37">
        <v>34680</v>
      </c>
      <c r="U1760" s="78"/>
    </row>
    <row r="1761" spans="15:21" x14ac:dyDescent="0.25">
      <c r="O1761" s="76">
        <v>106410</v>
      </c>
      <c r="P1761" s="78" t="s">
        <v>155</v>
      </c>
      <c r="Q1761" s="77">
        <v>45993</v>
      </c>
      <c r="R1761" s="78" t="s">
        <v>40</v>
      </c>
      <c r="S1761" s="36" t="str">
        <f>VLOOKUP(Tabla911[[#This Row],[CODIGO DEL PRODUCTO]],Tabla79[],2,FALSE)</f>
        <v>PIEDRA 0-6</v>
      </c>
      <c r="T1761" s="37">
        <v>34440</v>
      </c>
      <c r="U1761" s="78"/>
    </row>
    <row r="1762" spans="15:21" x14ac:dyDescent="0.25">
      <c r="O1762" s="76">
        <v>2675211</v>
      </c>
      <c r="P1762" s="78" t="s">
        <v>65</v>
      </c>
      <c r="Q1762" s="77">
        <v>45993</v>
      </c>
      <c r="R1762" s="78" t="s">
        <v>286</v>
      </c>
      <c r="S1762" s="36" t="str">
        <f>VLOOKUP(Tabla911[[#This Row],[CODIGO DEL PRODUCTO]],Tabla79[],2,FALSE)</f>
        <v>CPF 40 AVELLANEDA</v>
      </c>
      <c r="T1762" s="37">
        <v>35480</v>
      </c>
      <c r="U1762" s="78"/>
    </row>
    <row r="1763" spans="15:21" x14ac:dyDescent="0.25">
      <c r="O1763" s="76">
        <v>102729</v>
      </c>
      <c r="P1763" s="78" t="s">
        <v>370</v>
      </c>
      <c r="Q1763" s="77">
        <v>45994</v>
      </c>
      <c r="R1763" s="78" t="s">
        <v>42</v>
      </c>
      <c r="S1763" s="36" t="str">
        <f>VLOOKUP(Tabla911[[#This Row],[CODIGO DEL PRODUCTO]],Tabla79[],2,FALSE)</f>
        <v>ARENA FINA</v>
      </c>
      <c r="T1763" s="37">
        <v>34680</v>
      </c>
      <c r="U1763" s="78"/>
    </row>
    <row r="1764" spans="15:21" x14ac:dyDescent="0.25">
      <c r="O1764" s="76">
        <v>102734</v>
      </c>
      <c r="P1764" s="78" t="s">
        <v>370</v>
      </c>
      <c r="Q1764" s="77">
        <v>45994</v>
      </c>
      <c r="R1764" s="78" t="s">
        <v>42</v>
      </c>
      <c r="S1764" s="36" t="str">
        <f>VLOOKUP(Tabla911[[#This Row],[CODIGO DEL PRODUCTO]],Tabla79[],2,FALSE)</f>
        <v>ARENA FINA</v>
      </c>
      <c r="T1764" s="37">
        <v>34340</v>
      </c>
      <c r="U1764" s="78"/>
    </row>
    <row r="1765" spans="15:21" x14ac:dyDescent="0.25">
      <c r="O1765" s="76">
        <v>102738</v>
      </c>
      <c r="P1765" s="78" t="s">
        <v>554</v>
      </c>
      <c r="Q1765" s="77">
        <v>45994</v>
      </c>
      <c r="R1765" s="78" t="s">
        <v>42</v>
      </c>
      <c r="S1765" s="36" t="str">
        <f>VLOOKUP(Tabla911[[#This Row],[CODIGO DEL PRODUCTO]],Tabla79[],2,FALSE)</f>
        <v>ARENA FINA</v>
      </c>
      <c r="T1765" s="37">
        <v>37300</v>
      </c>
      <c r="U1765" s="78"/>
    </row>
    <row r="1766" spans="15:21" x14ac:dyDescent="0.25">
      <c r="O1766" s="76">
        <v>218358</v>
      </c>
      <c r="P1766" s="78" t="s">
        <v>516</v>
      </c>
      <c r="Q1766" s="77">
        <v>45994</v>
      </c>
      <c r="R1766" s="78" t="s">
        <v>43</v>
      </c>
      <c r="S1766" s="36" t="str">
        <f>VLOOKUP(Tabla911[[#This Row],[CODIGO DEL PRODUCTO]],Tabla79[],2,FALSE)</f>
        <v>PIEDRA 6-20</v>
      </c>
      <c r="T1766" s="37">
        <v>33520</v>
      </c>
      <c r="U1766" s="78"/>
    </row>
    <row r="1767" spans="15:21" x14ac:dyDescent="0.25">
      <c r="O1767" s="76">
        <v>106418</v>
      </c>
      <c r="P1767" s="78" t="s">
        <v>234</v>
      </c>
      <c r="Q1767" s="77">
        <v>45994</v>
      </c>
      <c r="R1767" s="78" t="s">
        <v>43</v>
      </c>
      <c r="S1767" s="36" t="str">
        <f>VLOOKUP(Tabla911[[#This Row],[CODIGO DEL PRODUCTO]],Tabla79[],2,FALSE)</f>
        <v>PIEDRA 6-20</v>
      </c>
      <c r="T1767" s="37">
        <v>35320</v>
      </c>
      <c r="U1767" s="78"/>
    </row>
    <row r="1768" spans="15:21" x14ac:dyDescent="0.25">
      <c r="O1768" s="76">
        <v>106423</v>
      </c>
      <c r="P1768" s="78" t="s">
        <v>237</v>
      </c>
      <c r="Q1768" s="77">
        <v>45994</v>
      </c>
      <c r="R1768" s="78" t="s">
        <v>43</v>
      </c>
      <c r="S1768" s="36" t="str">
        <f>VLOOKUP(Tabla911[[#This Row],[CODIGO DEL PRODUCTO]],Tabla79[],2,FALSE)</f>
        <v>PIEDRA 6-20</v>
      </c>
      <c r="T1768" s="37">
        <v>34660</v>
      </c>
      <c r="U1768" s="78"/>
    </row>
    <row r="1769" spans="15:21" x14ac:dyDescent="0.25">
      <c r="O1769" s="76">
        <v>106424</v>
      </c>
      <c r="P1769" s="78" t="s">
        <v>375</v>
      </c>
      <c r="Q1769" s="77">
        <v>45994</v>
      </c>
      <c r="R1769" s="78" t="s">
        <v>43</v>
      </c>
      <c r="S1769" s="36" t="str">
        <f>VLOOKUP(Tabla911[[#This Row],[CODIGO DEL PRODUCTO]],Tabla79[],2,FALSE)</f>
        <v>PIEDRA 6-20</v>
      </c>
      <c r="T1769" s="37">
        <v>34760</v>
      </c>
      <c r="U1769" s="78"/>
    </row>
    <row r="1770" spans="15:21" x14ac:dyDescent="0.25">
      <c r="O1770" s="76">
        <v>106427</v>
      </c>
      <c r="P1770" s="78" t="s">
        <v>151</v>
      </c>
      <c r="Q1770" s="77">
        <v>45994</v>
      </c>
      <c r="R1770" s="78" t="s">
        <v>43</v>
      </c>
      <c r="S1770" s="36" t="str">
        <f>VLOOKUP(Tabla911[[#This Row],[CODIGO DEL PRODUCTO]],Tabla79[],2,FALSE)</f>
        <v>PIEDRA 6-20</v>
      </c>
      <c r="T1770" s="37">
        <v>34400</v>
      </c>
      <c r="U1770" s="78"/>
    </row>
    <row r="1771" spans="15:21" x14ac:dyDescent="0.25">
      <c r="O1771" s="76">
        <v>106430</v>
      </c>
      <c r="P1771" s="78" t="s">
        <v>160</v>
      </c>
      <c r="Q1771" s="77">
        <v>45994</v>
      </c>
      <c r="R1771" s="78" t="s">
        <v>43</v>
      </c>
      <c r="S1771" s="36" t="str">
        <f>VLOOKUP(Tabla911[[#This Row],[CODIGO DEL PRODUCTO]],Tabla79[],2,FALSE)</f>
        <v>PIEDRA 6-20</v>
      </c>
      <c r="T1771" s="37">
        <v>33980</v>
      </c>
      <c r="U1771" s="78"/>
    </row>
    <row r="1772" spans="15:21" x14ac:dyDescent="0.25">
      <c r="O1772" s="76">
        <v>106447</v>
      </c>
      <c r="P1772" s="78" t="s">
        <v>155</v>
      </c>
      <c r="Q1772" s="77">
        <v>45994</v>
      </c>
      <c r="R1772" s="78" t="s">
        <v>40</v>
      </c>
      <c r="S1772" s="36" t="str">
        <f>VLOOKUP(Tabla911[[#This Row],[CODIGO DEL PRODUCTO]],Tabla79[],2,FALSE)</f>
        <v>PIEDRA 0-6</v>
      </c>
      <c r="T1772" s="37">
        <v>33920</v>
      </c>
      <c r="U1772" s="78"/>
    </row>
    <row r="1773" spans="15:21" x14ac:dyDescent="0.25">
      <c r="O1773" s="76">
        <v>2675499</v>
      </c>
      <c r="P1773" s="78" t="s">
        <v>65</v>
      </c>
      <c r="Q1773" s="77">
        <v>45994</v>
      </c>
      <c r="R1773" s="78" t="s">
        <v>286</v>
      </c>
      <c r="S1773" s="36" t="str">
        <f>VLOOKUP(Tabla911[[#This Row],[CODIGO DEL PRODUCTO]],Tabla79[],2,FALSE)</f>
        <v>CPF 40 AVELLANEDA</v>
      </c>
      <c r="T1773" s="37">
        <v>35940</v>
      </c>
      <c r="U1773" s="78"/>
    </row>
    <row r="1774" spans="15:21" x14ac:dyDescent="0.25">
      <c r="O1774" s="76">
        <v>37756</v>
      </c>
      <c r="P1774" s="78" t="s">
        <v>449</v>
      </c>
      <c r="Q1774" s="77">
        <v>45995</v>
      </c>
      <c r="R1774" s="78" t="s">
        <v>425</v>
      </c>
      <c r="S1774" s="36" t="str">
        <f>VLOOKUP(Tabla911[[#This Row],[CODIGO DEL PRODUCTO]],Tabla79[],2,FALSE)</f>
        <v>W351R</v>
      </c>
      <c r="T1774" s="37">
        <v>1000</v>
      </c>
      <c r="U1774" s="78"/>
    </row>
    <row r="1775" spans="15:21" x14ac:dyDescent="0.25">
      <c r="O1775" s="76">
        <v>102742</v>
      </c>
      <c r="P1775" s="78" t="s">
        <v>370</v>
      </c>
      <c r="Q1775" s="77">
        <v>45995</v>
      </c>
      <c r="R1775" s="78" t="s">
        <v>42</v>
      </c>
      <c r="S1775" s="36" t="str">
        <f>VLOOKUP(Tabla911[[#This Row],[CODIGO DEL PRODUCTO]],Tabla79[],2,FALSE)</f>
        <v>ARENA FINA</v>
      </c>
      <c r="T1775" s="37">
        <v>35800</v>
      </c>
      <c r="U1775" s="78"/>
    </row>
    <row r="1776" spans="15:21" x14ac:dyDescent="0.25">
      <c r="O1776" s="76">
        <v>102746</v>
      </c>
      <c r="P1776" s="78" t="s">
        <v>549</v>
      </c>
      <c r="Q1776" s="77">
        <v>45995</v>
      </c>
      <c r="R1776" s="78" t="s">
        <v>42</v>
      </c>
      <c r="S1776" s="36" t="str">
        <f>VLOOKUP(Tabla911[[#This Row],[CODIGO DEL PRODUCTO]],Tabla79[],2,FALSE)</f>
        <v>ARENA FINA</v>
      </c>
      <c r="T1776" s="37">
        <v>37020</v>
      </c>
      <c r="U1776" s="78"/>
    </row>
    <row r="1777" spans="15:21" x14ac:dyDescent="0.25">
      <c r="O1777" s="76">
        <v>102749</v>
      </c>
      <c r="P1777" s="78" t="s">
        <v>370</v>
      </c>
      <c r="Q1777" s="77">
        <v>45995</v>
      </c>
      <c r="R1777" s="78" t="s">
        <v>42</v>
      </c>
      <c r="S1777" s="36" t="str">
        <f>VLOOKUP(Tabla911[[#This Row],[CODIGO DEL PRODUCTO]],Tabla79[],2,FALSE)</f>
        <v>ARENA FINA</v>
      </c>
      <c r="T1777" s="37">
        <v>36260</v>
      </c>
      <c r="U1777" s="78"/>
    </row>
    <row r="1778" spans="15:21" x14ac:dyDescent="0.25">
      <c r="O1778" s="76">
        <v>102750</v>
      </c>
      <c r="P1778" s="78" t="s">
        <v>549</v>
      </c>
      <c r="Q1778" s="77">
        <v>45995</v>
      </c>
      <c r="R1778" s="78" t="s">
        <v>42</v>
      </c>
      <c r="S1778" s="36" t="str">
        <f>VLOOKUP(Tabla911[[#This Row],[CODIGO DEL PRODUCTO]],Tabla79[],2,FALSE)</f>
        <v>ARENA FINA</v>
      </c>
      <c r="T1778" s="37">
        <v>37020</v>
      </c>
      <c r="U1778" s="78"/>
    </row>
    <row r="1779" spans="15:21" x14ac:dyDescent="0.25">
      <c r="O1779" s="76">
        <v>106453</v>
      </c>
      <c r="P1779" s="78" t="s">
        <v>234</v>
      </c>
      <c r="Q1779" s="77">
        <v>45995</v>
      </c>
      <c r="R1779" s="78" t="s">
        <v>43</v>
      </c>
      <c r="S1779" s="36" t="str">
        <f>VLOOKUP(Tabla911[[#This Row],[CODIGO DEL PRODUCTO]],Tabla79[],2,FALSE)</f>
        <v>PIEDRA 6-20</v>
      </c>
      <c r="T1779" s="37">
        <v>34780</v>
      </c>
      <c r="U1779" s="78"/>
    </row>
    <row r="1780" spans="15:21" x14ac:dyDescent="0.25">
      <c r="O1780" s="76">
        <v>106456</v>
      </c>
      <c r="P1780" s="78" t="s">
        <v>151</v>
      </c>
      <c r="Q1780" s="77">
        <v>45995</v>
      </c>
      <c r="R1780" s="78" t="s">
        <v>43</v>
      </c>
      <c r="S1780" s="36" t="str">
        <f>VLOOKUP(Tabla911[[#This Row],[CODIGO DEL PRODUCTO]],Tabla79[],2,FALSE)</f>
        <v>PIEDRA 6-20</v>
      </c>
      <c r="T1780" s="37">
        <v>34280</v>
      </c>
      <c r="U1780" s="78"/>
    </row>
    <row r="1781" spans="15:21" x14ac:dyDescent="0.25">
      <c r="O1781" s="76">
        <v>106462</v>
      </c>
      <c r="P1781" s="78" t="s">
        <v>375</v>
      </c>
      <c r="Q1781" s="77">
        <v>45995</v>
      </c>
      <c r="R1781" s="78" t="s">
        <v>43</v>
      </c>
      <c r="S1781" s="36" t="str">
        <f>VLOOKUP(Tabla911[[#This Row],[CODIGO DEL PRODUCTO]],Tabla79[],2,FALSE)</f>
        <v>PIEDRA 6-20</v>
      </c>
      <c r="T1781" s="37">
        <v>34760</v>
      </c>
      <c r="U1781" s="78"/>
    </row>
    <row r="1782" spans="15:21" x14ac:dyDescent="0.25">
      <c r="O1782" s="76">
        <v>106463</v>
      </c>
      <c r="P1782" s="78" t="s">
        <v>237</v>
      </c>
      <c r="Q1782" s="77">
        <v>45995</v>
      </c>
      <c r="R1782" s="78" t="s">
        <v>43</v>
      </c>
      <c r="S1782" s="36" t="str">
        <f>VLOOKUP(Tabla911[[#This Row],[CODIGO DEL PRODUCTO]],Tabla79[],2,FALSE)</f>
        <v>PIEDRA 6-20</v>
      </c>
      <c r="T1782" s="37">
        <v>34780</v>
      </c>
      <c r="U1782" s="78"/>
    </row>
    <row r="1783" spans="15:21" x14ac:dyDescent="0.25">
      <c r="O1783" s="76">
        <v>106475</v>
      </c>
      <c r="P1783" s="78" t="s">
        <v>197</v>
      </c>
      <c r="Q1783" s="77">
        <v>45995</v>
      </c>
      <c r="R1783" s="78" t="s">
        <v>43</v>
      </c>
      <c r="S1783" s="36" t="str">
        <f>VLOOKUP(Tabla911[[#This Row],[CODIGO DEL PRODUCTO]],Tabla79[],2,FALSE)</f>
        <v>PIEDRA 6-20</v>
      </c>
      <c r="T1783" s="37">
        <v>35160</v>
      </c>
      <c r="U1783" s="78"/>
    </row>
    <row r="1784" spans="15:21" x14ac:dyDescent="0.25">
      <c r="O1784" s="76">
        <v>2675792</v>
      </c>
      <c r="P1784" s="78" t="s">
        <v>65</v>
      </c>
      <c r="Q1784" s="77">
        <v>45995</v>
      </c>
      <c r="R1784" s="78" t="s">
        <v>286</v>
      </c>
      <c r="S1784" s="36" t="str">
        <f>VLOOKUP(Tabla911[[#This Row],[CODIGO DEL PRODUCTO]],Tabla79[],2,FALSE)</f>
        <v>CPF 40 AVELLANEDA</v>
      </c>
      <c r="T1784" s="37">
        <v>35820</v>
      </c>
      <c r="U1784" s="78"/>
    </row>
    <row r="1785" spans="15:21" x14ac:dyDescent="0.25">
      <c r="O1785" s="76">
        <v>102759</v>
      </c>
      <c r="P1785" s="78" t="s">
        <v>370</v>
      </c>
      <c r="Q1785" s="77">
        <v>45996</v>
      </c>
      <c r="R1785" s="78" t="s">
        <v>42</v>
      </c>
      <c r="S1785" s="36" t="str">
        <f>VLOOKUP(Tabla911[[#This Row],[CODIGO DEL PRODUCTO]],Tabla79[],2,FALSE)</f>
        <v>ARENA FINA</v>
      </c>
      <c r="T1785" s="37">
        <v>35440</v>
      </c>
      <c r="U1785" s="78"/>
    </row>
    <row r="1786" spans="15:21" x14ac:dyDescent="0.25">
      <c r="O1786" s="76">
        <v>102769</v>
      </c>
      <c r="P1786" s="78" t="s">
        <v>370</v>
      </c>
      <c r="Q1786" s="77">
        <v>45996</v>
      </c>
      <c r="R1786" s="78" t="s">
        <v>42</v>
      </c>
      <c r="S1786" s="36" t="str">
        <f>VLOOKUP(Tabla911[[#This Row],[CODIGO DEL PRODUCTO]],Tabla79[],2,FALSE)</f>
        <v>ARENA FINA</v>
      </c>
      <c r="T1786" s="37">
        <v>36100</v>
      </c>
      <c r="U1786" s="78"/>
    </row>
    <row r="1787" spans="15:21" x14ac:dyDescent="0.25">
      <c r="O1787" s="76">
        <v>102770</v>
      </c>
      <c r="P1787" s="78" t="s">
        <v>554</v>
      </c>
      <c r="Q1787" s="77">
        <v>45996</v>
      </c>
      <c r="R1787" s="78" t="s">
        <v>42</v>
      </c>
      <c r="S1787" s="36" t="str">
        <f>VLOOKUP(Tabla911[[#This Row],[CODIGO DEL PRODUCTO]],Tabla79[],2,FALSE)</f>
        <v>ARENA FINA</v>
      </c>
      <c r="T1787" s="37">
        <v>35740</v>
      </c>
      <c r="U1787" s="78"/>
    </row>
    <row r="1788" spans="15:21" x14ac:dyDescent="0.25">
      <c r="O1788" s="76">
        <v>102773</v>
      </c>
      <c r="P1788" s="78" t="s">
        <v>549</v>
      </c>
      <c r="Q1788" s="77">
        <v>45996</v>
      </c>
      <c r="R1788" s="78" t="s">
        <v>42</v>
      </c>
      <c r="S1788" s="36" t="str">
        <f>VLOOKUP(Tabla911[[#This Row],[CODIGO DEL PRODUCTO]],Tabla79[],2,FALSE)</f>
        <v>ARENA FINA</v>
      </c>
      <c r="T1788" s="37">
        <v>36020</v>
      </c>
      <c r="U1788" s="78"/>
    </row>
    <row r="1789" spans="15:21" x14ac:dyDescent="0.25">
      <c r="O1789" s="76">
        <v>218405</v>
      </c>
      <c r="P1789" s="78" t="s">
        <v>516</v>
      </c>
      <c r="Q1789" s="77">
        <v>45996</v>
      </c>
      <c r="R1789" s="78" t="s">
        <v>43</v>
      </c>
      <c r="S1789" s="36" t="str">
        <f>VLOOKUP(Tabla911[[#This Row],[CODIGO DEL PRODUCTO]],Tabla79[],2,FALSE)</f>
        <v>PIEDRA 6-20</v>
      </c>
      <c r="T1789" s="37">
        <v>34940</v>
      </c>
      <c r="U1789" s="78"/>
    </row>
    <row r="1790" spans="15:21" x14ac:dyDescent="0.25">
      <c r="O1790" s="76">
        <v>106486</v>
      </c>
      <c r="P1790" s="78" t="s">
        <v>234</v>
      </c>
      <c r="Q1790" s="77">
        <v>45996</v>
      </c>
      <c r="R1790" s="78" t="s">
        <v>43</v>
      </c>
      <c r="S1790" s="36" t="str">
        <f>VLOOKUP(Tabla911[[#This Row],[CODIGO DEL PRODUCTO]],Tabla79[],2,FALSE)</f>
        <v>PIEDRA 6-20</v>
      </c>
      <c r="T1790" s="37">
        <v>34800</v>
      </c>
      <c r="U1790" s="78"/>
    </row>
    <row r="1791" spans="15:21" x14ac:dyDescent="0.25">
      <c r="O1791" s="76">
        <v>106488</v>
      </c>
      <c r="P1791" s="78" t="s">
        <v>151</v>
      </c>
      <c r="Q1791" s="77">
        <v>45996</v>
      </c>
      <c r="R1791" s="78" t="s">
        <v>43</v>
      </c>
      <c r="S1791" s="36" t="str">
        <f>VLOOKUP(Tabla911[[#This Row],[CODIGO DEL PRODUCTO]],Tabla79[],2,FALSE)</f>
        <v>PIEDRA 6-20</v>
      </c>
      <c r="T1791" s="37">
        <v>34380</v>
      </c>
      <c r="U1791" s="78"/>
    </row>
    <row r="1792" spans="15:21" x14ac:dyDescent="0.25">
      <c r="O1792" s="76">
        <v>106489</v>
      </c>
      <c r="P1792" s="78" t="s">
        <v>375</v>
      </c>
      <c r="Q1792" s="77">
        <v>45996</v>
      </c>
      <c r="R1792" s="78" t="s">
        <v>43</v>
      </c>
      <c r="S1792" s="36" t="str">
        <f>VLOOKUP(Tabla911[[#This Row],[CODIGO DEL PRODUCTO]],Tabla79[],2,FALSE)</f>
        <v>PIEDRA 6-20</v>
      </c>
      <c r="T1792" s="37">
        <v>34260</v>
      </c>
      <c r="U1792" s="78"/>
    </row>
    <row r="1793" spans="15:21" x14ac:dyDescent="0.25">
      <c r="O1793" s="76">
        <v>106499</v>
      </c>
      <c r="P1793" s="78" t="s">
        <v>160</v>
      </c>
      <c r="Q1793" s="77">
        <v>45996</v>
      </c>
      <c r="R1793" s="78" t="s">
        <v>43</v>
      </c>
      <c r="S1793" s="36" t="str">
        <f>VLOOKUP(Tabla911[[#This Row],[CODIGO DEL PRODUCTO]],Tabla79[],2,FALSE)</f>
        <v>PIEDRA 6-20</v>
      </c>
      <c r="T1793" s="37">
        <v>34240</v>
      </c>
      <c r="U1793" s="78"/>
    </row>
    <row r="1794" spans="15:21" x14ac:dyDescent="0.25">
      <c r="O1794" s="76">
        <v>106507</v>
      </c>
      <c r="P1794" s="78" t="s">
        <v>155</v>
      </c>
      <c r="Q1794" s="77">
        <v>45996</v>
      </c>
      <c r="R1794" s="78" t="s">
        <v>40</v>
      </c>
      <c r="S1794" s="36" t="str">
        <f>VLOOKUP(Tabla911[[#This Row],[CODIGO DEL PRODUCTO]],Tabla79[],2,FALSE)</f>
        <v>PIEDRA 0-6</v>
      </c>
      <c r="T1794" s="37">
        <v>34780</v>
      </c>
      <c r="U1794" s="78"/>
    </row>
    <row r="1795" spans="15:21" x14ac:dyDescent="0.25">
      <c r="O1795" s="76">
        <v>2676047</v>
      </c>
      <c r="P1795" s="78" t="s">
        <v>65</v>
      </c>
      <c r="Q1795" s="77">
        <v>45996</v>
      </c>
      <c r="R1795" s="78" t="s">
        <v>286</v>
      </c>
      <c r="S1795" s="36" t="str">
        <f>VLOOKUP(Tabla911[[#This Row],[CODIGO DEL PRODUCTO]],Tabla79[],2,FALSE)</f>
        <v>CPF 40 AVELLANEDA</v>
      </c>
      <c r="T1795" s="37">
        <v>35860</v>
      </c>
      <c r="U1795" s="78"/>
    </row>
    <row r="1796" spans="15:21" x14ac:dyDescent="0.25">
      <c r="O1796" s="76">
        <v>102779</v>
      </c>
      <c r="P1796" s="78" t="s">
        <v>370</v>
      </c>
      <c r="Q1796" s="77">
        <v>45997</v>
      </c>
      <c r="R1796" s="78" t="s">
        <v>42</v>
      </c>
      <c r="S1796" s="36" t="str">
        <f>VLOOKUP(Tabla911[[#This Row],[CODIGO DEL PRODUCTO]],Tabla79[],2,FALSE)</f>
        <v>ARENA FINA</v>
      </c>
      <c r="T1796" s="37">
        <v>36240</v>
      </c>
      <c r="U1796" s="78"/>
    </row>
    <row r="1797" spans="15:21" x14ac:dyDescent="0.25">
      <c r="O1797" s="76">
        <v>106514</v>
      </c>
      <c r="P1797" s="78" t="s">
        <v>197</v>
      </c>
      <c r="Q1797" s="77">
        <v>45997</v>
      </c>
      <c r="R1797" s="78" t="s">
        <v>43</v>
      </c>
      <c r="S1797" s="36" t="str">
        <f>VLOOKUP(Tabla911[[#This Row],[CODIGO DEL PRODUCTO]],Tabla79[],2,FALSE)</f>
        <v>PIEDRA 6-20</v>
      </c>
      <c r="T1797" s="37">
        <v>34740</v>
      </c>
      <c r="U1797" s="78"/>
    </row>
    <row r="1798" spans="15:21" x14ac:dyDescent="0.25">
      <c r="O1798" s="76">
        <v>106515</v>
      </c>
      <c r="P1798" s="78" t="s">
        <v>218</v>
      </c>
      <c r="Q1798" s="77">
        <v>45997</v>
      </c>
      <c r="R1798" s="78" t="s">
        <v>43</v>
      </c>
      <c r="S1798" s="36" t="str">
        <f>VLOOKUP(Tabla911[[#This Row],[CODIGO DEL PRODUCTO]],Tabla79[],2,FALSE)</f>
        <v>PIEDRA 6-20</v>
      </c>
      <c r="T1798" s="37">
        <v>34960</v>
      </c>
      <c r="U1798" s="78"/>
    </row>
    <row r="1799" spans="15:21" x14ac:dyDescent="0.25">
      <c r="O1799" s="76">
        <v>148923</v>
      </c>
      <c r="P1799" s="78" t="s">
        <v>317</v>
      </c>
      <c r="Q1799" s="77">
        <v>45997</v>
      </c>
      <c r="R1799" s="78" t="s">
        <v>43</v>
      </c>
      <c r="S1799" s="36" t="str">
        <f>VLOOKUP(Tabla911[[#This Row],[CODIGO DEL PRODUCTO]],Tabla79[],2,FALSE)</f>
        <v>PIEDRA 6-20</v>
      </c>
      <c r="T1799" s="37">
        <v>35200</v>
      </c>
      <c r="U1799" s="78"/>
    </row>
    <row r="1800" spans="15:21" x14ac:dyDescent="0.25">
      <c r="O1800" s="76">
        <v>148924</v>
      </c>
      <c r="P1800" s="78" t="s">
        <v>655</v>
      </c>
      <c r="Q1800" s="77">
        <v>45997</v>
      </c>
      <c r="R1800" s="78" t="s">
        <v>43</v>
      </c>
      <c r="S1800" s="36" t="str">
        <f>VLOOKUP(Tabla911[[#This Row],[CODIGO DEL PRODUCTO]],Tabla79[],2,FALSE)</f>
        <v>PIEDRA 6-20</v>
      </c>
      <c r="T1800" s="37">
        <v>35100</v>
      </c>
      <c r="U1800" s="78"/>
    </row>
    <row r="1801" spans="15:21" x14ac:dyDescent="0.25">
      <c r="O1801" s="76">
        <v>148942</v>
      </c>
      <c r="P1801" s="78" t="s">
        <v>656</v>
      </c>
      <c r="Q1801" s="77">
        <v>45997</v>
      </c>
      <c r="R1801" s="78" t="s">
        <v>43</v>
      </c>
      <c r="S1801" s="36" t="str">
        <f>VLOOKUP(Tabla911[[#This Row],[CODIGO DEL PRODUCTO]],Tabla79[],2,FALSE)</f>
        <v>PIEDRA 6-20</v>
      </c>
      <c r="T1801" s="37">
        <v>35660</v>
      </c>
      <c r="U1801" s="78"/>
    </row>
    <row r="1802" spans="15:21" x14ac:dyDescent="0.25">
      <c r="O1802" s="76">
        <v>2676214</v>
      </c>
      <c r="P1802" s="78" t="s">
        <v>65</v>
      </c>
      <c r="Q1802" s="77">
        <v>45997</v>
      </c>
      <c r="R1802" s="78" t="s">
        <v>286</v>
      </c>
      <c r="S1802" s="36" t="str">
        <f>VLOOKUP(Tabla911[[#This Row],[CODIGO DEL PRODUCTO]],Tabla79[],2,FALSE)</f>
        <v>CPF 40 AVELLANEDA</v>
      </c>
      <c r="T1802" s="37">
        <v>35940</v>
      </c>
      <c r="U1802" s="78"/>
    </row>
    <row r="1803" spans="15:21" x14ac:dyDescent="0.25">
      <c r="O1803" s="76">
        <v>2676270</v>
      </c>
      <c r="P1803" s="78" t="s">
        <v>296</v>
      </c>
      <c r="Q1803" s="77">
        <v>45997</v>
      </c>
      <c r="R1803" s="78" t="s">
        <v>286</v>
      </c>
      <c r="S1803" s="36" t="str">
        <f>VLOOKUP(Tabla911[[#This Row],[CODIGO DEL PRODUCTO]],Tabla79[],2,FALSE)</f>
        <v>CPF 40 AVELLANEDA</v>
      </c>
      <c r="T1803" s="37">
        <v>36240</v>
      </c>
      <c r="U1803" s="78"/>
    </row>
    <row r="1804" spans="15:21" x14ac:dyDescent="0.25">
      <c r="O1804" s="76">
        <v>102784</v>
      </c>
      <c r="P1804" s="78" t="s">
        <v>370</v>
      </c>
      <c r="Q1804" s="77">
        <v>46000</v>
      </c>
      <c r="R1804" s="78" t="s">
        <v>42</v>
      </c>
      <c r="S1804" s="36" t="str">
        <f>VLOOKUP(Tabla911[[#This Row],[CODIGO DEL PRODUCTO]],Tabla79[],2,FALSE)</f>
        <v>ARENA FINA</v>
      </c>
      <c r="T1804" s="37">
        <v>35240</v>
      </c>
      <c r="U1804" s="78"/>
    </row>
    <row r="1805" spans="15:21" x14ac:dyDescent="0.25">
      <c r="O1805" s="76">
        <v>102791</v>
      </c>
      <c r="P1805" s="78" t="s">
        <v>549</v>
      </c>
      <c r="Q1805" s="77">
        <v>46000</v>
      </c>
      <c r="R1805" s="78" t="s">
        <v>42</v>
      </c>
      <c r="S1805" s="36" t="str">
        <f>VLOOKUP(Tabla911[[#This Row],[CODIGO DEL PRODUCTO]],Tabla79[],2,FALSE)</f>
        <v>ARENA FINA</v>
      </c>
      <c r="T1805" s="37">
        <v>36800</v>
      </c>
      <c r="U1805" s="78"/>
    </row>
    <row r="1806" spans="15:21" x14ac:dyDescent="0.25">
      <c r="O1806" s="76">
        <v>102792</v>
      </c>
      <c r="P1806" s="78" t="s">
        <v>643</v>
      </c>
      <c r="Q1806" s="77">
        <v>46000</v>
      </c>
      <c r="R1806" s="78" t="s">
        <v>42</v>
      </c>
      <c r="S1806" s="36" t="str">
        <f>VLOOKUP(Tabla911[[#This Row],[CODIGO DEL PRODUCTO]],Tabla79[],2,FALSE)</f>
        <v>ARENA FINA</v>
      </c>
      <c r="T1806" s="37">
        <v>36560</v>
      </c>
      <c r="U1806" s="78"/>
    </row>
    <row r="1807" spans="15:21" x14ac:dyDescent="0.25">
      <c r="O1807" s="76">
        <v>102796</v>
      </c>
      <c r="P1807" s="78" t="s">
        <v>370</v>
      </c>
      <c r="Q1807" s="77">
        <v>46000</v>
      </c>
      <c r="R1807" s="78" t="s">
        <v>42</v>
      </c>
      <c r="S1807" s="36" t="str">
        <f>VLOOKUP(Tabla911[[#This Row],[CODIGO DEL PRODUCTO]],Tabla79[],2,FALSE)</f>
        <v>ARENA FINA</v>
      </c>
      <c r="T1807" s="37">
        <v>34800</v>
      </c>
      <c r="U1807" s="78"/>
    </row>
    <row r="1808" spans="15:21" x14ac:dyDescent="0.25">
      <c r="O1808" s="76">
        <v>102798</v>
      </c>
      <c r="P1808" s="78" t="s">
        <v>549</v>
      </c>
      <c r="Q1808" s="77">
        <v>46000</v>
      </c>
      <c r="R1808" s="78" t="s">
        <v>42</v>
      </c>
      <c r="S1808" s="36" t="str">
        <f>VLOOKUP(Tabla911[[#This Row],[CODIGO DEL PRODUCTO]],Tabla79[],2,FALSE)</f>
        <v>ARENA FINA</v>
      </c>
      <c r="T1808" s="37">
        <v>37280</v>
      </c>
      <c r="U1808" s="78"/>
    </row>
    <row r="1809" spans="15:21" x14ac:dyDescent="0.25">
      <c r="O1809" s="76">
        <v>102799</v>
      </c>
      <c r="P1809" s="78" t="s">
        <v>643</v>
      </c>
      <c r="Q1809" s="77">
        <v>46000</v>
      </c>
      <c r="R1809" s="78" t="s">
        <v>42</v>
      </c>
      <c r="S1809" s="36" t="str">
        <f>VLOOKUP(Tabla911[[#This Row],[CODIGO DEL PRODUCTO]],Tabla79[],2,FALSE)</f>
        <v>ARENA FINA</v>
      </c>
      <c r="T1809" s="37">
        <v>37880</v>
      </c>
      <c r="U1809" s="78"/>
    </row>
    <row r="1810" spans="15:21" x14ac:dyDescent="0.25">
      <c r="O1810" s="76">
        <v>102800</v>
      </c>
      <c r="P1810" s="78" t="s">
        <v>644</v>
      </c>
      <c r="Q1810" s="77">
        <v>46000</v>
      </c>
      <c r="R1810" s="78" t="s">
        <v>42</v>
      </c>
      <c r="S1810" s="36" t="str">
        <f>VLOOKUP(Tabla911[[#This Row],[CODIGO DEL PRODUCTO]],Tabla79[],2,FALSE)</f>
        <v>ARENA FINA</v>
      </c>
      <c r="T1810" s="37">
        <v>36520</v>
      </c>
      <c r="U1810" s="78"/>
    </row>
    <row r="1811" spans="15:21" x14ac:dyDescent="0.25">
      <c r="O1811" s="76">
        <v>102801</v>
      </c>
      <c r="P1811" s="78" t="s">
        <v>554</v>
      </c>
      <c r="Q1811" s="77">
        <v>46000</v>
      </c>
      <c r="R1811" s="78" t="s">
        <v>42</v>
      </c>
      <c r="S1811" s="36" t="str">
        <f>VLOOKUP(Tabla911[[#This Row],[CODIGO DEL PRODUCTO]],Tabla79[],2,FALSE)</f>
        <v>ARENA FINA</v>
      </c>
      <c r="T1811" s="37">
        <v>35980</v>
      </c>
      <c r="U1811" s="78"/>
    </row>
    <row r="1812" spans="15:21" x14ac:dyDescent="0.25">
      <c r="O1812" s="76">
        <v>102802</v>
      </c>
      <c r="P1812" s="78" t="s">
        <v>637</v>
      </c>
      <c r="Q1812" s="77">
        <v>46000</v>
      </c>
      <c r="R1812" s="78" t="s">
        <v>42</v>
      </c>
      <c r="S1812" s="36" t="str">
        <f>VLOOKUP(Tabla911[[#This Row],[CODIGO DEL PRODUCTO]],Tabla79[],2,FALSE)</f>
        <v>ARENA FINA</v>
      </c>
      <c r="T1812" s="37">
        <v>36360</v>
      </c>
      <c r="U1812" s="78"/>
    </row>
    <row r="1813" spans="15:21" x14ac:dyDescent="0.25">
      <c r="O1813" s="76">
        <v>218493</v>
      </c>
      <c r="P1813" s="78" t="s">
        <v>516</v>
      </c>
      <c r="Q1813" s="77">
        <v>46000</v>
      </c>
      <c r="R1813" s="78" t="s">
        <v>43</v>
      </c>
      <c r="S1813" s="36" t="str">
        <f>VLOOKUP(Tabla911[[#This Row],[CODIGO DEL PRODUCTO]],Tabla79[],2,FALSE)</f>
        <v>PIEDRA 6-20</v>
      </c>
      <c r="T1813" s="37">
        <v>35160</v>
      </c>
      <c r="U1813" s="78"/>
    </row>
    <row r="1814" spans="15:21" x14ac:dyDescent="0.25">
      <c r="O1814" s="76">
        <v>106519</v>
      </c>
      <c r="P1814" s="78" t="s">
        <v>657</v>
      </c>
      <c r="Q1814" s="77">
        <v>46000</v>
      </c>
      <c r="R1814" s="78" t="s">
        <v>43</v>
      </c>
      <c r="S1814" s="36" t="str">
        <f>VLOOKUP(Tabla911[[#This Row],[CODIGO DEL PRODUCTO]],Tabla79[],2,FALSE)</f>
        <v>PIEDRA 6-20</v>
      </c>
      <c r="T1814" s="37">
        <v>34840</v>
      </c>
      <c r="U1814" s="78"/>
    </row>
    <row r="1815" spans="15:21" x14ac:dyDescent="0.25">
      <c r="O1815" s="76">
        <v>106520</v>
      </c>
      <c r="P1815" s="78" t="s">
        <v>244</v>
      </c>
      <c r="Q1815" s="77">
        <v>46000</v>
      </c>
      <c r="R1815" s="78" t="s">
        <v>40</v>
      </c>
      <c r="S1815" s="36" t="str">
        <f>VLOOKUP(Tabla911[[#This Row],[CODIGO DEL PRODUCTO]],Tabla79[],2,FALSE)</f>
        <v>PIEDRA 0-6</v>
      </c>
      <c r="T1815" s="37">
        <v>34280</v>
      </c>
      <c r="U1815" s="78"/>
    </row>
    <row r="1816" spans="15:21" x14ac:dyDescent="0.25">
      <c r="O1816" s="76">
        <v>106524</v>
      </c>
      <c r="P1816" s="78" t="s">
        <v>150</v>
      </c>
      <c r="Q1816" s="77">
        <v>46000</v>
      </c>
      <c r="R1816" s="78" t="s">
        <v>43</v>
      </c>
      <c r="S1816" s="36" t="str">
        <f>VLOOKUP(Tabla911[[#This Row],[CODIGO DEL PRODUCTO]],Tabla79[],2,FALSE)</f>
        <v>PIEDRA 6-20</v>
      </c>
      <c r="T1816" s="37">
        <v>34620</v>
      </c>
      <c r="U1816" s="78"/>
    </row>
    <row r="1817" spans="15:21" x14ac:dyDescent="0.25">
      <c r="O1817" s="76">
        <v>106526</v>
      </c>
      <c r="P1817" s="78" t="s">
        <v>287</v>
      </c>
      <c r="Q1817" s="77">
        <v>46000</v>
      </c>
      <c r="R1817" s="78" t="s">
        <v>40</v>
      </c>
      <c r="S1817" s="36" t="str">
        <f>VLOOKUP(Tabla911[[#This Row],[CODIGO DEL PRODUCTO]],Tabla79[],2,FALSE)</f>
        <v>PIEDRA 0-6</v>
      </c>
      <c r="T1817" s="37">
        <v>34780</v>
      </c>
      <c r="U1817" s="78"/>
    </row>
    <row r="1818" spans="15:21" x14ac:dyDescent="0.25">
      <c r="O1818" s="76">
        <v>106528</v>
      </c>
      <c r="P1818" s="78" t="s">
        <v>237</v>
      </c>
      <c r="Q1818" s="77">
        <v>46000</v>
      </c>
      <c r="R1818" s="78" t="s">
        <v>40</v>
      </c>
      <c r="S1818" s="36" t="str">
        <f>VLOOKUP(Tabla911[[#This Row],[CODIGO DEL PRODUCTO]],Tabla79[],2,FALSE)</f>
        <v>PIEDRA 0-6</v>
      </c>
      <c r="T1818" s="37">
        <v>35080</v>
      </c>
      <c r="U1818" s="78"/>
    </row>
    <row r="1819" spans="15:21" x14ac:dyDescent="0.25">
      <c r="O1819" s="76">
        <v>106529</v>
      </c>
      <c r="P1819" s="78" t="s">
        <v>218</v>
      </c>
      <c r="Q1819" s="77">
        <v>46000</v>
      </c>
      <c r="R1819" s="78" t="s">
        <v>43</v>
      </c>
      <c r="S1819" s="36" t="str">
        <f>VLOOKUP(Tabla911[[#This Row],[CODIGO DEL PRODUCTO]],Tabla79[],2,FALSE)</f>
        <v>PIEDRA 6-20</v>
      </c>
      <c r="T1819" s="37">
        <v>34560</v>
      </c>
      <c r="U1819" s="78"/>
    </row>
    <row r="1820" spans="15:21" x14ac:dyDescent="0.25">
      <c r="O1820" s="76">
        <v>106539</v>
      </c>
      <c r="P1820" s="78" t="s">
        <v>583</v>
      </c>
      <c r="Q1820" s="77">
        <v>46000</v>
      </c>
      <c r="R1820" s="78" t="s">
        <v>43</v>
      </c>
      <c r="S1820" s="36" t="str">
        <f>VLOOKUP(Tabla911[[#This Row],[CODIGO DEL PRODUCTO]],Tabla79[],2,FALSE)</f>
        <v>PIEDRA 6-20</v>
      </c>
      <c r="T1820" s="37">
        <v>35100</v>
      </c>
      <c r="U1820" s="78"/>
    </row>
    <row r="1821" spans="15:21" x14ac:dyDescent="0.25">
      <c r="O1821" s="76">
        <v>106543</v>
      </c>
      <c r="P1821" s="78" t="s">
        <v>197</v>
      </c>
      <c r="Q1821" s="77">
        <v>46000</v>
      </c>
      <c r="R1821" s="78" t="s">
        <v>43</v>
      </c>
      <c r="S1821" s="36" t="str">
        <f>VLOOKUP(Tabla911[[#This Row],[CODIGO DEL PRODUCTO]],Tabla79[],2,FALSE)</f>
        <v>PIEDRA 6-20</v>
      </c>
      <c r="T1821" s="37">
        <v>34780</v>
      </c>
      <c r="U1821" s="78"/>
    </row>
    <row r="1822" spans="15:21" x14ac:dyDescent="0.25">
      <c r="O1822" s="76">
        <v>106545</v>
      </c>
      <c r="P1822" s="78" t="s">
        <v>115</v>
      </c>
      <c r="Q1822" s="77">
        <v>46000</v>
      </c>
      <c r="R1822" s="78" t="s">
        <v>43</v>
      </c>
      <c r="S1822" s="36" t="str">
        <f>VLOOKUP(Tabla911[[#This Row],[CODIGO DEL PRODUCTO]],Tabla79[],2,FALSE)</f>
        <v>PIEDRA 6-20</v>
      </c>
      <c r="T1822" s="37">
        <v>34980</v>
      </c>
      <c r="U1822" s="78"/>
    </row>
    <row r="1823" spans="15:21" x14ac:dyDescent="0.25">
      <c r="O1823" s="76">
        <v>106551</v>
      </c>
      <c r="P1823" s="78" t="s">
        <v>156</v>
      </c>
      <c r="Q1823" s="77">
        <v>46000</v>
      </c>
      <c r="R1823" s="78" t="s">
        <v>40</v>
      </c>
      <c r="S1823" s="36" t="str">
        <f>VLOOKUP(Tabla911[[#This Row],[CODIGO DEL PRODUCTO]],Tabla79[],2,FALSE)</f>
        <v>PIEDRA 0-6</v>
      </c>
      <c r="T1823" s="37">
        <v>34340</v>
      </c>
      <c r="U1823" s="78"/>
    </row>
    <row r="1824" spans="15:21" x14ac:dyDescent="0.25">
      <c r="O1824" s="76">
        <v>2676620</v>
      </c>
      <c r="P1824" s="78" t="s">
        <v>65</v>
      </c>
      <c r="Q1824" s="77">
        <v>46000</v>
      </c>
      <c r="R1824" s="78" t="s">
        <v>286</v>
      </c>
      <c r="S1824" s="36" t="str">
        <f>VLOOKUP(Tabla911[[#This Row],[CODIGO DEL PRODUCTO]],Tabla79[],2,FALSE)</f>
        <v>CPF 40 AVELLANEDA</v>
      </c>
      <c r="T1824" s="37">
        <v>35420</v>
      </c>
      <c r="U1824" s="78"/>
    </row>
    <row r="1825" spans="15:24" x14ac:dyDescent="0.25">
      <c r="O1825" s="76">
        <v>2676668</v>
      </c>
      <c r="P1825" s="78" t="s">
        <v>296</v>
      </c>
      <c r="Q1825" s="77">
        <v>46000</v>
      </c>
      <c r="R1825" s="78" t="s">
        <v>286</v>
      </c>
      <c r="S1825" s="36" t="str">
        <f>VLOOKUP(Tabla911[[#This Row],[CODIGO DEL PRODUCTO]],Tabla79[],2,FALSE)</f>
        <v>CPF 40 AVELLANEDA</v>
      </c>
      <c r="T1825" s="37">
        <v>36320</v>
      </c>
      <c r="U1825" s="78"/>
    </row>
    <row r="1826" spans="15:24" x14ac:dyDescent="0.25">
      <c r="O1826" s="76">
        <v>102808</v>
      </c>
      <c r="P1826" s="78" t="s">
        <v>370</v>
      </c>
      <c r="Q1826" s="77">
        <v>46001</v>
      </c>
      <c r="R1826" s="78" t="s">
        <v>42</v>
      </c>
      <c r="S1826" s="36" t="str">
        <f>VLOOKUP(Tabla911[[#This Row],[CODIGO DEL PRODUCTO]],Tabla79[],2,FALSE)</f>
        <v>ARENA FINA</v>
      </c>
      <c r="T1826" s="37">
        <v>34480</v>
      </c>
      <c r="U1826" s="78"/>
    </row>
    <row r="1827" spans="15:24" x14ac:dyDescent="0.25">
      <c r="O1827" s="76">
        <v>102814</v>
      </c>
      <c r="P1827" s="78" t="s">
        <v>549</v>
      </c>
      <c r="Q1827" s="77">
        <v>46001</v>
      </c>
      <c r="R1827" s="78" t="s">
        <v>42</v>
      </c>
      <c r="S1827" s="36" t="str">
        <f>VLOOKUP(Tabla911[[#This Row],[CODIGO DEL PRODUCTO]],Tabla79[],2,FALSE)</f>
        <v>ARENA FINA</v>
      </c>
      <c r="T1827" s="37">
        <v>36340</v>
      </c>
      <c r="U1827" s="78"/>
    </row>
    <row r="1828" spans="15:24" x14ac:dyDescent="0.25">
      <c r="O1828" s="76">
        <v>102818</v>
      </c>
      <c r="P1828" s="78" t="s">
        <v>370</v>
      </c>
      <c r="Q1828" s="77">
        <v>46001</v>
      </c>
      <c r="R1828" s="78" t="s">
        <v>42</v>
      </c>
      <c r="S1828" s="36" t="str">
        <f>VLOOKUP(Tabla911[[#This Row],[CODIGO DEL PRODUCTO]],Tabla79[],2,FALSE)</f>
        <v>ARENA FINA</v>
      </c>
      <c r="T1828" s="37">
        <v>36040</v>
      </c>
      <c r="U1828" s="78"/>
    </row>
    <row r="1829" spans="15:24" x14ac:dyDescent="0.25">
      <c r="O1829" s="76">
        <v>218574</v>
      </c>
      <c r="P1829" s="78" t="s">
        <v>516</v>
      </c>
      <c r="Q1829" s="77">
        <v>46001</v>
      </c>
      <c r="R1829" s="78" t="s">
        <v>43</v>
      </c>
      <c r="S1829" s="36" t="str">
        <f>VLOOKUP(Tabla911[[#This Row],[CODIGO DEL PRODUCTO]],Tabla79[],2,FALSE)</f>
        <v>PIEDRA 6-20</v>
      </c>
      <c r="T1829" s="37">
        <v>35400</v>
      </c>
      <c r="U1829" s="78"/>
    </row>
    <row r="1830" spans="15:24" x14ac:dyDescent="0.25">
      <c r="O1830" s="76">
        <v>106553</v>
      </c>
      <c r="P1830" s="78" t="s">
        <v>657</v>
      </c>
      <c r="Q1830" s="77">
        <v>46001</v>
      </c>
      <c r="R1830" s="78" t="s">
        <v>43</v>
      </c>
      <c r="S1830" s="36" t="str">
        <f>VLOOKUP(Tabla911[[#This Row],[CODIGO DEL PRODUCTO]],Tabla79[],2,FALSE)</f>
        <v>PIEDRA 6-20</v>
      </c>
      <c r="T1830" s="37">
        <v>35480</v>
      </c>
      <c r="U1830" s="78"/>
    </row>
    <row r="1831" spans="15:24" x14ac:dyDescent="0.25">
      <c r="O1831" s="76">
        <v>106560</v>
      </c>
      <c r="P1831" s="78" t="s">
        <v>150</v>
      </c>
      <c r="Q1831" s="77">
        <v>46001</v>
      </c>
      <c r="R1831" s="78" t="s">
        <v>43</v>
      </c>
      <c r="S1831" s="36" t="str">
        <f>VLOOKUP(Tabla911[[#This Row],[CODIGO DEL PRODUCTO]],Tabla79[],2,FALSE)</f>
        <v>PIEDRA 6-20</v>
      </c>
      <c r="T1831" s="37">
        <v>35140</v>
      </c>
      <c r="U1831" s="78"/>
    </row>
    <row r="1832" spans="15:24" x14ac:dyDescent="0.25">
      <c r="O1832" s="76">
        <v>106561</v>
      </c>
      <c r="P1832" s="78" t="s">
        <v>287</v>
      </c>
      <c r="Q1832" s="77">
        <v>46001</v>
      </c>
      <c r="R1832" s="78" t="s">
        <v>40</v>
      </c>
      <c r="S1832" s="36" t="str">
        <f>VLOOKUP(Tabla911[[#This Row],[CODIGO DEL PRODUCTO]],Tabla79[],2,FALSE)</f>
        <v>PIEDRA 0-6</v>
      </c>
      <c r="T1832" s="37">
        <v>34720</v>
      </c>
      <c r="U1832" s="78"/>
    </row>
    <row r="1833" spans="15:24" x14ac:dyDescent="0.25">
      <c r="O1833" s="76">
        <v>106562</v>
      </c>
      <c r="P1833" s="78" t="s">
        <v>218</v>
      </c>
      <c r="Q1833" s="77">
        <v>46001</v>
      </c>
      <c r="R1833" s="78" t="s">
        <v>43</v>
      </c>
      <c r="S1833" s="36" t="str">
        <f>VLOOKUP(Tabla911[[#This Row],[CODIGO DEL PRODUCTO]],Tabla79[],2,FALSE)</f>
        <v>PIEDRA 6-20</v>
      </c>
      <c r="T1833" s="37">
        <v>35380</v>
      </c>
      <c r="U1833" s="78"/>
    </row>
    <row r="1834" spans="15:24" x14ac:dyDescent="0.25">
      <c r="O1834" s="76">
        <v>106564</v>
      </c>
      <c r="P1834" s="78" t="s">
        <v>244</v>
      </c>
      <c r="Q1834" s="77">
        <v>46001</v>
      </c>
      <c r="R1834" s="78" t="s">
        <v>40</v>
      </c>
      <c r="S1834" s="36" t="str">
        <f>VLOOKUP(Tabla911[[#This Row],[CODIGO DEL PRODUCTO]],Tabla79[],2,FALSE)</f>
        <v>PIEDRA 0-6</v>
      </c>
      <c r="T1834" s="37">
        <v>34140</v>
      </c>
      <c r="U1834" s="78"/>
    </row>
    <row r="1835" spans="15:24" x14ac:dyDescent="0.25">
      <c r="O1835" s="76">
        <v>106565</v>
      </c>
      <c r="P1835" s="78" t="s">
        <v>583</v>
      </c>
      <c r="Q1835" s="77">
        <v>46001</v>
      </c>
      <c r="R1835" s="78" t="s">
        <v>43</v>
      </c>
      <c r="S1835" s="36" t="str">
        <f>VLOOKUP(Tabla911[[#This Row],[CODIGO DEL PRODUCTO]],Tabla79[],2,FALSE)</f>
        <v>PIEDRA 6-20</v>
      </c>
      <c r="T1835" s="37">
        <v>36120</v>
      </c>
      <c r="U1835" s="78"/>
    </row>
    <row r="1836" spans="15:24" x14ac:dyDescent="0.25">
      <c r="O1836" s="76">
        <v>106569</v>
      </c>
      <c r="P1836" s="78" t="s">
        <v>115</v>
      </c>
      <c r="Q1836" s="77">
        <v>46001</v>
      </c>
      <c r="R1836" s="78" t="s">
        <v>43</v>
      </c>
      <c r="S1836" s="36" t="str">
        <f>VLOOKUP(Tabla911[[#This Row],[CODIGO DEL PRODUCTO]],Tabla79[],2,FALSE)</f>
        <v>PIEDRA 6-20</v>
      </c>
      <c r="T1836" s="37">
        <v>35260</v>
      </c>
      <c r="U1836" s="78"/>
    </row>
    <row r="1837" spans="15:24" x14ac:dyDescent="0.25">
      <c r="O1837" s="76">
        <v>106571</v>
      </c>
      <c r="P1837" s="78" t="s">
        <v>197</v>
      </c>
      <c r="Q1837" s="77">
        <v>46001</v>
      </c>
      <c r="R1837" s="78" t="s">
        <v>43</v>
      </c>
      <c r="S1837" s="36" t="str">
        <f>VLOOKUP(Tabla911[[#This Row],[CODIGO DEL PRODUCTO]],Tabla79[],2,FALSE)</f>
        <v>PIEDRA 6-20</v>
      </c>
      <c r="T1837" s="37">
        <v>34520</v>
      </c>
      <c r="U1837" s="78"/>
    </row>
    <row r="1838" spans="15:24" x14ac:dyDescent="0.25">
      <c r="O1838" s="76">
        <v>106582</v>
      </c>
      <c r="P1838" s="78" t="s">
        <v>156</v>
      </c>
      <c r="Q1838" s="77">
        <v>46001</v>
      </c>
      <c r="R1838" s="78" t="s">
        <v>40</v>
      </c>
      <c r="S1838" s="36" t="str">
        <f>VLOOKUP(Tabla911[[#This Row],[CODIGO DEL PRODUCTO]],Tabla79[],2,FALSE)</f>
        <v>PIEDRA 0-6</v>
      </c>
      <c r="T1838" s="37">
        <v>35100</v>
      </c>
      <c r="U1838" s="78"/>
    </row>
    <row r="1839" spans="15:24" x14ac:dyDescent="0.25">
      <c r="O1839" s="76">
        <v>2676914</v>
      </c>
      <c r="P1839" s="78" t="s">
        <v>65</v>
      </c>
      <c r="Q1839" s="77">
        <v>46001</v>
      </c>
      <c r="R1839" s="78" t="s">
        <v>286</v>
      </c>
      <c r="S1839" s="36" t="str">
        <f>VLOOKUP(Tabla911[[#This Row],[CODIGO DEL PRODUCTO]],Tabla79[],2,FALSE)</f>
        <v>CPF 40 AVELLANEDA</v>
      </c>
      <c r="T1839" s="37">
        <v>35960</v>
      </c>
      <c r="U1839" s="78"/>
    </row>
    <row r="1840" spans="15:24" x14ac:dyDescent="0.25">
      <c r="O1840" s="76">
        <v>102824</v>
      </c>
      <c r="P1840" s="78" t="s">
        <v>370</v>
      </c>
      <c r="Q1840" s="77">
        <v>46002</v>
      </c>
      <c r="R1840" s="78" t="s">
        <v>42</v>
      </c>
      <c r="S1840" s="36" t="str">
        <f>VLOOKUP(Tabla911[[#This Row],[CODIGO DEL PRODUCTO]],Tabla79[],2,FALSE)</f>
        <v>ARENA FINA</v>
      </c>
      <c r="T1840" s="37">
        <v>35280</v>
      </c>
      <c r="U1840" s="78"/>
      <c r="V1840" s="7">
        <v>46002</v>
      </c>
      <c r="W1840" t="s">
        <v>659</v>
      </c>
      <c r="X1840" t="s">
        <v>660</v>
      </c>
    </row>
    <row r="1841" spans="15:21" x14ac:dyDescent="0.25">
      <c r="O1841" s="76">
        <v>102828</v>
      </c>
      <c r="P1841" s="78" t="s">
        <v>549</v>
      </c>
      <c r="Q1841" s="77">
        <v>46002</v>
      </c>
      <c r="R1841" s="78" t="s">
        <v>42</v>
      </c>
      <c r="S1841" s="36" t="str">
        <f>VLOOKUP(Tabla911[[#This Row],[CODIGO DEL PRODUCTO]],Tabla79[],2,FALSE)</f>
        <v>ARENA FINA</v>
      </c>
      <c r="T1841" s="37">
        <v>35260</v>
      </c>
      <c r="U1841" s="78"/>
    </row>
    <row r="1842" spans="15:21" x14ac:dyDescent="0.25">
      <c r="O1842" s="76">
        <v>102832</v>
      </c>
      <c r="P1842" s="78" t="s">
        <v>370</v>
      </c>
      <c r="Q1842" s="77">
        <v>46002</v>
      </c>
      <c r="R1842" s="78" t="s">
        <v>42</v>
      </c>
      <c r="S1842" s="36" t="str">
        <f>VLOOKUP(Tabla911[[#This Row],[CODIGO DEL PRODUCTO]],Tabla79[],2,FALSE)</f>
        <v>ARENA FINA</v>
      </c>
      <c r="T1842" s="37">
        <v>34500</v>
      </c>
      <c r="U1842" s="78"/>
    </row>
    <row r="1843" spans="15:21" x14ac:dyDescent="0.25">
      <c r="O1843" s="76">
        <v>102834</v>
      </c>
      <c r="P1843" s="78" t="s">
        <v>644</v>
      </c>
      <c r="Q1843" s="77">
        <v>46002</v>
      </c>
      <c r="R1843" s="78" t="s">
        <v>42</v>
      </c>
      <c r="S1843" s="36" t="str">
        <f>VLOOKUP(Tabla911[[#This Row],[CODIGO DEL PRODUCTO]],Tabla79[],2,FALSE)</f>
        <v>ARENA FINA</v>
      </c>
      <c r="T1843" s="37">
        <v>36380</v>
      </c>
      <c r="U1843" s="78"/>
    </row>
    <row r="1844" spans="15:21" x14ac:dyDescent="0.25">
      <c r="O1844" s="76">
        <v>102836</v>
      </c>
      <c r="P1844" s="78" t="s">
        <v>549</v>
      </c>
      <c r="Q1844" s="77">
        <v>46002</v>
      </c>
      <c r="R1844" s="78" t="s">
        <v>42</v>
      </c>
      <c r="S1844" s="36" t="str">
        <f>VLOOKUP(Tabla911[[#This Row],[CODIGO DEL PRODUCTO]],Tabla79[],2,FALSE)</f>
        <v>ARENA FINA</v>
      </c>
      <c r="T1844" s="37">
        <v>36800</v>
      </c>
      <c r="U1844" s="78"/>
    </row>
    <row r="1845" spans="15:21" x14ac:dyDescent="0.25">
      <c r="O1845" s="76">
        <v>102837</v>
      </c>
      <c r="P1845" s="78" t="s">
        <v>554</v>
      </c>
      <c r="Q1845" s="77">
        <v>46002</v>
      </c>
      <c r="R1845" s="78" t="s">
        <v>42</v>
      </c>
      <c r="S1845" s="36" t="str">
        <f>VLOOKUP(Tabla911[[#This Row],[CODIGO DEL PRODUCTO]],Tabla79[],2,FALSE)</f>
        <v>ARENA FINA</v>
      </c>
      <c r="T1845" s="37">
        <v>37340</v>
      </c>
      <c r="U1845" s="78"/>
    </row>
    <row r="1846" spans="15:21" x14ac:dyDescent="0.25">
      <c r="O1846" s="76">
        <v>218625</v>
      </c>
      <c r="P1846" s="78" t="s">
        <v>516</v>
      </c>
      <c r="Q1846" s="77">
        <v>46002</v>
      </c>
      <c r="R1846" s="78" t="s">
        <v>43</v>
      </c>
      <c r="S1846" s="36" t="str">
        <f>VLOOKUP(Tabla911[[#This Row],[CODIGO DEL PRODUCTO]],Tabla79[],2,FALSE)</f>
        <v>PIEDRA 6-20</v>
      </c>
      <c r="T1846" s="37">
        <v>34880</v>
      </c>
      <c r="U1846" s="78"/>
    </row>
    <row r="1847" spans="15:21" x14ac:dyDescent="0.25">
      <c r="O1847" s="76">
        <v>106584</v>
      </c>
      <c r="P1847" s="78" t="s">
        <v>657</v>
      </c>
      <c r="Q1847" s="77">
        <v>46002</v>
      </c>
      <c r="R1847" s="78" t="s">
        <v>43</v>
      </c>
      <c r="S1847" s="36" t="str">
        <f>VLOOKUP(Tabla911[[#This Row],[CODIGO DEL PRODUCTO]],Tabla79[],2,FALSE)</f>
        <v>PIEDRA 6-20</v>
      </c>
      <c r="T1847" s="37">
        <v>35180</v>
      </c>
      <c r="U1847" s="78"/>
    </row>
    <row r="1848" spans="15:21" x14ac:dyDescent="0.25">
      <c r="O1848" s="76">
        <v>106588</v>
      </c>
      <c r="P1848" s="78" t="s">
        <v>150</v>
      </c>
      <c r="Q1848" s="77">
        <v>46002</v>
      </c>
      <c r="R1848" s="78" t="s">
        <v>43</v>
      </c>
      <c r="S1848" s="36" t="str">
        <f>VLOOKUP(Tabla911[[#This Row],[CODIGO DEL PRODUCTO]],Tabla79[],2,FALSE)</f>
        <v>PIEDRA 6-20</v>
      </c>
      <c r="T1848" s="37">
        <v>35020</v>
      </c>
      <c r="U1848" s="78"/>
    </row>
    <row r="1849" spans="15:21" x14ac:dyDescent="0.25">
      <c r="O1849" s="76">
        <v>106591</v>
      </c>
      <c r="P1849" s="78" t="s">
        <v>287</v>
      </c>
      <c r="Q1849" s="77">
        <v>46002</v>
      </c>
      <c r="R1849" s="78" t="s">
        <v>40</v>
      </c>
      <c r="S1849" s="36" t="str">
        <f>VLOOKUP(Tabla911[[#This Row],[CODIGO DEL PRODUCTO]],Tabla79[],2,FALSE)</f>
        <v>PIEDRA 0-6</v>
      </c>
      <c r="T1849" s="37">
        <v>34820</v>
      </c>
      <c r="U1849" s="78"/>
    </row>
    <row r="1850" spans="15:21" x14ac:dyDescent="0.25">
      <c r="O1850" s="76">
        <v>106593</v>
      </c>
      <c r="P1850" s="78" t="s">
        <v>237</v>
      </c>
      <c r="Q1850" s="77">
        <v>46002</v>
      </c>
      <c r="R1850" s="78" t="s">
        <v>40</v>
      </c>
      <c r="S1850" s="36" t="str">
        <f>VLOOKUP(Tabla911[[#This Row],[CODIGO DEL PRODUCTO]],Tabla79[],2,FALSE)</f>
        <v>PIEDRA 0-6</v>
      </c>
      <c r="T1850" s="37">
        <v>34380</v>
      </c>
      <c r="U1850" s="78"/>
    </row>
    <row r="1851" spans="15:21" x14ac:dyDescent="0.25">
      <c r="O1851" s="76">
        <v>106594</v>
      </c>
      <c r="P1851" s="78" t="s">
        <v>218</v>
      </c>
      <c r="Q1851" s="77">
        <v>46002</v>
      </c>
      <c r="R1851" s="78" t="s">
        <v>43</v>
      </c>
      <c r="S1851" s="36" t="str">
        <f>VLOOKUP(Tabla911[[#This Row],[CODIGO DEL PRODUCTO]],Tabla79[],2,FALSE)</f>
        <v>PIEDRA 6-20</v>
      </c>
      <c r="T1851" s="37">
        <v>35700</v>
      </c>
      <c r="U1851" s="78"/>
    </row>
    <row r="1852" spans="15:21" x14ac:dyDescent="0.25">
      <c r="O1852" s="76">
        <v>106599</v>
      </c>
      <c r="P1852" s="78" t="s">
        <v>583</v>
      </c>
      <c r="Q1852" s="77">
        <v>46002</v>
      </c>
      <c r="R1852" s="78" t="s">
        <v>43</v>
      </c>
      <c r="S1852" s="36" t="str">
        <f>VLOOKUP(Tabla911[[#This Row],[CODIGO DEL PRODUCTO]],Tabla79[],2,FALSE)</f>
        <v>PIEDRA 6-20</v>
      </c>
      <c r="T1852" s="37">
        <v>35180</v>
      </c>
      <c r="U1852" s="78"/>
    </row>
    <row r="1853" spans="15:21" x14ac:dyDescent="0.25">
      <c r="O1853" s="76">
        <v>106604</v>
      </c>
      <c r="P1853" s="78" t="s">
        <v>156</v>
      </c>
      <c r="Q1853" s="77">
        <v>46002</v>
      </c>
      <c r="R1853" s="78" t="s">
        <v>40</v>
      </c>
      <c r="S1853" s="36" t="str">
        <f>VLOOKUP(Tabla911[[#This Row],[CODIGO DEL PRODUCTO]],Tabla79[],2,FALSE)</f>
        <v>PIEDRA 0-6</v>
      </c>
      <c r="T1853" s="37">
        <v>34060</v>
      </c>
      <c r="U1853" s="78"/>
    </row>
    <row r="1854" spans="15:21" x14ac:dyDescent="0.25">
      <c r="O1854" s="76">
        <v>106606</v>
      </c>
      <c r="P1854" s="78" t="s">
        <v>115</v>
      </c>
      <c r="Q1854" s="77">
        <v>46002</v>
      </c>
      <c r="R1854" s="78" t="s">
        <v>43</v>
      </c>
      <c r="S1854" s="36" t="str">
        <f>VLOOKUP(Tabla911[[#This Row],[CODIGO DEL PRODUCTO]],Tabla79[],2,FALSE)</f>
        <v>PIEDRA 6-20</v>
      </c>
      <c r="T1854" s="37">
        <v>34860</v>
      </c>
      <c r="U1854" s="78"/>
    </row>
    <row r="1855" spans="15:21" x14ac:dyDescent="0.25">
      <c r="O1855" s="76">
        <v>106609</v>
      </c>
      <c r="P1855" s="78" t="s">
        <v>570</v>
      </c>
      <c r="Q1855" s="77">
        <v>46002</v>
      </c>
      <c r="R1855" s="78" t="s">
        <v>43</v>
      </c>
      <c r="S1855" s="36" t="str">
        <f>VLOOKUP(Tabla911[[#This Row],[CODIGO DEL PRODUCTO]],Tabla79[],2,FALSE)</f>
        <v>PIEDRA 6-20</v>
      </c>
      <c r="T1855" s="37">
        <v>34180</v>
      </c>
      <c r="U1855" s="78"/>
    </row>
    <row r="1856" spans="15:21" x14ac:dyDescent="0.25">
      <c r="O1856" s="76">
        <v>149120</v>
      </c>
      <c r="P1856" s="78" t="s">
        <v>119</v>
      </c>
      <c r="Q1856" s="77">
        <v>46002</v>
      </c>
      <c r="R1856" s="78" t="s">
        <v>43</v>
      </c>
      <c r="S1856" s="36" t="str">
        <f>VLOOKUP(Tabla911[[#This Row],[CODIGO DEL PRODUCTO]],Tabla79[],2,FALSE)</f>
        <v>PIEDRA 6-20</v>
      </c>
      <c r="T1856" s="37">
        <v>35700</v>
      </c>
      <c r="U1856" s="78"/>
    </row>
    <row r="1857" spans="15:21" x14ac:dyDescent="0.25">
      <c r="O1857" s="76">
        <v>2677229</v>
      </c>
      <c r="P1857" s="78" t="s">
        <v>65</v>
      </c>
      <c r="Q1857" s="77">
        <v>46002</v>
      </c>
      <c r="R1857" s="78" t="s">
        <v>286</v>
      </c>
      <c r="S1857" s="36" t="str">
        <f>VLOOKUP(Tabla911[[#This Row],[CODIGO DEL PRODUCTO]],Tabla79[],2,FALSE)</f>
        <v>CPF 40 AVELLANEDA</v>
      </c>
      <c r="T1857" s="37">
        <v>35640</v>
      </c>
      <c r="U1857" s="78"/>
    </row>
    <row r="1858" spans="15:21" x14ac:dyDescent="0.25">
      <c r="O1858" s="76">
        <v>2677272</v>
      </c>
      <c r="P1858" s="78" t="s">
        <v>296</v>
      </c>
      <c r="Q1858" s="77">
        <v>46002</v>
      </c>
      <c r="R1858" s="78" t="s">
        <v>286</v>
      </c>
      <c r="S1858" s="36" t="str">
        <f>VLOOKUP(Tabla911[[#This Row],[CODIGO DEL PRODUCTO]],Tabla79[],2,FALSE)</f>
        <v>CPF 40 AVELLANEDA</v>
      </c>
      <c r="T1858" s="37">
        <v>36620</v>
      </c>
      <c r="U1858" s="78"/>
    </row>
    <row r="1859" spans="15:21" x14ac:dyDescent="0.25">
      <c r="O1859" s="76">
        <v>38212</v>
      </c>
      <c r="P1859" s="78" t="s">
        <v>449</v>
      </c>
      <c r="Q1859" s="77">
        <v>46001</v>
      </c>
      <c r="R1859" s="78" t="s">
        <v>425</v>
      </c>
      <c r="S1859" s="36" t="str">
        <f>VLOOKUP(Tabla911[[#This Row],[CODIGO DEL PRODUCTO]],Tabla79[],2,FALSE)</f>
        <v>W351R</v>
      </c>
      <c r="T1859" s="37">
        <v>1000</v>
      </c>
      <c r="U1859" s="78"/>
    </row>
    <row r="1860" spans="15:21" x14ac:dyDescent="0.25">
      <c r="O1860" s="76">
        <v>102840</v>
      </c>
      <c r="P1860" s="78" t="s">
        <v>370</v>
      </c>
      <c r="Q1860" s="77">
        <v>46003</v>
      </c>
      <c r="R1860" s="78" t="s">
        <v>42</v>
      </c>
      <c r="S1860" s="36" t="str">
        <f>VLOOKUP(Tabla911[[#This Row],[CODIGO DEL PRODUCTO]],Tabla79[],2,FALSE)</f>
        <v>ARENA FINA</v>
      </c>
      <c r="T1860" s="37">
        <v>36780</v>
      </c>
      <c r="U1860" s="78"/>
    </row>
    <row r="1861" spans="15:21" x14ac:dyDescent="0.25">
      <c r="O1861" s="76">
        <v>102845</v>
      </c>
      <c r="P1861" s="78" t="s">
        <v>370</v>
      </c>
      <c r="Q1861" s="77">
        <v>46003</v>
      </c>
      <c r="R1861" s="78" t="s">
        <v>42</v>
      </c>
      <c r="S1861" s="36" t="str">
        <f>VLOOKUP(Tabla911[[#This Row],[CODIGO DEL PRODUCTO]],Tabla79[],2,FALSE)</f>
        <v>ARENA FINA</v>
      </c>
      <c r="T1861" s="37">
        <v>34660</v>
      </c>
      <c r="U1861" s="78"/>
    </row>
    <row r="1862" spans="15:21" x14ac:dyDescent="0.25">
      <c r="O1862" s="76">
        <v>106612</v>
      </c>
      <c r="P1862" s="78" t="s">
        <v>657</v>
      </c>
      <c r="Q1862" s="77">
        <v>46003</v>
      </c>
      <c r="R1862" s="78" t="s">
        <v>43</v>
      </c>
      <c r="S1862" s="36" t="str">
        <f>VLOOKUP(Tabla911[[#This Row],[CODIGO DEL PRODUCTO]],Tabla79[],2,FALSE)</f>
        <v>PIEDRA 6-20</v>
      </c>
      <c r="T1862" s="37">
        <v>34920</v>
      </c>
      <c r="U1862" s="78"/>
    </row>
    <row r="1863" spans="15:21" x14ac:dyDescent="0.25">
      <c r="O1863" s="76">
        <v>106619</v>
      </c>
      <c r="P1863" s="78" t="s">
        <v>150</v>
      </c>
      <c r="Q1863" s="77">
        <v>46003</v>
      </c>
      <c r="R1863" s="78" t="s">
        <v>43</v>
      </c>
      <c r="S1863" s="36" t="str">
        <f>VLOOKUP(Tabla911[[#This Row],[CODIGO DEL PRODUCTO]],Tabla79[],2,FALSE)</f>
        <v>PIEDRA 6-20</v>
      </c>
      <c r="T1863" s="37">
        <v>34520</v>
      </c>
      <c r="U1863" s="78"/>
    </row>
    <row r="1864" spans="15:21" x14ac:dyDescent="0.25">
      <c r="O1864" s="76">
        <v>106621</v>
      </c>
      <c r="P1864" s="78" t="s">
        <v>287</v>
      </c>
      <c r="Q1864" s="77">
        <v>46003</v>
      </c>
      <c r="R1864" s="78" t="s">
        <v>40</v>
      </c>
      <c r="S1864" s="36" t="str">
        <f>VLOOKUP(Tabla911[[#This Row],[CODIGO DEL PRODUCTO]],Tabla79[],2,FALSE)</f>
        <v>PIEDRA 0-6</v>
      </c>
      <c r="T1864" s="37">
        <v>35360</v>
      </c>
      <c r="U1864" s="78"/>
    </row>
    <row r="1865" spans="15:21" x14ac:dyDescent="0.25">
      <c r="O1865" s="76">
        <v>106623</v>
      </c>
      <c r="P1865" s="78" t="s">
        <v>583</v>
      </c>
      <c r="Q1865" s="77">
        <v>46003</v>
      </c>
      <c r="R1865" s="78" t="s">
        <v>43</v>
      </c>
      <c r="S1865" s="36" t="str">
        <f>VLOOKUP(Tabla911[[#This Row],[CODIGO DEL PRODUCTO]],Tabla79[],2,FALSE)</f>
        <v>PIEDRA 6-20</v>
      </c>
      <c r="T1865" s="37">
        <v>34720</v>
      </c>
      <c r="U1865" s="78"/>
    </row>
    <row r="1866" spans="15:21" x14ac:dyDescent="0.25">
      <c r="O1866" s="76">
        <v>106624</v>
      </c>
      <c r="P1866" s="78" t="s">
        <v>237</v>
      </c>
      <c r="Q1866" s="77">
        <v>46003</v>
      </c>
      <c r="R1866" s="78" t="s">
        <v>40</v>
      </c>
      <c r="S1866" s="36" t="str">
        <f>VLOOKUP(Tabla911[[#This Row],[CODIGO DEL PRODUCTO]],Tabla79[],2,FALSE)</f>
        <v>PIEDRA 0-6</v>
      </c>
      <c r="T1866" s="37">
        <v>33960</v>
      </c>
      <c r="U1866" s="78"/>
    </row>
    <row r="1867" spans="15:21" x14ac:dyDescent="0.25">
      <c r="O1867" s="76">
        <v>106626</v>
      </c>
      <c r="P1867" s="78" t="s">
        <v>244</v>
      </c>
      <c r="Q1867" s="77">
        <v>46003</v>
      </c>
      <c r="R1867" s="78" t="s">
        <v>40</v>
      </c>
      <c r="S1867" s="36" t="str">
        <f>VLOOKUP(Tabla911[[#This Row],[CODIGO DEL PRODUCTO]],Tabla79[],2,FALSE)</f>
        <v>PIEDRA 0-6</v>
      </c>
      <c r="T1867" s="37">
        <v>34020</v>
      </c>
      <c r="U1867" s="78"/>
    </row>
    <row r="1868" spans="15:21" x14ac:dyDescent="0.25">
      <c r="O1868" s="76">
        <v>106629</v>
      </c>
      <c r="P1868" s="78" t="s">
        <v>115</v>
      </c>
      <c r="Q1868" s="77">
        <v>46003</v>
      </c>
      <c r="R1868" s="78" t="s">
        <v>43</v>
      </c>
      <c r="S1868" s="36" t="str">
        <f>VLOOKUP(Tabla911[[#This Row],[CODIGO DEL PRODUCTO]],Tabla79[],2,FALSE)</f>
        <v>PIEDRA 6-20</v>
      </c>
      <c r="T1868" s="37">
        <v>34420</v>
      </c>
      <c r="U1868" s="78"/>
    </row>
    <row r="1869" spans="15:21" x14ac:dyDescent="0.25">
      <c r="O1869" s="76">
        <v>106633</v>
      </c>
      <c r="P1869" s="78" t="s">
        <v>197</v>
      </c>
      <c r="Q1869" s="77">
        <v>46003</v>
      </c>
      <c r="R1869" s="78" t="s">
        <v>43</v>
      </c>
      <c r="S1869" s="36" t="str">
        <f>VLOOKUP(Tabla911[[#This Row],[CODIGO DEL PRODUCTO]],Tabla79[],2,FALSE)</f>
        <v>PIEDRA 6-20</v>
      </c>
      <c r="T1869" s="37">
        <v>35260</v>
      </c>
      <c r="U1869" s="78"/>
    </row>
    <row r="1870" spans="15:21" x14ac:dyDescent="0.25">
      <c r="O1870" s="76">
        <v>106638</v>
      </c>
      <c r="P1870" s="78" t="s">
        <v>156</v>
      </c>
      <c r="Q1870" s="77">
        <v>46003</v>
      </c>
      <c r="R1870" s="78" t="s">
        <v>40</v>
      </c>
      <c r="S1870" s="36" t="str">
        <f>VLOOKUP(Tabla911[[#This Row],[CODIGO DEL PRODUCTO]],Tabla79[],2,FALSE)</f>
        <v>PIEDRA 0-6</v>
      </c>
      <c r="T1870" s="37">
        <v>34960</v>
      </c>
      <c r="U1870" s="78"/>
    </row>
    <row r="1871" spans="15:21" x14ac:dyDescent="0.25">
      <c r="O1871" s="76">
        <v>106639</v>
      </c>
      <c r="P1871" s="78" t="s">
        <v>570</v>
      </c>
      <c r="Q1871" s="77">
        <v>46003</v>
      </c>
      <c r="R1871" s="78" t="s">
        <v>43</v>
      </c>
      <c r="S1871" s="36" t="str">
        <f>VLOOKUP(Tabla911[[#This Row],[CODIGO DEL PRODUCTO]],Tabla79[],2,FALSE)</f>
        <v>PIEDRA 6-20</v>
      </c>
      <c r="T1871" s="37">
        <v>34940</v>
      </c>
      <c r="U1871" s="78"/>
    </row>
    <row r="1872" spans="15:21" x14ac:dyDescent="0.25">
      <c r="O1872" s="76">
        <v>149168</v>
      </c>
      <c r="P1872" s="78" t="s">
        <v>120</v>
      </c>
      <c r="Q1872" s="77">
        <v>46003</v>
      </c>
      <c r="R1872" s="78" t="s">
        <v>43</v>
      </c>
      <c r="S1872" s="36" t="str">
        <f>VLOOKUP(Tabla911[[#This Row],[CODIGO DEL PRODUCTO]],Tabla79[],2,FALSE)</f>
        <v>PIEDRA 6-20</v>
      </c>
      <c r="T1872" s="37">
        <v>36120</v>
      </c>
      <c r="U1872" s="78"/>
    </row>
    <row r="1873" spans="15:21" x14ac:dyDescent="0.25">
      <c r="O1873" s="76">
        <v>149187</v>
      </c>
      <c r="P1873" s="78" t="s">
        <v>296</v>
      </c>
      <c r="Q1873" s="77">
        <v>46003</v>
      </c>
      <c r="R1873" s="78" t="s">
        <v>43</v>
      </c>
      <c r="S1873" s="36" t="str">
        <f>VLOOKUP(Tabla911[[#This Row],[CODIGO DEL PRODUCTO]],Tabla79[],2,FALSE)</f>
        <v>PIEDRA 6-20</v>
      </c>
      <c r="T1873" s="37">
        <v>35360</v>
      </c>
      <c r="U1873" s="78"/>
    </row>
    <row r="1874" spans="15:21" x14ac:dyDescent="0.25">
      <c r="O1874" s="76">
        <v>149198</v>
      </c>
      <c r="P1874" s="78" t="s">
        <v>663</v>
      </c>
      <c r="Q1874" s="77">
        <v>46003</v>
      </c>
      <c r="R1874" s="78" t="s">
        <v>46</v>
      </c>
      <c r="S1874" s="36" t="str">
        <f>VLOOKUP(Tabla911[[#This Row],[CODIGO DEL PRODUCTO]],Tabla79[],2,FALSE)</f>
        <v>PIEDRA 10-30</v>
      </c>
      <c r="T1874" s="37">
        <v>35180</v>
      </c>
      <c r="U1874" s="78"/>
    </row>
    <row r="1875" spans="15:21" x14ac:dyDescent="0.25">
      <c r="O1875" s="76">
        <v>2677479</v>
      </c>
      <c r="P1875" s="78" t="s">
        <v>65</v>
      </c>
      <c r="Q1875" s="77">
        <v>46003</v>
      </c>
      <c r="R1875" s="78" t="s">
        <v>286</v>
      </c>
      <c r="S1875" s="36" t="str">
        <f>VLOOKUP(Tabla911[[#This Row],[CODIGO DEL PRODUCTO]],Tabla79[],2,FALSE)</f>
        <v>CPF 40 AVELLANEDA</v>
      </c>
      <c r="T1875" s="37">
        <v>35900</v>
      </c>
      <c r="U1875" s="78"/>
    </row>
    <row r="1876" spans="15:21" x14ac:dyDescent="0.25">
      <c r="O1876" s="76">
        <v>102850</v>
      </c>
      <c r="P1876" s="78" t="s">
        <v>370</v>
      </c>
      <c r="Q1876" s="77">
        <v>46004</v>
      </c>
      <c r="R1876" s="78" t="s">
        <v>42</v>
      </c>
      <c r="S1876" s="36" t="str">
        <f>VLOOKUP(Tabla911[[#This Row],[CODIGO DEL PRODUCTO]],Tabla79[],2,FALSE)</f>
        <v>ARENA FINA</v>
      </c>
      <c r="T1876" s="37">
        <v>35100</v>
      </c>
      <c r="U1876" s="78"/>
    </row>
    <row r="1877" spans="15:21" x14ac:dyDescent="0.25">
      <c r="O1877" s="76">
        <v>106641</v>
      </c>
      <c r="P1877" s="78" t="s">
        <v>218</v>
      </c>
      <c r="Q1877" s="77">
        <v>46004</v>
      </c>
      <c r="R1877" s="78" t="s">
        <v>43</v>
      </c>
      <c r="S1877" s="36" t="str">
        <f>VLOOKUP(Tabla911[[#This Row],[CODIGO DEL PRODUCTO]],Tabla79[],2,FALSE)</f>
        <v>PIEDRA 6-20</v>
      </c>
      <c r="T1877" s="37">
        <v>34820</v>
      </c>
      <c r="U1877" s="78"/>
    </row>
    <row r="1878" spans="15:21" x14ac:dyDescent="0.25">
      <c r="O1878" s="76">
        <v>106642</v>
      </c>
      <c r="P1878" s="78" t="s">
        <v>252</v>
      </c>
      <c r="Q1878" s="77">
        <v>46004</v>
      </c>
      <c r="R1878" s="78" t="s">
        <v>43</v>
      </c>
      <c r="S1878" s="36" t="str">
        <f>VLOOKUP(Tabla911[[#This Row],[CODIGO DEL PRODUCTO]],Tabla79[],2,FALSE)</f>
        <v>PIEDRA 6-20</v>
      </c>
      <c r="T1878" s="37">
        <v>35540</v>
      </c>
      <c r="U1878" s="78"/>
    </row>
    <row r="1879" spans="15:21" x14ac:dyDescent="0.25">
      <c r="O1879" s="76">
        <v>106644</v>
      </c>
      <c r="P1879" s="78" t="s">
        <v>318</v>
      </c>
      <c r="Q1879" s="77">
        <v>46004</v>
      </c>
      <c r="R1879" s="78" t="s">
        <v>40</v>
      </c>
      <c r="S1879" s="36" t="str">
        <f>VLOOKUP(Tabla911[[#This Row],[CODIGO DEL PRODUCTO]],Tabla79[],2,FALSE)</f>
        <v>PIEDRA 0-6</v>
      </c>
      <c r="T1879" s="37">
        <v>35080</v>
      </c>
      <c r="U1879" s="78"/>
    </row>
    <row r="1880" spans="15:21" x14ac:dyDescent="0.25">
      <c r="O1880" s="76">
        <v>149233</v>
      </c>
      <c r="P1880" s="78" t="s">
        <v>119</v>
      </c>
      <c r="Q1880" s="77">
        <v>46004</v>
      </c>
      <c r="R1880" s="78" t="s">
        <v>43</v>
      </c>
      <c r="S1880" s="36" t="str">
        <f>VLOOKUP(Tabla911[[#This Row],[CODIGO DEL PRODUCTO]],Tabla79[],2,FALSE)</f>
        <v>PIEDRA 6-20</v>
      </c>
      <c r="T1880" s="37">
        <v>36320</v>
      </c>
      <c r="U1880" s="78"/>
    </row>
    <row r="1881" spans="15:21" x14ac:dyDescent="0.25">
      <c r="O1881" s="76">
        <v>2677653</v>
      </c>
      <c r="P1881" s="78" t="s">
        <v>65</v>
      </c>
      <c r="Q1881" s="77">
        <v>46004</v>
      </c>
      <c r="R1881" s="78" t="s">
        <v>286</v>
      </c>
      <c r="S1881" s="36" t="str">
        <f>VLOOKUP(Tabla911[[#This Row],[CODIGO DEL PRODUCTO]],Tabla79[],2,FALSE)</f>
        <v>CPF 40 AVELLANEDA</v>
      </c>
      <c r="T1881" s="37">
        <v>35760</v>
      </c>
      <c r="U1881" s="78"/>
    </row>
    <row r="1882" spans="15:21" x14ac:dyDescent="0.25">
      <c r="O1882" s="76">
        <v>102856</v>
      </c>
      <c r="P1882" s="78" t="s">
        <v>370</v>
      </c>
      <c r="Q1882" s="77">
        <v>46006</v>
      </c>
      <c r="R1882" s="78" t="s">
        <v>42</v>
      </c>
      <c r="S1882" s="36" t="str">
        <f>VLOOKUP(Tabla911[[#This Row],[CODIGO DEL PRODUCTO]],Tabla79[],2,FALSE)</f>
        <v>ARENA FINA</v>
      </c>
      <c r="T1882" s="37">
        <v>34880</v>
      </c>
      <c r="U1882" s="78"/>
    </row>
    <row r="1883" spans="15:21" x14ac:dyDescent="0.25">
      <c r="O1883" s="76">
        <v>102860</v>
      </c>
      <c r="P1883" s="78" t="s">
        <v>549</v>
      </c>
      <c r="Q1883" s="77">
        <v>46006</v>
      </c>
      <c r="R1883" s="78" t="s">
        <v>42</v>
      </c>
      <c r="S1883" s="36" t="str">
        <f>VLOOKUP(Tabla911[[#This Row],[CODIGO DEL PRODUCTO]],Tabla79[],2,FALSE)</f>
        <v>ARENA FINA</v>
      </c>
      <c r="T1883" s="37">
        <v>35260</v>
      </c>
      <c r="U1883" s="78"/>
    </row>
    <row r="1884" spans="15:21" x14ac:dyDescent="0.25">
      <c r="O1884" s="76">
        <v>102861</v>
      </c>
      <c r="P1884" s="78" t="s">
        <v>648</v>
      </c>
      <c r="Q1884" s="77">
        <v>46006</v>
      </c>
      <c r="R1884" s="78" t="s">
        <v>42</v>
      </c>
      <c r="S1884" s="36" t="str">
        <f>VLOOKUP(Tabla911[[#This Row],[CODIGO DEL PRODUCTO]],Tabla79[],2,FALSE)</f>
        <v>ARENA FINA</v>
      </c>
      <c r="T1884" s="37">
        <v>34560</v>
      </c>
      <c r="U1884" s="78"/>
    </row>
    <row r="1885" spans="15:21" x14ac:dyDescent="0.25">
      <c r="O1885" s="76">
        <v>102862</v>
      </c>
      <c r="P1885" s="78" t="s">
        <v>571</v>
      </c>
      <c r="Q1885" s="77">
        <v>46006</v>
      </c>
      <c r="R1885" s="78" t="s">
        <v>42</v>
      </c>
      <c r="S1885" s="36" t="str">
        <f>VLOOKUP(Tabla911[[#This Row],[CODIGO DEL PRODUCTO]],Tabla79[],2,FALSE)</f>
        <v>ARENA FINA</v>
      </c>
      <c r="T1885" s="37">
        <v>37680</v>
      </c>
      <c r="U1885" s="78"/>
    </row>
    <row r="1886" spans="15:21" x14ac:dyDescent="0.25">
      <c r="O1886" s="76">
        <v>102866</v>
      </c>
      <c r="P1886" s="78" t="s">
        <v>370</v>
      </c>
      <c r="Q1886" s="77">
        <v>46006</v>
      </c>
      <c r="R1886" s="78" t="s">
        <v>42</v>
      </c>
      <c r="S1886" s="36" t="str">
        <f>VLOOKUP(Tabla911[[#This Row],[CODIGO DEL PRODUCTO]],Tabla79[],2,FALSE)</f>
        <v>ARENA FINA</v>
      </c>
      <c r="T1886" s="37">
        <v>34200</v>
      </c>
      <c r="U1886" s="78"/>
    </row>
    <row r="1887" spans="15:21" x14ac:dyDescent="0.25">
      <c r="O1887" s="76">
        <v>102867</v>
      </c>
      <c r="P1887" s="78" t="s">
        <v>549</v>
      </c>
      <c r="Q1887" s="77">
        <v>46006</v>
      </c>
      <c r="R1887" s="78" t="s">
        <v>42</v>
      </c>
      <c r="S1887" s="36" t="str">
        <f>VLOOKUP(Tabla911[[#This Row],[CODIGO DEL PRODUCTO]],Tabla79[],2,FALSE)</f>
        <v>ARENA FINA</v>
      </c>
      <c r="T1887" s="37">
        <v>35660</v>
      </c>
      <c r="U1887" s="78"/>
    </row>
    <row r="1888" spans="15:21" x14ac:dyDescent="0.25">
      <c r="O1888" s="76">
        <v>102868</v>
      </c>
      <c r="P1888" s="78" t="s">
        <v>648</v>
      </c>
      <c r="Q1888" s="77">
        <v>46006</v>
      </c>
      <c r="R1888" s="78" t="s">
        <v>42</v>
      </c>
      <c r="S1888" s="36" t="str">
        <f>VLOOKUP(Tabla911[[#This Row],[CODIGO DEL PRODUCTO]],Tabla79[],2,FALSE)</f>
        <v>ARENA FINA</v>
      </c>
      <c r="T1888" s="37">
        <v>36260</v>
      </c>
      <c r="U1888" s="78"/>
    </row>
    <row r="1889" spans="15:21" x14ac:dyDescent="0.25">
      <c r="O1889" s="76">
        <v>106650</v>
      </c>
      <c r="P1889" s="78" t="s">
        <v>238</v>
      </c>
      <c r="Q1889" s="77">
        <v>46006</v>
      </c>
      <c r="R1889" s="78" t="s">
        <v>40</v>
      </c>
      <c r="S1889" s="36" t="str">
        <f>VLOOKUP(Tabla911[[#This Row],[CODIGO DEL PRODUCTO]],Tabla79[],2,FALSE)</f>
        <v>PIEDRA 0-6</v>
      </c>
      <c r="T1889" s="37">
        <v>34740</v>
      </c>
      <c r="U1889" s="78"/>
    </row>
    <row r="1890" spans="15:21" x14ac:dyDescent="0.25">
      <c r="O1890" s="76">
        <v>106651</v>
      </c>
      <c r="P1890" s="78" t="s">
        <v>234</v>
      </c>
      <c r="Q1890" s="77">
        <v>46006</v>
      </c>
      <c r="R1890" s="78" t="s">
        <v>43</v>
      </c>
      <c r="S1890" s="36" t="str">
        <f>VLOOKUP(Tabla911[[#This Row],[CODIGO DEL PRODUCTO]],Tabla79[],2,FALSE)</f>
        <v>PIEDRA 6-20</v>
      </c>
      <c r="T1890" s="37">
        <v>34840</v>
      </c>
      <c r="U1890" s="78"/>
    </row>
    <row r="1891" spans="15:21" x14ac:dyDescent="0.25">
      <c r="O1891" s="76">
        <v>106652</v>
      </c>
      <c r="P1891" s="78" t="s">
        <v>115</v>
      </c>
      <c r="Q1891" s="77">
        <v>46006</v>
      </c>
      <c r="R1891" s="78" t="s">
        <v>43</v>
      </c>
      <c r="S1891" s="36" t="str">
        <f>VLOOKUP(Tabla911[[#This Row],[CODIGO DEL PRODUCTO]],Tabla79[],2,FALSE)</f>
        <v>PIEDRA 6-20</v>
      </c>
      <c r="T1891" s="37">
        <v>34800</v>
      </c>
      <c r="U1891" s="78"/>
    </row>
    <row r="1892" spans="15:21" x14ac:dyDescent="0.25">
      <c r="O1892" s="76">
        <v>106653</v>
      </c>
      <c r="P1892" s="78" t="s">
        <v>355</v>
      </c>
      <c r="Q1892" s="77">
        <v>46006</v>
      </c>
      <c r="R1892" s="78" t="s">
        <v>43</v>
      </c>
      <c r="S1892" s="36" t="str">
        <f>VLOOKUP(Tabla911[[#This Row],[CODIGO DEL PRODUCTO]],Tabla79[],2,FALSE)</f>
        <v>PIEDRA 6-20</v>
      </c>
      <c r="T1892" s="37">
        <v>35380</v>
      </c>
      <c r="U1892" s="78"/>
    </row>
    <row r="1893" spans="15:21" x14ac:dyDescent="0.25">
      <c r="O1893" s="76">
        <v>106656</v>
      </c>
      <c r="P1893" s="78" t="s">
        <v>150</v>
      </c>
      <c r="Q1893" s="77">
        <v>46006</v>
      </c>
      <c r="R1893" s="78" t="s">
        <v>43</v>
      </c>
      <c r="S1893" s="36" t="str">
        <f>VLOOKUP(Tabla911[[#This Row],[CODIGO DEL PRODUCTO]],Tabla79[],2,FALSE)</f>
        <v>PIEDRA 6-20</v>
      </c>
      <c r="T1893" s="37">
        <v>35280</v>
      </c>
      <c r="U1893" s="78"/>
    </row>
    <row r="1894" spans="15:21" x14ac:dyDescent="0.25">
      <c r="O1894" s="76">
        <v>106658</v>
      </c>
      <c r="P1894" s="78" t="s">
        <v>252</v>
      </c>
      <c r="Q1894" s="77">
        <v>46006</v>
      </c>
      <c r="R1894" s="78" t="s">
        <v>43</v>
      </c>
      <c r="S1894" s="36" t="str">
        <f>VLOOKUP(Tabla911[[#This Row],[CODIGO DEL PRODUCTO]],Tabla79[],2,FALSE)</f>
        <v>PIEDRA 6-20</v>
      </c>
      <c r="T1894" s="37">
        <v>35340</v>
      </c>
      <c r="U1894" s="78"/>
    </row>
    <row r="1895" spans="15:21" x14ac:dyDescent="0.25">
      <c r="O1895" s="76">
        <v>106675</v>
      </c>
      <c r="P1895" s="78" t="s">
        <v>318</v>
      </c>
      <c r="Q1895" s="77">
        <v>46006</v>
      </c>
      <c r="R1895" s="78" t="s">
        <v>40</v>
      </c>
      <c r="S1895" s="36" t="str">
        <f>VLOOKUP(Tabla911[[#This Row],[CODIGO DEL PRODUCTO]],Tabla79[],2,FALSE)</f>
        <v>PIEDRA 0-6</v>
      </c>
      <c r="T1895" s="37">
        <v>34580</v>
      </c>
      <c r="U1895" s="78"/>
    </row>
    <row r="1896" spans="15:21" x14ac:dyDescent="0.25">
      <c r="O1896" s="76">
        <v>106676</v>
      </c>
      <c r="P1896" s="78" t="s">
        <v>586</v>
      </c>
      <c r="Q1896" s="77">
        <v>46006</v>
      </c>
      <c r="R1896" s="78" t="s">
        <v>43</v>
      </c>
      <c r="S1896" s="36" t="str">
        <f>VLOOKUP(Tabla911[[#This Row],[CODIGO DEL PRODUCTO]],Tabla79[],2,FALSE)</f>
        <v>PIEDRA 6-20</v>
      </c>
      <c r="T1896" s="37">
        <v>34340</v>
      </c>
      <c r="U1896" s="78"/>
    </row>
    <row r="1897" spans="15:21" x14ac:dyDescent="0.25">
      <c r="O1897" s="76">
        <v>106678</v>
      </c>
      <c r="P1897" s="78" t="s">
        <v>156</v>
      </c>
      <c r="Q1897" s="77">
        <v>46006</v>
      </c>
      <c r="R1897" s="78" t="s">
        <v>40</v>
      </c>
      <c r="S1897" s="36" t="str">
        <f>VLOOKUP(Tabla911[[#This Row],[CODIGO DEL PRODUCTO]],Tabla79[],2,FALSE)</f>
        <v>PIEDRA 0-6</v>
      </c>
      <c r="T1897" s="37">
        <v>34400</v>
      </c>
      <c r="U1897" s="78"/>
    </row>
    <row r="1898" spans="15:21" x14ac:dyDescent="0.25">
      <c r="O1898" s="76">
        <v>149221</v>
      </c>
      <c r="P1898" s="78" t="s">
        <v>140</v>
      </c>
      <c r="Q1898" s="77">
        <v>46006</v>
      </c>
      <c r="R1898" s="78" t="s">
        <v>43</v>
      </c>
      <c r="S1898" s="36" t="str">
        <f>VLOOKUP(Tabla911[[#This Row],[CODIGO DEL PRODUCTO]],Tabla79[],2,FALSE)</f>
        <v>PIEDRA 6-20</v>
      </c>
      <c r="T1898" s="37">
        <v>35260</v>
      </c>
      <c r="U1898" s="78"/>
    </row>
    <row r="1899" spans="15:21" x14ac:dyDescent="0.25">
      <c r="O1899" s="76">
        <v>2678016</v>
      </c>
      <c r="P1899" s="78" t="s">
        <v>65</v>
      </c>
      <c r="Q1899" s="77">
        <v>46006</v>
      </c>
      <c r="R1899" s="78" t="s">
        <v>286</v>
      </c>
      <c r="S1899" s="36" t="str">
        <f>VLOOKUP(Tabla911[[#This Row],[CODIGO DEL PRODUCTO]],Tabla79[],2,FALSE)</f>
        <v>CPF 40 AVELLANEDA</v>
      </c>
      <c r="T1899" s="37">
        <v>35740</v>
      </c>
      <c r="U1899" s="78"/>
    </row>
    <row r="1900" spans="15:21" x14ac:dyDescent="0.25">
      <c r="O1900" s="76">
        <v>102872</v>
      </c>
      <c r="P1900" s="78" t="s">
        <v>370</v>
      </c>
      <c r="Q1900" s="77">
        <v>46007</v>
      </c>
      <c r="R1900" s="78" t="s">
        <v>42</v>
      </c>
      <c r="S1900" s="36" t="str">
        <f>VLOOKUP(Tabla911[[#This Row],[CODIGO DEL PRODUCTO]],Tabla79[],2,FALSE)</f>
        <v>ARENA FINA</v>
      </c>
      <c r="T1900" s="37">
        <v>35820</v>
      </c>
      <c r="U1900" s="78"/>
    </row>
    <row r="1901" spans="15:21" x14ac:dyDescent="0.25">
      <c r="O1901" s="76">
        <v>102875</v>
      </c>
      <c r="P1901" s="78" t="s">
        <v>571</v>
      </c>
      <c r="Q1901" s="77">
        <v>46007</v>
      </c>
      <c r="R1901" s="78" t="s">
        <v>42</v>
      </c>
      <c r="S1901" s="36" t="str">
        <f>VLOOKUP(Tabla911[[#This Row],[CODIGO DEL PRODUCTO]],Tabla79[],2,FALSE)</f>
        <v>ARENA FINA</v>
      </c>
      <c r="T1901" s="37">
        <v>36900</v>
      </c>
      <c r="U1901" s="78"/>
    </row>
    <row r="1902" spans="15:21" x14ac:dyDescent="0.25">
      <c r="O1902" s="76">
        <v>102881</v>
      </c>
      <c r="P1902" s="78" t="s">
        <v>370</v>
      </c>
      <c r="Q1902" s="77">
        <v>46007</v>
      </c>
      <c r="R1902" s="78" t="s">
        <v>42</v>
      </c>
      <c r="S1902" s="36" t="str">
        <f>VLOOKUP(Tabla911[[#This Row],[CODIGO DEL PRODUCTO]],Tabla79[],2,FALSE)</f>
        <v>ARENA FINA</v>
      </c>
      <c r="T1902" s="37">
        <v>34680</v>
      </c>
      <c r="U1902" s="78"/>
    </row>
    <row r="1903" spans="15:21" x14ac:dyDescent="0.25">
      <c r="O1903" s="76">
        <v>102882</v>
      </c>
      <c r="P1903" s="78" t="s">
        <v>549</v>
      </c>
      <c r="Q1903" s="77">
        <v>46007</v>
      </c>
      <c r="R1903" s="78" t="s">
        <v>42</v>
      </c>
      <c r="S1903" s="36" t="str">
        <f>VLOOKUP(Tabla911[[#This Row],[CODIGO DEL PRODUCTO]],Tabla79[],2,FALSE)</f>
        <v>ARENA FINA</v>
      </c>
      <c r="T1903" s="37">
        <v>35940</v>
      </c>
      <c r="U1903" s="78"/>
    </row>
    <row r="1904" spans="15:21" x14ac:dyDescent="0.25">
      <c r="O1904" s="76">
        <v>102884</v>
      </c>
      <c r="P1904" s="78" t="s">
        <v>571</v>
      </c>
      <c r="Q1904" s="77">
        <v>46007</v>
      </c>
      <c r="R1904" s="78" t="s">
        <v>42</v>
      </c>
      <c r="S1904" s="36" t="str">
        <f>VLOOKUP(Tabla911[[#This Row],[CODIGO DEL PRODUCTO]],Tabla79[],2,FALSE)</f>
        <v>ARENA FINA</v>
      </c>
      <c r="T1904" s="37">
        <v>35100</v>
      </c>
      <c r="U1904" s="78"/>
    </row>
    <row r="1905" spans="15:21" x14ac:dyDescent="0.25">
      <c r="O1905" s="76">
        <v>106680</v>
      </c>
      <c r="P1905" s="78" t="s">
        <v>238</v>
      </c>
      <c r="Q1905" s="77">
        <v>46007</v>
      </c>
      <c r="R1905" s="78" t="s">
        <v>40</v>
      </c>
      <c r="S1905" s="36" t="str">
        <f>VLOOKUP(Tabla911[[#This Row],[CODIGO DEL PRODUCTO]],Tabla79[],2,FALSE)</f>
        <v>PIEDRA 0-6</v>
      </c>
      <c r="T1905" s="37">
        <v>35300</v>
      </c>
      <c r="U1905" s="78"/>
    </row>
    <row r="1906" spans="15:21" x14ac:dyDescent="0.25">
      <c r="O1906" s="76">
        <v>106681</v>
      </c>
      <c r="P1906" s="78" t="s">
        <v>234</v>
      </c>
      <c r="Q1906" s="77">
        <v>46007</v>
      </c>
      <c r="R1906" s="78" t="s">
        <v>43</v>
      </c>
      <c r="S1906" s="36" t="str">
        <f>VLOOKUP(Tabla911[[#This Row],[CODIGO DEL PRODUCTO]],Tabla79[],2,FALSE)</f>
        <v>PIEDRA 6-20</v>
      </c>
      <c r="T1906" s="37">
        <v>34540</v>
      </c>
      <c r="U1906" s="78"/>
    </row>
    <row r="1907" spans="15:21" x14ac:dyDescent="0.25">
      <c r="O1907" s="76">
        <v>106683</v>
      </c>
      <c r="P1907" s="78" t="s">
        <v>287</v>
      </c>
      <c r="Q1907" s="77">
        <v>46007</v>
      </c>
      <c r="R1907" s="78" t="s">
        <v>48</v>
      </c>
      <c r="S1907" s="36" t="str">
        <f>VLOOKUP(Tabla911[[#This Row],[CODIGO DEL PRODUCTO]],Tabla79[],2,FALSE)</f>
        <v>PIEDRA 6-12</v>
      </c>
      <c r="T1907" s="37">
        <v>35360</v>
      </c>
      <c r="U1907" s="78"/>
    </row>
    <row r="1908" spans="15:21" x14ac:dyDescent="0.25">
      <c r="O1908" s="76">
        <v>106684</v>
      </c>
      <c r="P1908" s="78" t="s">
        <v>583</v>
      </c>
      <c r="Q1908" s="77">
        <v>46007</v>
      </c>
      <c r="R1908" s="78" t="s">
        <v>48</v>
      </c>
      <c r="S1908" s="36" t="str">
        <f>VLOOKUP(Tabla911[[#This Row],[CODIGO DEL PRODUCTO]],Tabla79[],2,FALSE)</f>
        <v>PIEDRA 6-12</v>
      </c>
      <c r="T1908" s="37">
        <v>35600</v>
      </c>
      <c r="U1908" s="78"/>
    </row>
    <row r="1909" spans="15:21" x14ac:dyDescent="0.25">
      <c r="O1909" s="76">
        <v>106688</v>
      </c>
      <c r="P1909" s="78" t="s">
        <v>150</v>
      </c>
      <c r="Q1909" s="77">
        <v>46007</v>
      </c>
      <c r="R1909" s="78" t="s">
        <v>43</v>
      </c>
      <c r="S1909" s="36" t="str">
        <f>VLOOKUP(Tabla911[[#This Row],[CODIGO DEL PRODUCTO]],Tabla79[],2,FALSE)</f>
        <v>PIEDRA 6-20</v>
      </c>
      <c r="T1909" s="37">
        <v>34820</v>
      </c>
      <c r="U1909" s="78"/>
    </row>
    <row r="1910" spans="15:21" x14ac:dyDescent="0.25">
      <c r="O1910" s="76">
        <v>106689</v>
      </c>
      <c r="P1910" s="78" t="s">
        <v>355</v>
      </c>
      <c r="Q1910" s="77">
        <v>46007</v>
      </c>
      <c r="R1910" s="78" t="s">
        <v>43</v>
      </c>
      <c r="S1910" s="36" t="str">
        <f>VLOOKUP(Tabla911[[#This Row],[CODIGO DEL PRODUCTO]],Tabla79[],2,FALSE)</f>
        <v>PIEDRA 6-20</v>
      </c>
      <c r="T1910" s="37">
        <v>35440</v>
      </c>
      <c r="U1910" s="78"/>
    </row>
    <row r="1911" spans="15:21" x14ac:dyDescent="0.25">
      <c r="O1911" s="76">
        <v>106696</v>
      </c>
      <c r="P1911" s="78" t="s">
        <v>586</v>
      </c>
      <c r="Q1911" s="77">
        <v>46007</v>
      </c>
      <c r="R1911" s="78" t="s">
        <v>43</v>
      </c>
      <c r="S1911" s="36" t="str">
        <f>VLOOKUP(Tabla911[[#This Row],[CODIGO DEL PRODUCTO]],Tabla79[],2,FALSE)</f>
        <v>PIEDRA 6-20</v>
      </c>
      <c r="T1911" s="37">
        <v>34720</v>
      </c>
      <c r="U1911" s="78"/>
    </row>
    <row r="1912" spans="15:21" x14ac:dyDescent="0.25">
      <c r="O1912" s="76">
        <v>106700</v>
      </c>
      <c r="P1912" s="78" t="s">
        <v>252</v>
      </c>
      <c r="Q1912" s="77">
        <v>46007</v>
      </c>
      <c r="R1912" s="78" t="s">
        <v>43</v>
      </c>
      <c r="S1912" s="36" t="str">
        <f>VLOOKUP(Tabla911[[#This Row],[CODIGO DEL PRODUCTO]],Tabla79[],2,FALSE)</f>
        <v>PIEDRA 6-20</v>
      </c>
      <c r="T1912" s="37">
        <v>35080</v>
      </c>
      <c r="U1912" s="78"/>
    </row>
    <row r="1913" spans="15:21" x14ac:dyDescent="0.25">
      <c r="O1913" s="76">
        <v>106708</v>
      </c>
      <c r="P1913" s="78" t="s">
        <v>115</v>
      </c>
      <c r="Q1913" s="77">
        <v>46007</v>
      </c>
      <c r="R1913" s="78" t="s">
        <v>43</v>
      </c>
      <c r="S1913" s="36" t="str">
        <f>VLOOKUP(Tabla911[[#This Row],[CODIGO DEL PRODUCTO]],Tabla79[],2,FALSE)</f>
        <v>PIEDRA 6-20</v>
      </c>
      <c r="T1913" s="37">
        <v>35260</v>
      </c>
      <c r="U1913" s="78"/>
    </row>
    <row r="1914" spans="15:21" x14ac:dyDescent="0.25">
      <c r="O1914" s="76">
        <v>106711</v>
      </c>
      <c r="P1914" s="78" t="s">
        <v>318</v>
      </c>
      <c r="Q1914" s="77">
        <v>46007</v>
      </c>
      <c r="R1914" s="78" t="s">
        <v>40</v>
      </c>
      <c r="S1914" s="36" t="str">
        <f>VLOOKUP(Tabla911[[#This Row],[CODIGO DEL PRODUCTO]],Tabla79[],2,FALSE)</f>
        <v>PIEDRA 0-6</v>
      </c>
      <c r="T1914" s="37">
        <v>35100</v>
      </c>
      <c r="U1914" s="78"/>
    </row>
    <row r="1915" spans="15:21" x14ac:dyDescent="0.25">
      <c r="O1915" s="76">
        <v>106712</v>
      </c>
      <c r="P1915" s="78" t="s">
        <v>156</v>
      </c>
      <c r="Q1915" s="77">
        <v>46007</v>
      </c>
      <c r="R1915" s="78" t="s">
        <v>40</v>
      </c>
      <c r="S1915" s="36" t="str">
        <f>VLOOKUP(Tabla911[[#This Row],[CODIGO DEL PRODUCTO]],Tabla79[],2,FALSE)</f>
        <v>PIEDRA 0-6</v>
      </c>
      <c r="T1915" s="37">
        <v>34280</v>
      </c>
      <c r="U1915" s="78"/>
    </row>
    <row r="1916" spans="15:21" x14ac:dyDescent="0.25">
      <c r="O1916" s="76">
        <v>106713</v>
      </c>
      <c r="P1916" s="78" t="s">
        <v>254</v>
      </c>
      <c r="Q1916" s="77">
        <v>46007</v>
      </c>
      <c r="R1916" s="78" t="s">
        <v>40</v>
      </c>
      <c r="S1916" s="36" t="str">
        <f>VLOOKUP(Tabla911[[#This Row],[CODIGO DEL PRODUCTO]],Tabla79[],2,FALSE)</f>
        <v>PIEDRA 0-6</v>
      </c>
      <c r="T1916" s="37">
        <v>34280</v>
      </c>
      <c r="U1916" s="78"/>
    </row>
    <row r="1917" spans="15:21" x14ac:dyDescent="0.25">
      <c r="O1917" s="76">
        <v>109320</v>
      </c>
      <c r="P1917" s="78" t="s">
        <v>140</v>
      </c>
      <c r="Q1917" s="77">
        <v>46007</v>
      </c>
      <c r="R1917" s="78" t="s">
        <v>43</v>
      </c>
      <c r="S1917" s="36" t="str">
        <f>VLOOKUP(Tabla911[[#This Row],[CODIGO DEL PRODUCTO]],Tabla79[],2,FALSE)</f>
        <v>PIEDRA 6-20</v>
      </c>
      <c r="T1917" s="37">
        <v>35000</v>
      </c>
      <c r="U1917" s="78"/>
    </row>
    <row r="1918" spans="15:21" x14ac:dyDescent="0.25">
      <c r="O1918" s="76">
        <v>2678314</v>
      </c>
      <c r="P1918" s="78" t="s">
        <v>65</v>
      </c>
      <c r="Q1918" s="77">
        <v>46007</v>
      </c>
      <c r="R1918" s="78" t="s">
        <v>286</v>
      </c>
      <c r="S1918" s="36" t="str">
        <f>VLOOKUP(Tabla911[[#This Row],[CODIGO DEL PRODUCTO]],Tabla79[],2,FALSE)</f>
        <v>CPF 40 AVELLANEDA</v>
      </c>
      <c r="T1918" s="37">
        <v>35960</v>
      </c>
      <c r="U1918" s="78"/>
    </row>
    <row r="1919" spans="15:21" x14ac:dyDescent="0.25">
      <c r="O1919" s="76">
        <v>102890</v>
      </c>
      <c r="P1919" s="78" t="s">
        <v>370</v>
      </c>
      <c r="Q1919" s="77">
        <v>46008</v>
      </c>
      <c r="R1919" s="78" t="s">
        <v>42</v>
      </c>
      <c r="S1919" s="36" t="str">
        <f>VLOOKUP(Tabla911[[#This Row],[CODIGO DEL PRODUCTO]],Tabla79[],2,FALSE)</f>
        <v>ARENA FINA</v>
      </c>
      <c r="T1919" s="37">
        <v>35220</v>
      </c>
      <c r="U1919" s="78"/>
    </row>
    <row r="1920" spans="15:21" x14ac:dyDescent="0.25">
      <c r="O1920" s="76">
        <v>102896</v>
      </c>
      <c r="P1920" s="78" t="s">
        <v>370</v>
      </c>
      <c r="Q1920" s="77">
        <v>46008</v>
      </c>
      <c r="R1920" s="78" t="s">
        <v>42</v>
      </c>
      <c r="S1920" s="36" t="str">
        <f>VLOOKUP(Tabla911[[#This Row],[CODIGO DEL PRODUCTO]],Tabla79[],2,FALSE)</f>
        <v>ARENA FINA</v>
      </c>
      <c r="T1920" s="37">
        <v>34540</v>
      </c>
      <c r="U1920" s="78"/>
    </row>
    <row r="1921" spans="15:24" x14ac:dyDescent="0.25">
      <c r="O1921" s="76">
        <v>102899</v>
      </c>
      <c r="P1921" s="78" t="s">
        <v>549</v>
      </c>
      <c r="Q1921" s="77">
        <v>46008</v>
      </c>
      <c r="R1921" s="78" t="s">
        <v>42</v>
      </c>
      <c r="S1921" s="36" t="str">
        <f>VLOOKUP(Tabla911[[#This Row],[CODIGO DEL PRODUCTO]],Tabla79[],2,FALSE)</f>
        <v>ARENA FINA</v>
      </c>
      <c r="T1921" s="37">
        <v>36480</v>
      </c>
      <c r="U1921" s="78"/>
    </row>
    <row r="1922" spans="15:24" x14ac:dyDescent="0.25">
      <c r="O1922" s="76">
        <v>106714</v>
      </c>
      <c r="P1922" s="78" t="s">
        <v>583</v>
      </c>
      <c r="Q1922" s="77">
        <v>46008</v>
      </c>
      <c r="R1922" s="78" t="s">
        <v>48</v>
      </c>
      <c r="S1922" s="36" t="str">
        <f>VLOOKUP(Tabla911[[#This Row],[CODIGO DEL PRODUCTO]],Tabla79[],2,FALSE)</f>
        <v>PIEDRA 6-12</v>
      </c>
      <c r="T1922" s="37">
        <v>35880</v>
      </c>
      <c r="U1922" s="78"/>
    </row>
    <row r="1923" spans="15:24" x14ac:dyDescent="0.25">
      <c r="O1923" s="76">
        <v>106715</v>
      </c>
      <c r="P1923" s="78" t="s">
        <v>287</v>
      </c>
      <c r="Q1923" s="77">
        <v>46008</v>
      </c>
      <c r="R1923" s="78" t="s">
        <v>48</v>
      </c>
      <c r="S1923" s="36" t="str">
        <f>VLOOKUP(Tabla911[[#This Row],[CODIGO DEL PRODUCTO]],Tabla79[],2,FALSE)</f>
        <v>PIEDRA 6-12</v>
      </c>
      <c r="T1923" s="37">
        <v>35140</v>
      </c>
      <c r="U1923" s="78"/>
    </row>
    <row r="1924" spans="15:24" x14ac:dyDescent="0.25">
      <c r="O1924" s="76">
        <v>106718</v>
      </c>
      <c r="P1924" s="78" t="s">
        <v>234</v>
      </c>
      <c r="Q1924" s="77">
        <v>46008</v>
      </c>
      <c r="R1924" s="78" t="s">
        <v>40</v>
      </c>
      <c r="S1924" s="36" t="str">
        <f>VLOOKUP(Tabla911[[#This Row],[CODIGO DEL PRODUCTO]],Tabla79[],2,FALSE)</f>
        <v>PIEDRA 0-6</v>
      </c>
      <c r="T1924" s="37">
        <v>34880</v>
      </c>
      <c r="U1924" s="78"/>
    </row>
    <row r="1925" spans="15:24" x14ac:dyDescent="0.25">
      <c r="O1925" s="76">
        <v>106732</v>
      </c>
      <c r="P1925" s="78" t="s">
        <v>318</v>
      </c>
      <c r="Q1925" s="77">
        <v>46008</v>
      </c>
      <c r="R1925" s="78" t="s">
        <v>40</v>
      </c>
      <c r="S1925" s="36" t="str">
        <f>VLOOKUP(Tabla911[[#This Row],[CODIGO DEL PRODUCTO]],Tabla79[],2,FALSE)</f>
        <v>PIEDRA 0-6</v>
      </c>
      <c r="T1925" s="37">
        <v>34480</v>
      </c>
      <c r="U1925" s="78"/>
    </row>
    <row r="1926" spans="15:24" x14ac:dyDescent="0.25">
      <c r="O1926" s="76">
        <v>106740</v>
      </c>
      <c r="P1926" s="78" t="s">
        <v>115</v>
      </c>
      <c r="Q1926" s="77">
        <v>46008</v>
      </c>
      <c r="R1926" s="78" t="s">
        <v>40</v>
      </c>
      <c r="S1926" s="36" t="str">
        <f>VLOOKUP(Tabla911[[#This Row],[CODIGO DEL PRODUCTO]],Tabla79[],2,FALSE)</f>
        <v>PIEDRA 0-6</v>
      </c>
      <c r="T1926" s="37">
        <v>34420</v>
      </c>
      <c r="U1926" s="78"/>
    </row>
    <row r="1927" spans="15:24" x14ac:dyDescent="0.25">
      <c r="O1927" s="76">
        <v>106743</v>
      </c>
      <c r="P1927" s="78" t="s">
        <v>156</v>
      </c>
      <c r="Q1927" s="77">
        <v>46008</v>
      </c>
      <c r="R1927" s="78" t="s">
        <v>40</v>
      </c>
      <c r="S1927" s="36" t="str">
        <f>VLOOKUP(Tabla911[[#This Row],[CODIGO DEL PRODUCTO]],Tabla79[],2,FALSE)</f>
        <v>PIEDRA 0-6</v>
      </c>
      <c r="T1927" s="37">
        <v>35700</v>
      </c>
      <c r="U1927" s="78"/>
    </row>
    <row r="1928" spans="15:24" x14ac:dyDescent="0.25">
      <c r="O1928" s="76">
        <v>2678657</v>
      </c>
      <c r="P1928" s="78" t="s">
        <v>65</v>
      </c>
      <c r="Q1928" s="77">
        <v>46008</v>
      </c>
      <c r="R1928" s="78" t="s">
        <v>286</v>
      </c>
      <c r="S1928" s="36" t="str">
        <f>VLOOKUP(Tabla911[[#This Row],[CODIGO DEL PRODUCTO]],Tabla79[],2,FALSE)</f>
        <v>CPF 40 AVELLANEDA</v>
      </c>
      <c r="T1928" s="37">
        <v>35540</v>
      </c>
      <c r="U1928" s="78"/>
    </row>
    <row r="1929" spans="15:24" x14ac:dyDescent="0.25">
      <c r="O1929" s="76">
        <v>102906</v>
      </c>
      <c r="P1929" s="78" t="s">
        <v>370</v>
      </c>
      <c r="Q1929" s="77">
        <v>46009</v>
      </c>
      <c r="R1929" s="78" t="s">
        <v>42</v>
      </c>
      <c r="S1929" s="36" t="str">
        <f>VLOOKUP(Tabla911[[#This Row],[CODIGO DEL PRODUCTO]],Tabla79[],2,FALSE)</f>
        <v>ARENA FINA</v>
      </c>
      <c r="T1929" s="37">
        <v>34680</v>
      </c>
      <c r="U1929" s="78"/>
      <c r="V1929">
        <v>1463</v>
      </c>
      <c r="W1929" t="s">
        <v>667</v>
      </c>
      <c r="X1929" t="s">
        <v>668</v>
      </c>
    </row>
    <row r="1930" spans="15:24" x14ac:dyDescent="0.25">
      <c r="O1930" s="76">
        <v>102920</v>
      </c>
      <c r="P1930" s="78" t="s">
        <v>669</v>
      </c>
      <c r="Q1930" s="77">
        <v>46009</v>
      </c>
      <c r="R1930" s="78" t="s">
        <v>42</v>
      </c>
      <c r="S1930" s="36" t="str">
        <f>VLOOKUP(Tabla911[[#This Row],[CODIGO DEL PRODUCTO]],Tabla79[],2,FALSE)</f>
        <v>ARENA FINA</v>
      </c>
      <c r="T1930" s="37">
        <v>37020</v>
      </c>
      <c r="U1930" s="78"/>
    </row>
    <row r="1931" spans="15:24" x14ac:dyDescent="0.25">
      <c r="O1931" s="76">
        <v>218952</v>
      </c>
      <c r="P1931" s="78" t="s">
        <v>516</v>
      </c>
      <c r="Q1931" s="77">
        <v>46009</v>
      </c>
      <c r="R1931" s="78" t="s">
        <v>43</v>
      </c>
      <c r="S1931" s="36" t="str">
        <f>VLOOKUP(Tabla911[[#This Row],[CODIGO DEL PRODUCTO]],Tabla79[],2,FALSE)</f>
        <v>PIEDRA 6-20</v>
      </c>
      <c r="T1931" s="37">
        <v>35200</v>
      </c>
      <c r="U1931" s="78"/>
    </row>
    <row r="1932" spans="15:24" x14ac:dyDescent="0.25">
      <c r="O1932" s="76">
        <v>106746</v>
      </c>
      <c r="P1932" s="78" t="s">
        <v>583</v>
      </c>
      <c r="Q1932" s="77">
        <v>46009</v>
      </c>
      <c r="R1932" s="78" t="s">
        <v>48</v>
      </c>
      <c r="S1932" s="36" t="str">
        <f>VLOOKUP(Tabla911[[#This Row],[CODIGO DEL PRODUCTO]],Tabla79[],2,FALSE)</f>
        <v>PIEDRA 6-12</v>
      </c>
      <c r="T1932" s="37">
        <v>35620</v>
      </c>
      <c r="U1932" s="78"/>
    </row>
    <row r="1933" spans="15:24" x14ac:dyDescent="0.25">
      <c r="O1933" s="76">
        <v>106750</v>
      </c>
      <c r="P1933" s="78" t="s">
        <v>234</v>
      </c>
      <c r="Q1933" s="77">
        <v>46009</v>
      </c>
      <c r="R1933" s="78" t="s">
        <v>40</v>
      </c>
      <c r="S1933" s="36" t="str">
        <f>VLOOKUP(Tabla911[[#This Row],[CODIGO DEL PRODUCTO]],Tabla79[],2,FALSE)</f>
        <v>PIEDRA 0-6</v>
      </c>
      <c r="T1933" s="37">
        <v>35260</v>
      </c>
      <c r="U1933" s="78"/>
    </row>
    <row r="1934" spans="15:24" x14ac:dyDescent="0.25">
      <c r="O1934" s="76">
        <v>106769</v>
      </c>
      <c r="P1934" s="78" t="s">
        <v>287</v>
      </c>
      <c r="Q1934" s="77">
        <v>46009</v>
      </c>
      <c r="R1934" s="78" t="s">
        <v>48</v>
      </c>
      <c r="S1934" s="36" t="str">
        <f>VLOOKUP(Tabla911[[#This Row],[CODIGO DEL PRODUCTO]],Tabla79[],2,FALSE)</f>
        <v>PIEDRA 6-12</v>
      </c>
      <c r="T1934" s="37">
        <v>35060</v>
      </c>
      <c r="U1934" s="78"/>
    </row>
    <row r="1935" spans="15:24" x14ac:dyDescent="0.25">
      <c r="O1935" s="76">
        <v>106773</v>
      </c>
      <c r="P1935" s="78" t="s">
        <v>156</v>
      </c>
      <c r="Q1935" s="77">
        <v>46009</v>
      </c>
      <c r="R1935" s="78" t="s">
        <v>40</v>
      </c>
      <c r="S1935" s="36" t="str">
        <f>VLOOKUP(Tabla911[[#This Row],[CODIGO DEL PRODUCTO]],Tabla79[],2,FALSE)</f>
        <v>PIEDRA 0-6</v>
      </c>
      <c r="T1935" s="37">
        <v>34380</v>
      </c>
      <c r="U1935" s="78"/>
    </row>
    <row r="1936" spans="15:24" x14ac:dyDescent="0.25">
      <c r="O1936" s="76">
        <v>106775</v>
      </c>
      <c r="P1936" s="78" t="s">
        <v>318</v>
      </c>
      <c r="Q1936" s="77">
        <v>46009</v>
      </c>
      <c r="R1936" s="78" t="s">
        <v>40</v>
      </c>
      <c r="S1936" s="36" t="str">
        <f>VLOOKUP(Tabla911[[#This Row],[CODIGO DEL PRODUCTO]],Tabla79[],2,FALSE)</f>
        <v>PIEDRA 0-6</v>
      </c>
      <c r="T1936" s="37">
        <v>34740</v>
      </c>
      <c r="U1936" s="78"/>
    </row>
    <row r="1937" spans="15:21" x14ac:dyDescent="0.25">
      <c r="O1937" s="76">
        <v>106776</v>
      </c>
      <c r="P1937" s="78" t="s">
        <v>115</v>
      </c>
      <c r="Q1937" s="77">
        <v>46009</v>
      </c>
      <c r="R1937" s="78" t="s">
        <v>40</v>
      </c>
      <c r="S1937" s="36" t="str">
        <f>VLOOKUP(Tabla911[[#This Row],[CODIGO DEL PRODUCTO]],Tabla79[],2,FALSE)</f>
        <v>PIEDRA 0-6</v>
      </c>
      <c r="T1937" s="37">
        <v>34080</v>
      </c>
      <c r="U1937" s="78"/>
    </row>
    <row r="1938" spans="15:21" x14ac:dyDescent="0.25">
      <c r="O1938" s="76">
        <v>106781</v>
      </c>
      <c r="P1938" s="78" t="s">
        <v>254</v>
      </c>
      <c r="Q1938" s="77">
        <v>46009</v>
      </c>
      <c r="R1938" s="78" t="s">
        <v>40</v>
      </c>
      <c r="S1938" s="36" t="str">
        <f>VLOOKUP(Tabla911[[#This Row],[CODIGO DEL PRODUCTO]],Tabla79[],2,FALSE)</f>
        <v>PIEDRA 0-6</v>
      </c>
      <c r="T1938" s="37">
        <v>33380</v>
      </c>
      <c r="U1938" s="78"/>
    </row>
    <row r="1939" spans="15:21" x14ac:dyDescent="0.25">
      <c r="O1939" s="76">
        <v>2678777</v>
      </c>
      <c r="P1939" s="78" t="s">
        <v>65</v>
      </c>
      <c r="Q1939" s="77">
        <v>46009</v>
      </c>
      <c r="R1939" s="78" t="s">
        <v>286</v>
      </c>
      <c r="S1939" s="36" t="str">
        <f>VLOOKUP(Tabla911[[#This Row],[CODIGO DEL PRODUCTO]],Tabla79[],2,FALSE)</f>
        <v>CPF 40 AVELLANEDA</v>
      </c>
      <c r="T1939" s="37">
        <v>35520</v>
      </c>
      <c r="U1939" s="78"/>
    </row>
    <row r="1940" spans="15:21" x14ac:dyDescent="0.25">
      <c r="O1940" s="76">
        <v>38842</v>
      </c>
      <c r="P1940" s="78" t="s">
        <v>449</v>
      </c>
      <c r="Q1940" s="77">
        <v>46013</v>
      </c>
      <c r="R1940" s="78" t="s">
        <v>425</v>
      </c>
      <c r="S1940" s="36" t="str">
        <f>VLOOKUP(Tabla911[[#This Row],[CODIGO DEL PRODUCTO]],Tabla79[],2,FALSE)</f>
        <v>W351R</v>
      </c>
      <c r="T1940" s="37">
        <v>1000</v>
      </c>
      <c r="U1940" s="78"/>
    </row>
    <row r="1941" spans="15:21" x14ac:dyDescent="0.25">
      <c r="O1941" s="76">
        <v>38843</v>
      </c>
      <c r="P1941" s="78" t="s">
        <v>449</v>
      </c>
      <c r="Q1941" s="77">
        <v>46013</v>
      </c>
      <c r="R1941" s="78" t="s">
        <v>425</v>
      </c>
      <c r="S1941" s="36" t="str">
        <f>VLOOKUP(Tabla911[[#This Row],[CODIGO DEL PRODUCTO]],Tabla79[],2,FALSE)</f>
        <v>W351R</v>
      </c>
      <c r="T1941" s="37">
        <v>3000</v>
      </c>
      <c r="U1941" s="78"/>
    </row>
    <row r="1942" spans="15:21" x14ac:dyDescent="0.25">
      <c r="O1942" s="76">
        <v>102923</v>
      </c>
      <c r="P1942" s="78" t="s">
        <v>370</v>
      </c>
      <c r="Q1942" s="77">
        <v>46010</v>
      </c>
      <c r="R1942" s="78" t="s">
        <v>42</v>
      </c>
      <c r="S1942" s="36" t="str">
        <f>VLOOKUP(Tabla911[[#This Row],[CODIGO DEL PRODUCTO]],Tabla79[],2,FALSE)</f>
        <v>ARENA FINA</v>
      </c>
      <c r="T1942" s="37">
        <v>34600</v>
      </c>
      <c r="U1942" s="78"/>
    </row>
    <row r="1943" spans="15:21" x14ac:dyDescent="0.25">
      <c r="O1943" s="76">
        <v>102935</v>
      </c>
      <c r="P1943" s="78" t="s">
        <v>370</v>
      </c>
      <c r="Q1943" s="77">
        <v>46010</v>
      </c>
      <c r="R1943" s="78" t="s">
        <v>42</v>
      </c>
      <c r="S1943" s="36" t="str">
        <f>VLOOKUP(Tabla911[[#This Row],[CODIGO DEL PRODUCTO]],Tabla79[],2,FALSE)</f>
        <v>ARENA FINA</v>
      </c>
      <c r="T1943" s="37">
        <v>33960</v>
      </c>
      <c r="U1943" s="78"/>
    </row>
    <row r="1944" spans="15:21" x14ac:dyDescent="0.25">
      <c r="O1944" s="76">
        <v>219014</v>
      </c>
      <c r="P1944" s="78" t="s">
        <v>516</v>
      </c>
      <c r="Q1944" s="77">
        <v>46010</v>
      </c>
      <c r="R1944" s="78" t="s">
        <v>43</v>
      </c>
      <c r="S1944" s="36" t="str">
        <f>VLOOKUP(Tabla911[[#This Row],[CODIGO DEL PRODUCTO]],Tabla79[],2,FALSE)</f>
        <v>PIEDRA 6-20</v>
      </c>
      <c r="T1944" s="37">
        <v>35020</v>
      </c>
      <c r="U1944" s="78"/>
    </row>
    <row r="1945" spans="15:21" x14ac:dyDescent="0.25">
      <c r="O1945" s="76">
        <v>106783</v>
      </c>
      <c r="P1945" s="78" t="s">
        <v>583</v>
      </c>
      <c r="Q1945" s="77">
        <v>46010</v>
      </c>
      <c r="R1945" s="78" t="s">
        <v>48</v>
      </c>
      <c r="S1945" s="36" t="str">
        <f>VLOOKUP(Tabla911[[#This Row],[CODIGO DEL PRODUCTO]],Tabla79[],2,FALSE)</f>
        <v>PIEDRA 6-12</v>
      </c>
      <c r="T1945" s="37">
        <v>35180</v>
      </c>
      <c r="U1945" s="78"/>
    </row>
    <row r="1946" spans="15:21" x14ac:dyDescent="0.25">
      <c r="O1946" s="76">
        <v>106787</v>
      </c>
      <c r="P1946" s="78" t="s">
        <v>234</v>
      </c>
      <c r="Q1946" s="77">
        <v>46010</v>
      </c>
      <c r="R1946" s="78" t="s">
        <v>40</v>
      </c>
      <c r="S1946" s="36" t="str">
        <f>VLOOKUP(Tabla911[[#This Row],[CODIGO DEL PRODUCTO]],Tabla79[],2,FALSE)</f>
        <v>PIEDRA 0-6</v>
      </c>
      <c r="T1946" s="37">
        <v>35460</v>
      </c>
      <c r="U1946" s="78"/>
    </row>
    <row r="1947" spans="15:21" x14ac:dyDescent="0.25">
      <c r="O1947" s="76">
        <v>106793</v>
      </c>
      <c r="P1947" s="78" t="s">
        <v>263</v>
      </c>
      <c r="Q1947" s="77">
        <v>46010</v>
      </c>
      <c r="R1947" s="78" t="s">
        <v>43</v>
      </c>
      <c r="S1947" s="36" t="str">
        <f>VLOOKUP(Tabla911[[#This Row],[CODIGO DEL PRODUCTO]],Tabla79[],2,FALSE)</f>
        <v>PIEDRA 6-20</v>
      </c>
      <c r="T1947" s="37">
        <v>35580</v>
      </c>
      <c r="U1947" s="78"/>
    </row>
    <row r="1948" spans="15:21" x14ac:dyDescent="0.25">
      <c r="O1948" s="76">
        <v>106802</v>
      </c>
      <c r="P1948" s="78" t="s">
        <v>318</v>
      </c>
      <c r="Q1948" s="77">
        <v>46010</v>
      </c>
      <c r="R1948" s="78" t="s">
        <v>40</v>
      </c>
      <c r="S1948" s="36" t="str">
        <f>VLOOKUP(Tabla911[[#This Row],[CODIGO DEL PRODUCTO]],Tabla79[],2,FALSE)</f>
        <v>PIEDRA 0-6</v>
      </c>
      <c r="T1948" s="37">
        <v>34820</v>
      </c>
      <c r="U1948" s="78"/>
    </row>
    <row r="1949" spans="15:21" x14ac:dyDescent="0.25">
      <c r="O1949" s="76">
        <v>106811</v>
      </c>
      <c r="P1949" s="78" t="s">
        <v>115</v>
      </c>
      <c r="Q1949" s="77">
        <v>46010</v>
      </c>
      <c r="R1949" s="78" t="s">
        <v>40</v>
      </c>
      <c r="S1949" s="36" t="str">
        <f>VLOOKUP(Tabla911[[#This Row],[CODIGO DEL PRODUCTO]],Tabla79[],2,FALSE)</f>
        <v>PIEDRA 0-6</v>
      </c>
      <c r="T1949" s="37">
        <v>35020</v>
      </c>
      <c r="U1949" s="78"/>
    </row>
    <row r="1950" spans="15:21" x14ac:dyDescent="0.25">
      <c r="O1950" s="76">
        <v>106814</v>
      </c>
      <c r="P1950" s="78" t="s">
        <v>254</v>
      </c>
      <c r="Q1950" s="77">
        <v>46010</v>
      </c>
      <c r="R1950" s="78" t="s">
        <v>40</v>
      </c>
      <c r="S1950" s="36" t="str">
        <f>VLOOKUP(Tabla911[[#This Row],[CODIGO DEL PRODUCTO]],Tabla79[],2,FALSE)</f>
        <v>PIEDRA 0-6</v>
      </c>
      <c r="T1950" s="37">
        <v>35220</v>
      </c>
      <c r="U1950" s="78"/>
    </row>
    <row r="1951" spans="15:21" x14ac:dyDescent="0.25">
      <c r="O1951" s="76">
        <v>106817</v>
      </c>
      <c r="P1951" s="78" t="s">
        <v>156</v>
      </c>
      <c r="Q1951" s="77">
        <v>46010</v>
      </c>
      <c r="R1951" s="78" t="s">
        <v>40</v>
      </c>
      <c r="S1951" s="36" t="str">
        <f>VLOOKUP(Tabla911[[#This Row],[CODIGO DEL PRODUCTO]],Tabla79[],2,FALSE)</f>
        <v>PIEDRA 0-6</v>
      </c>
      <c r="T1951" s="37">
        <v>35740</v>
      </c>
      <c r="U1951" s="78"/>
    </row>
    <row r="1952" spans="15:21" x14ac:dyDescent="0.25">
      <c r="O1952" s="76">
        <v>2678834</v>
      </c>
      <c r="P1952" s="78" t="s">
        <v>65</v>
      </c>
      <c r="Q1952" s="77">
        <v>46010</v>
      </c>
      <c r="R1952" s="78" t="s">
        <v>286</v>
      </c>
      <c r="S1952" s="36" t="str">
        <f>VLOOKUP(Tabla911[[#This Row],[CODIGO DEL PRODUCTO]],Tabla79[],2,FALSE)</f>
        <v>CPF 40 AVELLANEDA</v>
      </c>
      <c r="T1952" s="37">
        <v>35600</v>
      </c>
      <c r="U1952" s="78"/>
    </row>
    <row r="1953" spans="15:21" x14ac:dyDescent="0.25">
      <c r="O1953" s="76">
        <v>2679104</v>
      </c>
      <c r="P1953" s="78" t="s">
        <v>65</v>
      </c>
      <c r="Q1953" s="77">
        <v>46011</v>
      </c>
      <c r="R1953" s="78" t="s">
        <v>286</v>
      </c>
      <c r="S1953" s="36" t="str">
        <f>VLOOKUP(Tabla911[[#This Row],[CODIGO DEL PRODUCTO]],Tabla79[],2,FALSE)</f>
        <v>CPF 40 AVELLANEDA</v>
      </c>
      <c r="T1953" s="37">
        <v>35500</v>
      </c>
      <c r="U1953" s="78"/>
    </row>
    <row r="1954" spans="15:21" x14ac:dyDescent="0.25">
      <c r="O1954" s="76">
        <v>219098</v>
      </c>
      <c r="P1954" s="78" t="s">
        <v>516</v>
      </c>
      <c r="Q1954" s="77">
        <v>46013</v>
      </c>
      <c r="R1954" s="78" t="s">
        <v>43</v>
      </c>
      <c r="S1954" s="36" t="str">
        <f>VLOOKUP(Tabla911[[#This Row],[CODIGO DEL PRODUCTO]],Tabla79[],2,FALSE)</f>
        <v>PIEDRA 6-20</v>
      </c>
      <c r="T1954" s="37">
        <v>35220</v>
      </c>
      <c r="U1954" s="78"/>
    </row>
    <row r="1955" spans="15:21" x14ac:dyDescent="0.25">
      <c r="O1955" s="76">
        <v>2679352</v>
      </c>
      <c r="P1955" s="78" t="s">
        <v>296</v>
      </c>
      <c r="Q1955" s="77">
        <v>46013</v>
      </c>
      <c r="R1955" s="78" t="s">
        <v>286</v>
      </c>
      <c r="S1955" s="36" t="str">
        <f>VLOOKUP(Tabla911[[#This Row],[CODIGO DEL PRODUCTO]],Tabla79[],2,FALSE)</f>
        <v>CPF 40 AVELLANEDA</v>
      </c>
      <c r="T1955" s="37">
        <v>36120</v>
      </c>
      <c r="U1955" s="78"/>
    </row>
    <row r="1956" spans="15:21" x14ac:dyDescent="0.25">
      <c r="O1956" s="76">
        <v>2679534</v>
      </c>
      <c r="P1956" s="78" t="s">
        <v>65</v>
      </c>
      <c r="Q1956" s="77">
        <v>46013</v>
      </c>
      <c r="R1956" s="78" t="s">
        <v>286</v>
      </c>
      <c r="S1956" s="36" t="str">
        <f>VLOOKUP(Tabla911[[#This Row],[CODIGO DEL PRODUCTO]],Tabla79[],2,FALSE)</f>
        <v>CPF 40 AVELLANEDA</v>
      </c>
      <c r="T1956" s="37">
        <v>35940</v>
      </c>
      <c r="U1956" s="78"/>
    </row>
    <row r="1957" spans="15:21" x14ac:dyDescent="0.25">
      <c r="O1957" s="76">
        <v>219178</v>
      </c>
      <c r="P1957" s="78" t="s">
        <v>516</v>
      </c>
      <c r="Q1957" s="77">
        <v>46014</v>
      </c>
      <c r="R1957" s="78" t="s">
        <v>43</v>
      </c>
      <c r="S1957" s="36" t="str">
        <f>VLOOKUP(Tabla911[[#This Row],[CODIGO DEL PRODUCTO]],Tabla79[],2,FALSE)</f>
        <v>PIEDRA 6-20</v>
      </c>
      <c r="T1957" s="37">
        <v>35800</v>
      </c>
      <c r="U1957" s="78"/>
    </row>
    <row r="1958" spans="15:21" x14ac:dyDescent="0.25">
      <c r="O1958" s="76">
        <v>2679667</v>
      </c>
      <c r="P1958" s="78" t="s">
        <v>234</v>
      </c>
      <c r="Q1958" s="77">
        <v>46014</v>
      </c>
      <c r="R1958" s="78" t="s">
        <v>286</v>
      </c>
      <c r="S1958" s="36" t="str">
        <f>VLOOKUP(Tabla911[[#This Row],[CODIGO DEL PRODUCTO]],Tabla79[],2,FALSE)</f>
        <v>CPF 40 AVELLANEDA</v>
      </c>
      <c r="T1958" s="37">
        <v>36740</v>
      </c>
      <c r="U1958" s="78"/>
    </row>
    <row r="1959" spans="15:21" x14ac:dyDescent="0.25">
      <c r="O1959" s="76">
        <v>2679798</v>
      </c>
      <c r="P1959" s="78" t="s">
        <v>65</v>
      </c>
      <c r="Q1959" s="77">
        <v>46014</v>
      </c>
      <c r="R1959" s="78" t="s">
        <v>286</v>
      </c>
      <c r="S1959" s="36" t="str">
        <f>VLOOKUP(Tabla911[[#This Row],[CODIGO DEL PRODUCTO]],Tabla79[],2,FALSE)</f>
        <v>CPF 40 AVELLANEDA</v>
      </c>
      <c r="T1959" s="37">
        <v>36580</v>
      </c>
      <c r="U1959" s="78"/>
    </row>
    <row r="1960" spans="15:21" x14ac:dyDescent="0.25">
      <c r="O1960" s="76">
        <v>2679917</v>
      </c>
      <c r="P1960" s="78" t="s">
        <v>296</v>
      </c>
      <c r="Q1960" s="77">
        <v>46015</v>
      </c>
      <c r="R1960" s="78" t="s">
        <v>286</v>
      </c>
      <c r="S1960" s="36" t="str">
        <f>VLOOKUP(Tabla911[[#This Row],[CODIGO DEL PRODUCTO]],Tabla79[],2,FALSE)</f>
        <v>CPF 40 AVELLANEDA</v>
      </c>
      <c r="T1960" s="37">
        <v>36460</v>
      </c>
      <c r="U1960" s="78"/>
    </row>
    <row r="1961" spans="15:21" x14ac:dyDescent="0.25">
      <c r="O1961" s="76">
        <v>2679920</v>
      </c>
      <c r="P1961" s="78" t="s">
        <v>65</v>
      </c>
      <c r="Q1961" s="77">
        <v>46015</v>
      </c>
      <c r="R1961" s="78" t="s">
        <v>286</v>
      </c>
      <c r="S1961" s="36" t="str">
        <f>VLOOKUP(Tabla911[[#This Row],[CODIGO DEL PRODUCTO]],Tabla79[],2,FALSE)</f>
        <v>CPF 40 AVELLANEDA</v>
      </c>
      <c r="T1961" s="37">
        <v>35920</v>
      </c>
      <c r="U1961" s="78"/>
    </row>
    <row r="1962" spans="15:21" x14ac:dyDescent="0.25">
      <c r="O1962" s="76">
        <v>38893</v>
      </c>
      <c r="P1962" s="78" t="s">
        <v>449</v>
      </c>
      <c r="Q1962" s="77">
        <v>46013</v>
      </c>
      <c r="R1962" s="78" t="s">
        <v>450</v>
      </c>
      <c r="S1962" s="36" t="str">
        <f>VLOOKUP(Tabla911[[#This Row],[CODIGO DEL PRODUCTO]],Tabla79[],2,FALSE)</f>
        <v>W500R</v>
      </c>
      <c r="T1962" s="37">
        <v>1</v>
      </c>
      <c r="U1962" s="78"/>
    </row>
    <row r="1963" spans="15:21" x14ac:dyDescent="0.25">
      <c r="O1963" s="76">
        <v>2680088</v>
      </c>
      <c r="P1963" s="78" t="s">
        <v>65</v>
      </c>
      <c r="Q1963" s="77">
        <v>46017</v>
      </c>
      <c r="R1963" s="78" t="s">
        <v>286</v>
      </c>
      <c r="S1963" s="36" t="str">
        <f>VLOOKUP(Tabla911[[#This Row],[CODIGO DEL PRODUCTO]],Tabla79[],2,FALSE)</f>
        <v>CPF 40 AVELLANEDA</v>
      </c>
      <c r="T1963" s="37">
        <v>35400</v>
      </c>
      <c r="U1963" s="78"/>
    </row>
    <row r="1964" spans="15:21" x14ac:dyDescent="0.25">
      <c r="O1964" s="76">
        <v>2680113</v>
      </c>
      <c r="P1964" s="78" t="s">
        <v>296</v>
      </c>
      <c r="Q1964" s="77">
        <v>46017</v>
      </c>
      <c r="R1964" s="78" t="s">
        <v>286</v>
      </c>
      <c r="S1964" s="36" t="str">
        <f>VLOOKUP(Tabla911[[#This Row],[CODIGO DEL PRODUCTO]],Tabla79[],2,FALSE)</f>
        <v>CPF 40 AVELLANEDA</v>
      </c>
      <c r="T1964" s="37">
        <v>35980</v>
      </c>
      <c r="U1964" s="78"/>
    </row>
    <row r="1965" spans="15:21" x14ac:dyDescent="0.25">
      <c r="O1965" s="76">
        <v>2680179</v>
      </c>
      <c r="P1965" s="78" t="s">
        <v>65</v>
      </c>
      <c r="Q1965" s="77">
        <v>46018</v>
      </c>
      <c r="R1965" s="78" t="s">
        <v>286</v>
      </c>
      <c r="S1965" s="36" t="str">
        <f>VLOOKUP(Tabla911[[#This Row],[CODIGO DEL PRODUCTO]],Tabla79[],2,FALSE)</f>
        <v>CPF 40 AVELLANEDA</v>
      </c>
      <c r="T1965" s="37">
        <v>35500</v>
      </c>
      <c r="U1965" s="78"/>
    </row>
    <row r="1966" spans="15:21" x14ac:dyDescent="0.25">
      <c r="O1966" s="76">
        <v>2680399</v>
      </c>
      <c r="P1966" s="78" t="s">
        <v>65</v>
      </c>
      <c r="Q1966" s="77">
        <v>46020</v>
      </c>
      <c r="R1966" s="78" t="s">
        <v>286</v>
      </c>
      <c r="S1966" s="36" t="str">
        <f>VLOOKUP(Tabla911[[#This Row],[CODIGO DEL PRODUCTO]],Tabla79[],2,FALSE)</f>
        <v>CPF 40 AVELLANEDA</v>
      </c>
      <c r="T1966" s="37">
        <v>35440</v>
      </c>
      <c r="U1966" s="78"/>
    </row>
    <row r="1967" spans="15:21" x14ac:dyDescent="0.25">
      <c r="O1967" s="76">
        <v>2680607</v>
      </c>
      <c r="P1967" s="78" t="s">
        <v>65</v>
      </c>
      <c r="Q1967" s="77">
        <v>46021</v>
      </c>
      <c r="R1967" s="78" t="s">
        <v>286</v>
      </c>
      <c r="S1967" s="36" t="str">
        <f>VLOOKUP(Tabla911[[#This Row],[CODIGO DEL PRODUCTO]],Tabla79[],2,FALSE)</f>
        <v>CPF 40 AVELLANEDA</v>
      </c>
      <c r="T1967" s="37">
        <v>36580</v>
      </c>
      <c r="U1967" s="78"/>
    </row>
    <row r="1968" spans="15:21" x14ac:dyDescent="0.25">
      <c r="O1968" s="76">
        <v>2680695</v>
      </c>
      <c r="P1968" s="78" t="s">
        <v>65</v>
      </c>
      <c r="Q1968" s="77">
        <v>46022</v>
      </c>
      <c r="R1968" s="78" t="s">
        <v>286</v>
      </c>
      <c r="S1968" s="36" t="str">
        <f>VLOOKUP(Tabla911[[#This Row],[CODIGO DEL PRODUCTO]],Tabla79[],2,FALSE)</f>
        <v>CPF 40 AVELLANEDA</v>
      </c>
      <c r="T1968" s="37">
        <v>36020</v>
      </c>
      <c r="U1968" s="78"/>
    </row>
    <row r="1969" spans="15:21" x14ac:dyDescent="0.25">
      <c r="O1969" s="76"/>
      <c r="P1969" s="78"/>
      <c r="Q1969" s="77"/>
      <c r="R1969" s="78"/>
      <c r="S1969" s="36" t="e">
        <f>VLOOKUP(Tabla911[[#This Row],[CODIGO DEL PRODUCTO]],Tabla79[],2,FALSE)</f>
        <v>#N/A</v>
      </c>
      <c r="T1969" s="37"/>
      <c r="U1969" s="78"/>
    </row>
    <row r="1970" spans="15:21" x14ac:dyDescent="0.25">
      <c r="O1970" s="76"/>
      <c r="P1970" s="78"/>
      <c r="Q1970" s="77"/>
      <c r="R1970" s="78"/>
      <c r="S1970" s="36" t="e">
        <f>VLOOKUP(Tabla911[[#This Row],[CODIGO DEL PRODUCTO]],Tabla79[],2,FALSE)</f>
        <v>#N/A</v>
      </c>
      <c r="T1970" s="37"/>
      <c r="U1970" s="78"/>
    </row>
    <row r="1971" spans="15:21" x14ac:dyDescent="0.25">
      <c r="O1971" s="76"/>
      <c r="P1971" s="78"/>
      <c r="Q1971" s="77"/>
      <c r="R1971" s="78"/>
      <c r="S1971" s="36" t="e">
        <f>VLOOKUP(Tabla911[[#This Row],[CODIGO DEL PRODUCTO]],Tabla79[],2,FALSE)</f>
        <v>#N/A</v>
      </c>
      <c r="T1971" s="37"/>
      <c r="U1971" s="78"/>
    </row>
    <row r="1972" spans="15:21" x14ac:dyDescent="0.25">
      <c r="O1972" s="76"/>
      <c r="P1972" s="78"/>
      <c r="Q1972" s="77"/>
      <c r="R1972" s="78"/>
      <c r="S1972" s="36" t="e">
        <f>VLOOKUP(Tabla911[[#This Row],[CODIGO DEL PRODUCTO]],Tabla79[],2,FALSE)</f>
        <v>#N/A</v>
      </c>
      <c r="T1972" s="37"/>
      <c r="U1972" s="78"/>
    </row>
    <row r="1973" spans="15:21" x14ac:dyDescent="0.25">
      <c r="O1973" s="76"/>
      <c r="P1973" s="78"/>
      <c r="Q1973" s="77"/>
      <c r="R1973" s="78"/>
      <c r="S1973" s="36" t="e">
        <f>VLOOKUP(Tabla911[[#This Row],[CODIGO DEL PRODUCTO]],Tabla79[],2,FALSE)</f>
        <v>#N/A</v>
      </c>
      <c r="T1973" s="37"/>
      <c r="U1973" s="78"/>
    </row>
    <row r="1974" spans="15:21" x14ac:dyDescent="0.25">
      <c r="O1974" s="76"/>
      <c r="P1974" s="78"/>
      <c r="Q1974" s="77"/>
      <c r="R1974" s="78"/>
      <c r="S1974" s="36" t="e">
        <f>VLOOKUP(Tabla911[[#This Row],[CODIGO DEL PRODUCTO]],Tabla79[],2,FALSE)</f>
        <v>#N/A</v>
      </c>
      <c r="T1974" s="37"/>
      <c r="U1974" s="78"/>
    </row>
    <row r="1975" spans="15:21" x14ac:dyDescent="0.25">
      <c r="O1975" s="76"/>
      <c r="P1975" s="78"/>
      <c r="Q1975" s="77"/>
      <c r="R1975" s="78"/>
      <c r="S1975" s="36" t="e">
        <f>VLOOKUP(Tabla911[[#This Row],[CODIGO DEL PRODUCTO]],Tabla79[],2,FALSE)</f>
        <v>#N/A</v>
      </c>
      <c r="T1975" s="37"/>
      <c r="U1975" s="78"/>
    </row>
    <row r="1976" spans="15:21" x14ac:dyDescent="0.25">
      <c r="O1976" s="76"/>
      <c r="P1976" s="78"/>
      <c r="Q1976" s="77"/>
      <c r="R1976" s="78"/>
      <c r="S1976" s="36" t="e">
        <f>VLOOKUP(Tabla911[[#This Row],[CODIGO DEL PRODUCTO]],Tabla79[],2,FALSE)</f>
        <v>#N/A</v>
      </c>
      <c r="T1976" s="37"/>
      <c r="U1976" s="78"/>
    </row>
    <row r="1977" spans="15:21" x14ac:dyDescent="0.25">
      <c r="O1977" s="76"/>
      <c r="P1977" s="78"/>
      <c r="Q1977" s="77"/>
      <c r="R1977" s="78"/>
      <c r="S1977" s="36" t="e">
        <f>VLOOKUP(Tabla911[[#This Row],[CODIGO DEL PRODUCTO]],Tabla79[],2,FALSE)</f>
        <v>#N/A</v>
      </c>
      <c r="T1977" s="37"/>
      <c r="U1977" s="78"/>
    </row>
    <row r="1978" spans="15:21" x14ac:dyDescent="0.25">
      <c r="O1978" s="76"/>
      <c r="P1978" s="78"/>
      <c r="Q1978" s="77"/>
      <c r="R1978" s="78"/>
      <c r="S1978" s="36" t="e">
        <f>VLOOKUP(Tabla911[[#This Row],[CODIGO DEL PRODUCTO]],Tabla79[],2,FALSE)</f>
        <v>#N/A</v>
      </c>
      <c r="T1978" s="37"/>
      <c r="U1978" s="78"/>
    </row>
    <row r="1979" spans="15:21" x14ac:dyDescent="0.25">
      <c r="O1979" s="76"/>
      <c r="P1979" s="78"/>
      <c r="Q1979" s="77"/>
      <c r="R1979" s="78"/>
      <c r="S1979" s="36" t="e">
        <f>VLOOKUP(Tabla911[[#This Row],[CODIGO DEL PRODUCTO]],Tabla79[],2,FALSE)</f>
        <v>#N/A</v>
      </c>
      <c r="T1979" s="37"/>
      <c r="U1979" s="78"/>
    </row>
    <row r="1980" spans="15:21" x14ac:dyDescent="0.25">
      <c r="O1980" s="76"/>
      <c r="P1980" s="78"/>
      <c r="Q1980" s="77"/>
      <c r="R1980" s="78"/>
      <c r="S1980" s="36" t="e">
        <f>VLOOKUP(Tabla911[[#This Row],[CODIGO DEL PRODUCTO]],Tabla79[],2,FALSE)</f>
        <v>#N/A</v>
      </c>
      <c r="T1980" s="37"/>
      <c r="U1980" s="78"/>
    </row>
    <row r="1981" spans="15:21" x14ac:dyDescent="0.25">
      <c r="O1981" s="76"/>
      <c r="P1981" s="78"/>
      <c r="Q1981" s="77"/>
      <c r="R1981" s="78"/>
      <c r="S1981" s="36" t="e">
        <f>VLOOKUP(Tabla911[[#This Row],[CODIGO DEL PRODUCTO]],Tabla79[],2,FALSE)</f>
        <v>#N/A</v>
      </c>
      <c r="T1981" s="37"/>
      <c r="U1981" s="78"/>
    </row>
    <row r="1982" spans="15:21" x14ac:dyDescent="0.25">
      <c r="O1982" s="76"/>
      <c r="P1982" s="78"/>
      <c r="Q1982" s="77"/>
      <c r="R1982" s="78"/>
      <c r="S1982" s="36" t="e">
        <f>VLOOKUP(Tabla911[[#This Row],[CODIGO DEL PRODUCTO]],Tabla79[],2,FALSE)</f>
        <v>#N/A</v>
      </c>
      <c r="T1982" s="37"/>
      <c r="U1982" s="78"/>
    </row>
    <row r="1983" spans="15:21" x14ac:dyDescent="0.25">
      <c r="O1983" s="76"/>
      <c r="P1983" s="78"/>
      <c r="Q1983" s="77"/>
      <c r="R1983" s="78"/>
      <c r="S1983" s="36" t="e">
        <f>VLOOKUP(Tabla911[[#This Row],[CODIGO DEL PRODUCTO]],Tabla79[],2,FALSE)</f>
        <v>#N/A</v>
      </c>
      <c r="T1983" s="37"/>
      <c r="U1983" s="78"/>
    </row>
    <row r="1984" spans="15:21" x14ac:dyDescent="0.25">
      <c r="O1984" s="76"/>
      <c r="P1984" s="78"/>
      <c r="Q1984" s="77"/>
      <c r="R1984" s="78"/>
      <c r="S1984" s="36" t="e">
        <f>VLOOKUP(Tabla911[[#This Row],[CODIGO DEL PRODUCTO]],Tabla79[],2,FALSE)</f>
        <v>#N/A</v>
      </c>
      <c r="T1984" s="37"/>
      <c r="U1984" s="78"/>
    </row>
    <row r="1985" spans="15:21" x14ac:dyDescent="0.25">
      <c r="O1985" s="76"/>
      <c r="P1985" s="78"/>
      <c r="Q1985" s="77"/>
      <c r="R1985" s="78"/>
      <c r="S1985" s="36" t="e">
        <f>VLOOKUP(Tabla911[[#This Row],[CODIGO DEL PRODUCTO]],Tabla79[],2,FALSE)</f>
        <v>#N/A</v>
      </c>
      <c r="T1985" s="37"/>
      <c r="U1985" s="78"/>
    </row>
    <row r="1986" spans="15:21" x14ac:dyDescent="0.25">
      <c r="O1986" s="76"/>
      <c r="P1986" s="78"/>
      <c r="Q1986" s="77"/>
      <c r="R1986" s="78"/>
      <c r="S1986" s="36" t="e">
        <f>VLOOKUP(Tabla911[[#This Row],[CODIGO DEL PRODUCTO]],Tabla79[],2,FALSE)</f>
        <v>#N/A</v>
      </c>
      <c r="T1986" s="37"/>
      <c r="U1986" s="78"/>
    </row>
    <row r="1987" spans="15:21" x14ac:dyDescent="0.25">
      <c r="O1987" s="76"/>
      <c r="P1987" s="78"/>
      <c r="Q1987" s="77"/>
      <c r="R1987" s="78"/>
      <c r="S1987" s="36" t="e">
        <f>VLOOKUP(Tabla911[[#This Row],[CODIGO DEL PRODUCTO]],Tabla79[],2,FALSE)</f>
        <v>#N/A</v>
      </c>
      <c r="T1987" s="37"/>
      <c r="U1987" s="78"/>
    </row>
    <row r="1988" spans="15:21" x14ac:dyDescent="0.25">
      <c r="O1988" s="76"/>
      <c r="P1988" s="78"/>
      <c r="Q1988" s="77"/>
      <c r="R1988" s="78"/>
      <c r="S1988" s="36" t="e">
        <f>VLOOKUP(Tabla911[[#This Row],[CODIGO DEL PRODUCTO]],Tabla79[],2,FALSE)</f>
        <v>#N/A</v>
      </c>
      <c r="T1988" s="37"/>
      <c r="U1988" s="78"/>
    </row>
    <row r="1989" spans="15:21" x14ac:dyDescent="0.25">
      <c r="O1989" s="76"/>
      <c r="P1989" s="78"/>
      <c r="Q1989" s="77"/>
      <c r="R1989" s="78"/>
      <c r="S1989" s="36" t="e">
        <f>VLOOKUP(Tabla911[[#This Row],[CODIGO DEL PRODUCTO]],Tabla79[],2,FALSE)</f>
        <v>#N/A</v>
      </c>
      <c r="T1989" s="37"/>
      <c r="U1989" s="78"/>
    </row>
    <row r="1990" spans="15:21" x14ac:dyDescent="0.25">
      <c r="O1990" s="76"/>
      <c r="P1990" s="78"/>
      <c r="Q1990" s="77"/>
      <c r="R1990" s="78"/>
      <c r="S1990" s="36" t="e">
        <f>VLOOKUP(Tabla911[[#This Row],[CODIGO DEL PRODUCTO]],Tabla79[],2,FALSE)</f>
        <v>#N/A</v>
      </c>
      <c r="T1990" s="37"/>
      <c r="U1990" s="78"/>
    </row>
    <row r="1991" spans="15:21" x14ac:dyDescent="0.25">
      <c r="O1991" s="76"/>
      <c r="P1991" s="78"/>
      <c r="Q1991" s="77"/>
      <c r="R1991" s="78"/>
      <c r="S1991" s="36" t="e">
        <f>VLOOKUP(Tabla911[[#This Row],[CODIGO DEL PRODUCTO]],Tabla79[],2,FALSE)</f>
        <v>#N/A</v>
      </c>
      <c r="T1991" s="37"/>
      <c r="U1991" s="78"/>
    </row>
    <row r="1992" spans="15:21" x14ac:dyDescent="0.25">
      <c r="O1992" s="76"/>
      <c r="P1992" s="78"/>
      <c r="Q1992" s="77"/>
      <c r="R1992" s="78"/>
      <c r="S1992" s="36" t="e">
        <f>VLOOKUP(Tabla911[[#This Row],[CODIGO DEL PRODUCTO]],Tabla79[],2,FALSE)</f>
        <v>#N/A</v>
      </c>
      <c r="T1992" s="37"/>
      <c r="U1992" s="78"/>
    </row>
    <row r="1993" spans="15:21" x14ac:dyDescent="0.25">
      <c r="O1993" s="76"/>
      <c r="P1993" s="78"/>
      <c r="Q1993" s="77"/>
      <c r="R1993" s="78"/>
      <c r="S1993" s="36" t="e">
        <f>VLOOKUP(Tabla911[[#This Row],[CODIGO DEL PRODUCTO]],Tabla79[],2,FALSE)</f>
        <v>#N/A</v>
      </c>
      <c r="T1993" s="37"/>
      <c r="U1993" s="78"/>
    </row>
    <row r="1994" spans="15:21" x14ac:dyDescent="0.25">
      <c r="O1994" s="76"/>
      <c r="P1994" s="78"/>
      <c r="Q1994" s="77"/>
      <c r="R1994" s="78"/>
      <c r="S1994" s="36" t="e">
        <f>VLOOKUP(Tabla911[[#This Row],[CODIGO DEL PRODUCTO]],Tabla79[],2,FALSE)</f>
        <v>#N/A</v>
      </c>
      <c r="T1994" s="37"/>
      <c r="U1994" s="78"/>
    </row>
    <row r="1995" spans="15:21" x14ac:dyDescent="0.25">
      <c r="O1995" s="76"/>
      <c r="P1995" s="78"/>
      <c r="Q1995" s="77"/>
      <c r="R1995" s="78"/>
      <c r="S1995" s="36" t="e">
        <f>VLOOKUP(Tabla911[[#This Row],[CODIGO DEL PRODUCTO]],Tabla79[],2,FALSE)</f>
        <v>#N/A</v>
      </c>
      <c r="T1995" s="37"/>
      <c r="U1995" s="78"/>
    </row>
    <row r="1996" spans="15:21" x14ac:dyDescent="0.25">
      <c r="O1996" s="76"/>
      <c r="P1996" s="78"/>
      <c r="Q1996" s="77"/>
      <c r="R1996" s="78"/>
      <c r="S1996" s="36" t="e">
        <f>VLOOKUP(Tabla911[[#This Row],[CODIGO DEL PRODUCTO]],Tabla79[],2,FALSE)</f>
        <v>#N/A</v>
      </c>
      <c r="T1996" s="37"/>
      <c r="U1996" s="78"/>
    </row>
    <row r="1997" spans="15:21" x14ac:dyDescent="0.25">
      <c r="O1997" s="76"/>
      <c r="P1997" s="78"/>
      <c r="Q1997" s="77"/>
      <c r="R1997" s="78"/>
      <c r="S1997" s="36" t="e">
        <f>VLOOKUP(Tabla911[[#This Row],[CODIGO DEL PRODUCTO]],Tabla79[],2,FALSE)</f>
        <v>#N/A</v>
      </c>
      <c r="T1997" s="37"/>
      <c r="U1997" s="78"/>
    </row>
    <row r="1998" spans="15:21" x14ac:dyDescent="0.25">
      <c r="O1998" s="76"/>
      <c r="P1998" s="78"/>
      <c r="Q1998" s="77"/>
      <c r="R1998" s="78"/>
      <c r="S1998" s="36" t="e">
        <f>VLOOKUP(Tabla911[[#This Row],[CODIGO DEL PRODUCTO]],Tabla79[],2,FALSE)</f>
        <v>#N/A</v>
      </c>
      <c r="T1998" s="37"/>
      <c r="U1998" s="78"/>
    </row>
    <row r="1999" spans="15:21" x14ac:dyDescent="0.25">
      <c r="O1999" s="76"/>
      <c r="P1999" s="78"/>
      <c r="Q1999" s="77"/>
      <c r="R1999" s="78"/>
      <c r="S1999" s="36" t="e">
        <f>VLOOKUP(Tabla911[[#This Row],[CODIGO DEL PRODUCTO]],Tabla79[],2,FALSE)</f>
        <v>#N/A</v>
      </c>
      <c r="T1999" s="37"/>
      <c r="U1999" s="78"/>
    </row>
    <row r="2000" spans="15:21" x14ac:dyDescent="0.25">
      <c r="O2000" s="76"/>
      <c r="P2000" s="78"/>
      <c r="Q2000" s="77"/>
      <c r="R2000" s="78"/>
      <c r="S2000" s="36" t="e">
        <f>VLOOKUP(Tabla911[[#This Row],[CODIGO DEL PRODUCTO]],Tabla79[],2,FALSE)</f>
        <v>#N/A</v>
      </c>
      <c r="T2000" s="37"/>
      <c r="U2000" s="78"/>
    </row>
    <row r="2001" spans="15:21" x14ac:dyDescent="0.25">
      <c r="O2001" s="76"/>
      <c r="P2001" s="78"/>
      <c r="Q2001" s="77"/>
      <c r="R2001" s="78"/>
      <c r="S2001" s="36" t="e">
        <f>VLOOKUP(Tabla911[[#This Row],[CODIGO DEL PRODUCTO]],Tabla79[],2,FALSE)</f>
        <v>#N/A</v>
      </c>
      <c r="T2001" s="37"/>
      <c r="U2001" s="78"/>
    </row>
    <row r="2002" spans="15:21" x14ac:dyDescent="0.25">
      <c r="O2002" s="76"/>
      <c r="P2002" s="78"/>
      <c r="Q2002" s="77"/>
      <c r="R2002" s="78"/>
      <c r="S2002" s="36" t="e">
        <f>VLOOKUP(Tabla911[[#This Row],[CODIGO DEL PRODUCTO]],Tabla79[],2,FALSE)</f>
        <v>#N/A</v>
      </c>
      <c r="T2002" s="37"/>
      <c r="U2002" s="78"/>
    </row>
    <row r="2003" spans="15:21" x14ac:dyDescent="0.25">
      <c r="O2003" s="76"/>
      <c r="P2003" s="78"/>
      <c r="Q2003" s="77"/>
      <c r="R2003" s="78"/>
      <c r="S2003" s="36" t="e">
        <f>VLOOKUP(Tabla911[[#This Row],[CODIGO DEL PRODUCTO]],Tabla79[],2,FALSE)</f>
        <v>#N/A</v>
      </c>
      <c r="T2003" s="37"/>
      <c r="U2003" s="78"/>
    </row>
    <row r="2004" spans="15:21" x14ac:dyDescent="0.25">
      <c r="O2004" s="76"/>
      <c r="P2004" s="78"/>
      <c r="Q2004" s="77"/>
      <c r="R2004" s="78"/>
      <c r="S2004" s="36" t="e">
        <f>VLOOKUP(Tabla911[[#This Row],[CODIGO DEL PRODUCTO]],Tabla79[],2,FALSE)</f>
        <v>#N/A</v>
      </c>
      <c r="T2004" s="37"/>
      <c r="U2004" s="78"/>
    </row>
    <row r="2005" spans="15:21" x14ac:dyDescent="0.25">
      <c r="O2005" s="76"/>
      <c r="P2005" s="78"/>
      <c r="Q2005" s="77"/>
      <c r="R2005" s="78"/>
      <c r="S2005" s="36" t="e">
        <f>VLOOKUP(Tabla911[[#This Row],[CODIGO DEL PRODUCTO]],Tabla79[],2,FALSE)</f>
        <v>#N/A</v>
      </c>
      <c r="T2005" s="37"/>
      <c r="U2005" s="78"/>
    </row>
    <row r="2006" spans="15:21" x14ac:dyDescent="0.25">
      <c r="O2006" s="76"/>
      <c r="P2006" s="78"/>
      <c r="Q2006" s="77"/>
      <c r="R2006" s="78"/>
      <c r="S2006" s="36" t="e">
        <f>VLOOKUP(Tabla911[[#This Row],[CODIGO DEL PRODUCTO]],Tabla79[],2,FALSE)</f>
        <v>#N/A</v>
      </c>
      <c r="T2006" s="37"/>
      <c r="U2006" s="78"/>
    </row>
    <row r="2007" spans="15:21" x14ac:dyDescent="0.25">
      <c r="O2007" s="76"/>
      <c r="P2007" s="78"/>
      <c r="Q2007" s="77"/>
      <c r="R2007" s="78"/>
      <c r="S2007" s="36" t="e">
        <f>VLOOKUP(Tabla911[[#This Row],[CODIGO DEL PRODUCTO]],Tabla79[],2,FALSE)</f>
        <v>#N/A</v>
      </c>
      <c r="T2007" s="37"/>
      <c r="U2007" s="78"/>
    </row>
    <row r="2008" spans="15:21" x14ac:dyDescent="0.25">
      <c r="O2008" s="76"/>
      <c r="P2008" s="78"/>
      <c r="Q2008" s="77"/>
      <c r="R2008" s="78"/>
      <c r="S2008" s="36" t="e">
        <f>VLOOKUP(Tabla911[[#This Row],[CODIGO DEL PRODUCTO]],Tabla79[],2,FALSE)</f>
        <v>#N/A</v>
      </c>
      <c r="T2008" s="37"/>
      <c r="U2008" s="78"/>
    </row>
    <row r="2009" spans="15:21" x14ac:dyDescent="0.25">
      <c r="O2009" s="76"/>
      <c r="P2009" s="78"/>
      <c r="Q2009" s="77"/>
      <c r="R2009" s="78"/>
      <c r="S2009" s="36" t="e">
        <f>VLOOKUP(Tabla911[[#This Row],[CODIGO DEL PRODUCTO]],Tabla79[],2,FALSE)</f>
        <v>#N/A</v>
      </c>
      <c r="T2009" s="37"/>
      <c r="U2009" s="78"/>
    </row>
    <row r="2010" spans="15:21" x14ac:dyDescent="0.25">
      <c r="O2010" s="76"/>
      <c r="P2010" s="78"/>
      <c r="Q2010" s="77"/>
      <c r="R2010" s="78"/>
      <c r="S2010" s="36" t="e">
        <f>VLOOKUP(Tabla911[[#This Row],[CODIGO DEL PRODUCTO]],Tabla79[],2,FALSE)</f>
        <v>#N/A</v>
      </c>
      <c r="T2010" s="37"/>
      <c r="U2010" s="78"/>
    </row>
    <row r="2011" spans="15:21" x14ac:dyDescent="0.25">
      <c r="O2011" s="76"/>
      <c r="P2011" s="78"/>
      <c r="Q2011" s="77"/>
      <c r="R2011" s="78"/>
      <c r="S2011" s="36" t="e">
        <f>VLOOKUP(Tabla911[[#This Row],[CODIGO DEL PRODUCTO]],Tabla79[],2,FALSE)</f>
        <v>#N/A</v>
      </c>
      <c r="T2011" s="37"/>
      <c r="U2011" s="78"/>
    </row>
    <row r="2012" spans="15:21" x14ac:dyDescent="0.25">
      <c r="O2012" s="76"/>
      <c r="P2012" s="78"/>
      <c r="Q2012" s="77"/>
      <c r="R2012" s="78"/>
      <c r="S2012" s="36" t="e">
        <f>VLOOKUP(Tabla911[[#This Row],[CODIGO DEL PRODUCTO]],Tabla79[],2,FALSE)</f>
        <v>#N/A</v>
      </c>
      <c r="T2012" s="37"/>
      <c r="U2012" s="78"/>
    </row>
    <row r="2013" spans="15:21" x14ac:dyDescent="0.25">
      <c r="O2013" s="76"/>
      <c r="P2013" s="78"/>
      <c r="Q2013" s="77"/>
      <c r="R2013" s="78"/>
      <c r="S2013" s="36" t="e">
        <f>VLOOKUP(Tabla911[[#This Row],[CODIGO DEL PRODUCTO]],Tabla79[],2,FALSE)</f>
        <v>#N/A</v>
      </c>
      <c r="T2013" s="37"/>
      <c r="U2013" s="78"/>
    </row>
    <row r="2014" spans="15:21" x14ac:dyDescent="0.25">
      <c r="O2014" s="76"/>
      <c r="P2014" s="78"/>
      <c r="Q2014" s="77"/>
      <c r="R2014" s="78"/>
      <c r="S2014" s="36" t="e">
        <f>VLOOKUP(Tabla911[[#This Row],[CODIGO DEL PRODUCTO]],Tabla79[],2,FALSE)</f>
        <v>#N/A</v>
      </c>
      <c r="T2014" s="37"/>
      <c r="U2014" s="78"/>
    </row>
    <row r="2015" spans="15:21" x14ac:dyDescent="0.25">
      <c r="O2015" s="76"/>
      <c r="P2015" s="78"/>
      <c r="Q2015" s="77"/>
      <c r="R2015" s="78"/>
      <c r="S2015" s="36" t="e">
        <f>VLOOKUP(Tabla911[[#This Row],[CODIGO DEL PRODUCTO]],Tabla79[],2,FALSE)</f>
        <v>#N/A</v>
      </c>
      <c r="T2015" s="37"/>
      <c r="U2015" s="78"/>
    </row>
    <row r="2016" spans="15:21" x14ac:dyDescent="0.25">
      <c r="O2016" s="76"/>
      <c r="P2016" s="78"/>
      <c r="Q2016" s="77"/>
      <c r="R2016" s="78"/>
      <c r="S2016" s="36" t="e">
        <f>VLOOKUP(Tabla911[[#This Row],[CODIGO DEL PRODUCTO]],Tabla79[],2,FALSE)</f>
        <v>#N/A</v>
      </c>
      <c r="T2016" s="37"/>
      <c r="U2016" s="78"/>
    </row>
    <row r="2017" spans="15:21" x14ac:dyDescent="0.25">
      <c r="O2017" s="76"/>
      <c r="P2017" s="78"/>
      <c r="Q2017" s="77"/>
      <c r="R2017" s="78"/>
      <c r="S2017" s="36" t="e">
        <f>VLOOKUP(Tabla911[[#This Row],[CODIGO DEL PRODUCTO]],Tabla79[],2,FALSE)</f>
        <v>#N/A</v>
      </c>
      <c r="T2017" s="37"/>
      <c r="U2017" s="78"/>
    </row>
    <row r="2018" spans="15:21" x14ac:dyDescent="0.25">
      <c r="O2018" s="76"/>
      <c r="P2018" s="78"/>
      <c r="Q2018" s="77"/>
      <c r="R2018" s="78"/>
      <c r="S2018" s="36" t="e">
        <f>VLOOKUP(Tabla911[[#This Row],[CODIGO DEL PRODUCTO]],Tabla79[],2,FALSE)</f>
        <v>#N/A</v>
      </c>
      <c r="T2018" s="37"/>
      <c r="U2018" s="78"/>
    </row>
    <row r="2019" spans="15:21" x14ac:dyDescent="0.25">
      <c r="O2019" s="76"/>
      <c r="P2019" s="78"/>
      <c r="Q2019" s="77"/>
      <c r="R2019" s="78"/>
      <c r="S2019" s="36" t="e">
        <f>VLOOKUP(Tabla911[[#This Row],[CODIGO DEL PRODUCTO]],Tabla79[],2,FALSE)</f>
        <v>#N/A</v>
      </c>
      <c r="T2019" s="37"/>
      <c r="U2019" s="78"/>
    </row>
    <row r="2020" spans="15:21" x14ac:dyDescent="0.25">
      <c r="O2020" s="76"/>
      <c r="P2020" s="78"/>
      <c r="Q2020" s="77"/>
      <c r="R2020" s="78"/>
      <c r="S2020" s="36" t="e">
        <f>VLOOKUP(Tabla911[[#This Row],[CODIGO DEL PRODUCTO]],Tabla79[],2,FALSE)</f>
        <v>#N/A</v>
      </c>
      <c r="T2020" s="37"/>
      <c r="U2020" s="78"/>
    </row>
    <row r="2021" spans="15:21" x14ac:dyDescent="0.25">
      <c r="O2021" s="76"/>
      <c r="P2021" s="78"/>
      <c r="Q2021" s="77"/>
      <c r="R2021" s="78"/>
      <c r="S2021" s="36" t="e">
        <f>VLOOKUP(Tabla911[[#This Row],[CODIGO DEL PRODUCTO]],Tabla79[],2,FALSE)</f>
        <v>#N/A</v>
      </c>
      <c r="T2021" s="37"/>
      <c r="U2021" s="78"/>
    </row>
    <row r="2022" spans="15:21" x14ac:dyDescent="0.25">
      <c r="O2022" s="76"/>
      <c r="P2022" s="78"/>
      <c r="Q2022" s="77"/>
      <c r="R2022" s="78"/>
      <c r="S2022" s="36" t="e">
        <f>VLOOKUP(Tabla911[[#This Row],[CODIGO DEL PRODUCTO]],Tabla79[],2,FALSE)</f>
        <v>#N/A</v>
      </c>
      <c r="T2022" s="37"/>
      <c r="U2022" s="78"/>
    </row>
    <row r="2023" spans="15:21" x14ac:dyDescent="0.25">
      <c r="O2023" s="76"/>
      <c r="P2023" s="78"/>
      <c r="Q2023" s="77"/>
      <c r="R2023" s="78"/>
      <c r="S2023" s="36" t="e">
        <f>VLOOKUP(Tabla911[[#This Row],[CODIGO DEL PRODUCTO]],Tabla79[],2,FALSE)</f>
        <v>#N/A</v>
      </c>
      <c r="T2023" s="37"/>
      <c r="U2023" s="78"/>
    </row>
    <row r="2024" spans="15:21" x14ac:dyDescent="0.25">
      <c r="O2024" s="76"/>
      <c r="P2024" s="78"/>
      <c r="Q2024" s="77"/>
      <c r="R2024" s="78"/>
      <c r="S2024" s="36" t="e">
        <f>VLOOKUP(Tabla911[[#This Row],[CODIGO DEL PRODUCTO]],Tabla79[],2,FALSE)</f>
        <v>#N/A</v>
      </c>
      <c r="T2024" s="37"/>
      <c r="U2024" s="78"/>
    </row>
    <row r="2025" spans="15:21" x14ac:dyDescent="0.25">
      <c r="O2025" s="76"/>
      <c r="P2025" s="78"/>
      <c r="Q2025" s="77"/>
      <c r="R2025" s="78"/>
      <c r="S2025" s="36" t="e">
        <f>VLOOKUP(Tabla911[[#This Row],[CODIGO DEL PRODUCTO]],Tabla79[],2,FALSE)</f>
        <v>#N/A</v>
      </c>
      <c r="T2025" s="37"/>
      <c r="U2025" s="78"/>
    </row>
    <row r="2026" spans="15:21" x14ac:dyDescent="0.25">
      <c r="O2026" s="76"/>
      <c r="P2026" s="78"/>
      <c r="Q2026" s="77"/>
      <c r="R2026" s="78"/>
      <c r="S2026" s="36" t="e">
        <f>VLOOKUP(Tabla911[[#This Row],[CODIGO DEL PRODUCTO]],Tabla79[],2,FALSE)</f>
        <v>#N/A</v>
      </c>
      <c r="T2026" s="37"/>
      <c r="U2026" s="78"/>
    </row>
    <row r="2027" spans="15:21" x14ac:dyDescent="0.25">
      <c r="O2027" s="76"/>
      <c r="P2027" s="78"/>
      <c r="Q2027" s="77"/>
      <c r="R2027" s="78"/>
      <c r="S2027" s="36" t="e">
        <f>VLOOKUP(Tabla911[[#This Row],[CODIGO DEL PRODUCTO]],Tabla79[],2,FALSE)</f>
        <v>#N/A</v>
      </c>
      <c r="T2027" s="37"/>
      <c r="U2027" s="78"/>
    </row>
    <row r="2028" spans="15:21" x14ac:dyDescent="0.25">
      <c r="O2028" s="76"/>
      <c r="P2028" s="78"/>
      <c r="Q2028" s="77"/>
      <c r="R2028" s="78"/>
      <c r="S2028" s="36" t="e">
        <f>VLOOKUP(Tabla911[[#This Row],[CODIGO DEL PRODUCTO]],Tabla79[],2,FALSE)</f>
        <v>#N/A</v>
      </c>
      <c r="T2028" s="37"/>
      <c r="U2028" s="78"/>
    </row>
    <row r="2029" spans="15:21" x14ac:dyDescent="0.25">
      <c r="O2029" s="76"/>
      <c r="P2029" s="78"/>
      <c r="Q2029" s="77"/>
      <c r="R2029" s="78"/>
      <c r="S2029" s="36" t="e">
        <f>VLOOKUP(Tabla911[[#This Row],[CODIGO DEL PRODUCTO]],Tabla79[],2,FALSE)</f>
        <v>#N/A</v>
      </c>
      <c r="T2029" s="37"/>
      <c r="U2029" s="78"/>
    </row>
    <row r="2030" spans="15:21" x14ac:dyDescent="0.25">
      <c r="O2030" s="76"/>
      <c r="P2030" s="78"/>
      <c r="Q2030" s="77"/>
      <c r="R2030" s="78"/>
      <c r="S2030" s="36" t="e">
        <f>VLOOKUP(Tabla911[[#This Row],[CODIGO DEL PRODUCTO]],Tabla79[],2,FALSE)</f>
        <v>#N/A</v>
      </c>
      <c r="T2030" s="37"/>
      <c r="U2030" s="78"/>
    </row>
    <row r="2031" spans="15:21" x14ac:dyDescent="0.25">
      <c r="O2031" s="76"/>
      <c r="P2031" s="78"/>
      <c r="Q2031" s="77"/>
      <c r="R2031" s="78"/>
      <c r="S2031" s="36" t="e">
        <f>VLOOKUP(Tabla911[[#This Row],[CODIGO DEL PRODUCTO]],Tabla79[],2,FALSE)</f>
        <v>#N/A</v>
      </c>
      <c r="T2031" s="37"/>
      <c r="U2031" s="78"/>
    </row>
    <row r="2032" spans="15:21" x14ac:dyDescent="0.25">
      <c r="O2032" s="76"/>
      <c r="P2032" s="78"/>
      <c r="Q2032" s="77"/>
      <c r="R2032" s="78"/>
      <c r="S2032" s="36" t="e">
        <f>VLOOKUP(Tabla911[[#This Row],[CODIGO DEL PRODUCTO]],Tabla79[],2,FALSE)</f>
        <v>#N/A</v>
      </c>
      <c r="T2032" s="37"/>
      <c r="U2032" s="78"/>
    </row>
    <row r="2033" spans="15:21" x14ac:dyDescent="0.25">
      <c r="O2033" s="76"/>
      <c r="P2033" s="78"/>
      <c r="Q2033" s="77"/>
      <c r="R2033" s="78"/>
      <c r="S2033" s="36" t="e">
        <f>VLOOKUP(Tabla911[[#This Row],[CODIGO DEL PRODUCTO]],Tabla79[],2,FALSE)</f>
        <v>#N/A</v>
      </c>
      <c r="T2033" s="37"/>
      <c r="U2033" s="78"/>
    </row>
    <row r="2034" spans="15:21" x14ac:dyDescent="0.25">
      <c r="O2034" s="76"/>
      <c r="P2034" s="78"/>
      <c r="Q2034" s="77"/>
      <c r="R2034" s="78"/>
      <c r="S2034" s="36" t="e">
        <f>VLOOKUP(Tabla911[[#This Row],[CODIGO DEL PRODUCTO]],Tabla79[],2,FALSE)</f>
        <v>#N/A</v>
      </c>
      <c r="T2034" s="37"/>
      <c r="U2034" s="78"/>
    </row>
    <row r="2035" spans="15:21" x14ac:dyDescent="0.25">
      <c r="O2035" s="76"/>
      <c r="P2035" s="78"/>
      <c r="Q2035" s="77"/>
      <c r="R2035" s="78"/>
      <c r="S2035" s="36" t="e">
        <f>VLOOKUP(Tabla911[[#This Row],[CODIGO DEL PRODUCTO]],Tabla79[],2,FALSE)</f>
        <v>#N/A</v>
      </c>
      <c r="T2035" s="37"/>
      <c r="U2035" s="78"/>
    </row>
    <row r="2036" spans="15:21" x14ac:dyDescent="0.25">
      <c r="O2036" s="76"/>
      <c r="P2036" s="78"/>
      <c r="Q2036" s="77"/>
      <c r="R2036" s="78"/>
      <c r="S2036" s="36" t="e">
        <f>VLOOKUP(Tabla911[[#This Row],[CODIGO DEL PRODUCTO]],Tabla79[],2,FALSE)</f>
        <v>#N/A</v>
      </c>
      <c r="T2036" s="37"/>
      <c r="U2036" s="78"/>
    </row>
    <row r="2037" spans="15:21" x14ac:dyDescent="0.25">
      <c r="O2037" s="76"/>
      <c r="P2037" s="78"/>
      <c r="Q2037" s="77"/>
      <c r="R2037" s="78"/>
      <c r="S2037" s="36" t="e">
        <f>VLOOKUP(Tabla911[[#This Row],[CODIGO DEL PRODUCTO]],Tabla79[],2,FALSE)</f>
        <v>#N/A</v>
      </c>
      <c r="T2037" s="37"/>
      <c r="U2037" s="78"/>
    </row>
    <row r="2038" spans="15:21" x14ac:dyDescent="0.25">
      <c r="O2038" s="76"/>
      <c r="P2038" s="78"/>
      <c r="Q2038" s="77"/>
      <c r="R2038" s="78"/>
      <c r="S2038" s="36" t="e">
        <f>VLOOKUP(Tabla911[[#This Row],[CODIGO DEL PRODUCTO]],Tabla79[],2,FALSE)</f>
        <v>#N/A</v>
      </c>
      <c r="T2038" s="37"/>
      <c r="U2038" s="78"/>
    </row>
    <row r="2039" spans="15:21" x14ac:dyDescent="0.25">
      <c r="O2039" s="76"/>
      <c r="P2039" s="78"/>
      <c r="Q2039" s="77"/>
      <c r="R2039" s="78"/>
      <c r="S2039" s="36" t="e">
        <f>VLOOKUP(Tabla911[[#This Row],[CODIGO DEL PRODUCTO]],Tabla79[],2,FALSE)</f>
        <v>#N/A</v>
      </c>
      <c r="T2039" s="37"/>
      <c r="U2039" s="78"/>
    </row>
    <row r="2040" spans="15:21" x14ac:dyDescent="0.25">
      <c r="O2040" s="76"/>
      <c r="P2040" s="78"/>
      <c r="Q2040" s="77"/>
      <c r="R2040" s="78"/>
      <c r="S2040" s="36" t="e">
        <f>VLOOKUP(Tabla911[[#This Row],[CODIGO DEL PRODUCTO]],Tabla79[],2,FALSE)</f>
        <v>#N/A</v>
      </c>
      <c r="T2040" s="37"/>
      <c r="U2040" s="78"/>
    </row>
    <row r="2041" spans="15:21" x14ac:dyDescent="0.25">
      <c r="O2041" s="76"/>
      <c r="P2041" s="78"/>
      <c r="Q2041" s="77"/>
      <c r="R2041" s="78"/>
      <c r="S2041" s="36" t="e">
        <f>VLOOKUP(Tabla911[[#This Row],[CODIGO DEL PRODUCTO]],Tabla79[],2,FALSE)</f>
        <v>#N/A</v>
      </c>
      <c r="T2041" s="37"/>
      <c r="U2041" s="78"/>
    </row>
    <row r="2042" spans="15:21" x14ac:dyDescent="0.25">
      <c r="O2042" s="76"/>
      <c r="P2042" s="78"/>
      <c r="Q2042" s="77"/>
      <c r="R2042" s="78"/>
      <c r="S2042" s="36" t="e">
        <f>VLOOKUP(Tabla911[[#This Row],[CODIGO DEL PRODUCTO]],Tabla79[],2,FALSE)</f>
        <v>#N/A</v>
      </c>
      <c r="T2042" s="37"/>
      <c r="U2042" s="78"/>
    </row>
    <row r="2043" spans="15:21" x14ac:dyDescent="0.25">
      <c r="O2043" s="76"/>
      <c r="P2043" s="78"/>
      <c r="Q2043" s="77"/>
      <c r="R2043" s="78"/>
      <c r="S2043" s="36" t="e">
        <f>VLOOKUP(Tabla911[[#This Row],[CODIGO DEL PRODUCTO]],Tabla79[],2,FALSE)</f>
        <v>#N/A</v>
      </c>
      <c r="T2043" s="37"/>
      <c r="U2043" s="78"/>
    </row>
    <row r="2044" spans="15:21" x14ac:dyDescent="0.25">
      <c r="O2044" s="76"/>
      <c r="P2044" s="78"/>
      <c r="Q2044" s="77"/>
      <c r="R2044" s="78"/>
      <c r="S2044" s="36" t="e">
        <f>VLOOKUP(Tabla911[[#This Row],[CODIGO DEL PRODUCTO]],Tabla79[],2,FALSE)</f>
        <v>#N/A</v>
      </c>
      <c r="T2044" s="37"/>
      <c r="U2044" s="78"/>
    </row>
    <row r="2045" spans="15:21" x14ac:dyDescent="0.25">
      <c r="O2045" s="76"/>
      <c r="P2045" s="78"/>
      <c r="Q2045" s="77"/>
      <c r="R2045" s="78"/>
      <c r="S2045" s="36" t="e">
        <f>VLOOKUP(Tabla911[[#This Row],[CODIGO DEL PRODUCTO]],Tabla79[],2,FALSE)</f>
        <v>#N/A</v>
      </c>
      <c r="T2045" s="37"/>
      <c r="U2045" s="78"/>
    </row>
    <row r="2046" spans="15:21" x14ac:dyDescent="0.25">
      <c r="O2046" s="76"/>
      <c r="P2046" s="78"/>
      <c r="Q2046" s="77"/>
      <c r="R2046" s="78"/>
      <c r="S2046" s="36" t="e">
        <f>VLOOKUP(Tabla911[[#This Row],[CODIGO DEL PRODUCTO]],Tabla79[],2,FALSE)</f>
        <v>#N/A</v>
      </c>
      <c r="T2046" s="37"/>
      <c r="U2046" s="78"/>
    </row>
    <row r="2047" spans="15:21" x14ac:dyDescent="0.25">
      <c r="O2047" s="76"/>
      <c r="P2047" s="78"/>
      <c r="Q2047" s="77"/>
      <c r="R2047" s="78"/>
      <c r="S2047" s="36" t="e">
        <f>VLOOKUP(Tabla911[[#This Row],[CODIGO DEL PRODUCTO]],Tabla79[],2,FALSE)</f>
        <v>#N/A</v>
      </c>
      <c r="T2047" s="37"/>
      <c r="U2047" s="78"/>
    </row>
    <row r="2048" spans="15:21" x14ac:dyDescent="0.25">
      <c r="O2048" s="76"/>
      <c r="P2048" s="78"/>
      <c r="Q2048" s="77"/>
      <c r="R2048" s="78"/>
      <c r="S2048" s="36" t="e">
        <f>VLOOKUP(Tabla911[[#This Row],[CODIGO DEL PRODUCTO]],Tabla79[],2,FALSE)</f>
        <v>#N/A</v>
      </c>
      <c r="T2048" s="37"/>
      <c r="U2048" s="78"/>
    </row>
    <row r="2049" spans="15:21" x14ac:dyDescent="0.25">
      <c r="O2049" s="76"/>
      <c r="P2049" s="78"/>
      <c r="Q2049" s="77"/>
      <c r="R2049" s="78"/>
      <c r="S2049" s="36" t="e">
        <f>VLOOKUP(Tabla911[[#This Row],[CODIGO DEL PRODUCTO]],Tabla79[],2,FALSE)</f>
        <v>#N/A</v>
      </c>
      <c r="T2049" s="37"/>
      <c r="U2049" s="78"/>
    </row>
    <row r="2050" spans="15:21" x14ac:dyDescent="0.25">
      <c r="O2050" s="76"/>
      <c r="P2050" s="78"/>
      <c r="Q2050" s="77"/>
      <c r="R2050" s="78"/>
      <c r="S2050" s="36" t="e">
        <f>VLOOKUP(Tabla911[[#This Row],[CODIGO DEL PRODUCTO]],Tabla79[],2,FALSE)</f>
        <v>#N/A</v>
      </c>
      <c r="T2050" s="37"/>
      <c r="U2050" s="78"/>
    </row>
    <row r="2051" spans="15:21" x14ac:dyDescent="0.25">
      <c r="O2051" s="76"/>
      <c r="P2051" s="78"/>
      <c r="Q2051" s="77"/>
      <c r="R2051" s="78"/>
      <c r="S2051" s="36" t="e">
        <f>VLOOKUP(Tabla911[[#This Row],[CODIGO DEL PRODUCTO]],Tabla79[],2,FALSE)</f>
        <v>#N/A</v>
      </c>
      <c r="T2051" s="37"/>
      <c r="U2051" s="78"/>
    </row>
    <row r="2052" spans="15:21" x14ac:dyDescent="0.25">
      <c r="O2052" s="76"/>
      <c r="P2052" s="78"/>
      <c r="Q2052" s="77"/>
      <c r="R2052" s="78"/>
      <c r="S2052" s="36" t="e">
        <f>VLOOKUP(Tabla911[[#This Row],[CODIGO DEL PRODUCTO]],Tabla79[],2,FALSE)</f>
        <v>#N/A</v>
      </c>
      <c r="T2052" s="37"/>
      <c r="U2052" s="78"/>
    </row>
    <row r="2053" spans="15:21" x14ac:dyDescent="0.25">
      <c r="O2053" s="76"/>
      <c r="P2053" s="78"/>
      <c r="Q2053" s="77"/>
      <c r="R2053" s="78"/>
      <c r="S2053" s="36" t="e">
        <f>VLOOKUP(Tabla911[[#This Row],[CODIGO DEL PRODUCTO]],Tabla79[],2,FALSE)</f>
        <v>#N/A</v>
      </c>
      <c r="T2053" s="37"/>
      <c r="U2053" s="78"/>
    </row>
    <row r="2054" spans="15:21" x14ac:dyDescent="0.25">
      <c r="O2054" s="76"/>
      <c r="P2054" s="78"/>
      <c r="Q2054" s="77"/>
      <c r="R2054" s="78"/>
      <c r="S2054" s="36" t="e">
        <f>VLOOKUP(Tabla911[[#This Row],[CODIGO DEL PRODUCTO]],Tabla79[],2,FALSE)</f>
        <v>#N/A</v>
      </c>
      <c r="T2054" s="37"/>
      <c r="U2054" s="78"/>
    </row>
    <row r="2055" spans="15:21" x14ac:dyDescent="0.25">
      <c r="O2055" s="76"/>
      <c r="P2055" s="78"/>
      <c r="Q2055" s="77"/>
      <c r="R2055" s="78"/>
      <c r="S2055" s="36" t="e">
        <f>VLOOKUP(Tabla911[[#This Row],[CODIGO DEL PRODUCTO]],Tabla79[],2,FALSE)</f>
        <v>#N/A</v>
      </c>
      <c r="T2055" s="37"/>
      <c r="U2055" s="78"/>
    </row>
    <row r="2056" spans="15:21" x14ac:dyDescent="0.25">
      <c r="O2056" s="76"/>
      <c r="P2056" s="78"/>
      <c r="Q2056" s="77"/>
      <c r="R2056" s="78"/>
      <c r="S2056" s="36" t="e">
        <f>VLOOKUP(Tabla911[[#This Row],[CODIGO DEL PRODUCTO]],Tabla79[],2,FALSE)</f>
        <v>#N/A</v>
      </c>
      <c r="T2056" s="37"/>
      <c r="U2056" s="78"/>
    </row>
    <row r="2057" spans="15:21" x14ac:dyDescent="0.25">
      <c r="O2057" s="76"/>
      <c r="P2057" s="78"/>
      <c r="Q2057" s="77"/>
      <c r="R2057" s="78"/>
      <c r="S2057" s="36" t="e">
        <f>VLOOKUP(Tabla911[[#This Row],[CODIGO DEL PRODUCTO]],Tabla79[],2,FALSE)</f>
        <v>#N/A</v>
      </c>
      <c r="T2057" s="37"/>
      <c r="U2057" s="78"/>
    </row>
    <row r="2058" spans="15:21" x14ac:dyDescent="0.25">
      <c r="O2058" s="76"/>
      <c r="P2058" s="78"/>
      <c r="Q2058" s="77"/>
      <c r="R2058" s="78"/>
      <c r="S2058" s="36" t="e">
        <f>VLOOKUP(Tabla911[[#This Row],[CODIGO DEL PRODUCTO]],Tabla79[],2,FALSE)</f>
        <v>#N/A</v>
      </c>
      <c r="T2058" s="37"/>
      <c r="U2058" s="78"/>
    </row>
    <row r="2059" spans="15:21" x14ac:dyDescent="0.25">
      <c r="O2059" s="76"/>
      <c r="P2059" s="78"/>
      <c r="Q2059" s="77"/>
      <c r="R2059" s="78"/>
      <c r="S2059" s="36" t="e">
        <f>VLOOKUP(Tabla911[[#This Row],[CODIGO DEL PRODUCTO]],Tabla79[],2,FALSE)</f>
        <v>#N/A</v>
      </c>
      <c r="T2059" s="37"/>
      <c r="U2059" s="78"/>
    </row>
    <row r="2060" spans="15:21" x14ac:dyDescent="0.25">
      <c r="O2060" s="76"/>
      <c r="P2060" s="78"/>
      <c r="Q2060" s="77"/>
      <c r="R2060" s="78"/>
      <c r="S2060" s="36" t="e">
        <f>VLOOKUP(Tabla911[[#This Row],[CODIGO DEL PRODUCTO]],Tabla79[],2,FALSE)</f>
        <v>#N/A</v>
      </c>
      <c r="T2060" s="37"/>
      <c r="U2060" s="78"/>
    </row>
    <row r="2061" spans="15:21" x14ac:dyDescent="0.25">
      <c r="O2061" s="76"/>
      <c r="P2061" s="78"/>
      <c r="Q2061" s="77"/>
      <c r="R2061" s="78"/>
      <c r="S2061" s="36" t="e">
        <f>VLOOKUP(Tabla911[[#This Row],[CODIGO DEL PRODUCTO]],Tabla79[],2,FALSE)</f>
        <v>#N/A</v>
      </c>
      <c r="T2061" s="37"/>
      <c r="U2061" s="78"/>
    </row>
    <row r="2062" spans="15:21" x14ac:dyDescent="0.25">
      <c r="O2062" s="76"/>
      <c r="P2062" s="78"/>
      <c r="Q2062" s="77"/>
      <c r="R2062" s="78"/>
      <c r="S2062" s="36" t="e">
        <f>VLOOKUP(Tabla911[[#This Row],[CODIGO DEL PRODUCTO]],Tabla79[],2,FALSE)</f>
        <v>#N/A</v>
      </c>
      <c r="T2062" s="37"/>
      <c r="U2062" s="78"/>
    </row>
    <row r="2063" spans="15:21" x14ac:dyDescent="0.25">
      <c r="O2063" s="76"/>
      <c r="P2063" s="78"/>
      <c r="Q2063" s="77"/>
      <c r="R2063" s="78"/>
      <c r="S2063" s="36" t="e">
        <f>VLOOKUP(Tabla911[[#This Row],[CODIGO DEL PRODUCTO]],Tabla79[],2,FALSE)</f>
        <v>#N/A</v>
      </c>
      <c r="T2063" s="37"/>
      <c r="U2063" s="78"/>
    </row>
    <row r="2064" spans="15:21" x14ac:dyDescent="0.25">
      <c r="O2064" s="76"/>
      <c r="P2064" s="78"/>
      <c r="Q2064" s="77"/>
      <c r="R2064" s="78"/>
      <c r="S2064" s="36" t="e">
        <f>VLOOKUP(Tabla911[[#This Row],[CODIGO DEL PRODUCTO]],Tabla79[],2,FALSE)</f>
        <v>#N/A</v>
      </c>
      <c r="T2064" s="37"/>
      <c r="U2064" s="78"/>
    </row>
    <row r="2065" spans="15:21" x14ac:dyDescent="0.25">
      <c r="O2065" s="76"/>
      <c r="P2065" s="78"/>
      <c r="Q2065" s="77"/>
      <c r="R2065" s="78"/>
      <c r="S2065" s="36" t="e">
        <f>VLOOKUP(Tabla911[[#This Row],[CODIGO DEL PRODUCTO]],Tabla79[],2,FALSE)</f>
        <v>#N/A</v>
      </c>
      <c r="T2065" s="37"/>
      <c r="U2065" s="78"/>
    </row>
    <row r="2066" spans="15:21" x14ac:dyDescent="0.25">
      <c r="O2066" s="76"/>
      <c r="P2066" s="78"/>
      <c r="Q2066" s="77"/>
      <c r="R2066" s="78"/>
      <c r="S2066" s="36" t="e">
        <f>VLOOKUP(Tabla911[[#This Row],[CODIGO DEL PRODUCTO]],Tabla79[],2,FALSE)</f>
        <v>#N/A</v>
      </c>
      <c r="T2066" s="37"/>
      <c r="U2066" s="78"/>
    </row>
    <row r="2067" spans="15:21" x14ac:dyDescent="0.25">
      <c r="O2067" s="76"/>
      <c r="P2067" s="78"/>
      <c r="Q2067" s="77"/>
      <c r="R2067" s="78"/>
      <c r="S2067" s="36" t="e">
        <f>VLOOKUP(Tabla911[[#This Row],[CODIGO DEL PRODUCTO]],Tabla79[],2,FALSE)</f>
        <v>#N/A</v>
      </c>
      <c r="T2067" s="37"/>
      <c r="U2067" s="78"/>
    </row>
    <row r="2068" spans="15:21" x14ac:dyDescent="0.25">
      <c r="O2068" s="76"/>
      <c r="P2068" s="78"/>
      <c r="Q2068" s="77"/>
      <c r="R2068" s="78"/>
      <c r="S2068" s="36" t="e">
        <f>VLOOKUP(Tabla911[[#This Row],[CODIGO DEL PRODUCTO]],Tabla79[],2,FALSE)</f>
        <v>#N/A</v>
      </c>
      <c r="T2068" s="37"/>
      <c r="U2068" s="78"/>
    </row>
    <row r="2069" spans="15:21" x14ac:dyDescent="0.25">
      <c r="O2069" s="76"/>
      <c r="P2069" s="78"/>
      <c r="Q2069" s="77"/>
      <c r="R2069" s="78"/>
      <c r="S2069" s="36" t="e">
        <f>VLOOKUP(Tabla911[[#This Row],[CODIGO DEL PRODUCTO]],Tabla79[],2,FALSE)</f>
        <v>#N/A</v>
      </c>
      <c r="T2069" s="37"/>
      <c r="U2069" s="78"/>
    </row>
    <row r="2070" spans="15:21" x14ac:dyDescent="0.25">
      <c r="O2070" s="76"/>
      <c r="P2070" s="78"/>
      <c r="Q2070" s="77"/>
      <c r="R2070" s="78"/>
      <c r="S2070" s="36" t="e">
        <f>VLOOKUP(Tabla911[[#This Row],[CODIGO DEL PRODUCTO]],Tabla79[],2,FALSE)</f>
        <v>#N/A</v>
      </c>
      <c r="T2070" s="37"/>
      <c r="U2070" s="78"/>
    </row>
    <row r="2071" spans="15:21" x14ac:dyDescent="0.25">
      <c r="O2071" s="76"/>
      <c r="P2071" s="78"/>
      <c r="Q2071" s="77"/>
      <c r="R2071" s="78"/>
      <c r="S2071" s="36" t="e">
        <f>VLOOKUP(Tabla911[[#This Row],[CODIGO DEL PRODUCTO]],Tabla79[],2,FALSE)</f>
        <v>#N/A</v>
      </c>
      <c r="T2071" s="37"/>
      <c r="U2071" s="78"/>
    </row>
    <row r="2072" spans="15:21" x14ac:dyDescent="0.25">
      <c r="O2072" s="76"/>
      <c r="P2072" s="78"/>
      <c r="Q2072" s="77"/>
      <c r="R2072" s="78"/>
      <c r="S2072" s="36" t="e">
        <f>VLOOKUP(Tabla911[[#This Row],[CODIGO DEL PRODUCTO]],Tabla79[],2,FALSE)</f>
        <v>#N/A</v>
      </c>
      <c r="T2072" s="37"/>
      <c r="U2072" s="78"/>
    </row>
    <row r="2073" spans="15:21" x14ac:dyDescent="0.25">
      <c r="O2073" s="76"/>
      <c r="P2073" s="78"/>
      <c r="Q2073" s="77"/>
      <c r="R2073" s="78"/>
      <c r="S2073" s="36" t="e">
        <f>VLOOKUP(Tabla911[[#This Row],[CODIGO DEL PRODUCTO]],Tabla79[],2,FALSE)</f>
        <v>#N/A</v>
      </c>
      <c r="T2073" s="37"/>
      <c r="U2073" s="78"/>
    </row>
    <row r="2074" spans="15:21" x14ac:dyDescent="0.25">
      <c r="O2074" s="76"/>
      <c r="P2074" s="78"/>
      <c r="Q2074" s="77"/>
      <c r="R2074" s="78"/>
      <c r="S2074" s="36" t="e">
        <f>VLOOKUP(Tabla911[[#This Row],[CODIGO DEL PRODUCTO]],Tabla79[],2,FALSE)</f>
        <v>#N/A</v>
      </c>
      <c r="T2074" s="37"/>
      <c r="U2074" s="78"/>
    </row>
    <row r="2075" spans="15:21" x14ac:dyDescent="0.25">
      <c r="O2075" s="76"/>
      <c r="P2075" s="78"/>
      <c r="Q2075" s="77"/>
      <c r="R2075" s="78"/>
      <c r="S2075" s="36" t="e">
        <f>VLOOKUP(Tabla911[[#This Row],[CODIGO DEL PRODUCTO]],Tabla79[],2,FALSE)</f>
        <v>#N/A</v>
      </c>
      <c r="T2075" s="37"/>
      <c r="U2075" s="78"/>
    </row>
    <row r="2076" spans="15:21" x14ac:dyDescent="0.25">
      <c r="O2076" s="76"/>
      <c r="P2076" s="78"/>
      <c r="Q2076" s="77"/>
      <c r="R2076" s="78"/>
      <c r="S2076" s="36" t="e">
        <f>VLOOKUP(Tabla911[[#This Row],[CODIGO DEL PRODUCTO]],Tabla79[],2,FALSE)</f>
        <v>#N/A</v>
      </c>
      <c r="T2076" s="37"/>
      <c r="U2076" s="78"/>
    </row>
    <row r="2077" spans="15:21" x14ac:dyDescent="0.25">
      <c r="O2077" s="76"/>
      <c r="P2077" s="78"/>
      <c r="Q2077" s="77"/>
      <c r="R2077" s="78"/>
      <c r="S2077" s="36" t="e">
        <f>VLOOKUP(Tabla911[[#This Row],[CODIGO DEL PRODUCTO]],Tabla79[],2,FALSE)</f>
        <v>#N/A</v>
      </c>
      <c r="T2077" s="37"/>
      <c r="U2077" s="78"/>
    </row>
    <row r="2078" spans="15:21" x14ac:dyDescent="0.25">
      <c r="O2078" s="76"/>
      <c r="P2078" s="78"/>
      <c r="Q2078" s="77"/>
      <c r="R2078" s="78"/>
      <c r="S2078" s="36" t="e">
        <f>VLOOKUP(Tabla911[[#This Row],[CODIGO DEL PRODUCTO]],Tabla79[],2,FALSE)</f>
        <v>#N/A</v>
      </c>
      <c r="T2078" s="37"/>
      <c r="U2078" s="78"/>
    </row>
    <row r="2079" spans="15:21" x14ac:dyDescent="0.25">
      <c r="O2079" s="76"/>
      <c r="P2079" s="78"/>
      <c r="Q2079" s="77"/>
      <c r="R2079" s="78"/>
      <c r="S2079" s="36" t="e">
        <f>VLOOKUP(Tabla911[[#This Row],[CODIGO DEL PRODUCTO]],Tabla79[],2,FALSE)</f>
        <v>#N/A</v>
      </c>
      <c r="T2079" s="37"/>
      <c r="U2079" s="78"/>
    </row>
    <row r="2080" spans="15:21" x14ac:dyDescent="0.25">
      <c r="O2080" s="76"/>
      <c r="P2080" s="78"/>
      <c r="Q2080" s="77"/>
      <c r="R2080" s="78"/>
      <c r="S2080" s="36" t="e">
        <f>VLOOKUP(Tabla911[[#This Row],[CODIGO DEL PRODUCTO]],Tabla79[],2,FALSE)</f>
        <v>#N/A</v>
      </c>
      <c r="T2080" s="37"/>
      <c r="U2080" s="78"/>
    </row>
    <row r="2081" spans="15:21" x14ac:dyDescent="0.25">
      <c r="O2081" s="76"/>
      <c r="P2081" s="78"/>
      <c r="Q2081" s="77"/>
      <c r="R2081" s="78"/>
      <c r="S2081" s="36" t="e">
        <f>VLOOKUP(Tabla911[[#This Row],[CODIGO DEL PRODUCTO]],Tabla79[],2,FALSE)</f>
        <v>#N/A</v>
      </c>
      <c r="T2081" s="37"/>
      <c r="U2081" s="78"/>
    </row>
    <row r="2082" spans="15:21" x14ac:dyDescent="0.25">
      <c r="O2082" s="76"/>
      <c r="P2082" s="78"/>
      <c r="Q2082" s="77"/>
      <c r="R2082" s="78"/>
      <c r="S2082" s="36" t="e">
        <f>VLOOKUP(Tabla911[[#This Row],[CODIGO DEL PRODUCTO]],Tabla79[],2,FALSE)</f>
        <v>#N/A</v>
      </c>
      <c r="T2082" s="37"/>
      <c r="U2082" s="78"/>
    </row>
    <row r="2083" spans="15:21" x14ac:dyDescent="0.25">
      <c r="O2083" s="76"/>
      <c r="P2083" s="78"/>
      <c r="Q2083" s="77"/>
      <c r="R2083" s="78"/>
      <c r="S2083" s="36" t="e">
        <f>VLOOKUP(Tabla911[[#This Row],[CODIGO DEL PRODUCTO]],Tabla79[],2,FALSE)</f>
        <v>#N/A</v>
      </c>
      <c r="T2083" s="37"/>
      <c r="U2083" s="78"/>
    </row>
    <row r="2084" spans="15:21" x14ac:dyDescent="0.25">
      <c r="O2084" s="76"/>
      <c r="P2084" s="78"/>
      <c r="Q2084" s="77"/>
      <c r="R2084" s="78"/>
      <c r="S2084" s="36" t="e">
        <f>VLOOKUP(Tabla911[[#This Row],[CODIGO DEL PRODUCTO]],Tabla79[],2,FALSE)</f>
        <v>#N/A</v>
      </c>
      <c r="T2084" s="37"/>
      <c r="U2084" s="78"/>
    </row>
    <row r="2085" spans="15:21" x14ac:dyDescent="0.25">
      <c r="O2085" s="76"/>
      <c r="P2085" s="78"/>
      <c r="Q2085" s="77"/>
      <c r="R2085" s="78"/>
      <c r="S2085" s="36" t="e">
        <f>VLOOKUP(Tabla911[[#This Row],[CODIGO DEL PRODUCTO]],Tabla79[],2,FALSE)</f>
        <v>#N/A</v>
      </c>
      <c r="T2085" s="37"/>
      <c r="U2085" s="78"/>
    </row>
    <row r="2086" spans="15:21" x14ac:dyDescent="0.25">
      <c r="O2086" s="76"/>
      <c r="P2086" s="78"/>
      <c r="Q2086" s="77"/>
      <c r="R2086" s="78"/>
      <c r="S2086" s="36" t="e">
        <f>VLOOKUP(Tabla911[[#This Row],[CODIGO DEL PRODUCTO]],Tabla79[],2,FALSE)</f>
        <v>#N/A</v>
      </c>
      <c r="T2086" s="37"/>
      <c r="U2086" s="78"/>
    </row>
    <row r="2087" spans="15:21" x14ac:dyDescent="0.25">
      <c r="O2087" s="76"/>
      <c r="P2087" s="78"/>
      <c r="Q2087" s="77"/>
      <c r="R2087" s="78"/>
      <c r="S2087" s="36" t="e">
        <f>VLOOKUP(Tabla911[[#This Row],[CODIGO DEL PRODUCTO]],Tabla79[],2,FALSE)</f>
        <v>#N/A</v>
      </c>
      <c r="T2087" s="37"/>
      <c r="U2087" s="78"/>
    </row>
    <row r="2088" spans="15:21" x14ac:dyDescent="0.25">
      <c r="O2088" s="76"/>
      <c r="P2088" s="78"/>
      <c r="Q2088" s="77"/>
      <c r="R2088" s="78"/>
      <c r="S2088" s="36" t="e">
        <f>VLOOKUP(Tabla911[[#This Row],[CODIGO DEL PRODUCTO]],Tabla79[],2,FALSE)</f>
        <v>#N/A</v>
      </c>
      <c r="T2088" s="37"/>
      <c r="U2088" s="78"/>
    </row>
    <row r="2089" spans="15:21" x14ac:dyDescent="0.25">
      <c r="O2089" s="76"/>
      <c r="P2089" s="78"/>
      <c r="Q2089" s="77"/>
      <c r="R2089" s="78"/>
      <c r="S2089" s="36" t="e">
        <f>VLOOKUP(Tabla911[[#This Row],[CODIGO DEL PRODUCTO]],Tabla79[],2,FALSE)</f>
        <v>#N/A</v>
      </c>
      <c r="T2089" s="37"/>
      <c r="U2089" s="78"/>
    </row>
    <row r="2090" spans="15:21" x14ac:dyDescent="0.25">
      <c r="O2090" s="76"/>
      <c r="P2090" s="78"/>
      <c r="Q2090" s="77"/>
      <c r="R2090" s="78"/>
      <c r="S2090" s="36" t="e">
        <f>VLOOKUP(Tabla911[[#This Row],[CODIGO DEL PRODUCTO]],Tabla79[],2,FALSE)</f>
        <v>#N/A</v>
      </c>
      <c r="T2090" s="37"/>
      <c r="U2090" s="78"/>
    </row>
    <row r="2091" spans="15:21" x14ac:dyDescent="0.25">
      <c r="O2091" s="76"/>
      <c r="P2091" s="78"/>
      <c r="Q2091" s="77"/>
      <c r="R2091" s="78"/>
      <c r="S2091" s="36" t="e">
        <f>VLOOKUP(Tabla911[[#This Row],[CODIGO DEL PRODUCTO]],Tabla79[],2,FALSE)</f>
        <v>#N/A</v>
      </c>
      <c r="T2091" s="37"/>
      <c r="U2091" s="78"/>
    </row>
    <row r="2092" spans="15:21" x14ac:dyDescent="0.25">
      <c r="O2092" s="76"/>
      <c r="P2092" s="78"/>
      <c r="Q2092" s="77"/>
      <c r="R2092" s="78"/>
      <c r="S2092" s="36" t="e">
        <f>VLOOKUP(Tabla911[[#This Row],[CODIGO DEL PRODUCTO]],Tabla79[],2,FALSE)</f>
        <v>#N/A</v>
      </c>
      <c r="T2092" s="37"/>
      <c r="U2092" s="78"/>
    </row>
    <row r="2093" spans="15:21" x14ac:dyDescent="0.25">
      <c r="O2093" s="76"/>
      <c r="P2093" s="78"/>
      <c r="Q2093" s="77"/>
      <c r="R2093" s="78"/>
      <c r="S2093" s="36" t="e">
        <f>VLOOKUP(Tabla911[[#This Row],[CODIGO DEL PRODUCTO]],Tabla79[],2,FALSE)</f>
        <v>#N/A</v>
      </c>
      <c r="T2093" s="37"/>
      <c r="U2093" s="78"/>
    </row>
    <row r="2094" spans="15:21" x14ac:dyDescent="0.25">
      <c r="O2094" s="76"/>
      <c r="P2094" s="78"/>
      <c r="Q2094" s="77"/>
      <c r="R2094" s="78"/>
      <c r="S2094" s="36" t="e">
        <f>VLOOKUP(Tabla911[[#This Row],[CODIGO DEL PRODUCTO]],Tabla79[],2,FALSE)</f>
        <v>#N/A</v>
      </c>
      <c r="T2094" s="37"/>
      <c r="U2094" s="78"/>
    </row>
    <row r="2095" spans="15:21" x14ac:dyDescent="0.25">
      <c r="O2095" s="76"/>
      <c r="P2095" s="78"/>
      <c r="Q2095" s="77"/>
      <c r="R2095" s="78"/>
      <c r="S2095" s="36" t="e">
        <f>VLOOKUP(Tabla911[[#This Row],[CODIGO DEL PRODUCTO]],Tabla79[],2,FALSE)</f>
        <v>#N/A</v>
      </c>
      <c r="T2095" s="37"/>
      <c r="U2095" s="78"/>
    </row>
    <row r="2096" spans="15:21" x14ac:dyDescent="0.25">
      <c r="O2096" s="76"/>
      <c r="P2096" s="78"/>
      <c r="Q2096" s="77"/>
      <c r="R2096" s="78"/>
      <c r="S2096" s="36" t="e">
        <f>VLOOKUP(Tabla911[[#This Row],[CODIGO DEL PRODUCTO]],Tabla79[],2,FALSE)</f>
        <v>#N/A</v>
      </c>
      <c r="T2096" s="37"/>
      <c r="U2096" s="78"/>
    </row>
    <row r="2097" spans="15:21" x14ac:dyDescent="0.25">
      <c r="O2097" s="76"/>
      <c r="P2097" s="78"/>
      <c r="Q2097" s="77"/>
      <c r="R2097" s="78"/>
      <c r="S2097" s="36" t="e">
        <f>VLOOKUP(Tabla911[[#This Row],[CODIGO DEL PRODUCTO]],Tabla79[],2,FALSE)</f>
        <v>#N/A</v>
      </c>
      <c r="T2097" s="37"/>
      <c r="U2097" s="78"/>
    </row>
    <row r="2098" spans="15:21" x14ac:dyDescent="0.25">
      <c r="O2098" s="76"/>
      <c r="P2098" s="78"/>
      <c r="Q2098" s="77"/>
      <c r="R2098" s="78"/>
      <c r="S2098" s="36" t="e">
        <f>VLOOKUP(Tabla911[[#This Row],[CODIGO DEL PRODUCTO]],Tabla79[],2,FALSE)</f>
        <v>#N/A</v>
      </c>
      <c r="T2098" s="37"/>
      <c r="U2098" s="78"/>
    </row>
    <row r="2099" spans="15:21" x14ac:dyDescent="0.25">
      <c r="O2099" s="76"/>
      <c r="P2099" s="78"/>
      <c r="Q2099" s="77"/>
      <c r="R2099" s="78"/>
      <c r="S2099" s="36" t="e">
        <f>VLOOKUP(Tabla911[[#This Row],[CODIGO DEL PRODUCTO]],Tabla79[],2,FALSE)</f>
        <v>#N/A</v>
      </c>
      <c r="T2099" s="37"/>
      <c r="U2099" s="78"/>
    </row>
    <row r="2100" spans="15:21" x14ac:dyDescent="0.25">
      <c r="O2100" s="76"/>
      <c r="P2100" s="78"/>
      <c r="Q2100" s="77"/>
      <c r="R2100" s="78"/>
      <c r="S2100" s="36" t="e">
        <f>VLOOKUP(Tabla911[[#This Row],[CODIGO DEL PRODUCTO]],Tabla79[],2,FALSE)</f>
        <v>#N/A</v>
      </c>
      <c r="T2100" s="37"/>
      <c r="U2100" s="78"/>
    </row>
    <row r="2101" spans="15:21" x14ac:dyDescent="0.25">
      <c r="O2101" s="76"/>
      <c r="P2101" s="78"/>
      <c r="Q2101" s="77"/>
      <c r="R2101" s="78"/>
      <c r="S2101" s="36" t="e">
        <f>VLOOKUP(Tabla911[[#This Row],[CODIGO DEL PRODUCTO]],Tabla79[],2,FALSE)</f>
        <v>#N/A</v>
      </c>
      <c r="T2101" s="37"/>
      <c r="U2101" s="78"/>
    </row>
    <row r="2102" spans="15:21" x14ac:dyDescent="0.25">
      <c r="O2102" s="76"/>
      <c r="P2102" s="78"/>
      <c r="Q2102" s="77"/>
      <c r="R2102" s="78"/>
      <c r="S2102" s="36" t="e">
        <f>VLOOKUP(Tabla911[[#This Row],[CODIGO DEL PRODUCTO]],Tabla79[],2,FALSE)</f>
        <v>#N/A</v>
      </c>
      <c r="T2102" s="37"/>
      <c r="U2102" s="78"/>
    </row>
    <row r="2103" spans="15:21" x14ac:dyDescent="0.25">
      <c r="O2103" s="76"/>
      <c r="P2103" s="78"/>
      <c r="Q2103" s="77"/>
      <c r="R2103" s="78"/>
      <c r="S2103" s="36" t="e">
        <f>VLOOKUP(Tabla911[[#This Row],[CODIGO DEL PRODUCTO]],Tabla79[],2,FALSE)</f>
        <v>#N/A</v>
      </c>
      <c r="T2103" s="37"/>
      <c r="U2103" s="78"/>
    </row>
    <row r="2104" spans="15:21" x14ac:dyDescent="0.25">
      <c r="O2104" s="76"/>
      <c r="P2104" s="78"/>
      <c r="Q2104" s="77"/>
      <c r="R2104" s="78"/>
      <c r="S2104" s="36" t="e">
        <f>VLOOKUP(Tabla911[[#This Row],[CODIGO DEL PRODUCTO]],Tabla79[],2,FALSE)</f>
        <v>#N/A</v>
      </c>
      <c r="T2104" s="37"/>
      <c r="U2104" s="78"/>
    </row>
    <row r="2105" spans="15:21" x14ac:dyDescent="0.25">
      <c r="O2105" s="76"/>
      <c r="P2105" s="78"/>
      <c r="Q2105" s="77"/>
      <c r="R2105" s="78"/>
      <c r="S2105" s="36" t="e">
        <f>VLOOKUP(Tabla911[[#This Row],[CODIGO DEL PRODUCTO]],Tabla79[],2,FALSE)</f>
        <v>#N/A</v>
      </c>
      <c r="T2105" s="37"/>
      <c r="U2105" s="78"/>
    </row>
    <row r="2106" spans="15:21" x14ac:dyDescent="0.25">
      <c r="O2106" s="76"/>
      <c r="P2106" s="78"/>
      <c r="Q2106" s="77"/>
      <c r="R2106" s="78"/>
      <c r="S2106" s="36" t="e">
        <f>VLOOKUP(Tabla911[[#This Row],[CODIGO DEL PRODUCTO]],Tabla79[],2,FALSE)</f>
        <v>#N/A</v>
      </c>
      <c r="T2106" s="37"/>
      <c r="U2106" s="78"/>
    </row>
    <row r="2107" spans="15:21" x14ac:dyDescent="0.25">
      <c r="O2107" s="76"/>
      <c r="P2107" s="78"/>
      <c r="Q2107" s="77"/>
      <c r="R2107" s="78"/>
      <c r="S2107" s="36" t="e">
        <f>VLOOKUP(Tabla911[[#This Row],[CODIGO DEL PRODUCTO]],Tabla79[],2,FALSE)</f>
        <v>#N/A</v>
      </c>
      <c r="T2107" s="37"/>
      <c r="U2107" s="78"/>
    </row>
    <row r="2108" spans="15:21" x14ac:dyDescent="0.25">
      <c r="O2108" s="76"/>
      <c r="P2108" s="78"/>
      <c r="Q2108" s="77"/>
      <c r="R2108" s="78"/>
      <c r="S2108" s="36" t="e">
        <f>VLOOKUP(Tabla911[[#This Row],[CODIGO DEL PRODUCTO]],Tabla79[],2,FALSE)</f>
        <v>#N/A</v>
      </c>
      <c r="T2108" s="37"/>
      <c r="U2108" s="78"/>
    </row>
    <row r="2109" spans="15:21" x14ac:dyDescent="0.25">
      <c r="O2109" s="76"/>
      <c r="P2109" s="78"/>
      <c r="Q2109" s="77"/>
      <c r="R2109" s="78"/>
      <c r="S2109" s="36" t="e">
        <f>VLOOKUP(Tabla911[[#This Row],[CODIGO DEL PRODUCTO]],Tabla79[],2,FALSE)</f>
        <v>#N/A</v>
      </c>
      <c r="T2109" s="37"/>
      <c r="U2109" s="78"/>
    </row>
    <row r="2110" spans="15:21" x14ac:dyDescent="0.25">
      <c r="O2110" s="76"/>
      <c r="P2110" s="78"/>
      <c r="Q2110" s="77"/>
      <c r="R2110" s="78"/>
      <c r="S2110" s="36" t="e">
        <f>VLOOKUP(Tabla911[[#This Row],[CODIGO DEL PRODUCTO]],Tabla79[],2,FALSE)</f>
        <v>#N/A</v>
      </c>
      <c r="T2110" s="37"/>
      <c r="U2110" s="78"/>
    </row>
    <row r="2111" spans="15:21" x14ac:dyDescent="0.25">
      <c r="O2111" s="76"/>
      <c r="P2111" s="78"/>
      <c r="Q2111" s="77"/>
      <c r="R2111" s="78"/>
      <c r="S2111" s="36" t="e">
        <f>VLOOKUP(Tabla911[[#This Row],[CODIGO DEL PRODUCTO]],Tabla79[],2,FALSE)</f>
        <v>#N/A</v>
      </c>
      <c r="T2111" s="37"/>
      <c r="U2111" s="78"/>
    </row>
    <row r="2112" spans="15:21" x14ac:dyDescent="0.25">
      <c r="O2112" s="76"/>
      <c r="P2112" s="78"/>
      <c r="Q2112" s="77"/>
      <c r="R2112" s="78"/>
      <c r="S2112" s="36" t="e">
        <f>VLOOKUP(Tabla911[[#This Row],[CODIGO DEL PRODUCTO]],Tabla79[],2,FALSE)</f>
        <v>#N/A</v>
      </c>
      <c r="T2112" s="37"/>
      <c r="U2112" s="78"/>
    </row>
    <row r="2113" spans="15:21" x14ac:dyDescent="0.25">
      <c r="O2113" s="76"/>
      <c r="P2113" s="78"/>
      <c r="Q2113" s="77"/>
      <c r="R2113" s="78"/>
      <c r="S2113" s="36" t="e">
        <f>VLOOKUP(Tabla911[[#This Row],[CODIGO DEL PRODUCTO]],Tabla79[],2,FALSE)</f>
        <v>#N/A</v>
      </c>
      <c r="T2113" s="37"/>
      <c r="U2113" s="78"/>
    </row>
    <row r="2114" spans="15:21" x14ac:dyDescent="0.25">
      <c r="O2114" s="76"/>
      <c r="P2114" s="78"/>
      <c r="Q2114" s="77"/>
      <c r="R2114" s="78"/>
      <c r="S2114" s="36" t="e">
        <f>VLOOKUP(Tabla911[[#This Row],[CODIGO DEL PRODUCTO]],Tabla79[],2,FALSE)</f>
        <v>#N/A</v>
      </c>
      <c r="T2114" s="37"/>
      <c r="U2114" s="78"/>
    </row>
    <row r="2115" spans="15:21" x14ac:dyDescent="0.25">
      <c r="O2115" s="76"/>
      <c r="P2115" s="78"/>
      <c r="Q2115" s="77"/>
      <c r="R2115" s="78"/>
      <c r="S2115" s="36" t="e">
        <f>VLOOKUP(Tabla911[[#This Row],[CODIGO DEL PRODUCTO]],Tabla79[],2,FALSE)</f>
        <v>#N/A</v>
      </c>
      <c r="T2115" s="37"/>
      <c r="U2115" s="78"/>
    </row>
    <row r="2116" spans="15:21" x14ac:dyDescent="0.25">
      <c r="O2116" s="76"/>
      <c r="P2116" s="78"/>
      <c r="Q2116" s="77"/>
      <c r="R2116" s="78"/>
      <c r="S2116" s="36" t="e">
        <f>VLOOKUP(Tabla911[[#This Row],[CODIGO DEL PRODUCTO]],Tabla79[],2,FALSE)</f>
        <v>#N/A</v>
      </c>
      <c r="T2116" s="37"/>
      <c r="U2116" s="78"/>
    </row>
    <row r="2117" spans="15:21" x14ac:dyDescent="0.25">
      <c r="O2117" s="76"/>
      <c r="P2117" s="78"/>
      <c r="Q2117" s="77"/>
      <c r="R2117" s="78"/>
      <c r="S2117" s="36" t="e">
        <f>VLOOKUP(Tabla911[[#This Row],[CODIGO DEL PRODUCTO]],Tabla79[],2,FALSE)</f>
        <v>#N/A</v>
      </c>
      <c r="T2117" s="37"/>
      <c r="U2117" s="78"/>
    </row>
    <row r="2118" spans="15:21" x14ac:dyDescent="0.25">
      <c r="O2118" s="76"/>
      <c r="P2118" s="78"/>
      <c r="Q2118" s="77"/>
      <c r="R2118" s="78"/>
      <c r="S2118" s="36" t="e">
        <f>VLOOKUP(Tabla911[[#This Row],[CODIGO DEL PRODUCTO]],Tabla79[],2,FALSE)</f>
        <v>#N/A</v>
      </c>
      <c r="T2118" s="37"/>
      <c r="U2118" s="78"/>
    </row>
    <row r="2119" spans="15:21" x14ac:dyDescent="0.25">
      <c r="O2119" s="76"/>
      <c r="P2119" s="78"/>
      <c r="Q2119" s="77"/>
      <c r="R2119" s="78"/>
      <c r="S2119" s="36" t="e">
        <f>VLOOKUP(Tabla911[[#This Row],[CODIGO DEL PRODUCTO]],Tabla79[],2,FALSE)</f>
        <v>#N/A</v>
      </c>
      <c r="T2119" s="37"/>
      <c r="U2119" s="78"/>
    </row>
    <row r="2120" spans="15:21" x14ac:dyDescent="0.25">
      <c r="O2120" s="76"/>
      <c r="P2120" s="78"/>
      <c r="Q2120" s="77"/>
      <c r="R2120" s="78"/>
      <c r="S2120" s="36" t="e">
        <f>VLOOKUP(Tabla911[[#This Row],[CODIGO DEL PRODUCTO]],Tabla79[],2,FALSE)</f>
        <v>#N/A</v>
      </c>
      <c r="T2120" s="37"/>
      <c r="U2120" s="78"/>
    </row>
    <row r="2121" spans="15:21" x14ac:dyDescent="0.25">
      <c r="O2121" s="76"/>
      <c r="P2121" s="78"/>
      <c r="Q2121" s="77"/>
      <c r="R2121" s="78"/>
      <c r="S2121" s="36" t="e">
        <f>VLOOKUP(Tabla911[[#This Row],[CODIGO DEL PRODUCTO]],Tabla79[],2,FALSE)</f>
        <v>#N/A</v>
      </c>
      <c r="T2121" s="37"/>
      <c r="U2121" s="78"/>
    </row>
    <row r="2122" spans="15:21" x14ac:dyDescent="0.25">
      <c r="O2122" s="76"/>
      <c r="P2122" s="78"/>
      <c r="Q2122" s="77"/>
      <c r="R2122" s="78"/>
      <c r="S2122" s="36" t="e">
        <f>VLOOKUP(Tabla911[[#This Row],[CODIGO DEL PRODUCTO]],Tabla79[],2,FALSE)</f>
        <v>#N/A</v>
      </c>
      <c r="T2122" s="37"/>
      <c r="U2122" s="78"/>
    </row>
    <row r="2123" spans="15:21" x14ac:dyDescent="0.25">
      <c r="O2123" s="76"/>
      <c r="P2123" s="78"/>
      <c r="Q2123" s="77"/>
      <c r="R2123" s="78"/>
      <c r="S2123" s="36" t="e">
        <f>VLOOKUP(Tabla911[[#This Row],[CODIGO DEL PRODUCTO]],Tabla79[],2,FALSE)</f>
        <v>#N/A</v>
      </c>
      <c r="T2123" s="37"/>
      <c r="U2123" s="78"/>
    </row>
    <row r="2124" spans="15:21" x14ac:dyDescent="0.25">
      <c r="O2124" s="76"/>
      <c r="P2124" s="78"/>
      <c r="Q2124" s="77"/>
      <c r="R2124" s="78"/>
      <c r="S2124" s="36" t="e">
        <f>VLOOKUP(Tabla911[[#This Row],[CODIGO DEL PRODUCTO]],Tabla79[],2,FALSE)</f>
        <v>#N/A</v>
      </c>
      <c r="T2124" s="37"/>
      <c r="U2124" s="78"/>
    </row>
    <row r="2125" spans="15:21" x14ac:dyDescent="0.25">
      <c r="O2125" s="76"/>
      <c r="P2125" s="78"/>
      <c r="Q2125" s="77"/>
      <c r="R2125" s="78"/>
      <c r="S2125" s="36" t="e">
        <f>VLOOKUP(Tabla911[[#This Row],[CODIGO DEL PRODUCTO]],Tabla79[],2,FALSE)</f>
        <v>#N/A</v>
      </c>
      <c r="T2125" s="37"/>
      <c r="U2125" s="78"/>
    </row>
    <row r="2126" spans="15:21" x14ac:dyDescent="0.25">
      <c r="O2126" s="76"/>
      <c r="P2126" s="78"/>
      <c r="Q2126" s="77"/>
      <c r="R2126" s="78"/>
      <c r="S2126" s="36" t="e">
        <f>VLOOKUP(Tabla911[[#This Row],[CODIGO DEL PRODUCTO]],Tabla79[],2,FALSE)</f>
        <v>#N/A</v>
      </c>
      <c r="T2126" s="37"/>
      <c r="U2126" s="78"/>
    </row>
    <row r="2127" spans="15:21" x14ac:dyDescent="0.25">
      <c r="O2127" s="76"/>
      <c r="P2127" s="78"/>
      <c r="Q2127" s="77"/>
      <c r="R2127" s="78"/>
      <c r="S2127" s="36" t="e">
        <f>VLOOKUP(Tabla911[[#This Row],[CODIGO DEL PRODUCTO]],Tabla79[],2,FALSE)</f>
        <v>#N/A</v>
      </c>
      <c r="T2127" s="37"/>
      <c r="U2127" s="78"/>
    </row>
    <row r="2128" spans="15:21" x14ac:dyDescent="0.25">
      <c r="O2128" s="76"/>
      <c r="P2128" s="78"/>
      <c r="Q2128" s="77"/>
      <c r="R2128" s="78"/>
      <c r="S2128" s="36" t="e">
        <f>VLOOKUP(Tabla911[[#This Row],[CODIGO DEL PRODUCTO]],Tabla79[],2,FALSE)</f>
        <v>#N/A</v>
      </c>
      <c r="T2128" s="37"/>
      <c r="U2128" s="78"/>
    </row>
    <row r="2129" spans="15:21" x14ac:dyDescent="0.25">
      <c r="O2129" s="76"/>
      <c r="P2129" s="78"/>
      <c r="Q2129" s="77"/>
      <c r="R2129" s="78"/>
      <c r="S2129" s="36" t="e">
        <f>VLOOKUP(Tabla911[[#This Row],[CODIGO DEL PRODUCTO]],Tabla79[],2,FALSE)</f>
        <v>#N/A</v>
      </c>
      <c r="T2129" s="37"/>
      <c r="U2129" s="78"/>
    </row>
    <row r="2130" spans="15:21" x14ac:dyDescent="0.25">
      <c r="O2130" s="76"/>
      <c r="P2130" s="78"/>
      <c r="Q2130" s="77"/>
      <c r="R2130" s="78"/>
      <c r="S2130" s="36" t="e">
        <f>VLOOKUP(Tabla911[[#This Row],[CODIGO DEL PRODUCTO]],Tabla79[],2,FALSE)</f>
        <v>#N/A</v>
      </c>
      <c r="T2130" s="37"/>
      <c r="U2130" s="78"/>
    </row>
    <row r="2131" spans="15:21" x14ac:dyDescent="0.25">
      <c r="O2131" s="76"/>
      <c r="P2131" s="78"/>
      <c r="Q2131" s="77"/>
      <c r="R2131" s="78"/>
      <c r="S2131" s="36" t="e">
        <f>VLOOKUP(Tabla911[[#This Row],[CODIGO DEL PRODUCTO]],Tabla79[],2,FALSE)</f>
        <v>#N/A</v>
      </c>
      <c r="T2131" s="37"/>
      <c r="U2131" s="78"/>
    </row>
    <row r="2132" spans="15:21" x14ac:dyDescent="0.25">
      <c r="O2132" s="76"/>
      <c r="P2132" s="78"/>
      <c r="Q2132" s="77"/>
      <c r="R2132" s="78"/>
      <c r="S2132" s="36" t="e">
        <f>VLOOKUP(Tabla911[[#This Row],[CODIGO DEL PRODUCTO]],Tabla79[],2,FALSE)</f>
        <v>#N/A</v>
      </c>
      <c r="T2132" s="37"/>
      <c r="U2132" s="78"/>
    </row>
    <row r="2133" spans="15:21" x14ac:dyDescent="0.25">
      <c r="O2133" s="76"/>
      <c r="P2133" s="78"/>
      <c r="Q2133" s="77"/>
      <c r="R2133" s="78"/>
      <c r="S2133" s="36" t="e">
        <f>VLOOKUP(Tabla911[[#This Row],[CODIGO DEL PRODUCTO]],Tabla79[],2,FALSE)</f>
        <v>#N/A</v>
      </c>
      <c r="T2133" s="37"/>
      <c r="U2133" s="78"/>
    </row>
    <row r="2134" spans="15:21" x14ac:dyDescent="0.25">
      <c r="O2134" s="76"/>
      <c r="P2134" s="78"/>
      <c r="Q2134" s="77"/>
      <c r="R2134" s="78"/>
      <c r="S2134" s="36" t="e">
        <f>VLOOKUP(Tabla911[[#This Row],[CODIGO DEL PRODUCTO]],Tabla79[],2,FALSE)</f>
        <v>#N/A</v>
      </c>
      <c r="T2134" s="37"/>
      <c r="U2134" s="78"/>
    </row>
    <row r="2135" spans="15:21" x14ac:dyDescent="0.25">
      <c r="O2135" s="76"/>
      <c r="P2135" s="78"/>
      <c r="Q2135" s="77"/>
      <c r="R2135" s="78"/>
      <c r="S2135" s="36" t="e">
        <f>VLOOKUP(Tabla911[[#This Row],[CODIGO DEL PRODUCTO]],Tabla79[],2,FALSE)</f>
        <v>#N/A</v>
      </c>
      <c r="T2135" s="37"/>
      <c r="U2135" s="78"/>
    </row>
    <row r="2136" spans="15:21" x14ac:dyDescent="0.25">
      <c r="O2136" s="76"/>
      <c r="P2136" s="78"/>
      <c r="Q2136" s="77"/>
      <c r="R2136" s="78"/>
      <c r="S2136" s="36" t="e">
        <f>VLOOKUP(Tabla911[[#This Row],[CODIGO DEL PRODUCTO]],Tabla79[],2,FALSE)</f>
        <v>#N/A</v>
      </c>
      <c r="T2136" s="37"/>
      <c r="U2136" s="78"/>
    </row>
    <row r="2137" spans="15:21" x14ac:dyDescent="0.25">
      <c r="O2137" s="76"/>
      <c r="P2137" s="78"/>
      <c r="Q2137" s="77"/>
      <c r="R2137" s="78"/>
      <c r="S2137" s="36" t="e">
        <f>VLOOKUP(Tabla911[[#This Row],[CODIGO DEL PRODUCTO]],Tabla79[],2,FALSE)</f>
        <v>#N/A</v>
      </c>
      <c r="T2137" s="37"/>
      <c r="U2137" s="78"/>
    </row>
    <row r="2138" spans="15:21" x14ac:dyDescent="0.25">
      <c r="O2138" s="76"/>
      <c r="P2138" s="78"/>
      <c r="Q2138" s="77"/>
      <c r="R2138" s="78"/>
      <c r="S2138" s="36" t="e">
        <f>VLOOKUP(Tabla911[[#This Row],[CODIGO DEL PRODUCTO]],Tabla79[],2,FALSE)</f>
        <v>#N/A</v>
      </c>
      <c r="T2138" s="37"/>
      <c r="U2138" s="78"/>
    </row>
    <row r="2139" spans="15:21" x14ac:dyDescent="0.25">
      <c r="O2139" s="76"/>
      <c r="P2139" s="78"/>
      <c r="Q2139" s="77"/>
      <c r="R2139" s="78"/>
      <c r="S2139" s="36" t="e">
        <f>VLOOKUP(Tabla911[[#This Row],[CODIGO DEL PRODUCTO]],Tabla79[],2,FALSE)</f>
        <v>#N/A</v>
      </c>
      <c r="T2139" s="37"/>
      <c r="U2139" s="78"/>
    </row>
    <row r="2140" spans="15:21" x14ac:dyDescent="0.25">
      <c r="O2140" s="76"/>
      <c r="P2140" s="78"/>
      <c r="Q2140" s="77"/>
      <c r="R2140" s="78"/>
      <c r="S2140" s="36" t="e">
        <f>VLOOKUP(Tabla911[[#This Row],[CODIGO DEL PRODUCTO]],Tabla79[],2,FALSE)</f>
        <v>#N/A</v>
      </c>
      <c r="T2140" s="37"/>
      <c r="U2140" s="78"/>
    </row>
    <row r="2141" spans="15:21" x14ac:dyDescent="0.25">
      <c r="O2141" s="76"/>
      <c r="P2141" s="78"/>
      <c r="Q2141" s="77"/>
      <c r="R2141" s="78"/>
      <c r="S2141" s="36" t="e">
        <f>VLOOKUP(Tabla911[[#This Row],[CODIGO DEL PRODUCTO]],Tabla79[],2,FALSE)</f>
        <v>#N/A</v>
      </c>
      <c r="T2141" s="37"/>
      <c r="U2141" s="78"/>
    </row>
    <row r="2142" spans="15:21" x14ac:dyDescent="0.25">
      <c r="O2142" s="76"/>
      <c r="P2142" s="78"/>
      <c r="Q2142" s="77"/>
      <c r="R2142" s="78"/>
      <c r="S2142" s="36" t="e">
        <f>VLOOKUP(Tabla911[[#This Row],[CODIGO DEL PRODUCTO]],Tabla79[],2,FALSE)</f>
        <v>#N/A</v>
      </c>
      <c r="T2142" s="37"/>
      <c r="U2142" s="78"/>
    </row>
    <row r="2143" spans="15:21" x14ac:dyDescent="0.25">
      <c r="O2143" s="76"/>
      <c r="P2143" s="78"/>
      <c r="Q2143" s="77"/>
      <c r="R2143" s="78"/>
      <c r="S2143" s="36" t="e">
        <f>VLOOKUP(Tabla911[[#This Row],[CODIGO DEL PRODUCTO]],Tabla79[],2,FALSE)</f>
        <v>#N/A</v>
      </c>
      <c r="T2143" s="37"/>
      <c r="U2143" s="78"/>
    </row>
    <row r="2144" spans="15:21" x14ac:dyDescent="0.25">
      <c r="O2144" s="76"/>
      <c r="P2144" s="78"/>
      <c r="Q2144" s="77"/>
      <c r="R2144" s="78"/>
      <c r="S2144" s="36" t="e">
        <f>VLOOKUP(Tabla911[[#This Row],[CODIGO DEL PRODUCTO]],Tabla79[],2,FALSE)</f>
        <v>#N/A</v>
      </c>
      <c r="T2144" s="37"/>
      <c r="U2144" s="78"/>
    </row>
    <row r="2145" spans="15:21" x14ac:dyDescent="0.25">
      <c r="O2145" s="76"/>
      <c r="P2145" s="78"/>
      <c r="Q2145" s="77"/>
      <c r="R2145" s="78"/>
      <c r="S2145" s="36" t="e">
        <f>VLOOKUP(Tabla911[[#This Row],[CODIGO DEL PRODUCTO]],Tabla79[],2,FALSE)</f>
        <v>#N/A</v>
      </c>
      <c r="T2145" s="37"/>
      <c r="U2145" s="78"/>
    </row>
    <row r="2146" spans="15:21" x14ac:dyDescent="0.25">
      <c r="O2146" s="76"/>
      <c r="P2146" s="78"/>
      <c r="Q2146" s="77"/>
      <c r="R2146" s="78"/>
      <c r="S2146" s="36" t="e">
        <f>VLOOKUP(Tabla911[[#This Row],[CODIGO DEL PRODUCTO]],Tabla79[],2,FALSE)</f>
        <v>#N/A</v>
      </c>
      <c r="T2146" s="37"/>
      <c r="U2146" s="78"/>
    </row>
    <row r="2147" spans="15:21" x14ac:dyDescent="0.25">
      <c r="O2147" s="76"/>
      <c r="P2147" s="78"/>
      <c r="Q2147" s="77"/>
      <c r="R2147" s="78"/>
      <c r="S2147" s="36" t="e">
        <f>VLOOKUP(Tabla911[[#This Row],[CODIGO DEL PRODUCTO]],Tabla79[],2,FALSE)</f>
        <v>#N/A</v>
      </c>
      <c r="T2147" s="37"/>
      <c r="U2147" s="78"/>
    </row>
    <row r="2148" spans="15:21" x14ac:dyDescent="0.25">
      <c r="O2148" s="76"/>
      <c r="P2148" s="78"/>
      <c r="Q2148" s="77"/>
      <c r="R2148" s="78"/>
      <c r="S2148" s="36" t="e">
        <f>VLOOKUP(Tabla911[[#This Row],[CODIGO DEL PRODUCTO]],Tabla79[],2,FALSE)</f>
        <v>#N/A</v>
      </c>
      <c r="T2148" s="37"/>
      <c r="U2148" s="78"/>
    </row>
    <row r="2149" spans="15:21" x14ac:dyDescent="0.25">
      <c r="O2149" s="76"/>
      <c r="P2149" s="78"/>
      <c r="Q2149" s="77"/>
      <c r="R2149" s="78"/>
      <c r="S2149" s="36" t="e">
        <f>VLOOKUP(Tabla911[[#This Row],[CODIGO DEL PRODUCTO]],Tabla79[],2,FALSE)</f>
        <v>#N/A</v>
      </c>
      <c r="T2149" s="37"/>
      <c r="U2149" s="78"/>
    </row>
    <row r="2150" spans="15:21" x14ac:dyDescent="0.25">
      <c r="O2150" s="76"/>
      <c r="P2150" s="78"/>
      <c r="Q2150" s="77"/>
      <c r="R2150" s="78"/>
      <c r="S2150" s="36" t="e">
        <f>VLOOKUP(Tabla911[[#This Row],[CODIGO DEL PRODUCTO]],Tabla79[],2,FALSE)</f>
        <v>#N/A</v>
      </c>
      <c r="T2150" s="37"/>
      <c r="U2150" s="78"/>
    </row>
    <row r="2151" spans="15:21" x14ac:dyDescent="0.25">
      <c r="O2151" s="76"/>
      <c r="P2151" s="78"/>
      <c r="Q2151" s="77"/>
      <c r="R2151" s="78"/>
      <c r="S2151" s="36" t="e">
        <f>VLOOKUP(Tabla911[[#This Row],[CODIGO DEL PRODUCTO]],Tabla79[],2,FALSE)</f>
        <v>#N/A</v>
      </c>
      <c r="T2151" s="37"/>
      <c r="U2151" s="78"/>
    </row>
    <row r="2152" spans="15:21" x14ac:dyDescent="0.25">
      <c r="O2152" s="76"/>
      <c r="P2152" s="78"/>
      <c r="Q2152" s="77"/>
      <c r="R2152" s="78"/>
      <c r="S2152" s="36" t="e">
        <f>VLOOKUP(Tabla911[[#This Row],[CODIGO DEL PRODUCTO]],Tabla79[],2,FALSE)</f>
        <v>#N/A</v>
      </c>
      <c r="T2152" s="37"/>
      <c r="U2152" s="78"/>
    </row>
    <row r="2153" spans="15:21" x14ac:dyDescent="0.25">
      <c r="O2153" s="76"/>
      <c r="P2153" s="78"/>
      <c r="Q2153" s="77"/>
      <c r="R2153" s="78"/>
      <c r="S2153" s="36" t="e">
        <f>VLOOKUP(Tabla911[[#This Row],[CODIGO DEL PRODUCTO]],Tabla79[],2,FALSE)</f>
        <v>#N/A</v>
      </c>
      <c r="T2153" s="37"/>
      <c r="U2153" s="78"/>
    </row>
    <row r="2154" spans="15:21" x14ac:dyDescent="0.25">
      <c r="O2154" s="76"/>
      <c r="P2154" s="78"/>
      <c r="Q2154" s="77"/>
      <c r="R2154" s="78"/>
      <c r="S2154" s="36" t="e">
        <f>VLOOKUP(Tabla911[[#This Row],[CODIGO DEL PRODUCTO]],Tabla79[],2,FALSE)</f>
        <v>#N/A</v>
      </c>
      <c r="T2154" s="37"/>
      <c r="U2154" s="78"/>
    </row>
    <row r="2155" spans="15:21" x14ac:dyDescent="0.25">
      <c r="O2155" s="76"/>
      <c r="P2155" s="78"/>
      <c r="Q2155" s="77"/>
      <c r="R2155" s="78"/>
      <c r="S2155" s="36" t="e">
        <f>VLOOKUP(Tabla911[[#This Row],[CODIGO DEL PRODUCTO]],Tabla79[],2,FALSE)</f>
        <v>#N/A</v>
      </c>
      <c r="T2155" s="37"/>
      <c r="U2155" s="78"/>
    </row>
    <row r="2156" spans="15:21" x14ac:dyDescent="0.25">
      <c r="O2156" s="76"/>
      <c r="P2156" s="78"/>
      <c r="Q2156" s="77"/>
      <c r="R2156" s="78"/>
      <c r="S2156" s="36" t="e">
        <f>VLOOKUP(Tabla911[[#This Row],[CODIGO DEL PRODUCTO]],Tabla79[],2,FALSE)</f>
        <v>#N/A</v>
      </c>
      <c r="T2156" s="37"/>
      <c r="U2156" s="78"/>
    </row>
    <row r="2157" spans="15:21" x14ac:dyDescent="0.25">
      <c r="O2157" s="76"/>
      <c r="P2157" s="78"/>
      <c r="Q2157" s="77"/>
      <c r="R2157" s="78"/>
      <c r="S2157" s="36" t="e">
        <f>VLOOKUP(Tabla911[[#This Row],[CODIGO DEL PRODUCTO]],Tabla79[],2,FALSE)</f>
        <v>#N/A</v>
      </c>
      <c r="T2157" s="37"/>
      <c r="U2157" s="78"/>
    </row>
    <row r="2158" spans="15:21" x14ac:dyDescent="0.25">
      <c r="O2158" s="76"/>
      <c r="P2158" s="78"/>
      <c r="Q2158" s="77"/>
      <c r="R2158" s="78"/>
      <c r="S2158" s="36" t="e">
        <f>VLOOKUP(Tabla911[[#This Row],[CODIGO DEL PRODUCTO]],Tabla79[],2,FALSE)</f>
        <v>#N/A</v>
      </c>
      <c r="T2158" s="37"/>
      <c r="U2158" s="78"/>
    </row>
    <row r="2159" spans="15:21" x14ac:dyDescent="0.25">
      <c r="O2159" s="76"/>
      <c r="P2159" s="78"/>
      <c r="Q2159" s="77"/>
      <c r="R2159" s="78"/>
      <c r="S2159" s="36" t="e">
        <f>VLOOKUP(Tabla911[[#This Row],[CODIGO DEL PRODUCTO]],Tabla79[],2,FALSE)</f>
        <v>#N/A</v>
      </c>
      <c r="T2159" s="37"/>
      <c r="U2159" s="78"/>
    </row>
    <row r="2160" spans="15:21" x14ac:dyDescent="0.25">
      <c r="O2160" s="76"/>
      <c r="P2160" s="78"/>
      <c r="Q2160" s="77"/>
      <c r="R2160" s="78"/>
      <c r="S2160" s="36" t="e">
        <f>VLOOKUP(Tabla911[[#This Row],[CODIGO DEL PRODUCTO]],Tabla79[],2,FALSE)</f>
        <v>#N/A</v>
      </c>
      <c r="T2160" s="37"/>
      <c r="U2160" s="78"/>
    </row>
    <row r="2161" spans="15:21" x14ac:dyDescent="0.25">
      <c r="O2161" s="76"/>
      <c r="P2161" s="78"/>
      <c r="Q2161" s="77"/>
      <c r="R2161" s="78"/>
      <c r="S2161" s="36" t="e">
        <f>VLOOKUP(Tabla911[[#This Row],[CODIGO DEL PRODUCTO]],Tabla79[],2,FALSE)</f>
        <v>#N/A</v>
      </c>
      <c r="T2161" s="37"/>
      <c r="U2161" s="78"/>
    </row>
    <row r="2162" spans="15:21" x14ac:dyDescent="0.25">
      <c r="O2162" s="76"/>
      <c r="P2162" s="78"/>
      <c r="Q2162" s="77"/>
      <c r="R2162" s="78"/>
      <c r="S2162" s="36" t="e">
        <f>VLOOKUP(Tabla911[[#This Row],[CODIGO DEL PRODUCTO]],Tabla79[],2,FALSE)</f>
        <v>#N/A</v>
      </c>
      <c r="T2162" s="37"/>
      <c r="U2162" s="78"/>
    </row>
    <row r="2163" spans="15:21" x14ac:dyDescent="0.25">
      <c r="O2163" s="76"/>
      <c r="P2163" s="78"/>
      <c r="Q2163" s="77"/>
      <c r="R2163" s="78"/>
      <c r="S2163" s="36" t="e">
        <f>VLOOKUP(Tabla911[[#This Row],[CODIGO DEL PRODUCTO]],Tabla79[],2,FALSE)</f>
        <v>#N/A</v>
      </c>
      <c r="T2163" s="37"/>
      <c r="U2163" s="78"/>
    </row>
    <row r="2164" spans="15:21" x14ac:dyDescent="0.25">
      <c r="O2164" s="76"/>
      <c r="P2164" s="78"/>
      <c r="Q2164" s="77"/>
      <c r="R2164" s="78"/>
      <c r="S2164" s="36" t="e">
        <f>VLOOKUP(Tabla911[[#This Row],[CODIGO DEL PRODUCTO]],Tabla79[],2,FALSE)</f>
        <v>#N/A</v>
      </c>
      <c r="T2164" s="37"/>
      <c r="U2164" s="78"/>
    </row>
    <row r="2165" spans="15:21" x14ac:dyDescent="0.25">
      <c r="O2165" s="76"/>
      <c r="P2165" s="78"/>
      <c r="Q2165" s="77"/>
      <c r="R2165" s="78"/>
      <c r="S2165" s="36" t="e">
        <f>VLOOKUP(Tabla911[[#This Row],[CODIGO DEL PRODUCTO]],Tabla79[],2,FALSE)</f>
        <v>#N/A</v>
      </c>
      <c r="T2165" s="37"/>
      <c r="U2165" s="78"/>
    </row>
    <row r="2166" spans="15:21" x14ac:dyDescent="0.25">
      <c r="O2166" s="76"/>
      <c r="P2166" s="78"/>
      <c r="Q2166" s="77"/>
      <c r="R2166" s="78"/>
      <c r="S2166" s="36" t="e">
        <f>VLOOKUP(Tabla911[[#This Row],[CODIGO DEL PRODUCTO]],Tabla79[],2,FALSE)</f>
        <v>#N/A</v>
      </c>
      <c r="T2166" s="37"/>
      <c r="U2166" s="78"/>
    </row>
    <row r="2167" spans="15:21" x14ac:dyDescent="0.25">
      <c r="O2167" s="76"/>
      <c r="P2167" s="78"/>
      <c r="Q2167" s="77"/>
      <c r="R2167" s="78"/>
      <c r="S2167" s="36" t="e">
        <f>VLOOKUP(Tabla911[[#This Row],[CODIGO DEL PRODUCTO]],Tabla79[],2,FALSE)</f>
        <v>#N/A</v>
      </c>
      <c r="T2167" s="37"/>
      <c r="U2167" s="78"/>
    </row>
    <row r="2168" spans="15:21" x14ac:dyDescent="0.25">
      <c r="O2168" s="76"/>
      <c r="P2168" s="78"/>
      <c r="Q2168" s="77"/>
      <c r="R2168" s="78"/>
      <c r="S2168" s="36" t="e">
        <f>VLOOKUP(Tabla911[[#This Row],[CODIGO DEL PRODUCTO]],Tabla79[],2,FALSE)</f>
        <v>#N/A</v>
      </c>
      <c r="T2168" s="37"/>
      <c r="U2168" s="78"/>
    </row>
    <row r="2169" spans="15:21" x14ac:dyDescent="0.25">
      <c r="O2169" s="76"/>
      <c r="P2169" s="78"/>
      <c r="Q2169" s="77"/>
      <c r="R2169" s="78"/>
      <c r="S2169" s="36" t="e">
        <f>VLOOKUP(Tabla911[[#This Row],[CODIGO DEL PRODUCTO]],Tabla79[],2,FALSE)</f>
        <v>#N/A</v>
      </c>
      <c r="T2169" s="37"/>
      <c r="U2169" s="78"/>
    </row>
    <row r="2170" spans="15:21" x14ac:dyDescent="0.25">
      <c r="O2170" s="76"/>
      <c r="P2170" s="78"/>
      <c r="Q2170" s="77"/>
      <c r="R2170" s="78"/>
      <c r="S2170" s="36" t="e">
        <f>VLOOKUP(Tabla911[[#This Row],[CODIGO DEL PRODUCTO]],Tabla79[],2,FALSE)</f>
        <v>#N/A</v>
      </c>
      <c r="T2170" s="37"/>
      <c r="U2170" s="78"/>
    </row>
    <row r="2171" spans="15:21" x14ac:dyDescent="0.25">
      <c r="O2171" s="76"/>
      <c r="P2171" s="78"/>
      <c r="Q2171" s="77"/>
      <c r="R2171" s="78"/>
      <c r="S2171" s="36" t="e">
        <f>VLOOKUP(Tabla911[[#This Row],[CODIGO DEL PRODUCTO]],Tabla79[],2,FALSE)</f>
        <v>#N/A</v>
      </c>
      <c r="T2171" s="37"/>
      <c r="U2171" s="78"/>
    </row>
    <row r="2172" spans="15:21" x14ac:dyDescent="0.25">
      <c r="O2172" s="76"/>
      <c r="P2172" s="78"/>
      <c r="Q2172" s="77"/>
      <c r="R2172" s="78"/>
      <c r="S2172" s="36" t="e">
        <f>VLOOKUP(Tabla911[[#This Row],[CODIGO DEL PRODUCTO]],Tabla79[],2,FALSE)</f>
        <v>#N/A</v>
      </c>
      <c r="T2172" s="37"/>
      <c r="U2172" s="78"/>
    </row>
    <row r="2173" spans="15:21" x14ac:dyDescent="0.25">
      <c r="O2173" s="76"/>
      <c r="P2173" s="78"/>
      <c r="Q2173" s="77"/>
      <c r="R2173" s="78"/>
      <c r="S2173" s="36" t="e">
        <f>VLOOKUP(Tabla911[[#This Row],[CODIGO DEL PRODUCTO]],Tabla79[],2,FALSE)</f>
        <v>#N/A</v>
      </c>
      <c r="T2173" s="37"/>
      <c r="U2173" s="78"/>
    </row>
    <row r="2174" spans="15:21" x14ac:dyDescent="0.25">
      <c r="O2174" s="76"/>
      <c r="P2174" s="78"/>
      <c r="Q2174" s="77"/>
      <c r="R2174" s="78"/>
      <c r="S2174" s="36" t="e">
        <f>VLOOKUP(Tabla911[[#This Row],[CODIGO DEL PRODUCTO]],Tabla79[],2,FALSE)</f>
        <v>#N/A</v>
      </c>
      <c r="T2174" s="37"/>
      <c r="U2174" s="78"/>
    </row>
    <row r="2175" spans="15:21" x14ac:dyDescent="0.25">
      <c r="O2175" s="76"/>
      <c r="P2175" s="78"/>
      <c r="Q2175" s="77"/>
      <c r="R2175" s="78"/>
      <c r="S2175" s="36" t="e">
        <f>VLOOKUP(Tabla911[[#This Row],[CODIGO DEL PRODUCTO]],Tabla79[],2,FALSE)</f>
        <v>#N/A</v>
      </c>
      <c r="T2175" s="37"/>
      <c r="U2175" s="78"/>
    </row>
    <row r="2176" spans="15:21" x14ac:dyDescent="0.25">
      <c r="O2176" s="76"/>
      <c r="P2176" s="78"/>
      <c r="Q2176" s="77"/>
      <c r="R2176" s="78"/>
      <c r="S2176" s="36" t="e">
        <f>VLOOKUP(Tabla911[[#This Row],[CODIGO DEL PRODUCTO]],Tabla79[],2,FALSE)</f>
        <v>#N/A</v>
      </c>
      <c r="T2176" s="37"/>
      <c r="U2176" s="78"/>
    </row>
    <row r="2177" spans="15:21" x14ac:dyDescent="0.25">
      <c r="O2177" s="76"/>
      <c r="P2177" s="78"/>
      <c r="Q2177" s="77"/>
      <c r="R2177" s="78"/>
      <c r="S2177" s="36" t="e">
        <f>VLOOKUP(Tabla911[[#This Row],[CODIGO DEL PRODUCTO]],Tabla79[],2,FALSE)</f>
        <v>#N/A</v>
      </c>
      <c r="T2177" s="37"/>
      <c r="U2177" s="78"/>
    </row>
    <row r="2178" spans="15:21" x14ac:dyDescent="0.25">
      <c r="O2178" s="76"/>
      <c r="P2178" s="78"/>
      <c r="Q2178" s="77"/>
      <c r="R2178" s="78"/>
      <c r="S2178" s="36" t="e">
        <f>VLOOKUP(Tabla911[[#This Row],[CODIGO DEL PRODUCTO]],Tabla79[],2,FALSE)</f>
        <v>#N/A</v>
      </c>
      <c r="T2178" s="37"/>
      <c r="U2178" s="78"/>
    </row>
    <row r="2179" spans="15:21" x14ac:dyDescent="0.25">
      <c r="O2179" s="76"/>
      <c r="P2179" s="78"/>
      <c r="Q2179" s="77"/>
      <c r="R2179" s="78"/>
      <c r="S2179" s="36" t="e">
        <f>VLOOKUP(Tabla911[[#This Row],[CODIGO DEL PRODUCTO]],Tabla79[],2,FALSE)</f>
        <v>#N/A</v>
      </c>
      <c r="T2179" s="37"/>
      <c r="U2179" s="78"/>
    </row>
    <row r="2180" spans="15:21" x14ac:dyDescent="0.25">
      <c r="O2180" s="76"/>
      <c r="P2180" s="78"/>
      <c r="Q2180" s="77"/>
      <c r="R2180" s="78"/>
      <c r="S2180" s="36" t="e">
        <f>VLOOKUP(Tabla911[[#This Row],[CODIGO DEL PRODUCTO]],Tabla79[],2,FALSE)</f>
        <v>#N/A</v>
      </c>
      <c r="T2180" s="37"/>
      <c r="U2180" s="78"/>
    </row>
    <row r="2181" spans="15:21" x14ac:dyDescent="0.25">
      <c r="O2181" s="76"/>
      <c r="P2181" s="78"/>
      <c r="Q2181" s="77"/>
      <c r="R2181" s="78"/>
      <c r="S2181" s="36" t="e">
        <f>VLOOKUP(Tabla911[[#This Row],[CODIGO DEL PRODUCTO]],Tabla79[],2,FALSE)</f>
        <v>#N/A</v>
      </c>
      <c r="T2181" s="37"/>
      <c r="U2181" s="78"/>
    </row>
    <row r="2182" spans="15:21" x14ac:dyDescent="0.25">
      <c r="O2182" s="76"/>
      <c r="P2182" s="78"/>
      <c r="Q2182" s="77"/>
      <c r="R2182" s="78"/>
      <c r="S2182" s="36" t="e">
        <f>VLOOKUP(Tabla911[[#This Row],[CODIGO DEL PRODUCTO]],Tabla79[],2,FALSE)</f>
        <v>#N/A</v>
      </c>
      <c r="T2182" s="37"/>
      <c r="U2182" s="78"/>
    </row>
    <row r="2183" spans="15:21" x14ac:dyDescent="0.25">
      <c r="O2183" s="76"/>
      <c r="P2183" s="78"/>
      <c r="Q2183" s="77"/>
      <c r="R2183" s="78"/>
      <c r="S2183" s="36" t="e">
        <f>VLOOKUP(Tabla911[[#This Row],[CODIGO DEL PRODUCTO]],Tabla79[],2,FALSE)</f>
        <v>#N/A</v>
      </c>
      <c r="T2183" s="37"/>
      <c r="U2183" s="78"/>
    </row>
    <row r="2184" spans="15:21" x14ac:dyDescent="0.25">
      <c r="O2184" s="76"/>
      <c r="P2184" s="78"/>
      <c r="Q2184" s="77"/>
      <c r="R2184" s="78"/>
      <c r="S2184" s="36" t="e">
        <f>VLOOKUP(Tabla911[[#This Row],[CODIGO DEL PRODUCTO]],Tabla79[],2,FALSE)</f>
        <v>#N/A</v>
      </c>
      <c r="T2184" s="37"/>
      <c r="U2184" s="78"/>
    </row>
    <row r="2185" spans="15:21" x14ac:dyDescent="0.25">
      <c r="O2185" s="76"/>
      <c r="P2185" s="78"/>
      <c r="Q2185" s="77"/>
      <c r="R2185" s="78"/>
      <c r="S2185" s="36" t="e">
        <f>VLOOKUP(Tabla911[[#This Row],[CODIGO DEL PRODUCTO]],Tabla79[],2,FALSE)</f>
        <v>#N/A</v>
      </c>
      <c r="T2185" s="37"/>
      <c r="U2185" s="78"/>
    </row>
    <row r="2186" spans="15:21" x14ac:dyDescent="0.25">
      <c r="O2186" s="76"/>
      <c r="P2186" s="78"/>
      <c r="Q2186" s="77"/>
      <c r="R2186" s="78"/>
      <c r="S2186" s="36" t="e">
        <f>VLOOKUP(Tabla911[[#This Row],[CODIGO DEL PRODUCTO]],Tabla79[],2,FALSE)</f>
        <v>#N/A</v>
      </c>
      <c r="T2186" s="37"/>
      <c r="U2186" s="78"/>
    </row>
    <row r="2187" spans="15:21" x14ac:dyDescent="0.25">
      <c r="O2187" s="76"/>
      <c r="P2187" s="78"/>
      <c r="Q2187" s="77"/>
      <c r="R2187" s="78"/>
      <c r="S2187" s="36" t="e">
        <f>VLOOKUP(Tabla911[[#This Row],[CODIGO DEL PRODUCTO]],Tabla79[],2,FALSE)</f>
        <v>#N/A</v>
      </c>
      <c r="T2187" s="37"/>
      <c r="U2187" s="78"/>
    </row>
    <row r="2188" spans="15:21" x14ac:dyDescent="0.25">
      <c r="O2188" s="76"/>
      <c r="P2188" s="78"/>
      <c r="Q2188" s="77"/>
      <c r="R2188" s="78"/>
      <c r="S2188" s="36" t="e">
        <f>VLOOKUP(Tabla911[[#This Row],[CODIGO DEL PRODUCTO]],Tabla79[],2,FALSE)</f>
        <v>#N/A</v>
      </c>
      <c r="T2188" s="37"/>
      <c r="U2188" s="78"/>
    </row>
    <row r="2189" spans="15:21" x14ac:dyDescent="0.25">
      <c r="O2189" s="76"/>
      <c r="P2189" s="78"/>
      <c r="Q2189" s="77"/>
      <c r="R2189" s="78"/>
      <c r="S2189" s="36" t="e">
        <f>VLOOKUP(Tabla911[[#This Row],[CODIGO DEL PRODUCTO]],Tabla79[],2,FALSE)</f>
        <v>#N/A</v>
      </c>
      <c r="T2189" s="37"/>
      <c r="U2189" s="78"/>
    </row>
    <row r="2190" spans="15:21" x14ac:dyDescent="0.25">
      <c r="O2190" s="76"/>
      <c r="P2190" s="78"/>
      <c r="Q2190" s="77"/>
      <c r="R2190" s="78"/>
      <c r="S2190" s="36" t="e">
        <f>VLOOKUP(Tabla911[[#This Row],[CODIGO DEL PRODUCTO]],Tabla79[],2,FALSE)</f>
        <v>#N/A</v>
      </c>
      <c r="T2190" s="37"/>
      <c r="U2190" s="78"/>
    </row>
    <row r="2191" spans="15:21" x14ac:dyDescent="0.25">
      <c r="O2191" s="76"/>
      <c r="P2191" s="78"/>
      <c r="Q2191" s="77"/>
      <c r="R2191" s="78"/>
      <c r="S2191" s="36" t="e">
        <f>VLOOKUP(Tabla911[[#This Row],[CODIGO DEL PRODUCTO]],Tabla79[],2,FALSE)</f>
        <v>#N/A</v>
      </c>
      <c r="T2191" s="37"/>
      <c r="U2191" s="78"/>
    </row>
    <row r="2192" spans="15:21" x14ac:dyDescent="0.25">
      <c r="O2192" s="76"/>
      <c r="P2192" s="78"/>
      <c r="Q2192" s="77"/>
      <c r="R2192" s="78"/>
      <c r="S2192" s="36" t="e">
        <f>VLOOKUP(Tabla911[[#This Row],[CODIGO DEL PRODUCTO]],Tabla79[],2,FALSE)</f>
        <v>#N/A</v>
      </c>
      <c r="T2192" s="37"/>
      <c r="U2192" s="78"/>
    </row>
    <row r="2193" spans="15:21" x14ac:dyDescent="0.25">
      <c r="O2193" s="76"/>
      <c r="P2193" s="78"/>
      <c r="Q2193" s="77"/>
      <c r="R2193" s="78"/>
      <c r="S2193" s="36" t="e">
        <f>VLOOKUP(Tabla911[[#This Row],[CODIGO DEL PRODUCTO]],Tabla79[],2,FALSE)</f>
        <v>#N/A</v>
      </c>
      <c r="T2193" s="37"/>
      <c r="U2193" s="78"/>
    </row>
    <row r="2194" spans="15:21" x14ac:dyDescent="0.25">
      <c r="O2194" s="76"/>
      <c r="P2194" s="78"/>
      <c r="Q2194" s="77"/>
      <c r="R2194" s="78"/>
      <c r="S2194" s="36" t="e">
        <f>VLOOKUP(Tabla911[[#This Row],[CODIGO DEL PRODUCTO]],Tabla79[],2,FALSE)</f>
        <v>#N/A</v>
      </c>
      <c r="T2194" s="37"/>
      <c r="U2194" s="78"/>
    </row>
    <row r="2195" spans="15:21" x14ac:dyDescent="0.25">
      <c r="O2195" s="76"/>
      <c r="P2195" s="78"/>
      <c r="Q2195" s="77"/>
      <c r="R2195" s="78"/>
      <c r="S2195" s="36" t="e">
        <f>VLOOKUP(Tabla911[[#This Row],[CODIGO DEL PRODUCTO]],Tabla79[],2,FALSE)</f>
        <v>#N/A</v>
      </c>
      <c r="T2195" s="37"/>
      <c r="U2195" s="78"/>
    </row>
    <row r="2196" spans="15:21" x14ac:dyDescent="0.25">
      <c r="O2196" s="76"/>
      <c r="P2196" s="78"/>
      <c r="Q2196" s="77"/>
      <c r="R2196" s="78"/>
      <c r="S2196" s="36" t="e">
        <f>VLOOKUP(Tabla911[[#This Row],[CODIGO DEL PRODUCTO]],Tabla79[],2,FALSE)</f>
        <v>#N/A</v>
      </c>
      <c r="T2196" s="37"/>
      <c r="U2196" s="78"/>
    </row>
    <row r="2197" spans="15:21" x14ac:dyDescent="0.25">
      <c r="O2197" s="76"/>
      <c r="P2197" s="78"/>
      <c r="Q2197" s="77"/>
      <c r="R2197" s="78"/>
      <c r="S2197" s="36" t="e">
        <f>VLOOKUP(Tabla911[[#This Row],[CODIGO DEL PRODUCTO]],Tabla79[],2,FALSE)</f>
        <v>#N/A</v>
      </c>
      <c r="T2197" s="37"/>
      <c r="U2197" s="78"/>
    </row>
    <row r="2198" spans="15:21" x14ac:dyDescent="0.25">
      <c r="O2198" s="76"/>
      <c r="P2198" s="78"/>
      <c r="Q2198" s="77"/>
      <c r="R2198" s="78"/>
      <c r="S2198" s="36" t="e">
        <f>VLOOKUP(Tabla911[[#This Row],[CODIGO DEL PRODUCTO]],Tabla79[],2,FALSE)</f>
        <v>#N/A</v>
      </c>
      <c r="T2198" s="37"/>
      <c r="U2198" s="78"/>
    </row>
    <row r="2199" spans="15:21" x14ac:dyDescent="0.25">
      <c r="O2199" s="76"/>
      <c r="P2199" s="78"/>
      <c r="Q2199" s="77"/>
      <c r="R2199" s="78"/>
      <c r="S2199" s="36" t="e">
        <f>VLOOKUP(Tabla911[[#This Row],[CODIGO DEL PRODUCTO]],Tabla79[],2,FALSE)</f>
        <v>#N/A</v>
      </c>
      <c r="T2199" s="37"/>
      <c r="U2199" s="78"/>
    </row>
    <row r="2200" spans="15:21" x14ac:dyDescent="0.25">
      <c r="O2200" s="76"/>
      <c r="P2200" s="78"/>
      <c r="Q2200" s="77"/>
      <c r="R2200" s="78"/>
      <c r="S2200" s="36" t="e">
        <f>VLOOKUP(Tabla911[[#This Row],[CODIGO DEL PRODUCTO]],Tabla79[],2,FALSE)</f>
        <v>#N/A</v>
      </c>
      <c r="T2200" s="37"/>
      <c r="U2200" s="78"/>
    </row>
    <row r="2201" spans="15:21" x14ac:dyDescent="0.25">
      <c r="O2201" s="76"/>
      <c r="P2201" s="78"/>
      <c r="Q2201" s="77"/>
      <c r="R2201" s="78"/>
      <c r="S2201" s="36" t="e">
        <f>VLOOKUP(Tabla911[[#This Row],[CODIGO DEL PRODUCTO]],Tabla79[],2,FALSE)</f>
        <v>#N/A</v>
      </c>
      <c r="T2201" s="37"/>
      <c r="U2201" s="78"/>
    </row>
    <row r="2202" spans="15:21" x14ac:dyDescent="0.25">
      <c r="O2202" s="76"/>
      <c r="P2202" s="78"/>
      <c r="Q2202" s="77"/>
      <c r="R2202" s="78"/>
      <c r="S2202" s="36" t="e">
        <f>VLOOKUP(Tabla911[[#This Row],[CODIGO DEL PRODUCTO]],Tabla79[],2,FALSE)</f>
        <v>#N/A</v>
      </c>
      <c r="T2202" s="37"/>
      <c r="U2202" s="78"/>
    </row>
    <row r="2203" spans="15:21" x14ac:dyDescent="0.25">
      <c r="O2203" s="76"/>
      <c r="P2203" s="78"/>
      <c r="Q2203" s="77"/>
      <c r="R2203" s="78"/>
      <c r="S2203" s="36" t="e">
        <f>VLOOKUP(Tabla911[[#This Row],[CODIGO DEL PRODUCTO]],Tabla79[],2,FALSE)</f>
        <v>#N/A</v>
      </c>
      <c r="T2203" s="37"/>
      <c r="U2203" s="78"/>
    </row>
    <row r="2204" spans="15:21" x14ac:dyDescent="0.25">
      <c r="O2204" s="76"/>
      <c r="P2204" s="78"/>
      <c r="Q2204" s="77"/>
      <c r="R2204" s="78"/>
      <c r="S2204" s="36" t="e">
        <f>VLOOKUP(Tabla911[[#This Row],[CODIGO DEL PRODUCTO]],Tabla79[],2,FALSE)</f>
        <v>#N/A</v>
      </c>
      <c r="T2204" s="37"/>
      <c r="U2204" s="78"/>
    </row>
    <row r="2205" spans="15:21" x14ac:dyDescent="0.25">
      <c r="O2205" s="76"/>
      <c r="P2205" s="78"/>
      <c r="Q2205" s="77"/>
      <c r="R2205" s="78"/>
      <c r="S2205" s="36" t="e">
        <f>VLOOKUP(Tabla911[[#This Row],[CODIGO DEL PRODUCTO]],Tabla79[],2,FALSE)</f>
        <v>#N/A</v>
      </c>
      <c r="T2205" s="37"/>
      <c r="U2205" s="78"/>
    </row>
    <row r="2206" spans="15:21" x14ac:dyDescent="0.25">
      <c r="O2206" s="76"/>
      <c r="P2206" s="78"/>
      <c r="Q2206" s="77"/>
      <c r="R2206" s="78"/>
      <c r="S2206" s="36" t="e">
        <f>VLOOKUP(Tabla911[[#This Row],[CODIGO DEL PRODUCTO]],Tabla79[],2,FALSE)</f>
        <v>#N/A</v>
      </c>
      <c r="T2206" s="37"/>
      <c r="U2206" s="78"/>
    </row>
    <row r="2207" spans="15:21" x14ac:dyDescent="0.25">
      <c r="O2207" s="76"/>
      <c r="P2207" s="78"/>
      <c r="Q2207" s="77"/>
      <c r="R2207" s="78"/>
      <c r="S2207" s="36" t="e">
        <f>VLOOKUP(Tabla911[[#This Row],[CODIGO DEL PRODUCTO]],Tabla79[],2,FALSE)</f>
        <v>#N/A</v>
      </c>
      <c r="T2207" s="37"/>
      <c r="U2207" s="78"/>
    </row>
    <row r="2208" spans="15:21" x14ac:dyDescent="0.25">
      <c r="O2208" s="76"/>
      <c r="P2208" s="78"/>
      <c r="Q2208" s="77"/>
      <c r="R2208" s="78"/>
      <c r="S2208" s="36" t="e">
        <f>VLOOKUP(Tabla911[[#This Row],[CODIGO DEL PRODUCTO]],Tabla79[],2,FALSE)</f>
        <v>#N/A</v>
      </c>
      <c r="T2208" s="37"/>
      <c r="U2208" s="78"/>
    </row>
    <row r="2209" spans="15:21" x14ac:dyDescent="0.25">
      <c r="O2209" s="76"/>
      <c r="P2209" s="78"/>
      <c r="Q2209" s="77"/>
      <c r="R2209" s="78"/>
      <c r="S2209" s="36" t="e">
        <f>VLOOKUP(Tabla911[[#This Row],[CODIGO DEL PRODUCTO]],Tabla79[],2,FALSE)</f>
        <v>#N/A</v>
      </c>
      <c r="T2209" s="37"/>
      <c r="U2209" s="78"/>
    </row>
    <row r="2210" spans="15:21" x14ac:dyDescent="0.25">
      <c r="O2210" s="76"/>
      <c r="P2210" s="78"/>
      <c r="Q2210" s="77"/>
      <c r="R2210" s="78"/>
      <c r="S2210" s="36" t="e">
        <f>VLOOKUP(Tabla911[[#This Row],[CODIGO DEL PRODUCTO]],Tabla79[],2,FALSE)</f>
        <v>#N/A</v>
      </c>
      <c r="T2210" s="37"/>
      <c r="U2210" s="78"/>
    </row>
    <row r="2211" spans="15:21" x14ac:dyDescent="0.25">
      <c r="O2211" s="76"/>
      <c r="P2211" s="78"/>
      <c r="Q2211" s="77"/>
      <c r="R2211" s="78"/>
      <c r="S2211" s="36" t="e">
        <f>VLOOKUP(Tabla911[[#This Row],[CODIGO DEL PRODUCTO]],Tabla79[],2,FALSE)</f>
        <v>#N/A</v>
      </c>
      <c r="T2211" s="37"/>
      <c r="U2211" s="78"/>
    </row>
    <row r="2212" spans="15:21" x14ac:dyDescent="0.25">
      <c r="O2212" s="76"/>
      <c r="P2212" s="78"/>
      <c r="Q2212" s="77"/>
      <c r="R2212" s="78"/>
      <c r="S2212" s="36" t="e">
        <f>VLOOKUP(Tabla911[[#This Row],[CODIGO DEL PRODUCTO]],Tabla79[],2,FALSE)</f>
        <v>#N/A</v>
      </c>
      <c r="T2212" s="37"/>
      <c r="U2212" s="78"/>
    </row>
    <row r="2213" spans="15:21" x14ac:dyDescent="0.25">
      <c r="O2213" s="76"/>
      <c r="P2213" s="78"/>
      <c r="Q2213" s="77"/>
      <c r="R2213" s="78"/>
      <c r="S2213" s="36" t="e">
        <f>VLOOKUP(Tabla911[[#This Row],[CODIGO DEL PRODUCTO]],Tabla79[],2,FALSE)</f>
        <v>#N/A</v>
      </c>
      <c r="T2213" s="37"/>
      <c r="U2213" s="78"/>
    </row>
    <row r="2214" spans="15:21" x14ac:dyDescent="0.25">
      <c r="O2214" s="76"/>
      <c r="P2214" s="78"/>
      <c r="Q2214" s="77"/>
      <c r="R2214" s="78"/>
      <c r="S2214" s="36" t="e">
        <f>VLOOKUP(Tabla911[[#This Row],[CODIGO DEL PRODUCTO]],Tabla79[],2,FALSE)</f>
        <v>#N/A</v>
      </c>
      <c r="T2214" s="37"/>
      <c r="U2214" s="78"/>
    </row>
    <row r="2215" spans="15:21" x14ac:dyDescent="0.25">
      <c r="O2215" s="76"/>
      <c r="P2215" s="78"/>
      <c r="Q2215" s="77"/>
      <c r="R2215" s="78"/>
      <c r="S2215" s="36" t="e">
        <f>VLOOKUP(Tabla911[[#This Row],[CODIGO DEL PRODUCTO]],Tabla79[],2,FALSE)</f>
        <v>#N/A</v>
      </c>
      <c r="T2215" s="37"/>
      <c r="U2215" s="78"/>
    </row>
    <row r="2216" spans="15:21" x14ac:dyDescent="0.25">
      <c r="O2216" s="76"/>
      <c r="P2216" s="78"/>
      <c r="Q2216" s="77"/>
      <c r="R2216" s="78"/>
      <c r="S2216" s="36" t="e">
        <f>VLOOKUP(Tabla911[[#This Row],[CODIGO DEL PRODUCTO]],Tabla79[],2,FALSE)</f>
        <v>#N/A</v>
      </c>
      <c r="T2216" s="37"/>
      <c r="U2216" s="78"/>
    </row>
    <row r="2217" spans="15:21" x14ac:dyDescent="0.25">
      <c r="O2217" s="76"/>
      <c r="P2217" s="78"/>
      <c r="Q2217" s="77"/>
      <c r="R2217" s="78"/>
      <c r="S2217" s="36" t="e">
        <f>VLOOKUP(Tabla911[[#This Row],[CODIGO DEL PRODUCTO]],Tabla79[],2,FALSE)</f>
        <v>#N/A</v>
      </c>
      <c r="T2217" s="37"/>
      <c r="U2217" s="78"/>
    </row>
    <row r="2218" spans="15:21" x14ac:dyDescent="0.25">
      <c r="O2218" s="76"/>
      <c r="P2218" s="78"/>
      <c r="Q2218" s="77"/>
      <c r="R2218" s="78"/>
      <c r="S2218" s="36" t="e">
        <f>VLOOKUP(Tabla911[[#This Row],[CODIGO DEL PRODUCTO]],Tabla79[],2,FALSE)</f>
        <v>#N/A</v>
      </c>
      <c r="T2218" s="37"/>
      <c r="U2218" s="78"/>
    </row>
    <row r="2219" spans="15:21" x14ac:dyDescent="0.25">
      <c r="O2219" s="76"/>
      <c r="P2219" s="78"/>
      <c r="Q2219" s="77"/>
      <c r="R2219" s="78"/>
      <c r="S2219" s="36" t="e">
        <f>VLOOKUP(Tabla911[[#This Row],[CODIGO DEL PRODUCTO]],Tabla79[],2,FALSE)</f>
        <v>#N/A</v>
      </c>
      <c r="T2219" s="37"/>
      <c r="U2219" s="78"/>
    </row>
    <row r="2220" spans="15:21" x14ac:dyDescent="0.25">
      <c r="O2220" s="76"/>
      <c r="P2220" s="78"/>
      <c r="Q2220" s="77"/>
      <c r="R2220" s="78"/>
      <c r="S2220" s="36" t="e">
        <f>VLOOKUP(Tabla911[[#This Row],[CODIGO DEL PRODUCTO]],Tabla79[],2,FALSE)</f>
        <v>#N/A</v>
      </c>
      <c r="T2220" s="37"/>
      <c r="U2220" s="78"/>
    </row>
    <row r="2221" spans="15:21" x14ac:dyDescent="0.25">
      <c r="O2221" s="76"/>
      <c r="P2221" s="78"/>
      <c r="Q2221" s="77"/>
      <c r="R2221" s="78"/>
      <c r="S2221" s="36" t="e">
        <f>VLOOKUP(Tabla911[[#This Row],[CODIGO DEL PRODUCTO]],Tabla79[],2,FALSE)</f>
        <v>#N/A</v>
      </c>
      <c r="T2221" s="37"/>
      <c r="U2221" s="78"/>
    </row>
    <row r="2222" spans="15:21" x14ac:dyDescent="0.25">
      <c r="O2222" s="76"/>
      <c r="P2222" s="78"/>
      <c r="Q2222" s="77"/>
      <c r="R2222" s="78"/>
      <c r="S2222" s="36" t="e">
        <f>VLOOKUP(Tabla911[[#This Row],[CODIGO DEL PRODUCTO]],Tabla79[],2,FALSE)</f>
        <v>#N/A</v>
      </c>
      <c r="T2222" s="37"/>
      <c r="U2222" s="78"/>
    </row>
    <row r="2223" spans="15:21" x14ac:dyDescent="0.25">
      <c r="O2223" s="76"/>
      <c r="P2223" s="78"/>
      <c r="Q2223" s="77"/>
      <c r="R2223" s="78"/>
      <c r="S2223" s="36" t="e">
        <f>VLOOKUP(Tabla911[[#This Row],[CODIGO DEL PRODUCTO]],Tabla79[],2,FALSE)</f>
        <v>#N/A</v>
      </c>
      <c r="T2223" s="37"/>
      <c r="U2223" s="78"/>
    </row>
    <row r="2224" spans="15:21" x14ac:dyDescent="0.25">
      <c r="O2224" s="76"/>
      <c r="P2224" s="78"/>
      <c r="Q2224" s="77"/>
      <c r="R2224" s="78"/>
      <c r="S2224" s="36" t="e">
        <f>VLOOKUP(Tabla911[[#This Row],[CODIGO DEL PRODUCTO]],Tabla79[],2,FALSE)</f>
        <v>#N/A</v>
      </c>
      <c r="T2224" s="37"/>
      <c r="U2224" s="78"/>
    </row>
    <row r="2225" spans="15:21" x14ac:dyDescent="0.25">
      <c r="O2225" s="76"/>
      <c r="P2225" s="78"/>
      <c r="Q2225" s="77"/>
      <c r="R2225" s="78"/>
      <c r="S2225" s="36" t="e">
        <f>VLOOKUP(Tabla911[[#This Row],[CODIGO DEL PRODUCTO]],Tabla79[],2,FALSE)</f>
        <v>#N/A</v>
      </c>
      <c r="T2225" s="37"/>
      <c r="U2225" s="78"/>
    </row>
    <row r="2226" spans="15:21" x14ac:dyDescent="0.25">
      <c r="O2226" s="76"/>
      <c r="P2226" s="78"/>
      <c r="Q2226" s="77"/>
      <c r="R2226" s="78"/>
      <c r="S2226" s="36" t="e">
        <f>VLOOKUP(Tabla911[[#This Row],[CODIGO DEL PRODUCTO]],Tabla79[],2,FALSE)</f>
        <v>#N/A</v>
      </c>
      <c r="T2226" s="37"/>
      <c r="U2226" s="78"/>
    </row>
    <row r="2227" spans="15:21" x14ac:dyDescent="0.25">
      <c r="O2227" s="76"/>
      <c r="P2227" s="78"/>
      <c r="Q2227" s="77"/>
      <c r="R2227" s="78"/>
      <c r="S2227" s="36" t="e">
        <f>VLOOKUP(Tabla911[[#This Row],[CODIGO DEL PRODUCTO]],Tabla79[],2,FALSE)</f>
        <v>#N/A</v>
      </c>
      <c r="T2227" s="37"/>
      <c r="U2227" s="78"/>
    </row>
    <row r="2228" spans="15:21" x14ac:dyDescent="0.25">
      <c r="O2228" s="76"/>
      <c r="P2228" s="78"/>
      <c r="Q2228" s="77"/>
      <c r="R2228" s="78"/>
      <c r="S2228" s="36" t="e">
        <f>VLOOKUP(Tabla911[[#This Row],[CODIGO DEL PRODUCTO]],Tabla79[],2,FALSE)</f>
        <v>#N/A</v>
      </c>
      <c r="T2228" s="37"/>
      <c r="U2228" s="78"/>
    </row>
    <row r="2229" spans="15:21" x14ac:dyDescent="0.25">
      <c r="O2229" s="76"/>
      <c r="P2229" s="78"/>
      <c r="Q2229" s="77"/>
      <c r="R2229" s="78"/>
      <c r="S2229" s="36" t="e">
        <f>VLOOKUP(Tabla911[[#This Row],[CODIGO DEL PRODUCTO]],Tabla79[],2,FALSE)</f>
        <v>#N/A</v>
      </c>
      <c r="T2229" s="37"/>
      <c r="U2229" s="78"/>
    </row>
    <row r="2230" spans="15:21" x14ac:dyDescent="0.25">
      <c r="O2230" s="76"/>
      <c r="P2230" s="78"/>
      <c r="Q2230" s="77"/>
      <c r="R2230" s="78"/>
      <c r="S2230" s="36" t="e">
        <f>VLOOKUP(Tabla911[[#This Row],[CODIGO DEL PRODUCTO]],Tabla79[],2,FALSE)</f>
        <v>#N/A</v>
      </c>
      <c r="T2230" s="37"/>
      <c r="U2230" s="78"/>
    </row>
    <row r="2231" spans="15:21" x14ac:dyDescent="0.25">
      <c r="O2231" s="76"/>
      <c r="P2231" s="78"/>
      <c r="Q2231" s="77"/>
      <c r="R2231" s="78"/>
      <c r="S2231" s="36" t="e">
        <f>VLOOKUP(Tabla911[[#This Row],[CODIGO DEL PRODUCTO]],Tabla79[],2,FALSE)</f>
        <v>#N/A</v>
      </c>
      <c r="T2231" s="37"/>
      <c r="U2231" s="78"/>
    </row>
    <row r="2232" spans="15:21" x14ac:dyDescent="0.25">
      <c r="O2232" s="76"/>
      <c r="P2232" s="78"/>
      <c r="Q2232" s="77"/>
      <c r="R2232" s="78"/>
      <c r="S2232" s="36" t="e">
        <f>VLOOKUP(Tabla911[[#This Row],[CODIGO DEL PRODUCTO]],Tabla79[],2,FALSE)</f>
        <v>#N/A</v>
      </c>
      <c r="T2232" s="37"/>
      <c r="U2232" s="78"/>
    </row>
    <row r="2233" spans="15:21" x14ac:dyDescent="0.25">
      <c r="O2233" s="76"/>
      <c r="P2233" s="78"/>
      <c r="Q2233" s="77"/>
      <c r="R2233" s="78"/>
      <c r="S2233" s="36" t="e">
        <f>VLOOKUP(Tabla911[[#This Row],[CODIGO DEL PRODUCTO]],Tabla79[],2,FALSE)</f>
        <v>#N/A</v>
      </c>
      <c r="T2233" s="37"/>
      <c r="U2233" s="78"/>
    </row>
    <row r="2234" spans="15:21" x14ac:dyDescent="0.25">
      <c r="O2234" s="76"/>
      <c r="P2234" s="78"/>
      <c r="Q2234" s="77"/>
      <c r="R2234" s="78"/>
      <c r="S2234" s="36" t="e">
        <f>VLOOKUP(Tabla911[[#This Row],[CODIGO DEL PRODUCTO]],Tabla79[],2,FALSE)</f>
        <v>#N/A</v>
      </c>
      <c r="T2234" s="37"/>
      <c r="U2234" s="78"/>
    </row>
    <row r="2235" spans="15:21" x14ac:dyDescent="0.25">
      <c r="O2235" s="76"/>
      <c r="P2235" s="78"/>
      <c r="Q2235" s="77"/>
      <c r="R2235" s="78"/>
      <c r="S2235" s="36" t="e">
        <f>VLOOKUP(Tabla911[[#This Row],[CODIGO DEL PRODUCTO]],Tabla79[],2,FALSE)</f>
        <v>#N/A</v>
      </c>
      <c r="T2235" s="37"/>
      <c r="U2235" s="78"/>
    </row>
    <row r="2236" spans="15:21" x14ac:dyDescent="0.25">
      <c r="O2236" s="76"/>
      <c r="P2236" s="78"/>
      <c r="Q2236" s="77"/>
      <c r="R2236" s="78"/>
      <c r="S2236" s="36" t="e">
        <f>VLOOKUP(Tabla911[[#This Row],[CODIGO DEL PRODUCTO]],Tabla79[],2,FALSE)</f>
        <v>#N/A</v>
      </c>
      <c r="T2236" s="37"/>
      <c r="U2236" s="78"/>
    </row>
    <row r="2237" spans="15:21" x14ac:dyDescent="0.25">
      <c r="O2237" s="76"/>
      <c r="P2237" s="78"/>
      <c r="Q2237" s="77"/>
      <c r="R2237" s="78"/>
      <c r="S2237" s="36" t="e">
        <f>VLOOKUP(Tabla911[[#This Row],[CODIGO DEL PRODUCTO]],Tabla79[],2,FALSE)</f>
        <v>#N/A</v>
      </c>
      <c r="T2237" s="37"/>
      <c r="U2237" s="78"/>
    </row>
    <row r="2238" spans="15:21" x14ac:dyDescent="0.25">
      <c r="O2238" s="76"/>
      <c r="P2238" s="78"/>
      <c r="Q2238" s="77"/>
      <c r="R2238" s="78"/>
      <c r="S2238" s="36" t="e">
        <f>VLOOKUP(Tabla911[[#This Row],[CODIGO DEL PRODUCTO]],Tabla79[],2,FALSE)</f>
        <v>#N/A</v>
      </c>
      <c r="T2238" s="37"/>
      <c r="U2238" s="78"/>
    </row>
    <row r="2239" spans="15:21" x14ac:dyDescent="0.25">
      <c r="O2239" s="76"/>
      <c r="P2239" s="78"/>
      <c r="Q2239" s="77"/>
      <c r="R2239" s="78"/>
      <c r="S2239" s="36" t="e">
        <f>VLOOKUP(Tabla911[[#This Row],[CODIGO DEL PRODUCTO]],Tabla79[],2,FALSE)</f>
        <v>#N/A</v>
      </c>
      <c r="T2239" s="37"/>
      <c r="U2239" s="78"/>
    </row>
    <row r="2240" spans="15:21" x14ac:dyDescent="0.25">
      <c r="O2240" s="76"/>
      <c r="P2240" s="78"/>
      <c r="Q2240" s="77"/>
      <c r="R2240" s="78"/>
      <c r="S2240" s="36" t="e">
        <f>VLOOKUP(Tabla911[[#This Row],[CODIGO DEL PRODUCTO]],Tabla79[],2,FALSE)</f>
        <v>#N/A</v>
      </c>
      <c r="T2240" s="37"/>
      <c r="U2240" s="78"/>
    </row>
    <row r="2241" spans="15:21" x14ac:dyDescent="0.25">
      <c r="O2241" s="76"/>
      <c r="P2241" s="78"/>
      <c r="Q2241" s="77"/>
      <c r="R2241" s="78"/>
      <c r="S2241" s="36" t="e">
        <f>VLOOKUP(Tabla911[[#This Row],[CODIGO DEL PRODUCTO]],Tabla79[],2,FALSE)</f>
        <v>#N/A</v>
      </c>
      <c r="T2241" s="37"/>
      <c r="U2241" s="78"/>
    </row>
    <row r="2242" spans="15:21" x14ac:dyDescent="0.25">
      <c r="O2242" s="76"/>
      <c r="P2242" s="78"/>
      <c r="Q2242" s="77"/>
      <c r="R2242" s="78"/>
      <c r="S2242" s="36" t="e">
        <f>VLOOKUP(Tabla911[[#This Row],[CODIGO DEL PRODUCTO]],Tabla79[],2,FALSE)</f>
        <v>#N/A</v>
      </c>
      <c r="T2242" s="37"/>
      <c r="U2242" s="78"/>
    </row>
    <row r="2243" spans="15:21" x14ac:dyDescent="0.25">
      <c r="O2243" s="76"/>
      <c r="P2243" s="78"/>
      <c r="Q2243" s="77"/>
      <c r="R2243" s="78"/>
      <c r="S2243" s="36" t="e">
        <f>VLOOKUP(Tabla911[[#This Row],[CODIGO DEL PRODUCTO]],Tabla79[],2,FALSE)</f>
        <v>#N/A</v>
      </c>
      <c r="T2243" s="37"/>
      <c r="U2243" s="78"/>
    </row>
    <row r="2244" spans="15:21" x14ac:dyDescent="0.25">
      <c r="O2244" s="76"/>
      <c r="P2244" s="78"/>
      <c r="Q2244" s="77"/>
      <c r="R2244" s="78"/>
      <c r="S2244" s="36" t="e">
        <f>VLOOKUP(Tabla911[[#This Row],[CODIGO DEL PRODUCTO]],Tabla79[],2,FALSE)</f>
        <v>#N/A</v>
      </c>
      <c r="T2244" s="37"/>
      <c r="U2244" s="78"/>
    </row>
    <row r="2245" spans="15:21" x14ac:dyDescent="0.25">
      <c r="O2245" s="76"/>
      <c r="P2245" s="78"/>
      <c r="Q2245" s="77"/>
      <c r="R2245" s="78"/>
      <c r="S2245" s="36" t="e">
        <f>VLOOKUP(Tabla911[[#This Row],[CODIGO DEL PRODUCTO]],Tabla79[],2,FALSE)</f>
        <v>#N/A</v>
      </c>
      <c r="T2245" s="37"/>
      <c r="U2245" s="78"/>
    </row>
    <row r="2246" spans="15:21" x14ac:dyDescent="0.25">
      <c r="O2246" s="76"/>
      <c r="P2246" s="78"/>
      <c r="Q2246" s="77"/>
      <c r="R2246" s="78"/>
      <c r="S2246" s="36" t="e">
        <f>VLOOKUP(Tabla911[[#This Row],[CODIGO DEL PRODUCTO]],Tabla79[],2,FALSE)</f>
        <v>#N/A</v>
      </c>
      <c r="T2246" s="37"/>
      <c r="U2246" s="78"/>
    </row>
    <row r="2247" spans="15:21" x14ac:dyDescent="0.25">
      <c r="O2247" s="76"/>
      <c r="P2247" s="78"/>
      <c r="Q2247" s="77"/>
      <c r="R2247" s="78"/>
      <c r="S2247" s="36" t="e">
        <f>VLOOKUP(Tabla911[[#This Row],[CODIGO DEL PRODUCTO]],Tabla79[],2,FALSE)</f>
        <v>#N/A</v>
      </c>
      <c r="T2247" s="37"/>
      <c r="U2247" s="78"/>
    </row>
    <row r="2248" spans="15:21" x14ac:dyDescent="0.25">
      <c r="O2248" s="76"/>
      <c r="P2248" s="78"/>
      <c r="Q2248" s="77"/>
      <c r="R2248" s="78"/>
      <c r="S2248" s="36" t="e">
        <f>VLOOKUP(Tabla911[[#This Row],[CODIGO DEL PRODUCTO]],Tabla79[],2,FALSE)</f>
        <v>#N/A</v>
      </c>
      <c r="T2248" s="37"/>
      <c r="U2248" s="78"/>
    </row>
    <row r="2249" spans="15:21" x14ac:dyDescent="0.25">
      <c r="O2249" s="76"/>
      <c r="P2249" s="78"/>
      <c r="Q2249" s="77"/>
      <c r="R2249" s="78"/>
      <c r="S2249" s="36" t="e">
        <f>VLOOKUP(Tabla911[[#This Row],[CODIGO DEL PRODUCTO]],Tabla79[],2,FALSE)</f>
        <v>#N/A</v>
      </c>
      <c r="T2249" s="37"/>
      <c r="U2249" s="78"/>
    </row>
    <row r="2250" spans="15:21" x14ac:dyDescent="0.25">
      <c r="O2250" s="76"/>
      <c r="P2250" s="78"/>
      <c r="Q2250" s="77"/>
      <c r="R2250" s="78"/>
      <c r="S2250" s="36" t="e">
        <f>VLOOKUP(Tabla911[[#This Row],[CODIGO DEL PRODUCTO]],Tabla79[],2,FALSE)</f>
        <v>#N/A</v>
      </c>
      <c r="T2250" s="37"/>
      <c r="U2250" s="78"/>
    </row>
    <row r="2251" spans="15:21" x14ac:dyDescent="0.25">
      <c r="O2251" s="76"/>
      <c r="P2251" s="78"/>
      <c r="Q2251" s="77"/>
      <c r="R2251" s="78"/>
      <c r="S2251" s="36" t="e">
        <f>VLOOKUP(Tabla911[[#This Row],[CODIGO DEL PRODUCTO]],Tabla79[],2,FALSE)</f>
        <v>#N/A</v>
      </c>
      <c r="T2251" s="37"/>
      <c r="U2251" s="78"/>
    </row>
    <row r="2252" spans="15:21" x14ac:dyDescent="0.25">
      <c r="O2252" s="76"/>
      <c r="P2252" s="78"/>
      <c r="Q2252" s="77"/>
      <c r="R2252" s="78"/>
      <c r="S2252" s="36" t="e">
        <f>VLOOKUP(Tabla911[[#This Row],[CODIGO DEL PRODUCTO]],Tabla79[],2,FALSE)</f>
        <v>#N/A</v>
      </c>
      <c r="T2252" s="37"/>
      <c r="U2252" s="78"/>
    </row>
    <row r="2253" spans="15:21" x14ac:dyDescent="0.25">
      <c r="O2253" s="76"/>
      <c r="P2253" s="78"/>
      <c r="Q2253" s="77"/>
      <c r="R2253" s="78"/>
      <c r="S2253" s="36" t="e">
        <f>VLOOKUP(Tabla911[[#This Row],[CODIGO DEL PRODUCTO]],Tabla79[],2,FALSE)</f>
        <v>#N/A</v>
      </c>
      <c r="T2253" s="37"/>
      <c r="U2253" s="78"/>
    </row>
    <row r="2254" spans="15:21" x14ac:dyDescent="0.25">
      <c r="O2254" s="76"/>
      <c r="P2254" s="78"/>
      <c r="Q2254" s="77"/>
      <c r="R2254" s="78"/>
      <c r="S2254" s="36" t="e">
        <f>VLOOKUP(Tabla911[[#This Row],[CODIGO DEL PRODUCTO]],Tabla79[],2,FALSE)</f>
        <v>#N/A</v>
      </c>
      <c r="T2254" s="37"/>
      <c r="U2254" s="78"/>
    </row>
    <row r="2255" spans="15:21" x14ac:dyDescent="0.25">
      <c r="O2255" s="76"/>
      <c r="P2255" s="78"/>
      <c r="Q2255" s="77"/>
      <c r="R2255" s="78"/>
      <c r="S2255" s="36" t="e">
        <f>VLOOKUP(Tabla911[[#This Row],[CODIGO DEL PRODUCTO]],Tabla79[],2,FALSE)</f>
        <v>#N/A</v>
      </c>
      <c r="T2255" s="37"/>
      <c r="U2255" s="78"/>
    </row>
    <row r="2256" spans="15:21" x14ac:dyDescent="0.25">
      <c r="O2256" s="76"/>
      <c r="P2256" s="78"/>
      <c r="Q2256" s="77"/>
      <c r="R2256" s="78"/>
      <c r="S2256" s="36" t="e">
        <f>VLOOKUP(Tabla911[[#This Row],[CODIGO DEL PRODUCTO]],Tabla79[],2,FALSE)</f>
        <v>#N/A</v>
      </c>
      <c r="T2256" s="37"/>
      <c r="U2256" s="78"/>
    </row>
    <row r="2257" spans="15:21" x14ac:dyDescent="0.25">
      <c r="O2257" s="76"/>
      <c r="P2257" s="78"/>
      <c r="Q2257" s="77"/>
      <c r="R2257" s="78"/>
      <c r="S2257" s="36" t="e">
        <f>VLOOKUP(Tabla911[[#This Row],[CODIGO DEL PRODUCTO]],Tabla79[],2,FALSE)</f>
        <v>#N/A</v>
      </c>
      <c r="T2257" s="37"/>
      <c r="U2257" s="78"/>
    </row>
    <row r="2258" spans="15:21" x14ac:dyDescent="0.25">
      <c r="O2258" s="76"/>
      <c r="P2258" s="78"/>
      <c r="Q2258" s="77"/>
      <c r="R2258" s="78"/>
      <c r="S2258" s="36" t="e">
        <f>VLOOKUP(Tabla911[[#This Row],[CODIGO DEL PRODUCTO]],Tabla79[],2,FALSE)</f>
        <v>#N/A</v>
      </c>
      <c r="T2258" s="37"/>
      <c r="U2258" s="78"/>
    </row>
    <row r="2259" spans="15:21" x14ac:dyDescent="0.25">
      <c r="O2259" s="76"/>
      <c r="P2259" s="78"/>
      <c r="Q2259" s="77"/>
      <c r="R2259" s="78"/>
      <c r="S2259" s="36" t="e">
        <f>VLOOKUP(Tabla911[[#This Row],[CODIGO DEL PRODUCTO]],Tabla79[],2,FALSE)</f>
        <v>#N/A</v>
      </c>
      <c r="T2259" s="37"/>
      <c r="U2259" s="78"/>
    </row>
    <row r="2260" spans="15:21" x14ac:dyDescent="0.25">
      <c r="O2260" s="76"/>
      <c r="P2260" s="78"/>
      <c r="Q2260" s="77"/>
      <c r="R2260" s="78"/>
      <c r="S2260" s="36" t="e">
        <f>VLOOKUP(Tabla911[[#This Row],[CODIGO DEL PRODUCTO]],Tabla79[],2,FALSE)</f>
        <v>#N/A</v>
      </c>
      <c r="T2260" s="37"/>
      <c r="U2260" s="78"/>
    </row>
    <row r="2261" spans="15:21" x14ac:dyDescent="0.25">
      <c r="O2261" s="76"/>
      <c r="P2261" s="78"/>
      <c r="Q2261" s="77"/>
      <c r="R2261" s="78"/>
      <c r="S2261" s="36" t="e">
        <f>VLOOKUP(Tabla911[[#This Row],[CODIGO DEL PRODUCTO]],Tabla79[],2,FALSE)</f>
        <v>#N/A</v>
      </c>
      <c r="T2261" s="37"/>
      <c r="U2261" s="78"/>
    </row>
    <row r="2262" spans="15:21" x14ac:dyDescent="0.25">
      <c r="O2262" s="76"/>
      <c r="P2262" s="78"/>
      <c r="Q2262" s="77"/>
      <c r="R2262" s="78"/>
      <c r="S2262" s="36" t="e">
        <f>VLOOKUP(Tabla911[[#This Row],[CODIGO DEL PRODUCTO]],Tabla79[],2,FALSE)</f>
        <v>#N/A</v>
      </c>
      <c r="T2262" s="37"/>
      <c r="U2262" s="78"/>
    </row>
    <row r="2263" spans="15:21" x14ac:dyDescent="0.25">
      <c r="O2263" s="76"/>
      <c r="P2263" s="78"/>
      <c r="Q2263" s="77"/>
      <c r="R2263" s="78"/>
      <c r="S2263" s="36" t="e">
        <f>VLOOKUP(Tabla911[[#This Row],[CODIGO DEL PRODUCTO]],Tabla79[],2,FALSE)</f>
        <v>#N/A</v>
      </c>
      <c r="T2263" s="37"/>
      <c r="U2263" s="78"/>
    </row>
    <row r="2264" spans="15:21" x14ac:dyDescent="0.25">
      <c r="O2264" s="76"/>
      <c r="P2264" s="78"/>
      <c r="Q2264" s="77"/>
      <c r="R2264" s="78"/>
      <c r="S2264" s="36" t="e">
        <f>VLOOKUP(Tabla911[[#This Row],[CODIGO DEL PRODUCTO]],Tabla79[],2,FALSE)</f>
        <v>#N/A</v>
      </c>
      <c r="T2264" s="37"/>
      <c r="U2264" s="78"/>
    </row>
    <row r="2265" spans="15:21" x14ac:dyDescent="0.25">
      <c r="O2265" s="76"/>
      <c r="P2265" s="78"/>
      <c r="Q2265" s="77"/>
      <c r="R2265" s="78"/>
      <c r="S2265" s="36" t="e">
        <f>VLOOKUP(Tabla911[[#This Row],[CODIGO DEL PRODUCTO]],Tabla79[],2,FALSE)</f>
        <v>#N/A</v>
      </c>
      <c r="T2265" s="37"/>
      <c r="U2265" s="78"/>
    </row>
    <row r="2266" spans="15:21" x14ac:dyDescent="0.25">
      <c r="O2266" s="76"/>
      <c r="P2266" s="78"/>
      <c r="Q2266" s="77"/>
      <c r="R2266" s="78"/>
      <c r="S2266" s="36" t="e">
        <f>VLOOKUP(Tabla911[[#This Row],[CODIGO DEL PRODUCTO]],Tabla79[],2,FALSE)</f>
        <v>#N/A</v>
      </c>
      <c r="T2266" s="37"/>
      <c r="U2266" s="78"/>
    </row>
    <row r="2267" spans="15:21" x14ac:dyDescent="0.25">
      <c r="O2267" s="76"/>
      <c r="P2267" s="78"/>
      <c r="Q2267" s="77"/>
      <c r="R2267" s="78"/>
      <c r="S2267" s="36" t="e">
        <f>VLOOKUP(Tabla911[[#This Row],[CODIGO DEL PRODUCTO]],Tabla79[],2,FALSE)</f>
        <v>#N/A</v>
      </c>
      <c r="T2267" s="37"/>
      <c r="U2267" s="78"/>
    </row>
    <row r="2268" spans="15:21" x14ac:dyDescent="0.25">
      <c r="O2268" s="76"/>
      <c r="P2268" s="78"/>
      <c r="Q2268" s="77"/>
      <c r="R2268" s="78"/>
      <c r="S2268" s="36" t="e">
        <f>VLOOKUP(Tabla911[[#This Row],[CODIGO DEL PRODUCTO]],Tabla79[],2,FALSE)</f>
        <v>#N/A</v>
      </c>
      <c r="T2268" s="37"/>
      <c r="U2268" s="78"/>
    </row>
    <row r="2269" spans="15:21" x14ac:dyDescent="0.25">
      <c r="O2269" s="76"/>
      <c r="P2269" s="78"/>
      <c r="Q2269" s="77"/>
      <c r="R2269" s="78"/>
      <c r="S2269" s="36" t="e">
        <f>VLOOKUP(Tabla911[[#This Row],[CODIGO DEL PRODUCTO]],Tabla79[],2,FALSE)</f>
        <v>#N/A</v>
      </c>
      <c r="T2269" s="37"/>
      <c r="U2269" s="78"/>
    </row>
    <row r="2270" spans="15:21" x14ac:dyDescent="0.25">
      <c r="O2270" s="76"/>
      <c r="P2270" s="78"/>
      <c r="Q2270" s="77"/>
      <c r="R2270" s="78"/>
      <c r="S2270" s="36" t="e">
        <f>VLOOKUP(Tabla911[[#This Row],[CODIGO DEL PRODUCTO]],Tabla79[],2,FALSE)</f>
        <v>#N/A</v>
      </c>
      <c r="T2270" s="37"/>
      <c r="U2270" s="78"/>
    </row>
    <row r="2271" spans="15:21" x14ac:dyDescent="0.25">
      <c r="O2271" s="76"/>
      <c r="P2271" s="78"/>
      <c r="Q2271" s="77"/>
      <c r="R2271" s="78"/>
      <c r="S2271" s="36" t="e">
        <f>VLOOKUP(Tabla911[[#This Row],[CODIGO DEL PRODUCTO]],Tabla79[],2,FALSE)</f>
        <v>#N/A</v>
      </c>
      <c r="T2271" s="37"/>
      <c r="U2271" s="78"/>
    </row>
    <row r="2272" spans="15:21" x14ac:dyDescent="0.25">
      <c r="O2272" s="76"/>
      <c r="P2272" s="78"/>
      <c r="Q2272" s="77"/>
      <c r="R2272" s="78"/>
      <c r="S2272" s="36" t="e">
        <f>VLOOKUP(Tabla911[[#This Row],[CODIGO DEL PRODUCTO]],Tabla79[],2,FALSE)</f>
        <v>#N/A</v>
      </c>
      <c r="T2272" s="37"/>
      <c r="U2272" s="78"/>
    </row>
    <row r="2273" spans="15:21" x14ac:dyDescent="0.25">
      <c r="O2273" s="76"/>
      <c r="P2273" s="78"/>
      <c r="Q2273" s="77"/>
      <c r="R2273" s="78"/>
      <c r="S2273" s="36" t="e">
        <f>VLOOKUP(Tabla911[[#This Row],[CODIGO DEL PRODUCTO]],Tabla79[],2,FALSE)</f>
        <v>#N/A</v>
      </c>
      <c r="T2273" s="37"/>
      <c r="U2273" s="78"/>
    </row>
    <row r="2274" spans="15:21" x14ac:dyDescent="0.25">
      <c r="O2274" s="76"/>
      <c r="P2274" s="78"/>
      <c r="Q2274" s="77"/>
      <c r="R2274" s="78"/>
      <c r="S2274" s="36" t="e">
        <f>VLOOKUP(Tabla911[[#This Row],[CODIGO DEL PRODUCTO]],Tabla79[],2,FALSE)</f>
        <v>#N/A</v>
      </c>
      <c r="T2274" s="37"/>
      <c r="U2274" s="78"/>
    </row>
    <row r="2275" spans="15:21" x14ac:dyDescent="0.25">
      <c r="O2275" s="76"/>
      <c r="P2275" s="78"/>
      <c r="Q2275" s="77"/>
      <c r="R2275" s="78"/>
      <c r="S2275" s="36" t="e">
        <f>VLOOKUP(Tabla911[[#This Row],[CODIGO DEL PRODUCTO]],Tabla79[],2,FALSE)</f>
        <v>#N/A</v>
      </c>
      <c r="T2275" s="37"/>
      <c r="U2275" s="78"/>
    </row>
    <row r="2276" spans="15:21" x14ac:dyDescent="0.25">
      <c r="O2276" s="76"/>
      <c r="P2276" s="78"/>
      <c r="Q2276" s="77"/>
      <c r="R2276" s="78"/>
      <c r="S2276" s="36" t="e">
        <f>VLOOKUP(Tabla911[[#This Row],[CODIGO DEL PRODUCTO]],Tabla79[],2,FALSE)</f>
        <v>#N/A</v>
      </c>
      <c r="T2276" s="37"/>
      <c r="U2276" s="78"/>
    </row>
    <row r="2277" spans="15:21" x14ac:dyDescent="0.25">
      <c r="O2277" s="76"/>
      <c r="P2277" s="78"/>
      <c r="Q2277" s="77"/>
      <c r="R2277" s="78"/>
      <c r="S2277" s="36" t="e">
        <f>VLOOKUP(Tabla911[[#This Row],[CODIGO DEL PRODUCTO]],Tabla79[],2,FALSE)</f>
        <v>#N/A</v>
      </c>
      <c r="T2277" s="37"/>
      <c r="U2277" s="78"/>
    </row>
    <row r="2278" spans="15:21" x14ac:dyDescent="0.25">
      <c r="O2278" s="76"/>
      <c r="P2278" s="78"/>
      <c r="Q2278" s="77"/>
      <c r="R2278" s="78"/>
      <c r="S2278" s="36" t="e">
        <f>VLOOKUP(Tabla911[[#This Row],[CODIGO DEL PRODUCTO]],Tabla79[],2,FALSE)</f>
        <v>#N/A</v>
      </c>
      <c r="T2278" s="37"/>
      <c r="U2278" s="78"/>
    </row>
    <row r="2279" spans="15:21" x14ac:dyDescent="0.25">
      <c r="O2279" s="76"/>
      <c r="P2279" s="78"/>
      <c r="Q2279" s="77"/>
      <c r="R2279" s="78"/>
      <c r="S2279" s="36" t="e">
        <f>VLOOKUP(Tabla911[[#This Row],[CODIGO DEL PRODUCTO]],Tabla79[],2,FALSE)</f>
        <v>#N/A</v>
      </c>
      <c r="T2279" s="37"/>
      <c r="U2279" s="78"/>
    </row>
    <row r="2280" spans="15:21" x14ac:dyDescent="0.25">
      <c r="O2280" s="76"/>
      <c r="P2280" s="78"/>
      <c r="Q2280" s="77"/>
      <c r="R2280" s="78"/>
      <c r="S2280" s="36" t="e">
        <f>VLOOKUP(Tabla911[[#This Row],[CODIGO DEL PRODUCTO]],Tabla79[],2,FALSE)</f>
        <v>#N/A</v>
      </c>
      <c r="T2280" s="37"/>
      <c r="U2280" s="78"/>
    </row>
    <row r="2281" spans="15:21" x14ac:dyDescent="0.25">
      <c r="O2281" s="76"/>
      <c r="P2281" s="78"/>
      <c r="Q2281" s="77"/>
      <c r="R2281" s="78"/>
      <c r="S2281" s="36" t="e">
        <f>VLOOKUP(Tabla911[[#This Row],[CODIGO DEL PRODUCTO]],Tabla79[],2,FALSE)</f>
        <v>#N/A</v>
      </c>
      <c r="T2281" s="37"/>
      <c r="U2281" s="78"/>
    </row>
    <row r="2282" spans="15:21" x14ac:dyDescent="0.25">
      <c r="O2282" s="76"/>
      <c r="P2282" s="78"/>
      <c r="Q2282" s="77"/>
      <c r="R2282" s="78"/>
      <c r="S2282" s="36" t="e">
        <f>VLOOKUP(Tabla911[[#This Row],[CODIGO DEL PRODUCTO]],Tabla79[],2,FALSE)</f>
        <v>#N/A</v>
      </c>
      <c r="T2282" s="37"/>
      <c r="U2282" s="78"/>
    </row>
    <row r="2283" spans="15:21" x14ac:dyDescent="0.25">
      <c r="O2283" s="76"/>
      <c r="P2283" s="78"/>
      <c r="Q2283" s="77"/>
      <c r="R2283" s="78"/>
      <c r="S2283" s="36" t="e">
        <f>VLOOKUP(Tabla911[[#This Row],[CODIGO DEL PRODUCTO]],Tabla79[],2,FALSE)</f>
        <v>#N/A</v>
      </c>
      <c r="T2283" s="37"/>
      <c r="U2283" s="78"/>
    </row>
    <row r="2284" spans="15:21" x14ac:dyDescent="0.25">
      <c r="O2284" s="76"/>
      <c r="P2284" s="78"/>
      <c r="Q2284" s="77"/>
      <c r="R2284" s="78"/>
      <c r="S2284" s="36" t="e">
        <f>VLOOKUP(Tabla911[[#This Row],[CODIGO DEL PRODUCTO]],Tabla79[],2,FALSE)</f>
        <v>#N/A</v>
      </c>
      <c r="T2284" s="37"/>
      <c r="U2284" s="78"/>
    </row>
    <row r="2285" spans="15:21" x14ac:dyDescent="0.25">
      <c r="O2285" s="76"/>
      <c r="P2285" s="78"/>
      <c r="Q2285" s="77"/>
      <c r="R2285" s="78"/>
      <c r="S2285" s="36" t="e">
        <f>VLOOKUP(Tabla911[[#This Row],[CODIGO DEL PRODUCTO]],Tabla79[],2,FALSE)</f>
        <v>#N/A</v>
      </c>
      <c r="T2285" s="37"/>
      <c r="U2285" s="78"/>
    </row>
    <row r="2286" spans="15:21" x14ac:dyDescent="0.25">
      <c r="O2286" s="76"/>
      <c r="P2286" s="78"/>
      <c r="Q2286" s="77"/>
      <c r="R2286" s="78"/>
      <c r="S2286" s="36" t="e">
        <f>VLOOKUP(Tabla911[[#This Row],[CODIGO DEL PRODUCTO]],Tabla79[],2,FALSE)</f>
        <v>#N/A</v>
      </c>
      <c r="T2286" s="37"/>
      <c r="U2286" s="78"/>
    </row>
    <row r="2287" spans="15:21" x14ac:dyDescent="0.25">
      <c r="O2287" s="76"/>
      <c r="P2287" s="78"/>
      <c r="Q2287" s="77"/>
      <c r="R2287" s="78"/>
      <c r="S2287" s="36" t="e">
        <f>VLOOKUP(Tabla911[[#This Row],[CODIGO DEL PRODUCTO]],Tabla79[],2,FALSE)</f>
        <v>#N/A</v>
      </c>
      <c r="T2287" s="37"/>
      <c r="U2287" s="78"/>
    </row>
    <row r="2288" spans="15:21" x14ac:dyDescent="0.25">
      <c r="O2288" s="76"/>
      <c r="P2288" s="78"/>
      <c r="Q2288" s="77"/>
      <c r="R2288" s="78"/>
      <c r="S2288" s="36" t="e">
        <f>VLOOKUP(Tabla911[[#This Row],[CODIGO DEL PRODUCTO]],Tabla79[],2,FALSE)</f>
        <v>#N/A</v>
      </c>
      <c r="T2288" s="37"/>
      <c r="U2288" s="78"/>
    </row>
    <row r="2289" spans="15:21" x14ac:dyDescent="0.25">
      <c r="O2289" s="76"/>
      <c r="P2289" s="78"/>
      <c r="Q2289" s="77"/>
      <c r="R2289" s="78"/>
      <c r="S2289" s="36" t="e">
        <f>VLOOKUP(Tabla911[[#This Row],[CODIGO DEL PRODUCTO]],Tabla79[],2,FALSE)</f>
        <v>#N/A</v>
      </c>
      <c r="T2289" s="37"/>
      <c r="U2289" s="78"/>
    </row>
    <row r="2290" spans="15:21" x14ac:dyDescent="0.25">
      <c r="O2290" s="76"/>
      <c r="P2290" s="78"/>
      <c r="Q2290" s="77"/>
      <c r="R2290" s="78"/>
      <c r="S2290" s="36" t="e">
        <f>VLOOKUP(Tabla911[[#This Row],[CODIGO DEL PRODUCTO]],Tabla79[],2,FALSE)</f>
        <v>#N/A</v>
      </c>
      <c r="T2290" s="37"/>
      <c r="U2290" s="78"/>
    </row>
    <row r="2291" spans="15:21" x14ac:dyDescent="0.25">
      <c r="O2291" s="76"/>
      <c r="P2291" s="78"/>
      <c r="Q2291" s="77"/>
      <c r="R2291" s="78"/>
      <c r="S2291" s="36" t="e">
        <f>VLOOKUP(Tabla911[[#This Row],[CODIGO DEL PRODUCTO]],Tabla79[],2,FALSE)</f>
        <v>#N/A</v>
      </c>
      <c r="T2291" s="37"/>
      <c r="U2291" s="78"/>
    </row>
    <row r="2292" spans="15:21" x14ac:dyDescent="0.25">
      <c r="O2292" s="76"/>
      <c r="P2292" s="78"/>
      <c r="Q2292" s="77"/>
      <c r="R2292" s="78"/>
      <c r="S2292" s="36" t="e">
        <f>VLOOKUP(Tabla911[[#This Row],[CODIGO DEL PRODUCTO]],Tabla79[],2,FALSE)</f>
        <v>#N/A</v>
      </c>
      <c r="T2292" s="37"/>
      <c r="U2292" s="78"/>
    </row>
    <row r="2293" spans="15:21" x14ac:dyDescent="0.25">
      <c r="O2293" s="76"/>
      <c r="P2293" s="78"/>
      <c r="Q2293" s="77"/>
      <c r="R2293" s="78"/>
      <c r="S2293" s="36" t="e">
        <f>VLOOKUP(Tabla911[[#This Row],[CODIGO DEL PRODUCTO]],Tabla79[],2,FALSE)</f>
        <v>#N/A</v>
      </c>
      <c r="T2293" s="37"/>
      <c r="U2293" s="78"/>
    </row>
    <row r="2294" spans="15:21" x14ac:dyDescent="0.25">
      <c r="O2294" s="76"/>
      <c r="P2294" s="78"/>
      <c r="Q2294" s="77"/>
      <c r="R2294" s="78"/>
      <c r="S2294" s="36" t="e">
        <f>VLOOKUP(Tabla911[[#This Row],[CODIGO DEL PRODUCTO]],Tabla79[],2,FALSE)</f>
        <v>#N/A</v>
      </c>
      <c r="T2294" s="37"/>
      <c r="U2294" s="78"/>
    </row>
    <row r="2295" spans="15:21" x14ac:dyDescent="0.25">
      <c r="O2295" s="76"/>
      <c r="P2295" s="78"/>
      <c r="Q2295" s="77"/>
      <c r="R2295" s="78"/>
      <c r="S2295" s="36" t="e">
        <f>VLOOKUP(Tabla911[[#This Row],[CODIGO DEL PRODUCTO]],Tabla79[],2,FALSE)</f>
        <v>#N/A</v>
      </c>
      <c r="T2295" s="37"/>
      <c r="U2295" s="78"/>
    </row>
    <row r="2296" spans="15:21" x14ac:dyDescent="0.25">
      <c r="O2296" s="76"/>
      <c r="P2296" s="78"/>
      <c r="Q2296" s="77"/>
      <c r="R2296" s="78"/>
      <c r="S2296" s="36" t="e">
        <f>VLOOKUP(Tabla911[[#This Row],[CODIGO DEL PRODUCTO]],Tabla79[],2,FALSE)</f>
        <v>#N/A</v>
      </c>
      <c r="T2296" s="37"/>
      <c r="U2296" s="78"/>
    </row>
    <row r="2297" spans="15:21" x14ac:dyDescent="0.25">
      <c r="O2297" s="76"/>
      <c r="P2297" s="78"/>
      <c r="Q2297" s="77"/>
      <c r="R2297" s="78"/>
      <c r="S2297" s="36" t="e">
        <f>VLOOKUP(Tabla911[[#This Row],[CODIGO DEL PRODUCTO]],Tabla79[],2,FALSE)</f>
        <v>#N/A</v>
      </c>
      <c r="T2297" s="37"/>
      <c r="U2297" s="78"/>
    </row>
    <row r="2298" spans="15:21" x14ac:dyDescent="0.25">
      <c r="O2298" s="76"/>
      <c r="P2298" s="78"/>
      <c r="Q2298" s="77"/>
      <c r="R2298" s="78"/>
      <c r="S2298" s="36" t="e">
        <f>VLOOKUP(Tabla911[[#This Row],[CODIGO DEL PRODUCTO]],Tabla79[],2,FALSE)</f>
        <v>#N/A</v>
      </c>
      <c r="T2298" s="37"/>
      <c r="U2298" s="78"/>
    </row>
    <row r="2299" spans="15:21" x14ac:dyDescent="0.25">
      <c r="O2299" s="76"/>
      <c r="P2299" s="78"/>
      <c r="Q2299" s="77"/>
      <c r="R2299" s="78"/>
      <c r="S2299" s="36" t="e">
        <f>VLOOKUP(Tabla911[[#This Row],[CODIGO DEL PRODUCTO]],Tabla79[],2,FALSE)</f>
        <v>#N/A</v>
      </c>
      <c r="T2299" s="37"/>
      <c r="U2299" s="78"/>
    </row>
    <row r="2300" spans="15:21" x14ac:dyDescent="0.25">
      <c r="O2300" s="76"/>
      <c r="P2300" s="78"/>
      <c r="Q2300" s="77"/>
      <c r="R2300" s="78"/>
      <c r="S2300" s="36" t="e">
        <f>VLOOKUP(Tabla911[[#This Row],[CODIGO DEL PRODUCTO]],Tabla79[],2,FALSE)</f>
        <v>#N/A</v>
      </c>
      <c r="T2300" s="37"/>
      <c r="U2300" s="78"/>
    </row>
    <row r="2301" spans="15:21" x14ac:dyDescent="0.25">
      <c r="O2301" s="76"/>
      <c r="P2301" s="78"/>
      <c r="Q2301" s="77"/>
      <c r="R2301" s="78"/>
      <c r="S2301" s="36" t="e">
        <f>VLOOKUP(Tabla911[[#This Row],[CODIGO DEL PRODUCTO]],Tabla79[],2,FALSE)</f>
        <v>#N/A</v>
      </c>
      <c r="T2301" s="37"/>
      <c r="U2301" s="78"/>
    </row>
    <row r="2302" spans="15:21" x14ac:dyDescent="0.25">
      <c r="O2302" s="76"/>
      <c r="P2302" s="78"/>
      <c r="Q2302" s="77"/>
      <c r="R2302" s="78"/>
      <c r="S2302" s="36" t="e">
        <f>VLOOKUP(Tabla911[[#This Row],[CODIGO DEL PRODUCTO]],Tabla79[],2,FALSE)</f>
        <v>#N/A</v>
      </c>
      <c r="T2302" s="37"/>
      <c r="U2302" s="78"/>
    </row>
    <row r="2303" spans="15:21" x14ac:dyDescent="0.25">
      <c r="O2303" s="76"/>
      <c r="P2303" s="78"/>
      <c r="Q2303" s="77"/>
      <c r="R2303" s="78"/>
      <c r="S2303" s="36" t="e">
        <f>VLOOKUP(Tabla911[[#This Row],[CODIGO DEL PRODUCTO]],Tabla79[],2,FALSE)</f>
        <v>#N/A</v>
      </c>
      <c r="T2303" s="37"/>
      <c r="U2303" s="78"/>
    </row>
    <row r="2304" spans="15:21" x14ac:dyDescent="0.25">
      <c r="O2304" s="76"/>
      <c r="P2304" s="78"/>
      <c r="Q2304" s="77"/>
      <c r="R2304" s="78"/>
      <c r="S2304" s="36" t="e">
        <f>VLOOKUP(Tabla911[[#This Row],[CODIGO DEL PRODUCTO]],Tabla79[],2,FALSE)</f>
        <v>#N/A</v>
      </c>
      <c r="T2304" s="37"/>
      <c r="U2304" s="78"/>
    </row>
    <row r="2305" spans="15:21" x14ac:dyDescent="0.25">
      <c r="O2305" s="76"/>
      <c r="P2305" s="78"/>
      <c r="Q2305" s="77"/>
      <c r="R2305" s="78"/>
      <c r="S2305" s="36" t="e">
        <f>VLOOKUP(Tabla911[[#This Row],[CODIGO DEL PRODUCTO]],Tabla79[],2,FALSE)</f>
        <v>#N/A</v>
      </c>
      <c r="T2305" s="37"/>
      <c r="U2305" s="78"/>
    </row>
    <row r="2306" spans="15:21" x14ac:dyDescent="0.25">
      <c r="O2306" s="76"/>
      <c r="P2306" s="78"/>
      <c r="Q2306" s="77"/>
      <c r="R2306" s="78"/>
      <c r="S2306" s="36" t="e">
        <f>VLOOKUP(Tabla911[[#This Row],[CODIGO DEL PRODUCTO]],Tabla79[],2,FALSE)</f>
        <v>#N/A</v>
      </c>
      <c r="T2306" s="37"/>
      <c r="U2306" s="78"/>
    </row>
    <row r="2307" spans="15:21" x14ac:dyDescent="0.25">
      <c r="O2307" s="76"/>
      <c r="P2307" s="78"/>
      <c r="Q2307" s="77"/>
      <c r="R2307" s="78"/>
      <c r="S2307" s="36" t="e">
        <f>VLOOKUP(Tabla911[[#This Row],[CODIGO DEL PRODUCTO]],Tabla79[],2,FALSE)</f>
        <v>#N/A</v>
      </c>
      <c r="T2307" s="37"/>
      <c r="U2307" s="78"/>
    </row>
    <row r="2308" spans="15:21" x14ac:dyDescent="0.25">
      <c r="O2308" s="76"/>
      <c r="P2308" s="78"/>
      <c r="Q2308" s="77"/>
      <c r="R2308" s="78"/>
      <c r="S2308" s="36" t="e">
        <f>VLOOKUP(Tabla911[[#This Row],[CODIGO DEL PRODUCTO]],Tabla79[],2,FALSE)</f>
        <v>#N/A</v>
      </c>
      <c r="T2308" s="37"/>
      <c r="U2308" s="78"/>
    </row>
    <row r="2309" spans="15:21" x14ac:dyDescent="0.25">
      <c r="O2309" s="76"/>
      <c r="P2309" s="78"/>
      <c r="Q2309" s="77"/>
      <c r="R2309" s="78"/>
      <c r="S2309" s="36" t="e">
        <f>VLOOKUP(Tabla911[[#This Row],[CODIGO DEL PRODUCTO]],Tabla79[],2,FALSE)</f>
        <v>#N/A</v>
      </c>
      <c r="T2309" s="37"/>
      <c r="U2309" s="78"/>
    </row>
    <row r="2310" spans="15:21" x14ac:dyDescent="0.25">
      <c r="O2310" s="76"/>
      <c r="P2310" s="78"/>
      <c r="Q2310" s="77"/>
      <c r="R2310" s="78"/>
      <c r="S2310" s="36" t="e">
        <f>VLOOKUP(Tabla911[[#This Row],[CODIGO DEL PRODUCTO]],Tabla79[],2,FALSE)</f>
        <v>#N/A</v>
      </c>
      <c r="T2310" s="37"/>
      <c r="U2310" s="78"/>
    </row>
    <row r="2311" spans="15:21" x14ac:dyDescent="0.25">
      <c r="O2311" s="76"/>
      <c r="P2311" s="78"/>
      <c r="Q2311" s="77"/>
      <c r="R2311" s="78"/>
      <c r="S2311" s="36" t="e">
        <f>VLOOKUP(Tabla911[[#This Row],[CODIGO DEL PRODUCTO]],Tabla79[],2,FALSE)</f>
        <v>#N/A</v>
      </c>
      <c r="T2311" s="37"/>
      <c r="U2311" s="78"/>
    </row>
    <row r="2312" spans="15:21" x14ac:dyDescent="0.25">
      <c r="O2312" s="76"/>
      <c r="P2312" s="78"/>
      <c r="Q2312" s="77"/>
      <c r="R2312" s="78"/>
      <c r="S2312" s="36" t="e">
        <f>VLOOKUP(Tabla911[[#This Row],[CODIGO DEL PRODUCTO]],Tabla79[],2,FALSE)</f>
        <v>#N/A</v>
      </c>
      <c r="T2312" s="37"/>
      <c r="U2312" s="78"/>
    </row>
    <row r="2313" spans="15:21" x14ac:dyDescent="0.25">
      <c r="O2313" s="76"/>
      <c r="P2313" s="78"/>
      <c r="Q2313" s="77"/>
      <c r="R2313" s="78"/>
      <c r="S2313" s="36" t="e">
        <f>VLOOKUP(Tabla911[[#This Row],[CODIGO DEL PRODUCTO]],Tabla79[],2,FALSE)</f>
        <v>#N/A</v>
      </c>
      <c r="T2313" s="37"/>
      <c r="U2313" s="78"/>
    </row>
    <row r="2314" spans="15:21" x14ac:dyDescent="0.25">
      <c r="O2314" s="76"/>
      <c r="P2314" s="78"/>
      <c r="Q2314" s="77"/>
      <c r="R2314" s="78"/>
      <c r="S2314" s="36" t="e">
        <f>VLOOKUP(Tabla911[[#This Row],[CODIGO DEL PRODUCTO]],Tabla79[],2,FALSE)</f>
        <v>#N/A</v>
      </c>
      <c r="T2314" s="37"/>
      <c r="U2314" s="78"/>
    </row>
    <row r="2315" spans="15:21" x14ac:dyDescent="0.25">
      <c r="O2315" s="76"/>
      <c r="P2315" s="78"/>
      <c r="Q2315" s="77"/>
      <c r="R2315" s="78"/>
      <c r="S2315" s="36" t="e">
        <f>VLOOKUP(Tabla911[[#This Row],[CODIGO DEL PRODUCTO]],Tabla79[],2,FALSE)</f>
        <v>#N/A</v>
      </c>
      <c r="T2315" s="37"/>
      <c r="U2315" s="78"/>
    </row>
    <row r="2316" spans="15:21" x14ac:dyDescent="0.25">
      <c r="O2316" s="76"/>
      <c r="P2316" s="78"/>
      <c r="Q2316" s="77"/>
      <c r="R2316" s="78"/>
      <c r="S2316" s="36" t="e">
        <f>VLOOKUP(Tabla911[[#This Row],[CODIGO DEL PRODUCTO]],Tabla79[],2,FALSE)</f>
        <v>#N/A</v>
      </c>
      <c r="T2316" s="37"/>
      <c r="U2316" s="78"/>
    </row>
    <row r="2317" spans="15:21" x14ac:dyDescent="0.25">
      <c r="O2317" s="76"/>
      <c r="P2317" s="78"/>
      <c r="Q2317" s="77"/>
      <c r="R2317" s="78"/>
      <c r="S2317" s="36" t="e">
        <f>VLOOKUP(Tabla911[[#This Row],[CODIGO DEL PRODUCTO]],Tabla79[],2,FALSE)</f>
        <v>#N/A</v>
      </c>
      <c r="T2317" s="37"/>
      <c r="U2317" s="78"/>
    </row>
    <row r="2318" spans="15:21" x14ac:dyDescent="0.25">
      <c r="O2318" s="76"/>
      <c r="P2318" s="78"/>
      <c r="Q2318" s="77"/>
      <c r="R2318" s="78"/>
      <c r="S2318" s="36" t="e">
        <f>VLOOKUP(Tabla911[[#This Row],[CODIGO DEL PRODUCTO]],Tabla79[],2,FALSE)</f>
        <v>#N/A</v>
      </c>
      <c r="T2318" s="37"/>
      <c r="U2318" s="78"/>
    </row>
    <row r="2319" spans="15:21" x14ac:dyDescent="0.25">
      <c r="O2319" s="76"/>
      <c r="P2319" s="78"/>
      <c r="Q2319" s="77"/>
      <c r="R2319" s="78"/>
      <c r="S2319" s="36" t="e">
        <f>VLOOKUP(Tabla911[[#This Row],[CODIGO DEL PRODUCTO]],Tabla79[],2,FALSE)</f>
        <v>#N/A</v>
      </c>
      <c r="T2319" s="37"/>
      <c r="U2319" s="78"/>
    </row>
    <row r="2320" spans="15:21" x14ac:dyDescent="0.25">
      <c r="O2320" s="76"/>
      <c r="P2320" s="78"/>
      <c r="Q2320" s="77"/>
      <c r="R2320" s="78"/>
      <c r="S2320" s="36" t="e">
        <f>VLOOKUP(Tabla911[[#This Row],[CODIGO DEL PRODUCTO]],Tabla79[],2,FALSE)</f>
        <v>#N/A</v>
      </c>
      <c r="T2320" s="37"/>
      <c r="U2320" s="78"/>
    </row>
    <row r="2321" spans="15:21" x14ac:dyDescent="0.25">
      <c r="O2321" s="76"/>
      <c r="P2321" s="78"/>
      <c r="Q2321" s="77"/>
      <c r="R2321" s="78"/>
      <c r="S2321" s="36" t="e">
        <f>VLOOKUP(Tabla911[[#This Row],[CODIGO DEL PRODUCTO]],Tabla79[],2,FALSE)</f>
        <v>#N/A</v>
      </c>
      <c r="T2321" s="37"/>
      <c r="U2321" s="78"/>
    </row>
    <row r="2322" spans="15:21" x14ac:dyDescent="0.25">
      <c r="O2322" s="76"/>
      <c r="P2322" s="78"/>
      <c r="Q2322" s="77"/>
      <c r="R2322" s="78"/>
      <c r="S2322" s="36" t="e">
        <f>VLOOKUP(Tabla911[[#This Row],[CODIGO DEL PRODUCTO]],Tabla79[],2,FALSE)</f>
        <v>#N/A</v>
      </c>
      <c r="T2322" s="37"/>
      <c r="U2322" s="78"/>
    </row>
    <row r="2323" spans="15:21" x14ac:dyDescent="0.25">
      <c r="O2323" s="76"/>
      <c r="P2323" s="78"/>
      <c r="Q2323" s="77"/>
      <c r="R2323" s="78"/>
      <c r="S2323" s="36" t="e">
        <f>VLOOKUP(Tabla911[[#This Row],[CODIGO DEL PRODUCTO]],Tabla79[],2,FALSE)</f>
        <v>#N/A</v>
      </c>
      <c r="T2323" s="37"/>
      <c r="U2323" s="78"/>
    </row>
    <row r="2324" spans="15:21" x14ac:dyDescent="0.25">
      <c r="O2324" s="76"/>
      <c r="P2324" s="78"/>
      <c r="Q2324" s="77"/>
      <c r="R2324" s="78"/>
      <c r="S2324" s="36" t="e">
        <f>VLOOKUP(Tabla911[[#This Row],[CODIGO DEL PRODUCTO]],Tabla79[],2,FALSE)</f>
        <v>#N/A</v>
      </c>
      <c r="T2324" s="37"/>
      <c r="U2324" s="78"/>
    </row>
    <row r="2325" spans="15:21" x14ac:dyDescent="0.25">
      <c r="O2325" s="76"/>
      <c r="P2325" s="78"/>
      <c r="Q2325" s="77"/>
      <c r="R2325" s="78"/>
      <c r="S2325" s="36" t="e">
        <f>VLOOKUP(Tabla911[[#This Row],[CODIGO DEL PRODUCTO]],Tabla79[],2,FALSE)</f>
        <v>#N/A</v>
      </c>
      <c r="T2325" s="37"/>
      <c r="U2325" s="78"/>
    </row>
    <row r="2326" spans="15:21" x14ac:dyDescent="0.25">
      <c r="O2326" s="76"/>
      <c r="P2326" s="78"/>
      <c r="Q2326" s="77"/>
      <c r="R2326" s="78"/>
      <c r="S2326" s="36" t="e">
        <f>VLOOKUP(Tabla911[[#This Row],[CODIGO DEL PRODUCTO]],Tabla79[],2,FALSE)</f>
        <v>#N/A</v>
      </c>
      <c r="T2326" s="37"/>
      <c r="U2326" s="78"/>
    </row>
    <row r="2327" spans="15:21" x14ac:dyDescent="0.25">
      <c r="O2327" s="76"/>
      <c r="P2327" s="78"/>
      <c r="Q2327" s="77"/>
      <c r="R2327" s="78"/>
      <c r="S2327" s="36" t="e">
        <f>VLOOKUP(Tabla911[[#This Row],[CODIGO DEL PRODUCTO]],Tabla79[],2,FALSE)</f>
        <v>#N/A</v>
      </c>
      <c r="T2327" s="37"/>
      <c r="U2327" s="78"/>
    </row>
    <row r="2328" spans="15:21" x14ac:dyDescent="0.25">
      <c r="O2328" s="76"/>
      <c r="P2328" s="78"/>
      <c r="Q2328" s="77"/>
      <c r="R2328" s="78"/>
      <c r="S2328" s="36" t="e">
        <f>VLOOKUP(Tabla911[[#This Row],[CODIGO DEL PRODUCTO]],Tabla79[],2,FALSE)</f>
        <v>#N/A</v>
      </c>
      <c r="T2328" s="37"/>
      <c r="U2328" s="78"/>
    </row>
    <row r="2329" spans="15:21" x14ac:dyDescent="0.25">
      <c r="O2329" s="76"/>
      <c r="P2329" s="78"/>
      <c r="Q2329" s="77"/>
      <c r="R2329" s="78"/>
      <c r="S2329" s="36" t="e">
        <f>VLOOKUP(Tabla911[[#This Row],[CODIGO DEL PRODUCTO]],Tabla79[],2,FALSE)</f>
        <v>#N/A</v>
      </c>
      <c r="T2329" s="37"/>
      <c r="U2329" s="78"/>
    </row>
    <row r="2330" spans="15:21" x14ac:dyDescent="0.25">
      <c r="O2330" s="76"/>
      <c r="P2330" s="78"/>
      <c r="Q2330" s="77"/>
      <c r="R2330" s="78"/>
      <c r="S2330" s="36" t="e">
        <f>VLOOKUP(Tabla911[[#This Row],[CODIGO DEL PRODUCTO]],Tabla79[],2,FALSE)</f>
        <v>#N/A</v>
      </c>
      <c r="T2330" s="37"/>
      <c r="U2330" s="78"/>
    </row>
    <row r="2331" spans="15:21" x14ac:dyDescent="0.25">
      <c r="O2331" s="76"/>
      <c r="P2331" s="78"/>
      <c r="Q2331" s="77"/>
      <c r="R2331" s="78"/>
      <c r="S2331" s="36" t="e">
        <f>VLOOKUP(Tabla911[[#This Row],[CODIGO DEL PRODUCTO]],Tabla79[],2,FALSE)</f>
        <v>#N/A</v>
      </c>
      <c r="T2331" s="37"/>
      <c r="U2331" s="78"/>
    </row>
    <row r="2332" spans="15:21" x14ac:dyDescent="0.25">
      <c r="O2332" s="76"/>
      <c r="P2332" s="78"/>
      <c r="Q2332" s="77"/>
      <c r="R2332" s="78"/>
      <c r="S2332" s="36" t="e">
        <f>VLOOKUP(Tabla911[[#This Row],[CODIGO DEL PRODUCTO]],Tabla79[],2,FALSE)</f>
        <v>#N/A</v>
      </c>
      <c r="T2332" s="37"/>
      <c r="U2332" s="78"/>
    </row>
    <row r="2333" spans="15:21" x14ac:dyDescent="0.25">
      <c r="O2333" s="76"/>
      <c r="P2333" s="78"/>
      <c r="Q2333" s="77"/>
      <c r="R2333" s="78"/>
      <c r="S2333" s="36" t="e">
        <f>VLOOKUP(Tabla911[[#This Row],[CODIGO DEL PRODUCTO]],Tabla79[],2,FALSE)</f>
        <v>#N/A</v>
      </c>
      <c r="T2333" s="37"/>
      <c r="U2333" s="78"/>
    </row>
    <row r="2334" spans="15:21" x14ac:dyDescent="0.25">
      <c r="O2334" s="76"/>
      <c r="P2334" s="78"/>
      <c r="Q2334" s="77"/>
      <c r="R2334" s="78"/>
      <c r="S2334" s="36" t="e">
        <f>VLOOKUP(Tabla911[[#This Row],[CODIGO DEL PRODUCTO]],Tabla79[],2,FALSE)</f>
        <v>#N/A</v>
      </c>
      <c r="T2334" s="37"/>
      <c r="U2334" s="78"/>
    </row>
    <row r="2335" spans="15:21" x14ac:dyDescent="0.25">
      <c r="O2335" s="76"/>
      <c r="P2335" s="78"/>
      <c r="Q2335" s="77"/>
      <c r="R2335" s="78"/>
      <c r="S2335" s="36" t="e">
        <f>VLOOKUP(Tabla911[[#This Row],[CODIGO DEL PRODUCTO]],Tabla79[],2,FALSE)</f>
        <v>#N/A</v>
      </c>
      <c r="T2335" s="37"/>
      <c r="U2335" s="78"/>
    </row>
    <row r="2336" spans="15:21" x14ac:dyDescent="0.25">
      <c r="O2336" s="76"/>
      <c r="P2336" s="78"/>
      <c r="Q2336" s="77"/>
      <c r="R2336" s="78"/>
      <c r="S2336" s="36" t="e">
        <f>VLOOKUP(Tabla911[[#This Row],[CODIGO DEL PRODUCTO]],Tabla79[],2,FALSE)</f>
        <v>#N/A</v>
      </c>
      <c r="T2336" s="37"/>
      <c r="U2336" s="78"/>
    </row>
    <row r="2337" spans="15:21" x14ac:dyDescent="0.25">
      <c r="O2337" s="76"/>
      <c r="P2337" s="78"/>
      <c r="Q2337" s="77"/>
      <c r="R2337" s="78"/>
      <c r="S2337" s="36" t="e">
        <f>VLOOKUP(Tabla911[[#This Row],[CODIGO DEL PRODUCTO]],Tabla79[],2,FALSE)</f>
        <v>#N/A</v>
      </c>
      <c r="T2337" s="37"/>
      <c r="U2337" s="78"/>
    </row>
    <row r="2338" spans="15:21" x14ac:dyDescent="0.25">
      <c r="O2338" s="76"/>
      <c r="P2338" s="78"/>
      <c r="Q2338" s="77"/>
      <c r="R2338" s="78"/>
      <c r="S2338" s="36" t="e">
        <f>VLOOKUP(Tabla911[[#This Row],[CODIGO DEL PRODUCTO]],Tabla79[],2,FALSE)</f>
        <v>#N/A</v>
      </c>
      <c r="T2338" s="37"/>
      <c r="U2338" s="78"/>
    </row>
    <row r="2339" spans="15:21" x14ac:dyDescent="0.25">
      <c r="O2339" s="76"/>
      <c r="P2339" s="78"/>
      <c r="Q2339" s="77"/>
      <c r="R2339" s="78"/>
      <c r="S2339" s="36" t="e">
        <f>VLOOKUP(Tabla911[[#This Row],[CODIGO DEL PRODUCTO]],Tabla79[],2,FALSE)</f>
        <v>#N/A</v>
      </c>
      <c r="T2339" s="37"/>
      <c r="U2339" s="78"/>
    </row>
    <row r="2340" spans="15:21" x14ac:dyDescent="0.25">
      <c r="O2340" s="76"/>
      <c r="P2340" s="78"/>
      <c r="Q2340" s="77"/>
      <c r="R2340" s="78"/>
      <c r="S2340" s="36" t="e">
        <f>VLOOKUP(Tabla911[[#This Row],[CODIGO DEL PRODUCTO]],Tabla79[],2,FALSE)</f>
        <v>#N/A</v>
      </c>
      <c r="T2340" s="37"/>
      <c r="U2340" s="78"/>
    </row>
    <row r="2341" spans="15:21" x14ac:dyDescent="0.25">
      <c r="O2341" s="76"/>
      <c r="P2341" s="78"/>
      <c r="Q2341" s="77"/>
      <c r="R2341" s="78"/>
      <c r="S2341" s="36" t="e">
        <f>VLOOKUP(Tabla911[[#This Row],[CODIGO DEL PRODUCTO]],Tabla79[],2,FALSE)</f>
        <v>#N/A</v>
      </c>
      <c r="T2341" s="37"/>
      <c r="U2341" s="78"/>
    </row>
    <row r="2342" spans="15:21" x14ac:dyDescent="0.25">
      <c r="O2342" s="76"/>
      <c r="P2342" s="78"/>
      <c r="Q2342" s="77"/>
      <c r="R2342" s="78"/>
      <c r="S2342" s="36" t="e">
        <f>VLOOKUP(Tabla911[[#This Row],[CODIGO DEL PRODUCTO]],Tabla79[],2,FALSE)</f>
        <v>#N/A</v>
      </c>
      <c r="T2342" s="37"/>
      <c r="U2342" s="78"/>
    </row>
    <row r="2343" spans="15:21" x14ac:dyDescent="0.25">
      <c r="O2343" s="76"/>
      <c r="P2343" s="78"/>
      <c r="Q2343" s="77"/>
      <c r="R2343" s="78"/>
      <c r="S2343" s="36" t="e">
        <f>VLOOKUP(Tabla911[[#This Row],[CODIGO DEL PRODUCTO]],Tabla79[],2,FALSE)</f>
        <v>#N/A</v>
      </c>
      <c r="T2343" s="37"/>
      <c r="U2343" s="78"/>
    </row>
    <row r="2344" spans="15:21" x14ac:dyDescent="0.25">
      <c r="O2344" s="76"/>
      <c r="P2344" s="78"/>
      <c r="Q2344" s="77"/>
      <c r="R2344" s="78"/>
      <c r="S2344" s="36" t="e">
        <f>VLOOKUP(Tabla911[[#This Row],[CODIGO DEL PRODUCTO]],Tabla79[],2,FALSE)</f>
        <v>#N/A</v>
      </c>
      <c r="T2344" s="37"/>
      <c r="U2344" s="78"/>
    </row>
    <row r="2345" spans="15:21" x14ac:dyDescent="0.25">
      <c r="O2345" s="76"/>
      <c r="P2345" s="78"/>
      <c r="Q2345" s="77"/>
      <c r="R2345" s="78"/>
      <c r="S2345" s="36" t="e">
        <f>VLOOKUP(Tabla911[[#This Row],[CODIGO DEL PRODUCTO]],Tabla79[],2,FALSE)</f>
        <v>#N/A</v>
      </c>
      <c r="T2345" s="37"/>
      <c r="U2345" s="78"/>
    </row>
    <row r="2346" spans="15:21" x14ac:dyDescent="0.25">
      <c r="O2346" s="76"/>
      <c r="P2346" s="78"/>
      <c r="Q2346" s="77"/>
      <c r="R2346" s="78"/>
      <c r="S2346" s="36" t="e">
        <f>VLOOKUP(Tabla911[[#This Row],[CODIGO DEL PRODUCTO]],Tabla79[],2,FALSE)</f>
        <v>#N/A</v>
      </c>
      <c r="T2346" s="37"/>
      <c r="U2346" s="78"/>
    </row>
    <row r="2347" spans="15:21" x14ac:dyDescent="0.25">
      <c r="O2347" s="76"/>
      <c r="P2347" s="78"/>
      <c r="Q2347" s="77"/>
      <c r="R2347" s="78"/>
      <c r="S2347" s="36" t="e">
        <f>VLOOKUP(Tabla911[[#This Row],[CODIGO DEL PRODUCTO]],Tabla79[],2,FALSE)</f>
        <v>#N/A</v>
      </c>
      <c r="T2347" s="37"/>
      <c r="U2347" s="78"/>
    </row>
    <row r="2348" spans="15:21" x14ac:dyDescent="0.25">
      <c r="O2348" s="76"/>
      <c r="P2348" s="78"/>
      <c r="Q2348" s="77"/>
      <c r="R2348" s="78"/>
      <c r="S2348" s="36" t="e">
        <f>VLOOKUP(Tabla911[[#This Row],[CODIGO DEL PRODUCTO]],Tabla79[],2,FALSE)</f>
        <v>#N/A</v>
      </c>
      <c r="T2348" s="37"/>
      <c r="U2348" s="78"/>
    </row>
    <row r="2349" spans="15:21" x14ac:dyDescent="0.25">
      <c r="O2349" s="76"/>
      <c r="P2349" s="78"/>
      <c r="Q2349" s="77"/>
      <c r="R2349" s="78"/>
      <c r="S2349" s="36" t="e">
        <f>VLOOKUP(Tabla911[[#This Row],[CODIGO DEL PRODUCTO]],Tabla79[],2,FALSE)</f>
        <v>#N/A</v>
      </c>
      <c r="T2349" s="37"/>
      <c r="U2349" s="78"/>
    </row>
    <row r="2350" spans="15:21" x14ac:dyDescent="0.25">
      <c r="O2350" s="76"/>
      <c r="P2350" s="78"/>
      <c r="Q2350" s="77"/>
      <c r="R2350" s="78"/>
      <c r="S2350" s="36" t="e">
        <f>VLOOKUP(Tabla911[[#This Row],[CODIGO DEL PRODUCTO]],Tabla79[],2,FALSE)</f>
        <v>#N/A</v>
      </c>
      <c r="T2350" s="37"/>
      <c r="U2350" s="78"/>
    </row>
    <row r="2351" spans="15:21" x14ac:dyDescent="0.25">
      <c r="O2351" s="76"/>
      <c r="P2351" s="78"/>
      <c r="Q2351" s="77"/>
      <c r="R2351" s="78"/>
      <c r="S2351" s="36" t="e">
        <f>VLOOKUP(Tabla911[[#This Row],[CODIGO DEL PRODUCTO]],Tabla79[],2,FALSE)</f>
        <v>#N/A</v>
      </c>
      <c r="T2351" s="37"/>
      <c r="U2351" s="78"/>
    </row>
    <row r="2352" spans="15:21" x14ac:dyDescent="0.25">
      <c r="O2352" s="76"/>
      <c r="P2352" s="78"/>
      <c r="Q2352" s="77"/>
      <c r="R2352" s="78"/>
      <c r="S2352" s="36" t="e">
        <f>VLOOKUP(Tabla911[[#This Row],[CODIGO DEL PRODUCTO]],Tabla79[],2,FALSE)</f>
        <v>#N/A</v>
      </c>
      <c r="T2352" s="37"/>
      <c r="U2352" s="78"/>
    </row>
    <row r="2353" spans="15:21" x14ac:dyDescent="0.25">
      <c r="O2353" s="76"/>
      <c r="P2353" s="78"/>
      <c r="Q2353" s="77"/>
      <c r="R2353" s="78"/>
      <c r="S2353" s="36" t="e">
        <f>VLOOKUP(Tabla911[[#This Row],[CODIGO DEL PRODUCTO]],Tabla79[],2,FALSE)</f>
        <v>#N/A</v>
      </c>
      <c r="T2353" s="37"/>
      <c r="U2353" s="78"/>
    </row>
    <row r="2354" spans="15:21" x14ac:dyDescent="0.25">
      <c r="O2354" s="76"/>
      <c r="P2354" s="78"/>
      <c r="Q2354" s="77"/>
      <c r="R2354" s="78"/>
      <c r="S2354" s="36" t="e">
        <f>VLOOKUP(Tabla911[[#This Row],[CODIGO DEL PRODUCTO]],Tabla79[],2,FALSE)</f>
        <v>#N/A</v>
      </c>
      <c r="T2354" s="37"/>
      <c r="U2354" s="78"/>
    </row>
    <row r="2355" spans="15:21" x14ac:dyDescent="0.25">
      <c r="O2355" s="76"/>
      <c r="P2355" s="78"/>
      <c r="Q2355" s="77"/>
      <c r="R2355" s="78"/>
      <c r="S2355" s="36" t="e">
        <f>VLOOKUP(Tabla911[[#This Row],[CODIGO DEL PRODUCTO]],Tabla79[],2,FALSE)</f>
        <v>#N/A</v>
      </c>
      <c r="T2355" s="37"/>
      <c r="U2355" s="78"/>
    </row>
    <row r="2356" spans="15:21" x14ac:dyDescent="0.25">
      <c r="O2356" s="76"/>
      <c r="P2356" s="78"/>
      <c r="Q2356" s="77"/>
      <c r="R2356" s="78"/>
      <c r="S2356" s="36" t="e">
        <f>VLOOKUP(Tabla911[[#This Row],[CODIGO DEL PRODUCTO]],Tabla79[],2,FALSE)</f>
        <v>#N/A</v>
      </c>
      <c r="T2356" s="37"/>
      <c r="U2356" s="78"/>
    </row>
    <row r="2357" spans="15:21" x14ac:dyDescent="0.25">
      <c r="O2357" s="76"/>
      <c r="P2357" s="78"/>
      <c r="Q2357" s="77"/>
      <c r="R2357" s="78"/>
      <c r="S2357" s="36" t="e">
        <f>VLOOKUP(Tabla911[[#This Row],[CODIGO DEL PRODUCTO]],Tabla79[],2,FALSE)</f>
        <v>#N/A</v>
      </c>
      <c r="T2357" s="37"/>
      <c r="U2357" s="78"/>
    </row>
    <row r="2358" spans="15:21" x14ac:dyDescent="0.25">
      <c r="O2358" s="76"/>
      <c r="P2358" s="78"/>
      <c r="Q2358" s="77"/>
      <c r="R2358" s="78"/>
      <c r="S2358" s="36" t="e">
        <f>VLOOKUP(Tabla911[[#This Row],[CODIGO DEL PRODUCTO]],Tabla79[],2,FALSE)</f>
        <v>#N/A</v>
      </c>
      <c r="T2358" s="37"/>
      <c r="U2358" s="78"/>
    </row>
    <row r="2359" spans="15:21" x14ac:dyDescent="0.25">
      <c r="O2359" s="76"/>
      <c r="P2359" s="78"/>
      <c r="Q2359" s="77"/>
      <c r="R2359" s="78"/>
      <c r="S2359" s="36" t="e">
        <f>VLOOKUP(Tabla911[[#This Row],[CODIGO DEL PRODUCTO]],Tabla79[],2,FALSE)</f>
        <v>#N/A</v>
      </c>
      <c r="T2359" s="37"/>
      <c r="U2359" s="78"/>
    </row>
    <row r="2360" spans="15:21" x14ac:dyDescent="0.25">
      <c r="O2360" s="76"/>
      <c r="P2360" s="78"/>
      <c r="Q2360" s="77"/>
      <c r="R2360" s="78"/>
      <c r="S2360" s="36" t="e">
        <f>VLOOKUP(Tabla911[[#This Row],[CODIGO DEL PRODUCTO]],Tabla79[],2,FALSE)</f>
        <v>#N/A</v>
      </c>
      <c r="T2360" s="37"/>
      <c r="U2360" s="78"/>
    </row>
    <row r="2361" spans="15:21" x14ac:dyDescent="0.25">
      <c r="O2361" s="76"/>
      <c r="P2361" s="78"/>
      <c r="Q2361" s="77"/>
      <c r="R2361" s="78"/>
      <c r="S2361" s="36" t="e">
        <f>VLOOKUP(Tabla911[[#This Row],[CODIGO DEL PRODUCTO]],Tabla79[],2,FALSE)</f>
        <v>#N/A</v>
      </c>
      <c r="T2361" s="37"/>
      <c r="U2361" s="78"/>
    </row>
    <row r="2362" spans="15:21" x14ac:dyDescent="0.25">
      <c r="O2362" s="76"/>
      <c r="P2362" s="78"/>
      <c r="Q2362" s="77"/>
      <c r="R2362" s="78"/>
      <c r="S2362" s="36" t="e">
        <f>VLOOKUP(Tabla911[[#This Row],[CODIGO DEL PRODUCTO]],Tabla79[],2,FALSE)</f>
        <v>#N/A</v>
      </c>
      <c r="T2362" s="37"/>
      <c r="U2362" s="78"/>
    </row>
    <row r="2363" spans="15:21" x14ac:dyDescent="0.25">
      <c r="O2363" s="76"/>
      <c r="P2363" s="78"/>
      <c r="Q2363" s="77"/>
      <c r="R2363" s="78"/>
      <c r="S2363" s="36" t="e">
        <f>VLOOKUP(Tabla911[[#This Row],[CODIGO DEL PRODUCTO]],Tabla79[],2,FALSE)</f>
        <v>#N/A</v>
      </c>
      <c r="T2363" s="37"/>
      <c r="U2363" s="78"/>
    </row>
    <row r="2364" spans="15:21" x14ac:dyDescent="0.25">
      <c r="O2364" s="76"/>
      <c r="P2364" s="78"/>
      <c r="Q2364" s="77"/>
      <c r="R2364" s="78"/>
      <c r="S2364" s="36" t="e">
        <f>VLOOKUP(Tabla911[[#This Row],[CODIGO DEL PRODUCTO]],Tabla79[],2,FALSE)</f>
        <v>#N/A</v>
      </c>
      <c r="T2364" s="37"/>
      <c r="U2364" s="78"/>
    </row>
    <row r="2365" spans="15:21" x14ac:dyDescent="0.25">
      <c r="O2365" s="76"/>
      <c r="P2365" s="78"/>
      <c r="Q2365" s="77"/>
      <c r="R2365" s="78"/>
      <c r="S2365" s="36" t="e">
        <f>VLOOKUP(Tabla911[[#This Row],[CODIGO DEL PRODUCTO]],Tabla79[],2,FALSE)</f>
        <v>#N/A</v>
      </c>
      <c r="T2365" s="37"/>
      <c r="U2365" s="78"/>
    </row>
    <row r="2366" spans="15:21" x14ac:dyDescent="0.25">
      <c r="O2366" s="76"/>
      <c r="P2366" s="78"/>
      <c r="Q2366" s="77"/>
      <c r="R2366" s="78"/>
      <c r="S2366" s="36" t="e">
        <f>VLOOKUP(Tabla911[[#This Row],[CODIGO DEL PRODUCTO]],Tabla79[],2,FALSE)</f>
        <v>#N/A</v>
      </c>
      <c r="T2366" s="37"/>
      <c r="U2366" s="78"/>
    </row>
    <row r="2367" spans="15:21" x14ac:dyDescent="0.25">
      <c r="O2367" s="76"/>
      <c r="P2367" s="78"/>
      <c r="Q2367" s="77"/>
      <c r="R2367" s="78"/>
      <c r="S2367" s="36" t="e">
        <f>VLOOKUP(Tabla911[[#This Row],[CODIGO DEL PRODUCTO]],Tabla79[],2,FALSE)</f>
        <v>#N/A</v>
      </c>
      <c r="T2367" s="37"/>
      <c r="U2367" s="78"/>
    </row>
    <row r="2368" spans="15:21" x14ac:dyDescent="0.25">
      <c r="O2368" s="76"/>
      <c r="P2368" s="78"/>
      <c r="Q2368" s="77"/>
      <c r="R2368" s="78"/>
      <c r="S2368" s="36" t="e">
        <f>VLOOKUP(Tabla911[[#This Row],[CODIGO DEL PRODUCTO]],Tabla79[],2,FALSE)</f>
        <v>#N/A</v>
      </c>
      <c r="T2368" s="37"/>
      <c r="U2368" s="78"/>
    </row>
    <row r="2369" spans="15:21" x14ac:dyDescent="0.25">
      <c r="O2369" s="76"/>
      <c r="P2369" s="78"/>
      <c r="Q2369" s="77"/>
      <c r="R2369" s="78"/>
      <c r="S2369" s="36" t="e">
        <f>VLOOKUP(Tabla911[[#This Row],[CODIGO DEL PRODUCTO]],Tabla79[],2,FALSE)</f>
        <v>#N/A</v>
      </c>
      <c r="T2369" s="37"/>
      <c r="U2369" s="78"/>
    </row>
    <row r="2370" spans="15:21" x14ac:dyDescent="0.25">
      <c r="O2370" s="76"/>
      <c r="P2370" s="78"/>
      <c r="Q2370" s="77"/>
      <c r="R2370" s="78"/>
      <c r="S2370" s="36" t="e">
        <f>VLOOKUP(Tabla911[[#This Row],[CODIGO DEL PRODUCTO]],Tabla79[],2,FALSE)</f>
        <v>#N/A</v>
      </c>
      <c r="T2370" s="37"/>
      <c r="U2370" s="78"/>
    </row>
    <row r="2371" spans="15:21" x14ac:dyDescent="0.25">
      <c r="O2371" s="76"/>
      <c r="P2371" s="78"/>
      <c r="Q2371" s="77"/>
      <c r="R2371" s="78"/>
      <c r="S2371" s="36" t="e">
        <f>VLOOKUP(Tabla911[[#This Row],[CODIGO DEL PRODUCTO]],Tabla79[],2,FALSE)</f>
        <v>#N/A</v>
      </c>
      <c r="T2371" s="37"/>
      <c r="U2371" s="78"/>
    </row>
    <row r="2372" spans="15:21" x14ac:dyDescent="0.25">
      <c r="O2372" s="76"/>
      <c r="P2372" s="78"/>
      <c r="Q2372" s="77"/>
      <c r="R2372" s="78"/>
      <c r="S2372" s="36" t="e">
        <f>VLOOKUP(Tabla911[[#This Row],[CODIGO DEL PRODUCTO]],Tabla79[],2,FALSE)</f>
        <v>#N/A</v>
      </c>
      <c r="T2372" s="37"/>
      <c r="U2372" s="78"/>
    </row>
    <row r="2373" spans="15:21" x14ac:dyDescent="0.25">
      <c r="O2373" s="76"/>
      <c r="P2373" s="78"/>
      <c r="Q2373" s="77"/>
      <c r="R2373" s="78"/>
      <c r="S2373" s="36" t="e">
        <f>VLOOKUP(Tabla911[[#This Row],[CODIGO DEL PRODUCTO]],Tabla79[],2,FALSE)</f>
        <v>#N/A</v>
      </c>
      <c r="T2373" s="37"/>
      <c r="U2373" s="78"/>
    </row>
    <row r="2374" spans="15:21" x14ac:dyDescent="0.25">
      <c r="O2374" s="76"/>
      <c r="P2374" s="78"/>
      <c r="Q2374" s="77"/>
      <c r="R2374" s="78"/>
      <c r="S2374" s="36" t="e">
        <f>VLOOKUP(Tabla911[[#This Row],[CODIGO DEL PRODUCTO]],Tabla79[],2,FALSE)</f>
        <v>#N/A</v>
      </c>
      <c r="T2374" s="37"/>
      <c r="U2374" s="78"/>
    </row>
    <row r="2375" spans="15:21" x14ac:dyDescent="0.25">
      <c r="O2375" s="76"/>
      <c r="P2375" s="78"/>
      <c r="Q2375" s="77"/>
      <c r="R2375" s="78"/>
      <c r="S2375" s="36" t="e">
        <f>VLOOKUP(Tabla911[[#This Row],[CODIGO DEL PRODUCTO]],Tabla79[],2,FALSE)</f>
        <v>#N/A</v>
      </c>
      <c r="T2375" s="37"/>
      <c r="U2375" s="78"/>
    </row>
    <row r="2376" spans="15:21" x14ac:dyDescent="0.25">
      <c r="O2376" s="76"/>
      <c r="P2376" s="78"/>
      <c r="Q2376" s="77"/>
      <c r="R2376" s="78"/>
      <c r="S2376" s="36" t="e">
        <f>VLOOKUP(Tabla911[[#This Row],[CODIGO DEL PRODUCTO]],Tabla79[],2,FALSE)</f>
        <v>#N/A</v>
      </c>
      <c r="T2376" s="37"/>
      <c r="U2376" s="78"/>
    </row>
    <row r="2377" spans="15:21" x14ac:dyDescent="0.25">
      <c r="O2377" s="76"/>
      <c r="P2377" s="78"/>
      <c r="Q2377" s="77"/>
      <c r="R2377" s="78"/>
      <c r="S2377" s="36" t="e">
        <f>VLOOKUP(Tabla911[[#This Row],[CODIGO DEL PRODUCTO]],Tabla79[],2,FALSE)</f>
        <v>#N/A</v>
      </c>
      <c r="T2377" s="37"/>
      <c r="U2377" s="78"/>
    </row>
    <row r="2378" spans="15:21" x14ac:dyDescent="0.25">
      <c r="O2378" s="76"/>
      <c r="P2378" s="78"/>
      <c r="Q2378" s="77"/>
      <c r="R2378" s="78"/>
      <c r="S2378" s="36" t="e">
        <f>VLOOKUP(Tabla911[[#This Row],[CODIGO DEL PRODUCTO]],Tabla79[],2,FALSE)</f>
        <v>#N/A</v>
      </c>
      <c r="T2378" s="37"/>
      <c r="U2378" s="78"/>
    </row>
    <row r="2379" spans="15:21" x14ac:dyDescent="0.25">
      <c r="O2379" s="76"/>
      <c r="P2379" s="78"/>
      <c r="Q2379" s="77"/>
      <c r="R2379" s="78"/>
      <c r="S2379" s="36" t="e">
        <f>VLOOKUP(Tabla911[[#This Row],[CODIGO DEL PRODUCTO]],Tabla79[],2,FALSE)</f>
        <v>#N/A</v>
      </c>
      <c r="T2379" s="37"/>
      <c r="U2379" s="78"/>
    </row>
    <row r="2380" spans="15:21" x14ac:dyDescent="0.25">
      <c r="O2380" s="76"/>
      <c r="P2380" s="78"/>
      <c r="Q2380" s="77"/>
      <c r="R2380" s="78"/>
      <c r="S2380" s="36" t="e">
        <f>VLOOKUP(Tabla911[[#This Row],[CODIGO DEL PRODUCTO]],Tabla79[],2,FALSE)</f>
        <v>#N/A</v>
      </c>
      <c r="T2380" s="37"/>
      <c r="U2380" s="78"/>
    </row>
    <row r="2381" spans="15:21" x14ac:dyDescent="0.25">
      <c r="O2381" s="76"/>
      <c r="P2381" s="78"/>
      <c r="Q2381" s="77"/>
      <c r="R2381" s="78"/>
      <c r="S2381" s="36" t="e">
        <f>VLOOKUP(Tabla911[[#This Row],[CODIGO DEL PRODUCTO]],Tabla79[],2,FALSE)</f>
        <v>#N/A</v>
      </c>
      <c r="T2381" s="37"/>
      <c r="U2381" s="78"/>
    </row>
    <row r="2382" spans="15:21" x14ac:dyDescent="0.25">
      <c r="O2382" s="76"/>
      <c r="P2382" s="78"/>
      <c r="Q2382" s="77"/>
      <c r="R2382" s="78"/>
      <c r="S2382" s="36" t="e">
        <f>VLOOKUP(Tabla911[[#This Row],[CODIGO DEL PRODUCTO]],Tabla79[],2,FALSE)</f>
        <v>#N/A</v>
      </c>
      <c r="T2382" s="37"/>
      <c r="U2382" s="78"/>
    </row>
    <row r="2383" spans="15:21" x14ac:dyDescent="0.25">
      <c r="O2383" s="76"/>
      <c r="P2383" s="78"/>
      <c r="Q2383" s="77"/>
      <c r="R2383" s="78"/>
      <c r="S2383" s="36" t="e">
        <f>VLOOKUP(Tabla911[[#This Row],[CODIGO DEL PRODUCTO]],Tabla79[],2,FALSE)</f>
        <v>#N/A</v>
      </c>
      <c r="T2383" s="37"/>
      <c r="U2383" s="78"/>
    </row>
    <row r="2384" spans="15:21" x14ac:dyDescent="0.25">
      <c r="O2384" s="76"/>
      <c r="P2384" s="78"/>
      <c r="Q2384" s="77"/>
      <c r="R2384" s="78"/>
      <c r="S2384" s="36" t="e">
        <f>VLOOKUP(Tabla911[[#This Row],[CODIGO DEL PRODUCTO]],Tabla79[],2,FALSE)</f>
        <v>#N/A</v>
      </c>
      <c r="T2384" s="37"/>
      <c r="U2384" s="78"/>
    </row>
    <row r="2385" spans="15:21" x14ac:dyDescent="0.25">
      <c r="O2385" s="76"/>
      <c r="P2385" s="78"/>
      <c r="Q2385" s="77"/>
      <c r="R2385" s="78"/>
      <c r="S2385" s="36" t="e">
        <f>VLOOKUP(Tabla911[[#This Row],[CODIGO DEL PRODUCTO]],Tabla79[],2,FALSE)</f>
        <v>#N/A</v>
      </c>
      <c r="T2385" s="37"/>
      <c r="U2385" s="78"/>
    </row>
    <row r="2386" spans="15:21" x14ac:dyDescent="0.25">
      <c r="O2386" s="76"/>
      <c r="P2386" s="78"/>
      <c r="Q2386" s="77"/>
      <c r="R2386" s="78"/>
      <c r="S2386" s="36" t="e">
        <f>VLOOKUP(Tabla911[[#This Row],[CODIGO DEL PRODUCTO]],Tabla79[],2,FALSE)</f>
        <v>#N/A</v>
      </c>
      <c r="T2386" s="37"/>
      <c r="U2386" s="78"/>
    </row>
    <row r="2387" spans="15:21" x14ac:dyDescent="0.25">
      <c r="O2387" s="76"/>
      <c r="P2387" s="78"/>
      <c r="Q2387" s="77"/>
      <c r="R2387" s="78"/>
      <c r="S2387" s="36" t="e">
        <f>VLOOKUP(Tabla911[[#This Row],[CODIGO DEL PRODUCTO]],Tabla79[],2,FALSE)</f>
        <v>#N/A</v>
      </c>
      <c r="T2387" s="37"/>
      <c r="U2387" s="78"/>
    </row>
    <row r="2388" spans="15:21" x14ac:dyDescent="0.25">
      <c r="O2388" s="76"/>
      <c r="P2388" s="78"/>
      <c r="Q2388" s="77"/>
      <c r="R2388" s="78"/>
      <c r="S2388" s="36" t="e">
        <f>VLOOKUP(Tabla911[[#This Row],[CODIGO DEL PRODUCTO]],Tabla79[],2,FALSE)</f>
        <v>#N/A</v>
      </c>
      <c r="T2388" s="37"/>
      <c r="U2388" s="78"/>
    </row>
    <row r="2389" spans="15:21" x14ac:dyDescent="0.25">
      <c r="O2389" s="76"/>
      <c r="P2389" s="78"/>
      <c r="Q2389" s="77"/>
      <c r="R2389" s="78"/>
      <c r="S2389" s="36" t="e">
        <f>VLOOKUP(Tabla911[[#This Row],[CODIGO DEL PRODUCTO]],Tabla79[],2,FALSE)</f>
        <v>#N/A</v>
      </c>
      <c r="T2389" s="37"/>
      <c r="U2389" s="78"/>
    </row>
    <row r="2390" spans="15:21" x14ac:dyDescent="0.25">
      <c r="O2390" s="76"/>
      <c r="P2390" s="78"/>
      <c r="Q2390" s="77"/>
      <c r="R2390" s="78"/>
      <c r="S2390" s="36" t="e">
        <f>VLOOKUP(Tabla911[[#This Row],[CODIGO DEL PRODUCTO]],Tabla79[],2,FALSE)</f>
        <v>#N/A</v>
      </c>
      <c r="T2390" s="37"/>
      <c r="U2390" s="78"/>
    </row>
    <row r="2391" spans="15:21" x14ac:dyDescent="0.25">
      <c r="O2391" s="76"/>
      <c r="P2391" s="78"/>
      <c r="Q2391" s="77"/>
      <c r="R2391" s="78"/>
      <c r="S2391" s="36" t="e">
        <f>VLOOKUP(Tabla911[[#This Row],[CODIGO DEL PRODUCTO]],Tabla79[],2,FALSE)</f>
        <v>#N/A</v>
      </c>
      <c r="T2391" s="37"/>
      <c r="U2391" s="78"/>
    </row>
    <row r="2392" spans="15:21" x14ac:dyDescent="0.25">
      <c r="O2392" s="76"/>
      <c r="P2392" s="78"/>
      <c r="Q2392" s="77"/>
      <c r="R2392" s="78"/>
      <c r="S2392" s="36" t="e">
        <f>VLOOKUP(Tabla911[[#This Row],[CODIGO DEL PRODUCTO]],Tabla79[],2,FALSE)</f>
        <v>#N/A</v>
      </c>
      <c r="T2392" s="37"/>
      <c r="U2392" s="78"/>
    </row>
    <row r="2393" spans="15:21" x14ac:dyDescent="0.25">
      <c r="O2393" s="76"/>
      <c r="P2393" s="78"/>
      <c r="Q2393" s="77"/>
      <c r="R2393" s="78"/>
      <c r="S2393" s="36" t="e">
        <f>VLOOKUP(Tabla911[[#This Row],[CODIGO DEL PRODUCTO]],Tabla79[],2,FALSE)</f>
        <v>#N/A</v>
      </c>
      <c r="T2393" s="37"/>
      <c r="U2393" s="78"/>
    </row>
    <row r="2394" spans="15:21" x14ac:dyDescent="0.25">
      <c r="O2394" s="76"/>
      <c r="P2394" s="78"/>
      <c r="Q2394" s="77"/>
      <c r="R2394" s="78"/>
      <c r="S2394" s="36" t="e">
        <f>VLOOKUP(Tabla911[[#This Row],[CODIGO DEL PRODUCTO]],Tabla79[],2,FALSE)</f>
        <v>#N/A</v>
      </c>
      <c r="T2394" s="37"/>
      <c r="U2394" s="78"/>
    </row>
    <row r="2395" spans="15:21" x14ac:dyDescent="0.25">
      <c r="O2395" s="76"/>
      <c r="P2395" s="78"/>
      <c r="Q2395" s="77"/>
      <c r="R2395" s="78"/>
      <c r="S2395" s="36" t="e">
        <f>VLOOKUP(Tabla911[[#This Row],[CODIGO DEL PRODUCTO]],Tabla79[],2,FALSE)</f>
        <v>#N/A</v>
      </c>
      <c r="T2395" s="37"/>
      <c r="U2395" s="78"/>
    </row>
    <row r="2396" spans="15:21" x14ac:dyDescent="0.25">
      <c r="O2396" s="76"/>
      <c r="P2396" s="78"/>
      <c r="Q2396" s="77"/>
      <c r="R2396" s="78"/>
      <c r="S2396" s="36" t="e">
        <f>VLOOKUP(Tabla911[[#This Row],[CODIGO DEL PRODUCTO]],Tabla79[],2,FALSE)</f>
        <v>#N/A</v>
      </c>
      <c r="T2396" s="37"/>
      <c r="U2396" s="78"/>
    </row>
    <row r="2397" spans="15:21" x14ac:dyDescent="0.25">
      <c r="O2397" s="76"/>
      <c r="P2397" s="78"/>
      <c r="Q2397" s="77"/>
      <c r="R2397" s="78"/>
      <c r="S2397" s="36" t="e">
        <f>VLOOKUP(Tabla911[[#This Row],[CODIGO DEL PRODUCTO]],Tabla79[],2,FALSE)</f>
        <v>#N/A</v>
      </c>
      <c r="T2397" s="37"/>
      <c r="U2397" s="78"/>
    </row>
    <row r="2398" spans="15:21" x14ac:dyDescent="0.25">
      <c r="O2398" s="76"/>
      <c r="P2398" s="78"/>
      <c r="Q2398" s="77"/>
      <c r="R2398" s="78"/>
      <c r="S2398" s="36" t="e">
        <f>VLOOKUP(Tabla911[[#This Row],[CODIGO DEL PRODUCTO]],Tabla79[],2,FALSE)</f>
        <v>#N/A</v>
      </c>
      <c r="T2398" s="37"/>
      <c r="U2398" s="78"/>
    </row>
    <row r="2399" spans="15:21" x14ac:dyDescent="0.25">
      <c r="O2399" s="76"/>
      <c r="P2399" s="78"/>
      <c r="Q2399" s="77"/>
      <c r="R2399" s="78"/>
      <c r="S2399" s="36" t="e">
        <f>VLOOKUP(Tabla911[[#This Row],[CODIGO DEL PRODUCTO]],Tabla79[],2,FALSE)</f>
        <v>#N/A</v>
      </c>
      <c r="T2399" s="37"/>
      <c r="U2399" s="78"/>
    </row>
    <row r="2400" spans="15:21" x14ac:dyDescent="0.25">
      <c r="O2400" s="76"/>
      <c r="P2400" s="78"/>
      <c r="Q2400" s="77"/>
      <c r="R2400" s="78"/>
      <c r="S2400" s="36" t="e">
        <f>VLOOKUP(Tabla911[[#This Row],[CODIGO DEL PRODUCTO]],Tabla79[],2,FALSE)</f>
        <v>#N/A</v>
      </c>
      <c r="T2400" s="37"/>
      <c r="U2400" s="78"/>
    </row>
    <row r="2401" spans="15:21" x14ac:dyDescent="0.25">
      <c r="O2401" s="76"/>
      <c r="P2401" s="78"/>
      <c r="Q2401" s="77"/>
      <c r="R2401" s="78"/>
      <c r="S2401" s="36" t="e">
        <f>VLOOKUP(Tabla911[[#This Row],[CODIGO DEL PRODUCTO]],Tabla79[],2,FALSE)</f>
        <v>#N/A</v>
      </c>
      <c r="T2401" s="37"/>
      <c r="U2401" s="78"/>
    </row>
    <row r="2402" spans="15:21" x14ac:dyDescent="0.25">
      <c r="O2402" s="76"/>
      <c r="P2402" s="78"/>
      <c r="Q2402" s="77"/>
      <c r="R2402" s="78"/>
      <c r="S2402" s="36" t="e">
        <f>VLOOKUP(Tabla911[[#This Row],[CODIGO DEL PRODUCTO]],Tabla79[],2,FALSE)</f>
        <v>#N/A</v>
      </c>
      <c r="T2402" s="37"/>
      <c r="U2402" s="78"/>
    </row>
    <row r="2403" spans="15:21" x14ac:dyDescent="0.25">
      <c r="O2403" s="76"/>
      <c r="P2403" s="78"/>
      <c r="Q2403" s="77"/>
      <c r="R2403" s="78"/>
      <c r="S2403" s="36" t="e">
        <f>VLOOKUP(Tabla911[[#This Row],[CODIGO DEL PRODUCTO]],Tabla79[],2,FALSE)</f>
        <v>#N/A</v>
      </c>
      <c r="T2403" s="37"/>
      <c r="U2403" s="78"/>
    </row>
    <row r="2404" spans="15:21" x14ac:dyDescent="0.25">
      <c r="O2404" s="76"/>
      <c r="P2404" s="78"/>
      <c r="Q2404" s="77"/>
      <c r="R2404" s="78"/>
      <c r="S2404" s="36" t="e">
        <f>VLOOKUP(Tabla911[[#This Row],[CODIGO DEL PRODUCTO]],Tabla79[],2,FALSE)</f>
        <v>#N/A</v>
      </c>
      <c r="T2404" s="37"/>
      <c r="U2404" s="78"/>
    </row>
    <row r="2405" spans="15:21" x14ac:dyDescent="0.25">
      <c r="O2405" s="76"/>
      <c r="P2405" s="78"/>
      <c r="Q2405" s="77"/>
      <c r="R2405" s="78"/>
      <c r="S2405" s="36" t="e">
        <f>VLOOKUP(Tabla911[[#This Row],[CODIGO DEL PRODUCTO]],Tabla79[],2,FALSE)</f>
        <v>#N/A</v>
      </c>
      <c r="T2405" s="37"/>
      <c r="U2405" s="78"/>
    </row>
    <row r="2406" spans="15:21" x14ac:dyDescent="0.25">
      <c r="O2406" s="76"/>
      <c r="P2406" s="78"/>
      <c r="Q2406" s="77"/>
      <c r="R2406" s="78"/>
      <c r="S2406" s="36" t="e">
        <f>VLOOKUP(Tabla911[[#This Row],[CODIGO DEL PRODUCTO]],Tabla79[],2,FALSE)</f>
        <v>#N/A</v>
      </c>
      <c r="T2406" s="37"/>
      <c r="U2406" s="78"/>
    </row>
    <row r="2407" spans="15:21" x14ac:dyDescent="0.25">
      <c r="O2407" s="76"/>
      <c r="P2407" s="78"/>
      <c r="Q2407" s="77"/>
      <c r="R2407" s="78"/>
      <c r="S2407" s="36" t="e">
        <f>VLOOKUP(Tabla911[[#This Row],[CODIGO DEL PRODUCTO]],Tabla79[],2,FALSE)</f>
        <v>#N/A</v>
      </c>
      <c r="T2407" s="37"/>
      <c r="U2407" s="78"/>
    </row>
    <row r="2408" spans="15:21" x14ac:dyDescent="0.25">
      <c r="O2408" s="76"/>
      <c r="P2408" s="78"/>
      <c r="Q2408" s="77"/>
      <c r="R2408" s="78"/>
      <c r="S2408" s="36" t="e">
        <f>VLOOKUP(Tabla911[[#This Row],[CODIGO DEL PRODUCTO]],Tabla79[],2,FALSE)</f>
        <v>#N/A</v>
      </c>
      <c r="T2408" s="37"/>
      <c r="U2408" s="78"/>
    </row>
    <row r="2409" spans="15:21" x14ac:dyDescent="0.25">
      <c r="O2409" s="76"/>
      <c r="P2409" s="78"/>
      <c r="Q2409" s="77"/>
      <c r="R2409" s="78"/>
      <c r="S2409" s="36" t="e">
        <f>VLOOKUP(Tabla911[[#This Row],[CODIGO DEL PRODUCTO]],Tabla79[],2,FALSE)</f>
        <v>#N/A</v>
      </c>
      <c r="T2409" s="37"/>
      <c r="U2409" s="78"/>
    </row>
    <row r="2410" spans="15:21" x14ac:dyDescent="0.25">
      <c r="O2410" s="76"/>
      <c r="P2410" s="78"/>
      <c r="Q2410" s="77"/>
      <c r="R2410" s="78"/>
      <c r="S2410" s="36" t="e">
        <f>VLOOKUP(Tabla911[[#This Row],[CODIGO DEL PRODUCTO]],Tabla79[],2,FALSE)</f>
        <v>#N/A</v>
      </c>
      <c r="T2410" s="37"/>
      <c r="U2410" s="78"/>
    </row>
    <row r="2411" spans="15:21" x14ac:dyDescent="0.25">
      <c r="O2411" s="76"/>
      <c r="P2411" s="78"/>
      <c r="Q2411" s="77"/>
      <c r="R2411" s="78"/>
      <c r="S2411" s="36" t="e">
        <f>VLOOKUP(Tabla911[[#This Row],[CODIGO DEL PRODUCTO]],Tabla79[],2,FALSE)</f>
        <v>#N/A</v>
      </c>
      <c r="T2411" s="37"/>
      <c r="U2411" s="78"/>
    </row>
    <row r="2412" spans="15:21" x14ac:dyDescent="0.25">
      <c r="O2412" s="76"/>
      <c r="P2412" s="78"/>
      <c r="Q2412" s="77"/>
      <c r="R2412" s="78"/>
      <c r="S2412" s="36" t="e">
        <f>VLOOKUP(Tabla911[[#This Row],[CODIGO DEL PRODUCTO]],Tabla79[],2,FALSE)</f>
        <v>#N/A</v>
      </c>
      <c r="T2412" s="37"/>
      <c r="U2412" s="78"/>
    </row>
    <row r="2413" spans="15:21" x14ac:dyDescent="0.25">
      <c r="O2413" s="76"/>
      <c r="P2413" s="78"/>
      <c r="Q2413" s="77"/>
      <c r="R2413" s="78"/>
      <c r="S2413" s="36" t="e">
        <f>VLOOKUP(Tabla911[[#This Row],[CODIGO DEL PRODUCTO]],Tabla79[],2,FALSE)</f>
        <v>#N/A</v>
      </c>
      <c r="T2413" s="37"/>
      <c r="U2413" s="78"/>
    </row>
    <row r="2414" spans="15:21" x14ac:dyDescent="0.25">
      <c r="O2414" s="76"/>
      <c r="P2414" s="78"/>
      <c r="Q2414" s="77"/>
      <c r="R2414" s="78"/>
      <c r="S2414" s="36" t="e">
        <f>VLOOKUP(Tabla911[[#This Row],[CODIGO DEL PRODUCTO]],Tabla79[],2,FALSE)</f>
        <v>#N/A</v>
      </c>
      <c r="T2414" s="37"/>
      <c r="U2414" s="78"/>
    </row>
    <row r="2415" spans="15:21" x14ac:dyDescent="0.25">
      <c r="O2415" s="76"/>
      <c r="P2415" s="78"/>
      <c r="Q2415" s="77"/>
      <c r="R2415" s="78"/>
      <c r="S2415" s="36" t="e">
        <f>VLOOKUP(Tabla911[[#This Row],[CODIGO DEL PRODUCTO]],Tabla79[],2,FALSE)</f>
        <v>#N/A</v>
      </c>
      <c r="T2415" s="37"/>
      <c r="U2415" s="78"/>
    </row>
    <row r="2416" spans="15:21" x14ac:dyDescent="0.25">
      <c r="O2416" s="76"/>
      <c r="P2416" s="78"/>
      <c r="Q2416" s="77"/>
      <c r="R2416" s="78"/>
      <c r="S2416" s="36" t="e">
        <f>VLOOKUP(Tabla911[[#This Row],[CODIGO DEL PRODUCTO]],Tabla79[],2,FALSE)</f>
        <v>#N/A</v>
      </c>
      <c r="T2416" s="37"/>
      <c r="U2416" s="78"/>
    </row>
    <row r="2417" spans="15:21" x14ac:dyDescent="0.25">
      <c r="O2417" s="76"/>
      <c r="P2417" s="78"/>
      <c r="Q2417" s="77"/>
      <c r="R2417" s="78"/>
      <c r="S2417" s="36" t="e">
        <f>VLOOKUP(Tabla911[[#This Row],[CODIGO DEL PRODUCTO]],Tabla79[],2,FALSE)</f>
        <v>#N/A</v>
      </c>
      <c r="T2417" s="37"/>
      <c r="U2417" s="78"/>
    </row>
    <row r="2418" spans="15:21" x14ac:dyDescent="0.25">
      <c r="O2418" s="76"/>
      <c r="P2418" s="78"/>
      <c r="Q2418" s="77"/>
      <c r="R2418" s="78"/>
      <c r="S2418" s="36" t="e">
        <f>VLOOKUP(Tabla911[[#This Row],[CODIGO DEL PRODUCTO]],Tabla79[],2,FALSE)</f>
        <v>#N/A</v>
      </c>
      <c r="T2418" s="37"/>
      <c r="U2418" s="78"/>
    </row>
    <row r="2419" spans="15:21" x14ac:dyDescent="0.25">
      <c r="O2419" s="76"/>
      <c r="P2419" s="78"/>
      <c r="Q2419" s="77"/>
      <c r="R2419" s="78"/>
      <c r="S2419" s="36" t="e">
        <f>VLOOKUP(Tabla911[[#This Row],[CODIGO DEL PRODUCTO]],Tabla79[],2,FALSE)</f>
        <v>#N/A</v>
      </c>
      <c r="T2419" s="37"/>
      <c r="U2419" s="78"/>
    </row>
    <row r="2420" spans="15:21" x14ac:dyDescent="0.25">
      <c r="O2420" s="76"/>
      <c r="P2420" s="78"/>
      <c r="Q2420" s="77"/>
      <c r="R2420" s="78"/>
      <c r="S2420" s="36" t="e">
        <f>VLOOKUP(Tabla911[[#This Row],[CODIGO DEL PRODUCTO]],Tabla79[],2,FALSE)</f>
        <v>#N/A</v>
      </c>
      <c r="T2420" s="37"/>
      <c r="U2420" s="78"/>
    </row>
    <row r="2421" spans="15:21" x14ac:dyDescent="0.25">
      <c r="O2421" s="76"/>
      <c r="P2421" s="78"/>
      <c r="Q2421" s="77"/>
      <c r="R2421" s="78"/>
      <c r="S2421" s="36" t="e">
        <f>VLOOKUP(Tabla911[[#This Row],[CODIGO DEL PRODUCTO]],Tabla79[],2,FALSE)</f>
        <v>#N/A</v>
      </c>
      <c r="T2421" s="37"/>
      <c r="U2421" s="78"/>
    </row>
    <row r="2422" spans="15:21" x14ac:dyDescent="0.25">
      <c r="O2422" s="76"/>
      <c r="P2422" s="78"/>
      <c r="Q2422" s="77"/>
      <c r="R2422" s="78"/>
      <c r="S2422" s="36" t="e">
        <f>VLOOKUP(Tabla911[[#This Row],[CODIGO DEL PRODUCTO]],Tabla79[],2,FALSE)</f>
        <v>#N/A</v>
      </c>
      <c r="T2422" s="37"/>
      <c r="U2422" s="78"/>
    </row>
    <row r="2423" spans="15:21" x14ac:dyDescent="0.25">
      <c r="O2423" s="76"/>
      <c r="P2423" s="78"/>
      <c r="Q2423" s="77"/>
      <c r="R2423" s="78"/>
      <c r="S2423" s="36" t="e">
        <f>VLOOKUP(Tabla911[[#This Row],[CODIGO DEL PRODUCTO]],Tabla79[],2,FALSE)</f>
        <v>#N/A</v>
      </c>
      <c r="T2423" s="37"/>
      <c r="U2423" s="78"/>
    </row>
    <row r="2424" spans="15:21" x14ac:dyDescent="0.25">
      <c r="O2424" s="76"/>
      <c r="P2424" s="78"/>
      <c r="Q2424" s="77"/>
      <c r="R2424" s="78"/>
      <c r="S2424" s="36" t="e">
        <f>VLOOKUP(Tabla911[[#This Row],[CODIGO DEL PRODUCTO]],Tabla79[],2,FALSE)</f>
        <v>#N/A</v>
      </c>
      <c r="T2424" s="37"/>
      <c r="U2424" s="78"/>
    </row>
    <row r="2425" spans="15:21" x14ac:dyDescent="0.25">
      <c r="O2425" s="76"/>
      <c r="P2425" s="78"/>
      <c r="Q2425" s="77"/>
      <c r="R2425" s="78"/>
      <c r="S2425" s="36" t="e">
        <f>VLOOKUP(Tabla911[[#This Row],[CODIGO DEL PRODUCTO]],Tabla79[],2,FALSE)</f>
        <v>#N/A</v>
      </c>
      <c r="T2425" s="37"/>
      <c r="U2425" s="78"/>
    </row>
    <row r="2426" spans="15:21" x14ac:dyDescent="0.25">
      <c r="O2426" s="76"/>
      <c r="P2426" s="78"/>
      <c r="Q2426" s="77"/>
      <c r="R2426" s="78"/>
      <c r="S2426" s="36" t="e">
        <f>VLOOKUP(Tabla911[[#This Row],[CODIGO DEL PRODUCTO]],Tabla79[],2,FALSE)</f>
        <v>#N/A</v>
      </c>
      <c r="T2426" s="37"/>
      <c r="U2426" s="78"/>
    </row>
    <row r="2427" spans="15:21" x14ac:dyDescent="0.25">
      <c r="O2427" s="76"/>
      <c r="P2427" s="78"/>
      <c r="Q2427" s="77"/>
      <c r="R2427" s="78"/>
      <c r="S2427" s="36" t="e">
        <f>VLOOKUP(Tabla911[[#This Row],[CODIGO DEL PRODUCTO]],Tabla79[],2,FALSE)</f>
        <v>#N/A</v>
      </c>
      <c r="T2427" s="37"/>
      <c r="U2427" s="78"/>
    </row>
    <row r="2428" spans="15:21" x14ac:dyDescent="0.25">
      <c r="O2428" s="76"/>
      <c r="P2428" s="78"/>
      <c r="Q2428" s="77"/>
      <c r="R2428" s="78"/>
      <c r="S2428" s="36" t="e">
        <f>VLOOKUP(Tabla911[[#This Row],[CODIGO DEL PRODUCTO]],Tabla79[],2,FALSE)</f>
        <v>#N/A</v>
      </c>
      <c r="T2428" s="37"/>
      <c r="U2428" s="78"/>
    </row>
    <row r="2429" spans="15:21" x14ac:dyDescent="0.25">
      <c r="O2429" s="76"/>
      <c r="P2429" s="78"/>
      <c r="Q2429" s="77"/>
      <c r="R2429" s="78"/>
      <c r="S2429" s="36" t="e">
        <f>VLOOKUP(Tabla911[[#This Row],[CODIGO DEL PRODUCTO]],Tabla79[],2,FALSE)</f>
        <v>#N/A</v>
      </c>
      <c r="T2429" s="37"/>
      <c r="U2429" s="78"/>
    </row>
    <row r="2430" spans="15:21" x14ac:dyDescent="0.25">
      <c r="O2430" s="76"/>
      <c r="P2430" s="78"/>
      <c r="Q2430" s="77"/>
      <c r="R2430" s="78"/>
      <c r="S2430" s="36" t="e">
        <f>VLOOKUP(Tabla911[[#This Row],[CODIGO DEL PRODUCTO]],Tabla79[],2,FALSE)</f>
        <v>#N/A</v>
      </c>
      <c r="T2430" s="37"/>
      <c r="U2430" s="78"/>
    </row>
    <row r="2431" spans="15:21" x14ac:dyDescent="0.25">
      <c r="O2431" s="76"/>
      <c r="P2431" s="78"/>
      <c r="Q2431" s="77"/>
      <c r="R2431" s="78"/>
      <c r="S2431" s="36" t="e">
        <f>VLOOKUP(Tabla911[[#This Row],[CODIGO DEL PRODUCTO]],Tabla79[],2,FALSE)</f>
        <v>#N/A</v>
      </c>
      <c r="T2431" s="37"/>
      <c r="U2431" s="78"/>
    </row>
    <row r="2432" spans="15:21" x14ac:dyDescent="0.25">
      <c r="O2432" s="76"/>
      <c r="P2432" s="78"/>
      <c r="Q2432" s="77"/>
      <c r="R2432" s="78"/>
      <c r="S2432" s="36" t="e">
        <f>VLOOKUP(Tabla911[[#This Row],[CODIGO DEL PRODUCTO]],Tabla79[],2,FALSE)</f>
        <v>#N/A</v>
      </c>
      <c r="T2432" s="37"/>
      <c r="U2432" s="78"/>
    </row>
    <row r="2433" spans="15:21" x14ac:dyDescent="0.25">
      <c r="O2433" s="76"/>
      <c r="P2433" s="78"/>
      <c r="Q2433" s="77"/>
      <c r="R2433" s="78"/>
      <c r="S2433" s="36" t="e">
        <f>VLOOKUP(Tabla911[[#This Row],[CODIGO DEL PRODUCTO]],Tabla79[],2,FALSE)</f>
        <v>#N/A</v>
      </c>
      <c r="T2433" s="37"/>
      <c r="U2433" s="78"/>
    </row>
    <row r="2434" spans="15:21" x14ac:dyDescent="0.25">
      <c r="O2434" s="76"/>
      <c r="P2434" s="78"/>
      <c r="Q2434" s="77"/>
      <c r="R2434" s="78"/>
      <c r="S2434" s="36" t="e">
        <f>VLOOKUP(Tabla911[[#This Row],[CODIGO DEL PRODUCTO]],Tabla79[],2,FALSE)</f>
        <v>#N/A</v>
      </c>
      <c r="T2434" s="37"/>
      <c r="U2434" s="78"/>
    </row>
    <row r="2435" spans="15:21" x14ac:dyDescent="0.25">
      <c r="O2435" s="76"/>
      <c r="P2435" s="78"/>
      <c r="Q2435" s="77"/>
      <c r="R2435" s="78"/>
      <c r="S2435" s="36" t="e">
        <f>VLOOKUP(Tabla911[[#This Row],[CODIGO DEL PRODUCTO]],Tabla79[],2,FALSE)</f>
        <v>#N/A</v>
      </c>
      <c r="T2435" s="37"/>
      <c r="U2435" s="78"/>
    </row>
    <row r="2436" spans="15:21" x14ac:dyDescent="0.25">
      <c r="O2436" s="76"/>
      <c r="P2436" s="78"/>
      <c r="Q2436" s="77"/>
      <c r="R2436" s="78"/>
      <c r="S2436" s="36" t="e">
        <f>VLOOKUP(Tabla911[[#This Row],[CODIGO DEL PRODUCTO]],Tabla79[],2,FALSE)</f>
        <v>#N/A</v>
      </c>
      <c r="T2436" s="37"/>
      <c r="U2436" s="78"/>
    </row>
    <row r="2437" spans="15:21" x14ac:dyDescent="0.25">
      <c r="O2437" s="76"/>
      <c r="P2437" s="78"/>
      <c r="Q2437" s="77"/>
      <c r="R2437" s="78"/>
      <c r="S2437" s="36" t="e">
        <f>VLOOKUP(Tabla911[[#This Row],[CODIGO DEL PRODUCTO]],Tabla79[],2,FALSE)</f>
        <v>#N/A</v>
      </c>
      <c r="T2437" s="37"/>
      <c r="U2437" s="78"/>
    </row>
    <row r="2438" spans="15:21" x14ac:dyDescent="0.25">
      <c r="O2438" s="76"/>
      <c r="P2438" s="78"/>
      <c r="Q2438" s="77"/>
      <c r="R2438" s="78"/>
      <c r="S2438" s="36" t="e">
        <f>VLOOKUP(Tabla911[[#This Row],[CODIGO DEL PRODUCTO]],Tabla79[],2,FALSE)</f>
        <v>#N/A</v>
      </c>
      <c r="T2438" s="37"/>
      <c r="U2438" s="78"/>
    </row>
    <row r="2439" spans="15:21" x14ac:dyDescent="0.25">
      <c r="O2439" s="76"/>
      <c r="P2439" s="78"/>
      <c r="Q2439" s="77"/>
      <c r="R2439" s="78"/>
      <c r="S2439" s="36" t="e">
        <f>VLOOKUP(Tabla911[[#This Row],[CODIGO DEL PRODUCTO]],Tabla79[],2,FALSE)</f>
        <v>#N/A</v>
      </c>
      <c r="T2439" s="37"/>
      <c r="U2439" s="78"/>
    </row>
    <row r="2440" spans="15:21" x14ac:dyDescent="0.25">
      <c r="O2440" s="76"/>
      <c r="P2440" s="78"/>
      <c r="Q2440" s="77"/>
      <c r="R2440" s="78"/>
      <c r="S2440" s="36" t="e">
        <f>VLOOKUP(Tabla911[[#This Row],[CODIGO DEL PRODUCTO]],Tabla79[],2,FALSE)</f>
        <v>#N/A</v>
      </c>
      <c r="T2440" s="37"/>
      <c r="U2440" s="78"/>
    </row>
    <row r="2441" spans="15:21" x14ac:dyDescent="0.25">
      <c r="O2441" s="76"/>
      <c r="P2441" s="78"/>
      <c r="Q2441" s="77"/>
      <c r="R2441" s="78"/>
      <c r="S2441" s="36" t="e">
        <f>VLOOKUP(Tabla911[[#This Row],[CODIGO DEL PRODUCTO]],Tabla79[],2,FALSE)</f>
        <v>#N/A</v>
      </c>
      <c r="T2441" s="37"/>
      <c r="U2441" s="78"/>
    </row>
    <row r="2442" spans="15:21" x14ac:dyDescent="0.25">
      <c r="O2442" s="76"/>
      <c r="P2442" s="78"/>
      <c r="Q2442" s="77"/>
      <c r="R2442" s="78"/>
      <c r="S2442" s="36" t="e">
        <f>VLOOKUP(Tabla911[[#This Row],[CODIGO DEL PRODUCTO]],Tabla79[],2,FALSE)</f>
        <v>#N/A</v>
      </c>
      <c r="T2442" s="37"/>
      <c r="U2442" s="78"/>
    </row>
    <row r="2443" spans="15:21" x14ac:dyDescent="0.25">
      <c r="O2443" s="76"/>
      <c r="P2443" s="78"/>
      <c r="Q2443" s="77"/>
      <c r="R2443" s="78"/>
      <c r="S2443" s="36" t="e">
        <f>VLOOKUP(Tabla911[[#This Row],[CODIGO DEL PRODUCTO]],Tabla79[],2,FALSE)</f>
        <v>#N/A</v>
      </c>
      <c r="T2443" s="37"/>
      <c r="U2443" s="78"/>
    </row>
    <row r="2444" spans="15:21" x14ac:dyDescent="0.25">
      <c r="O2444" s="76"/>
      <c r="P2444" s="78"/>
      <c r="Q2444" s="77"/>
      <c r="R2444" s="78"/>
      <c r="S2444" s="36" t="e">
        <f>VLOOKUP(Tabla911[[#This Row],[CODIGO DEL PRODUCTO]],Tabla79[],2,FALSE)</f>
        <v>#N/A</v>
      </c>
      <c r="T2444" s="37"/>
      <c r="U2444" s="78"/>
    </row>
    <row r="2445" spans="15:21" x14ac:dyDescent="0.25">
      <c r="O2445" s="76"/>
      <c r="P2445" s="78"/>
      <c r="Q2445" s="77"/>
      <c r="R2445" s="78"/>
      <c r="S2445" s="36" t="e">
        <f>VLOOKUP(Tabla911[[#This Row],[CODIGO DEL PRODUCTO]],Tabla79[],2,FALSE)</f>
        <v>#N/A</v>
      </c>
      <c r="T2445" s="37"/>
      <c r="U2445" s="78"/>
    </row>
    <row r="2446" spans="15:21" x14ac:dyDescent="0.25">
      <c r="O2446" s="76"/>
      <c r="P2446" s="78"/>
      <c r="Q2446" s="77"/>
      <c r="R2446" s="78"/>
      <c r="S2446" s="36" t="e">
        <f>VLOOKUP(Tabla911[[#This Row],[CODIGO DEL PRODUCTO]],Tabla79[],2,FALSE)</f>
        <v>#N/A</v>
      </c>
      <c r="T2446" s="37"/>
      <c r="U2446" s="78"/>
    </row>
    <row r="2447" spans="15:21" x14ac:dyDescent="0.25">
      <c r="O2447" s="76"/>
      <c r="P2447" s="78"/>
      <c r="Q2447" s="77"/>
      <c r="R2447" s="78"/>
      <c r="S2447" s="36" t="e">
        <f>VLOOKUP(Tabla911[[#This Row],[CODIGO DEL PRODUCTO]],Tabla79[],2,FALSE)</f>
        <v>#N/A</v>
      </c>
      <c r="T2447" s="37"/>
      <c r="U2447" s="78"/>
    </row>
    <row r="2448" spans="15:21" x14ac:dyDescent="0.25">
      <c r="O2448" s="76"/>
      <c r="P2448" s="78"/>
      <c r="Q2448" s="77"/>
      <c r="R2448" s="78"/>
      <c r="S2448" s="36" t="e">
        <f>VLOOKUP(Tabla911[[#This Row],[CODIGO DEL PRODUCTO]],Tabla79[],2,FALSE)</f>
        <v>#N/A</v>
      </c>
      <c r="T2448" s="37"/>
      <c r="U2448" s="78"/>
    </row>
    <row r="2449" spans="15:21" x14ac:dyDescent="0.25">
      <c r="O2449" s="76"/>
      <c r="P2449" s="78"/>
      <c r="Q2449" s="77"/>
      <c r="R2449" s="78"/>
      <c r="S2449" s="36" t="e">
        <f>VLOOKUP(Tabla911[[#This Row],[CODIGO DEL PRODUCTO]],Tabla79[],2,FALSE)</f>
        <v>#N/A</v>
      </c>
      <c r="T2449" s="37"/>
      <c r="U2449" s="78"/>
    </row>
    <row r="2450" spans="15:21" x14ac:dyDescent="0.25">
      <c r="O2450" s="76"/>
      <c r="P2450" s="78"/>
      <c r="Q2450" s="77"/>
      <c r="R2450" s="78"/>
      <c r="S2450" s="36" t="e">
        <f>VLOOKUP(Tabla911[[#This Row],[CODIGO DEL PRODUCTO]],Tabla79[],2,FALSE)</f>
        <v>#N/A</v>
      </c>
      <c r="T2450" s="37"/>
      <c r="U2450" s="78"/>
    </row>
    <row r="2451" spans="15:21" x14ac:dyDescent="0.25">
      <c r="O2451" s="76"/>
      <c r="P2451" s="78"/>
      <c r="Q2451" s="77"/>
      <c r="R2451" s="78"/>
      <c r="S2451" s="36" t="e">
        <f>VLOOKUP(Tabla911[[#This Row],[CODIGO DEL PRODUCTO]],Tabla79[],2,FALSE)</f>
        <v>#N/A</v>
      </c>
      <c r="T2451" s="37"/>
      <c r="U2451" s="78"/>
    </row>
    <row r="2452" spans="15:21" x14ac:dyDescent="0.25">
      <c r="O2452" s="76"/>
      <c r="P2452" s="78"/>
      <c r="Q2452" s="77"/>
      <c r="R2452" s="78"/>
      <c r="S2452" s="36" t="e">
        <f>VLOOKUP(Tabla911[[#This Row],[CODIGO DEL PRODUCTO]],Tabla79[],2,FALSE)</f>
        <v>#N/A</v>
      </c>
      <c r="T2452" s="37"/>
      <c r="U2452" s="78"/>
    </row>
    <row r="2453" spans="15:21" x14ac:dyDescent="0.25">
      <c r="O2453" s="76"/>
      <c r="P2453" s="78"/>
      <c r="Q2453" s="77"/>
      <c r="R2453" s="78"/>
      <c r="S2453" s="36" t="e">
        <f>VLOOKUP(Tabla911[[#This Row],[CODIGO DEL PRODUCTO]],Tabla79[],2,FALSE)</f>
        <v>#N/A</v>
      </c>
      <c r="T2453" s="37"/>
      <c r="U2453" s="78"/>
    </row>
    <row r="2454" spans="15:21" x14ac:dyDescent="0.25">
      <c r="O2454" s="76"/>
      <c r="P2454" s="78"/>
      <c r="Q2454" s="77"/>
      <c r="R2454" s="78"/>
      <c r="S2454" s="36" t="e">
        <f>VLOOKUP(Tabla911[[#This Row],[CODIGO DEL PRODUCTO]],Tabla79[],2,FALSE)</f>
        <v>#N/A</v>
      </c>
      <c r="T2454" s="37"/>
      <c r="U2454" s="78"/>
    </row>
    <row r="2455" spans="15:21" x14ac:dyDescent="0.25">
      <c r="O2455" s="76"/>
      <c r="P2455" s="78"/>
      <c r="Q2455" s="77"/>
      <c r="R2455" s="78"/>
      <c r="S2455" s="36" t="e">
        <f>VLOOKUP(Tabla911[[#This Row],[CODIGO DEL PRODUCTO]],Tabla79[],2,FALSE)</f>
        <v>#N/A</v>
      </c>
      <c r="T2455" s="37"/>
      <c r="U2455" s="78"/>
    </row>
    <row r="2456" spans="15:21" x14ac:dyDescent="0.25">
      <c r="O2456" s="76"/>
      <c r="P2456" s="78"/>
      <c r="Q2456" s="77"/>
      <c r="R2456" s="78"/>
      <c r="S2456" s="36" t="e">
        <f>VLOOKUP(Tabla911[[#This Row],[CODIGO DEL PRODUCTO]],Tabla79[],2,FALSE)</f>
        <v>#N/A</v>
      </c>
      <c r="T2456" s="37"/>
      <c r="U2456" s="78"/>
    </row>
    <row r="2457" spans="15:21" x14ac:dyDescent="0.25">
      <c r="O2457" s="76"/>
      <c r="P2457" s="78"/>
      <c r="Q2457" s="77"/>
      <c r="R2457" s="78"/>
      <c r="S2457" s="36" t="e">
        <f>VLOOKUP(Tabla911[[#This Row],[CODIGO DEL PRODUCTO]],Tabla79[],2,FALSE)</f>
        <v>#N/A</v>
      </c>
      <c r="T2457" s="37"/>
      <c r="U2457" s="78"/>
    </row>
    <row r="2458" spans="15:21" x14ac:dyDescent="0.25">
      <c r="O2458" s="76"/>
      <c r="P2458" s="78"/>
      <c r="Q2458" s="77"/>
      <c r="R2458" s="78"/>
      <c r="S2458" s="36" t="e">
        <f>VLOOKUP(Tabla911[[#This Row],[CODIGO DEL PRODUCTO]],Tabla79[],2,FALSE)</f>
        <v>#N/A</v>
      </c>
      <c r="T2458" s="37"/>
      <c r="U2458" s="78"/>
    </row>
    <row r="2459" spans="15:21" x14ac:dyDescent="0.25">
      <c r="O2459" s="76"/>
      <c r="P2459" s="78"/>
      <c r="Q2459" s="77"/>
      <c r="R2459" s="78"/>
      <c r="S2459" s="36" t="e">
        <f>VLOOKUP(Tabla911[[#This Row],[CODIGO DEL PRODUCTO]],Tabla79[],2,FALSE)</f>
        <v>#N/A</v>
      </c>
      <c r="T2459" s="37"/>
      <c r="U2459" s="78"/>
    </row>
    <row r="2460" spans="15:21" x14ac:dyDescent="0.25">
      <c r="O2460" s="76"/>
      <c r="P2460" s="78"/>
      <c r="Q2460" s="77"/>
      <c r="R2460" s="78"/>
      <c r="S2460" s="36" t="e">
        <f>VLOOKUP(Tabla911[[#This Row],[CODIGO DEL PRODUCTO]],Tabla79[],2,FALSE)</f>
        <v>#N/A</v>
      </c>
      <c r="T2460" s="37"/>
      <c r="U2460" s="78"/>
    </row>
    <row r="2461" spans="15:21" x14ac:dyDescent="0.25">
      <c r="O2461" s="76"/>
      <c r="P2461" s="78"/>
      <c r="Q2461" s="77"/>
      <c r="R2461" s="78"/>
      <c r="S2461" s="36" t="e">
        <f>VLOOKUP(Tabla911[[#This Row],[CODIGO DEL PRODUCTO]],Tabla79[],2,FALSE)</f>
        <v>#N/A</v>
      </c>
      <c r="T2461" s="37"/>
      <c r="U2461" s="78"/>
    </row>
    <row r="2462" spans="15:21" x14ac:dyDescent="0.25">
      <c r="O2462" s="76"/>
      <c r="P2462" s="78"/>
      <c r="Q2462" s="77"/>
      <c r="R2462" s="78"/>
      <c r="S2462" s="36" t="e">
        <f>VLOOKUP(Tabla911[[#This Row],[CODIGO DEL PRODUCTO]],Tabla79[],2,FALSE)</f>
        <v>#N/A</v>
      </c>
      <c r="T2462" s="37"/>
      <c r="U2462" s="78"/>
    </row>
    <row r="2463" spans="15:21" x14ac:dyDescent="0.25">
      <c r="O2463" s="76"/>
      <c r="P2463" s="78"/>
      <c r="Q2463" s="77"/>
      <c r="R2463" s="78"/>
      <c r="S2463" s="36" t="e">
        <f>VLOOKUP(Tabla911[[#This Row],[CODIGO DEL PRODUCTO]],Tabla79[],2,FALSE)</f>
        <v>#N/A</v>
      </c>
      <c r="T2463" s="37"/>
      <c r="U2463" s="78"/>
    </row>
    <row r="2464" spans="15:21" x14ac:dyDescent="0.25">
      <c r="O2464" s="76"/>
      <c r="P2464" s="78"/>
      <c r="Q2464" s="77"/>
      <c r="R2464" s="78"/>
      <c r="S2464" s="36" t="e">
        <f>VLOOKUP(Tabla911[[#This Row],[CODIGO DEL PRODUCTO]],Tabla79[],2,FALSE)</f>
        <v>#N/A</v>
      </c>
      <c r="T2464" s="37"/>
      <c r="U2464" s="78"/>
    </row>
    <row r="2465" spans="15:21" x14ac:dyDescent="0.25">
      <c r="O2465" s="76"/>
      <c r="P2465" s="78"/>
      <c r="Q2465" s="77"/>
      <c r="R2465" s="78"/>
      <c r="S2465" s="36" t="e">
        <f>VLOOKUP(Tabla911[[#This Row],[CODIGO DEL PRODUCTO]],Tabla79[],2,FALSE)</f>
        <v>#N/A</v>
      </c>
      <c r="T2465" s="37"/>
      <c r="U2465" s="78"/>
    </row>
    <row r="2466" spans="15:21" x14ac:dyDescent="0.25">
      <c r="O2466" s="76"/>
      <c r="P2466" s="78"/>
      <c r="Q2466" s="77"/>
      <c r="R2466" s="78"/>
      <c r="S2466" s="36" t="e">
        <f>VLOOKUP(Tabla911[[#This Row],[CODIGO DEL PRODUCTO]],Tabla79[],2,FALSE)</f>
        <v>#N/A</v>
      </c>
      <c r="T2466" s="37"/>
      <c r="U2466" s="78"/>
    </row>
    <row r="2467" spans="15:21" x14ac:dyDescent="0.25">
      <c r="O2467" s="76"/>
      <c r="P2467" s="78"/>
      <c r="Q2467" s="77"/>
      <c r="R2467" s="78"/>
      <c r="S2467" s="36" t="e">
        <f>VLOOKUP(Tabla911[[#This Row],[CODIGO DEL PRODUCTO]],Tabla79[],2,FALSE)</f>
        <v>#N/A</v>
      </c>
      <c r="T2467" s="37"/>
      <c r="U2467" s="78"/>
    </row>
    <row r="2468" spans="15:21" x14ac:dyDescent="0.25">
      <c r="O2468" s="76"/>
      <c r="P2468" s="78"/>
      <c r="Q2468" s="77"/>
      <c r="R2468" s="78"/>
      <c r="S2468" s="36" t="e">
        <f>VLOOKUP(Tabla911[[#This Row],[CODIGO DEL PRODUCTO]],Tabla79[],2,FALSE)</f>
        <v>#N/A</v>
      </c>
      <c r="T2468" s="37"/>
      <c r="U2468" s="78"/>
    </row>
    <row r="2469" spans="15:21" x14ac:dyDescent="0.25">
      <c r="O2469" s="76"/>
      <c r="P2469" s="78"/>
      <c r="Q2469" s="77"/>
      <c r="R2469" s="78"/>
      <c r="S2469" s="36" t="e">
        <f>VLOOKUP(Tabla911[[#This Row],[CODIGO DEL PRODUCTO]],Tabla79[],2,FALSE)</f>
        <v>#N/A</v>
      </c>
      <c r="T2469" s="37"/>
      <c r="U2469" s="78"/>
    </row>
    <row r="2470" spans="15:21" x14ac:dyDescent="0.25">
      <c r="O2470" s="76"/>
      <c r="P2470" s="78"/>
      <c r="Q2470" s="77"/>
      <c r="R2470" s="78"/>
      <c r="S2470" s="36" t="e">
        <f>VLOOKUP(Tabla911[[#This Row],[CODIGO DEL PRODUCTO]],Tabla79[],2,FALSE)</f>
        <v>#N/A</v>
      </c>
      <c r="T2470" s="37"/>
      <c r="U2470" s="78"/>
    </row>
    <row r="2471" spans="15:21" x14ac:dyDescent="0.25">
      <c r="O2471" s="76"/>
      <c r="P2471" s="78"/>
      <c r="Q2471" s="77"/>
      <c r="R2471" s="78"/>
      <c r="S2471" s="36" t="e">
        <f>VLOOKUP(Tabla911[[#This Row],[CODIGO DEL PRODUCTO]],Tabla79[],2,FALSE)</f>
        <v>#N/A</v>
      </c>
      <c r="T2471" s="37"/>
      <c r="U2471" s="78"/>
    </row>
    <row r="2472" spans="15:21" x14ac:dyDescent="0.25">
      <c r="O2472" s="76"/>
      <c r="P2472" s="78"/>
      <c r="Q2472" s="77"/>
      <c r="R2472" s="78"/>
      <c r="S2472" s="36" t="e">
        <f>VLOOKUP(Tabla911[[#This Row],[CODIGO DEL PRODUCTO]],Tabla79[],2,FALSE)</f>
        <v>#N/A</v>
      </c>
      <c r="T2472" s="37"/>
      <c r="U2472" s="78"/>
    </row>
    <row r="2473" spans="15:21" x14ac:dyDescent="0.25">
      <c r="O2473" s="76"/>
      <c r="P2473" s="78"/>
      <c r="Q2473" s="77"/>
      <c r="R2473" s="78"/>
      <c r="S2473" s="36" t="e">
        <f>VLOOKUP(Tabla911[[#This Row],[CODIGO DEL PRODUCTO]],Tabla79[],2,FALSE)</f>
        <v>#N/A</v>
      </c>
      <c r="T2473" s="37"/>
      <c r="U2473" s="78"/>
    </row>
    <row r="2474" spans="15:21" x14ac:dyDescent="0.25">
      <c r="O2474" s="76"/>
      <c r="P2474" s="78"/>
      <c r="Q2474" s="77"/>
      <c r="R2474" s="78"/>
      <c r="S2474" s="36" t="e">
        <f>VLOOKUP(Tabla911[[#This Row],[CODIGO DEL PRODUCTO]],Tabla79[],2,FALSE)</f>
        <v>#N/A</v>
      </c>
      <c r="T2474" s="37"/>
      <c r="U2474" s="78"/>
    </row>
    <row r="2475" spans="15:21" x14ac:dyDescent="0.25">
      <c r="O2475" s="76"/>
      <c r="P2475" s="78"/>
      <c r="Q2475" s="77"/>
      <c r="R2475" s="78"/>
      <c r="S2475" s="36" t="e">
        <f>VLOOKUP(Tabla911[[#This Row],[CODIGO DEL PRODUCTO]],Tabla79[],2,FALSE)</f>
        <v>#N/A</v>
      </c>
      <c r="T2475" s="37"/>
      <c r="U2475" s="78"/>
    </row>
    <row r="2476" spans="15:21" x14ac:dyDescent="0.25">
      <c r="O2476" s="76"/>
      <c r="P2476" s="78"/>
      <c r="Q2476" s="77"/>
      <c r="R2476" s="78"/>
      <c r="S2476" s="36" t="e">
        <f>VLOOKUP(Tabla911[[#This Row],[CODIGO DEL PRODUCTO]],Tabla79[],2,FALSE)</f>
        <v>#N/A</v>
      </c>
      <c r="T2476" s="37"/>
      <c r="U2476" s="78"/>
    </row>
    <row r="2477" spans="15:21" x14ac:dyDescent="0.25">
      <c r="O2477" s="76"/>
      <c r="P2477" s="78"/>
      <c r="Q2477" s="77"/>
      <c r="R2477" s="78"/>
      <c r="S2477" s="36" t="e">
        <f>VLOOKUP(Tabla911[[#This Row],[CODIGO DEL PRODUCTO]],Tabla79[],2,FALSE)</f>
        <v>#N/A</v>
      </c>
      <c r="T2477" s="37"/>
      <c r="U2477" s="78"/>
    </row>
    <row r="2478" spans="15:21" x14ac:dyDescent="0.25">
      <c r="O2478" s="76"/>
      <c r="P2478" s="78"/>
      <c r="Q2478" s="77"/>
      <c r="R2478" s="78"/>
      <c r="S2478" s="36" t="e">
        <f>VLOOKUP(Tabla911[[#This Row],[CODIGO DEL PRODUCTO]],Tabla79[],2,FALSE)</f>
        <v>#N/A</v>
      </c>
      <c r="T2478" s="37"/>
      <c r="U2478" s="78"/>
    </row>
    <row r="2479" spans="15:21" x14ac:dyDescent="0.25">
      <c r="O2479" s="76"/>
      <c r="P2479" s="78"/>
      <c r="Q2479" s="77"/>
      <c r="R2479" s="78"/>
      <c r="S2479" s="36" t="e">
        <f>VLOOKUP(Tabla911[[#This Row],[CODIGO DEL PRODUCTO]],Tabla79[],2,FALSE)</f>
        <v>#N/A</v>
      </c>
      <c r="T2479" s="37"/>
      <c r="U2479" s="78"/>
    </row>
    <row r="2480" spans="15:21" x14ac:dyDescent="0.25">
      <c r="O2480" s="76"/>
      <c r="P2480" s="78"/>
      <c r="Q2480" s="77"/>
      <c r="R2480" s="78"/>
      <c r="S2480" s="36" t="e">
        <f>VLOOKUP(Tabla911[[#This Row],[CODIGO DEL PRODUCTO]],Tabla79[],2,FALSE)</f>
        <v>#N/A</v>
      </c>
      <c r="T2480" s="37"/>
      <c r="U2480" s="78"/>
    </row>
    <row r="2481" spans="15:21" x14ac:dyDescent="0.25">
      <c r="O2481" s="76"/>
      <c r="P2481" s="78"/>
      <c r="Q2481" s="77"/>
      <c r="R2481" s="78"/>
      <c r="S2481" s="36" t="e">
        <f>VLOOKUP(Tabla911[[#This Row],[CODIGO DEL PRODUCTO]],Tabla79[],2,FALSE)</f>
        <v>#N/A</v>
      </c>
      <c r="T2481" s="37"/>
      <c r="U2481" s="78"/>
    </row>
    <row r="2482" spans="15:21" x14ac:dyDescent="0.25">
      <c r="O2482" s="76"/>
      <c r="P2482" s="78"/>
      <c r="Q2482" s="77"/>
      <c r="R2482" s="78"/>
      <c r="S2482" s="36" t="e">
        <f>VLOOKUP(Tabla911[[#This Row],[CODIGO DEL PRODUCTO]],Tabla79[],2,FALSE)</f>
        <v>#N/A</v>
      </c>
      <c r="T2482" s="37"/>
      <c r="U2482" s="78"/>
    </row>
    <row r="2483" spans="15:21" x14ac:dyDescent="0.25">
      <c r="O2483" s="76"/>
      <c r="P2483" s="78"/>
      <c r="Q2483" s="77"/>
      <c r="R2483" s="78"/>
      <c r="S2483" s="36" t="e">
        <f>VLOOKUP(Tabla911[[#This Row],[CODIGO DEL PRODUCTO]],Tabla79[],2,FALSE)</f>
        <v>#N/A</v>
      </c>
      <c r="T2483" s="37"/>
      <c r="U2483" s="78"/>
    </row>
    <row r="2484" spans="15:21" x14ac:dyDescent="0.25">
      <c r="O2484" s="76"/>
      <c r="P2484" s="78"/>
      <c r="Q2484" s="77"/>
      <c r="R2484" s="78"/>
      <c r="S2484" s="36" t="e">
        <f>VLOOKUP(Tabla911[[#This Row],[CODIGO DEL PRODUCTO]],Tabla79[],2,FALSE)</f>
        <v>#N/A</v>
      </c>
      <c r="T2484" s="37"/>
      <c r="U2484" s="78"/>
    </row>
    <row r="2485" spans="15:21" x14ac:dyDescent="0.25">
      <c r="O2485" s="76"/>
      <c r="P2485" s="78"/>
      <c r="Q2485" s="77"/>
      <c r="R2485" s="78"/>
      <c r="S2485" s="36" t="e">
        <f>VLOOKUP(Tabla911[[#This Row],[CODIGO DEL PRODUCTO]],Tabla79[],2,FALSE)</f>
        <v>#N/A</v>
      </c>
      <c r="T2485" s="37"/>
      <c r="U2485" s="78"/>
    </row>
    <row r="2486" spans="15:21" x14ac:dyDescent="0.25">
      <c r="O2486" s="76"/>
      <c r="P2486" s="78"/>
      <c r="Q2486" s="77"/>
      <c r="R2486" s="78"/>
      <c r="S2486" s="36" t="e">
        <f>VLOOKUP(Tabla911[[#This Row],[CODIGO DEL PRODUCTO]],Tabla79[],2,FALSE)</f>
        <v>#N/A</v>
      </c>
      <c r="T2486" s="37"/>
      <c r="U2486" s="78"/>
    </row>
    <row r="2487" spans="15:21" x14ac:dyDescent="0.25">
      <c r="O2487" s="76"/>
      <c r="P2487" s="78"/>
      <c r="Q2487" s="77"/>
      <c r="R2487" s="78"/>
      <c r="S2487" s="36" t="e">
        <f>VLOOKUP(Tabla911[[#This Row],[CODIGO DEL PRODUCTO]],Tabla79[],2,FALSE)</f>
        <v>#N/A</v>
      </c>
      <c r="T2487" s="37"/>
      <c r="U2487" s="78"/>
    </row>
    <row r="2488" spans="15:21" x14ac:dyDescent="0.25">
      <c r="O2488" s="76"/>
      <c r="P2488" s="78"/>
      <c r="Q2488" s="77"/>
      <c r="R2488" s="78"/>
      <c r="S2488" s="36" t="e">
        <f>VLOOKUP(Tabla911[[#This Row],[CODIGO DEL PRODUCTO]],Tabla79[],2,FALSE)</f>
        <v>#N/A</v>
      </c>
      <c r="T2488" s="37"/>
      <c r="U2488" s="78"/>
    </row>
    <row r="2489" spans="15:21" x14ac:dyDescent="0.25">
      <c r="O2489" s="76"/>
      <c r="P2489" s="78"/>
      <c r="Q2489" s="77"/>
      <c r="R2489" s="78"/>
      <c r="S2489" s="36" t="e">
        <f>VLOOKUP(Tabla911[[#This Row],[CODIGO DEL PRODUCTO]],Tabla79[],2,FALSE)</f>
        <v>#N/A</v>
      </c>
      <c r="T2489" s="37"/>
      <c r="U2489" s="78"/>
    </row>
    <row r="2490" spans="15:21" x14ac:dyDescent="0.25">
      <c r="O2490" s="76"/>
      <c r="P2490" s="78"/>
      <c r="Q2490" s="77"/>
      <c r="R2490" s="78"/>
      <c r="S2490" s="36" t="e">
        <f>VLOOKUP(Tabla911[[#This Row],[CODIGO DEL PRODUCTO]],Tabla79[],2,FALSE)</f>
        <v>#N/A</v>
      </c>
      <c r="T2490" s="37"/>
      <c r="U2490" s="78"/>
    </row>
    <row r="2491" spans="15:21" x14ac:dyDescent="0.25">
      <c r="O2491" s="76"/>
      <c r="P2491" s="78"/>
      <c r="Q2491" s="77"/>
      <c r="R2491" s="78"/>
      <c r="S2491" s="36" t="e">
        <f>VLOOKUP(Tabla911[[#This Row],[CODIGO DEL PRODUCTO]],Tabla79[],2,FALSE)</f>
        <v>#N/A</v>
      </c>
      <c r="T2491" s="37"/>
      <c r="U2491" s="78"/>
    </row>
    <row r="2492" spans="15:21" x14ac:dyDescent="0.25">
      <c r="O2492" s="76"/>
      <c r="P2492" s="78"/>
      <c r="Q2492" s="77"/>
      <c r="R2492" s="78"/>
      <c r="S2492" s="36" t="e">
        <f>VLOOKUP(Tabla911[[#This Row],[CODIGO DEL PRODUCTO]],Tabla79[],2,FALSE)</f>
        <v>#N/A</v>
      </c>
      <c r="T2492" s="37"/>
      <c r="U2492" s="78"/>
    </row>
    <row r="2493" spans="15:21" x14ac:dyDescent="0.25">
      <c r="O2493" s="76"/>
      <c r="P2493" s="78"/>
      <c r="Q2493" s="77"/>
      <c r="R2493" s="78"/>
      <c r="S2493" s="36" t="e">
        <f>VLOOKUP(Tabla911[[#This Row],[CODIGO DEL PRODUCTO]],Tabla79[],2,FALSE)</f>
        <v>#N/A</v>
      </c>
      <c r="T2493" s="37"/>
      <c r="U2493" s="78"/>
    </row>
    <row r="2494" spans="15:21" x14ac:dyDescent="0.25">
      <c r="O2494" s="76"/>
      <c r="P2494" s="78"/>
      <c r="Q2494" s="77"/>
      <c r="R2494" s="78"/>
      <c r="S2494" s="36" t="e">
        <f>VLOOKUP(Tabla911[[#This Row],[CODIGO DEL PRODUCTO]],Tabla79[],2,FALSE)</f>
        <v>#N/A</v>
      </c>
      <c r="T2494" s="37"/>
      <c r="U2494" s="78"/>
    </row>
    <row r="2495" spans="15:21" x14ac:dyDescent="0.25">
      <c r="O2495" s="76"/>
      <c r="P2495" s="78"/>
      <c r="Q2495" s="77"/>
      <c r="R2495" s="78"/>
      <c r="S2495" s="36" t="e">
        <f>VLOOKUP(Tabla911[[#This Row],[CODIGO DEL PRODUCTO]],Tabla79[],2,FALSE)</f>
        <v>#N/A</v>
      </c>
      <c r="T2495" s="37"/>
      <c r="U2495" s="78"/>
    </row>
    <row r="2496" spans="15:21" x14ac:dyDescent="0.25">
      <c r="O2496" s="76"/>
      <c r="P2496" s="78"/>
      <c r="Q2496" s="77"/>
      <c r="R2496" s="78"/>
      <c r="S2496" s="36" t="e">
        <f>VLOOKUP(Tabla911[[#This Row],[CODIGO DEL PRODUCTO]],Tabla79[],2,FALSE)</f>
        <v>#N/A</v>
      </c>
      <c r="T2496" s="37"/>
      <c r="U2496" s="78"/>
    </row>
    <row r="2497" spans="15:21" x14ac:dyDescent="0.25">
      <c r="O2497" s="76"/>
      <c r="P2497" s="78"/>
      <c r="Q2497" s="77"/>
      <c r="R2497" s="78"/>
      <c r="S2497" s="36" t="e">
        <f>VLOOKUP(Tabla911[[#This Row],[CODIGO DEL PRODUCTO]],Tabla79[],2,FALSE)</f>
        <v>#N/A</v>
      </c>
      <c r="T2497" s="37"/>
      <c r="U2497" s="78"/>
    </row>
    <row r="2498" spans="15:21" x14ac:dyDescent="0.25">
      <c r="O2498" s="76"/>
      <c r="P2498" s="78"/>
      <c r="Q2498" s="77"/>
      <c r="R2498" s="78"/>
      <c r="S2498" s="36" t="e">
        <f>VLOOKUP(Tabla911[[#This Row],[CODIGO DEL PRODUCTO]],Tabla79[],2,FALSE)</f>
        <v>#N/A</v>
      </c>
      <c r="T2498" s="37"/>
      <c r="U2498" s="78"/>
    </row>
    <row r="2499" spans="15:21" x14ac:dyDescent="0.25">
      <c r="O2499" s="76"/>
      <c r="P2499" s="78"/>
      <c r="Q2499" s="77"/>
      <c r="R2499" s="78"/>
      <c r="S2499" s="36" t="e">
        <f>VLOOKUP(Tabla911[[#This Row],[CODIGO DEL PRODUCTO]],Tabla79[],2,FALSE)</f>
        <v>#N/A</v>
      </c>
      <c r="T2499" s="37"/>
      <c r="U2499" s="78"/>
    </row>
    <row r="2500" spans="15:21" x14ac:dyDescent="0.25">
      <c r="O2500" s="76"/>
      <c r="P2500" s="78"/>
      <c r="Q2500" s="77"/>
      <c r="R2500" s="78"/>
      <c r="S2500" s="36" t="e">
        <f>VLOOKUP(Tabla911[[#This Row],[CODIGO DEL PRODUCTO]],Tabla79[],2,FALSE)</f>
        <v>#N/A</v>
      </c>
      <c r="T2500" s="37"/>
      <c r="U2500" s="78"/>
    </row>
    <row r="2501" spans="15:21" x14ac:dyDescent="0.25">
      <c r="O2501" s="76"/>
      <c r="P2501" s="78"/>
      <c r="Q2501" s="77"/>
      <c r="R2501" s="78"/>
      <c r="S2501" s="36" t="e">
        <f>VLOOKUP(Tabla911[[#This Row],[CODIGO DEL PRODUCTO]],Tabla79[],2,FALSE)</f>
        <v>#N/A</v>
      </c>
      <c r="T2501" s="37"/>
      <c r="U2501" s="78"/>
    </row>
    <row r="2502" spans="15:21" x14ac:dyDescent="0.25">
      <c r="O2502" s="76"/>
      <c r="P2502" s="78"/>
      <c r="Q2502" s="77"/>
      <c r="R2502" s="78"/>
      <c r="S2502" s="36" t="e">
        <f>VLOOKUP(Tabla911[[#This Row],[CODIGO DEL PRODUCTO]],Tabla79[],2,FALSE)</f>
        <v>#N/A</v>
      </c>
      <c r="T2502" s="37"/>
      <c r="U2502" s="78"/>
    </row>
    <row r="2503" spans="15:21" x14ac:dyDescent="0.25">
      <c r="O2503" s="76"/>
      <c r="P2503" s="78"/>
      <c r="Q2503" s="77"/>
      <c r="R2503" s="78"/>
      <c r="S2503" s="36" t="e">
        <f>VLOOKUP(Tabla911[[#This Row],[CODIGO DEL PRODUCTO]],Tabla79[],2,FALSE)</f>
        <v>#N/A</v>
      </c>
      <c r="T2503" s="37"/>
      <c r="U2503" s="78"/>
    </row>
    <row r="2504" spans="15:21" x14ac:dyDescent="0.25">
      <c r="O2504" s="76"/>
      <c r="P2504" s="78"/>
      <c r="Q2504" s="77"/>
      <c r="R2504" s="78"/>
      <c r="S2504" s="36" t="e">
        <f>VLOOKUP(Tabla911[[#This Row],[CODIGO DEL PRODUCTO]],Tabla79[],2,FALSE)</f>
        <v>#N/A</v>
      </c>
      <c r="T2504" s="37"/>
      <c r="U2504" s="78"/>
    </row>
    <row r="2505" spans="15:21" x14ac:dyDescent="0.25">
      <c r="O2505" s="76"/>
      <c r="P2505" s="78"/>
      <c r="Q2505" s="77"/>
      <c r="R2505" s="78"/>
      <c r="S2505" s="36" t="e">
        <f>VLOOKUP(Tabla911[[#This Row],[CODIGO DEL PRODUCTO]],Tabla79[],2,FALSE)</f>
        <v>#N/A</v>
      </c>
      <c r="T2505" s="37"/>
      <c r="U2505" s="78"/>
    </row>
    <row r="2506" spans="15:21" x14ac:dyDescent="0.25">
      <c r="O2506" s="76"/>
      <c r="P2506" s="78"/>
      <c r="Q2506" s="77"/>
      <c r="R2506" s="78"/>
      <c r="S2506" s="36" t="e">
        <f>VLOOKUP(Tabla911[[#This Row],[CODIGO DEL PRODUCTO]],Tabla79[],2,FALSE)</f>
        <v>#N/A</v>
      </c>
      <c r="T2506" s="37"/>
      <c r="U2506" s="78"/>
    </row>
    <row r="2507" spans="15:21" x14ac:dyDescent="0.25">
      <c r="O2507" s="76"/>
      <c r="P2507" s="78"/>
      <c r="Q2507" s="77"/>
      <c r="R2507" s="78"/>
      <c r="S2507" s="36" t="e">
        <f>VLOOKUP(Tabla911[[#This Row],[CODIGO DEL PRODUCTO]],Tabla79[],2,FALSE)</f>
        <v>#N/A</v>
      </c>
      <c r="T2507" s="37"/>
      <c r="U2507" s="78"/>
    </row>
    <row r="2508" spans="15:21" x14ac:dyDescent="0.25">
      <c r="O2508" s="76"/>
      <c r="P2508" s="78"/>
      <c r="Q2508" s="77"/>
      <c r="R2508" s="78"/>
      <c r="S2508" s="36" t="e">
        <f>VLOOKUP(Tabla911[[#This Row],[CODIGO DEL PRODUCTO]],Tabla79[],2,FALSE)</f>
        <v>#N/A</v>
      </c>
      <c r="T2508" s="37"/>
      <c r="U2508" s="78"/>
    </row>
    <row r="2509" spans="15:21" x14ac:dyDescent="0.25">
      <c r="O2509" s="76"/>
      <c r="P2509" s="78"/>
      <c r="Q2509" s="77"/>
      <c r="R2509" s="78"/>
      <c r="S2509" s="36" t="e">
        <f>VLOOKUP(Tabla911[[#This Row],[CODIGO DEL PRODUCTO]],Tabla79[],2,FALSE)</f>
        <v>#N/A</v>
      </c>
      <c r="T2509" s="37"/>
      <c r="U2509" s="78"/>
    </row>
    <row r="2510" spans="15:21" x14ac:dyDescent="0.25">
      <c r="O2510" s="76"/>
      <c r="P2510" s="78"/>
      <c r="Q2510" s="77"/>
      <c r="R2510" s="78"/>
      <c r="S2510" s="36" t="e">
        <f>VLOOKUP(Tabla911[[#This Row],[CODIGO DEL PRODUCTO]],Tabla79[],2,FALSE)</f>
        <v>#N/A</v>
      </c>
      <c r="T2510" s="37"/>
      <c r="U2510" s="78"/>
    </row>
    <row r="2511" spans="15:21" x14ac:dyDescent="0.25">
      <c r="O2511" s="76"/>
      <c r="P2511" s="78"/>
      <c r="Q2511" s="77"/>
      <c r="R2511" s="78"/>
      <c r="S2511" s="36" t="e">
        <f>VLOOKUP(Tabla911[[#This Row],[CODIGO DEL PRODUCTO]],Tabla79[],2,FALSE)</f>
        <v>#N/A</v>
      </c>
      <c r="T2511" s="37"/>
      <c r="U2511" s="78"/>
    </row>
    <row r="2512" spans="15:21" x14ac:dyDescent="0.25">
      <c r="O2512" s="76"/>
      <c r="P2512" s="78"/>
      <c r="Q2512" s="77"/>
      <c r="R2512" s="78"/>
      <c r="S2512" s="36" t="e">
        <f>VLOOKUP(Tabla911[[#This Row],[CODIGO DEL PRODUCTO]],Tabla79[],2,FALSE)</f>
        <v>#N/A</v>
      </c>
      <c r="T2512" s="37"/>
      <c r="U2512" s="78"/>
    </row>
    <row r="2513" spans="15:21" x14ac:dyDescent="0.25">
      <c r="O2513" s="76"/>
      <c r="P2513" s="78"/>
      <c r="Q2513" s="77"/>
      <c r="R2513" s="78"/>
      <c r="S2513" s="36" t="e">
        <f>VLOOKUP(Tabla911[[#This Row],[CODIGO DEL PRODUCTO]],Tabla79[],2,FALSE)</f>
        <v>#N/A</v>
      </c>
      <c r="T2513" s="37"/>
      <c r="U2513" s="78"/>
    </row>
    <row r="2514" spans="15:21" x14ac:dyDescent="0.25">
      <c r="O2514" s="76"/>
      <c r="P2514" s="78"/>
      <c r="Q2514" s="77"/>
      <c r="R2514" s="78"/>
      <c r="S2514" s="36" t="e">
        <f>VLOOKUP(Tabla911[[#This Row],[CODIGO DEL PRODUCTO]],Tabla79[],2,FALSE)</f>
        <v>#N/A</v>
      </c>
      <c r="T2514" s="37"/>
      <c r="U2514" s="78"/>
    </row>
    <row r="2515" spans="15:21" x14ac:dyDescent="0.25">
      <c r="O2515" s="76"/>
      <c r="P2515" s="78"/>
      <c r="Q2515" s="77"/>
      <c r="R2515" s="78"/>
      <c r="S2515" s="36" t="e">
        <f>VLOOKUP(Tabla911[[#This Row],[CODIGO DEL PRODUCTO]],Tabla79[],2,FALSE)</f>
        <v>#N/A</v>
      </c>
      <c r="T2515" s="37"/>
      <c r="U2515" s="78"/>
    </row>
    <row r="2516" spans="15:21" x14ac:dyDescent="0.25">
      <c r="O2516" s="76"/>
      <c r="P2516" s="78"/>
      <c r="Q2516" s="77"/>
      <c r="R2516" s="78"/>
      <c r="S2516" s="36" t="e">
        <f>VLOOKUP(Tabla911[[#This Row],[CODIGO DEL PRODUCTO]],Tabla79[],2,FALSE)</f>
        <v>#N/A</v>
      </c>
      <c r="T2516" s="37"/>
      <c r="U2516" s="78"/>
    </row>
    <row r="2517" spans="15:21" x14ac:dyDescent="0.25">
      <c r="O2517" s="76"/>
      <c r="P2517" s="78"/>
      <c r="Q2517" s="77"/>
      <c r="R2517" s="78"/>
      <c r="S2517" s="36" t="e">
        <f>VLOOKUP(Tabla911[[#This Row],[CODIGO DEL PRODUCTO]],Tabla79[],2,FALSE)</f>
        <v>#N/A</v>
      </c>
      <c r="T2517" s="37"/>
      <c r="U2517" s="78"/>
    </row>
    <row r="2518" spans="15:21" x14ac:dyDescent="0.25">
      <c r="O2518" s="76"/>
      <c r="P2518" s="78"/>
      <c r="Q2518" s="77"/>
      <c r="R2518" s="78"/>
      <c r="S2518" s="36" t="e">
        <f>VLOOKUP(Tabla911[[#This Row],[CODIGO DEL PRODUCTO]],Tabla79[],2,FALSE)</f>
        <v>#N/A</v>
      </c>
      <c r="T2518" s="37"/>
      <c r="U2518" s="78"/>
    </row>
    <row r="2519" spans="15:21" x14ac:dyDescent="0.25">
      <c r="O2519" s="76"/>
      <c r="P2519" s="78"/>
      <c r="Q2519" s="77"/>
      <c r="R2519" s="78"/>
      <c r="S2519" s="36" t="e">
        <f>VLOOKUP(Tabla911[[#This Row],[CODIGO DEL PRODUCTO]],Tabla79[],2,FALSE)</f>
        <v>#N/A</v>
      </c>
      <c r="T2519" s="37"/>
      <c r="U2519" s="78"/>
    </row>
    <row r="2520" spans="15:21" x14ac:dyDescent="0.25">
      <c r="O2520" s="76"/>
      <c r="P2520" s="78"/>
      <c r="Q2520" s="77"/>
      <c r="R2520" s="78"/>
      <c r="S2520" s="36" t="e">
        <f>VLOOKUP(Tabla911[[#This Row],[CODIGO DEL PRODUCTO]],Tabla79[],2,FALSE)</f>
        <v>#N/A</v>
      </c>
      <c r="T2520" s="37"/>
      <c r="U2520" s="78"/>
    </row>
    <row r="2521" spans="15:21" x14ac:dyDescent="0.25">
      <c r="O2521" s="76"/>
      <c r="P2521" s="78"/>
      <c r="Q2521" s="77"/>
      <c r="R2521" s="78"/>
      <c r="S2521" s="36" t="e">
        <f>VLOOKUP(Tabla911[[#This Row],[CODIGO DEL PRODUCTO]],Tabla79[],2,FALSE)</f>
        <v>#N/A</v>
      </c>
      <c r="T2521" s="37"/>
      <c r="U2521" s="78"/>
    </row>
    <row r="2522" spans="15:21" x14ac:dyDescent="0.25">
      <c r="O2522" s="76"/>
      <c r="P2522" s="78"/>
      <c r="Q2522" s="77"/>
      <c r="R2522" s="78"/>
      <c r="S2522" s="36" t="e">
        <f>VLOOKUP(Tabla911[[#This Row],[CODIGO DEL PRODUCTO]],Tabla79[],2,FALSE)</f>
        <v>#N/A</v>
      </c>
      <c r="T2522" s="37"/>
      <c r="U2522" s="78"/>
    </row>
    <row r="2523" spans="15:21" x14ac:dyDescent="0.25">
      <c r="O2523" s="76"/>
      <c r="P2523" s="78"/>
      <c r="Q2523" s="77"/>
      <c r="R2523" s="78"/>
      <c r="S2523" s="36" t="e">
        <f>VLOOKUP(Tabla911[[#This Row],[CODIGO DEL PRODUCTO]],Tabla79[],2,FALSE)</f>
        <v>#N/A</v>
      </c>
      <c r="T2523" s="37"/>
      <c r="U2523" s="78"/>
    </row>
    <row r="2524" spans="15:21" x14ac:dyDescent="0.25">
      <c r="O2524" s="76"/>
      <c r="P2524" s="78"/>
      <c r="Q2524" s="77"/>
      <c r="R2524" s="78"/>
      <c r="S2524" s="36" t="e">
        <f>VLOOKUP(Tabla911[[#This Row],[CODIGO DEL PRODUCTO]],Tabla79[],2,FALSE)</f>
        <v>#N/A</v>
      </c>
      <c r="T2524" s="37"/>
      <c r="U2524" s="78"/>
    </row>
    <row r="2525" spans="15:21" x14ac:dyDescent="0.25">
      <c r="O2525" s="76"/>
      <c r="P2525" s="78"/>
      <c r="Q2525" s="77"/>
      <c r="R2525" s="78"/>
      <c r="S2525" s="36" t="e">
        <f>VLOOKUP(Tabla911[[#This Row],[CODIGO DEL PRODUCTO]],Tabla79[],2,FALSE)</f>
        <v>#N/A</v>
      </c>
      <c r="T2525" s="37"/>
      <c r="U2525" s="78"/>
    </row>
    <row r="2526" spans="15:21" x14ac:dyDescent="0.25">
      <c r="O2526" s="76"/>
      <c r="P2526" s="78"/>
      <c r="Q2526" s="77"/>
      <c r="R2526" s="78"/>
      <c r="S2526" s="36" t="e">
        <f>VLOOKUP(Tabla911[[#This Row],[CODIGO DEL PRODUCTO]],Tabla79[],2,FALSE)</f>
        <v>#N/A</v>
      </c>
      <c r="T2526" s="37"/>
      <c r="U2526" s="78"/>
    </row>
    <row r="2527" spans="15:21" x14ac:dyDescent="0.25">
      <c r="O2527" s="76"/>
      <c r="P2527" s="78"/>
      <c r="Q2527" s="77"/>
      <c r="R2527" s="78"/>
      <c r="S2527" s="36" t="e">
        <f>VLOOKUP(Tabla911[[#This Row],[CODIGO DEL PRODUCTO]],Tabla79[],2,FALSE)</f>
        <v>#N/A</v>
      </c>
      <c r="T2527" s="37"/>
      <c r="U2527" s="78"/>
    </row>
    <row r="2528" spans="15:21" x14ac:dyDescent="0.25">
      <c r="O2528" s="76"/>
      <c r="P2528" s="78"/>
      <c r="Q2528" s="77"/>
      <c r="R2528" s="78"/>
      <c r="S2528" s="36" t="e">
        <f>VLOOKUP(Tabla911[[#This Row],[CODIGO DEL PRODUCTO]],Tabla79[],2,FALSE)</f>
        <v>#N/A</v>
      </c>
      <c r="T2528" s="37"/>
      <c r="U2528" s="78"/>
    </row>
    <row r="2529" spans="15:21" x14ac:dyDescent="0.25">
      <c r="O2529" s="76"/>
      <c r="P2529" s="78"/>
      <c r="Q2529" s="77"/>
      <c r="R2529" s="78"/>
      <c r="S2529" s="36" t="e">
        <f>VLOOKUP(Tabla911[[#This Row],[CODIGO DEL PRODUCTO]],Tabla79[],2,FALSE)</f>
        <v>#N/A</v>
      </c>
      <c r="T2529" s="37"/>
      <c r="U2529" s="78"/>
    </row>
    <row r="2530" spans="15:21" x14ac:dyDescent="0.25">
      <c r="O2530" s="76"/>
      <c r="P2530" s="78"/>
      <c r="Q2530" s="77"/>
      <c r="R2530" s="78"/>
      <c r="S2530" s="36" t="e">
        <f>VLOOKUP(Tabla911[[#This Row],[CODIGO DEL PRODUCTO]],Tabla79[],2,FALSE)</f>
        <v>#N/A</v>
      </c>
      <c r="T2530" s="37"/>
      <c r="U2530" s="78"/>
    </row>
    <row r="2531" spans="15:21" x14ac:dyDescent="0.25">
      <c r="O2531" s="76"/>
      <c r="P2531" s="78"/>
      <c r="Q2531" s="77"/>
      <c r="R2531" s="78"/>
      <c r="S2531" s="36" t="e">
        <f>VLOOKUP(Tabla911[[#This Row],[CODIGO DEL PRODUCTO]],Tabla79[],2,FALSE)</f>
        <v>#N/A</v>
      </c>
      <c r="T2531" s="37"/>
      <c r="U2531" s="78"/>
    </row>
    <row r="2532" spans="15:21" x14ac:dyDescent="0.25">
      <c r="O2532" s="76"/>
      <c r="P2532" s="78"/>
      <c r="Q2532" s="77"/>
      <c r="R2532" s="78"/>
      <c r="S2532" s="36" t="e">
        <f>VLOOKUP(Tabla911[[#This Row],[CODIGO DEL PRODUCTO]],Tabla79[],2,FALSE)</f>
        <v>#N/A</v>
      </c>
      <c r="T2532" s="37"/>
      <c r="U2532" s="78"/>
    </row>
    <row r="2533" spans="15:21" x14ac:dyDescent="0.25">
      <c r="O2533" s="76"/>
      <c r="P2533" s="78"/>
      <c r="Q2533" s="77"/>
      <c r="R2533" s="78"/>
      <c r="S2533" s="36" t="e">
        <f>VLOOKUP(Tabla911[[#This Row],[CODIGO DEL PRODUCTO]],Tabla79[],2,FALSE)</f>
        <v>#N/A</v>
      </c>
      <c r="T2533" s="37"/>
      <c r="U2533" s="78"/>
    </row>
    <row r="2534" spans="15:21" x14ac:dyDescent="0.25">
      <c r="O2534" s="76"/>
      <c r="P2534" s="78"/>
      <c r="Q2534" s="77"/>
      <c r="R2534" s="78"/>
      <c r="S2534" s="36" t="e">
        <f>VLOOKUP(Tabla911[[#This Row],[CODIGO DEL PRODUCTO]],Tabla79[],2,FALSE)</f>
        <v>#N/A</v>
      </c>
      <c r="T2534" s="37"/>
      <c r="U2534" s="78"/>
    </row>
    <row r="2535" spans="15:21" x14ac:dyDescent="0.25">
      <c r="O2535" s="76"/>
      <c r="P2535" s="78"/>
      <c r="Q2535" s="77"/>
      <c r="R2535" s="78"/>
      <c r="S2535" s="36" t="e">
        <f>VLOOKUP(Tabla911[[#This Row],[CODIGO DEL PRODUCTO]],Tabla79[],2,FALSE)</f>
        <v>#N/A</v>
      </c>
      <c r="T2535" s="37"/>
      <c r="U2535" s="78"/>
    </row>
    <row r="2536" spans="15:21" x14ac:dyDescent="0.25">
      <c r="O2536" s="76"/>
      <c r="P2536" s="78"/>
      <c r="Q2536" s="77"/>
      <c r="R2536" s="78"/>
      <c r="S2536" s="36" t="e">
        <f>VLOOKUP(Tabla911[[#This Row],[CODIGO DEL PRODUCTO]],Tabla79[],2,FALSE)</f>
        <v>#N/A</v>
      </c>
      <c r="T2536" s="37"/>
      <c r="U2536" s="78"/>
    </row>
    <row r="2537" spans="15:21" x14ac:dyDescent="0.25">
      <c r="O2537" s="76"/>
      <c r="P2537" s="78"/>
      <c r="Q2537" s="77"/>
      <c r="R2537" s="78"/>
      <c r="S2537" s="36" t="e">
        <f>VLOOKUP(Tabla911[[#This Row],[CODIGO DEL PRODUCTO]],Tabla79[],2,FALSE)</f>
        <v>#N/A</v>
      </c>
      <c r="T2537" s="37"/>
      <c r="U2537" s="78"/>
    </row>
    <row r="2538" spans="15:21" x14ac:dyDescent="0.25">
      <c r="O2538" s="76"/>
      <c r="P2538" s="78"/>
      <c r="Q2538" s="77"/>
      <c r="R2538" s="78"/>
      <c r="S2538" s="36" t="e">
        <f>VLOOKUP(Tabla911[[#This Row],[CODIGO DEL PRODUCTO]],Tabla79[],2,FALSE)</f>
        <v>#N/A</v>
      </c>
      <c r="T2538" s="37"/>
      <c r="U2538" s="78"/>
    </row>
    <row r="2539" spans="15:21" x14ac:dyDescent="0.25">
      <c r="O2539" s="76"/>
      <c r="P2539" s="78"/>
      <c r="Q2539" s="77"/>
      <c r="R2539" s="78"/>
      <c r="S2539" s="36" t="e">
        <f>VLOOKUP(Tabla911[[#This Row],[CODIGO DEL PRODUCTO]],Tabla79[],2,FALSE)</f>
        <v>#N/A</v>
      </c>
      <c r="T2539" s="37"/>
      <c r="U2539" s="78"/>
    </row>
    <row r="2540" spans="15:21" x14ac:dyDescent="0.25">
      <c r="O2540" s="76"/>
      <c r="P2540" s="78"/>
      <c r="Q2540" s="77"/>
      <c r="R2540" s="78"/>
      <c r="S2540" s="36" t="e">
        <f>VLOOKUP(Tabla911[[#This Row],[CODIGO DEL PRODUCTO]],Tabla79[],2,FALSE)</f>
        <v>#N/A</v>
      </c>
      <c r="T2540" s="37"/>
      <c r="U2540" s="78"/>
    </row>
    <row r="2541" spans="15:21" x14ac:dyDescent="0.25">
      <c r="O2541" s="76"/>
      <c r="P2541" s="78"/>
      <c r="Q2541" s="77"/>
      <c r="R2541" s="78"/>
      <c r="S2541" s="36" t="e">
        <f>VLOOKUP(Tabla911[[#This Row],[CODIGO DEL PRODUCTO]],Tabla79[],2,FALSE)</f>
        <v>#N/A</v>
      </c>
      <c r="T2541" s="37"/>
      <c r="U2541" s="78"/>
    </row>
    <row r="2542" spans="15:21" x14ac:dyDescent="0.25">
      <c r="O2542" s="76"/>
      <c r="P2542" s="78"/>
      <c r="Q2542" s="77"/>
      <c r="R2542" s="78"/>
      <c r="S2542" s="36" t="e">
        <f>VLOOKUP(Tabla911[[#This Row],[CODIGO DEL PRODUCTO]],Tabla79[],2,FALSE)</f>
        <v>#N/A</v>
      </c>
      <c r="T2542" s="37"/>
      <c r="U2542" s="78"/>
    </row>
    <row r="2543" spans="15:21" x14ac:dyDescent="0.25">
      <c r="O2543" s="76"/>
      <c r="P2543" s="78"/>
      <c r="Q2543" s="77"/>
      <c r="R2543" s="78"/>
      <c r="S2543" s="36" t="e">
        <f>VLOOKUP(Tabla911[[#This Row],[CODIGO DEL PRODUCTO]],Tabla79[],2,FALSE)</f>
        <v>#N/A</v>
      </c>
      <c r="T2543" s="37"/>
      <c r="U2543" s="78"/>
    </row>
    <row r="2544" spans="15:21" x14ac:dyDescent="0.25">
      <c r="O2544" s="76"/>
      <c r="P2544" s="78"/>
      <c r="Q2544" s="77"/>
      <c r="R2544" s="78"/>
      <c r="S2544" s="36" t="e">
        <f>VLOOKUP(Tabla911[[#This Row],[CODIGO DEL PRODUCTO]],Tabla79[],2,FALSE)</f>
        <v>#N/A</v>
      </c>
      <c r="T2544" s="37"/>
      <c r="U2544" s="78"/>
    </row>
    <row r="2545" spans="15:21" x14ac:dyDescent="0.25">
      <c r="O2545" s="76"/>
      <c r="P2545" s="78"/>
      <c r="Q2545" s="77"/>
      <c r="R2545" s="78"/>
      <c r="S2545" s="36" t="e">
        <f>VLOOKUP(Tabla911[[#This Row],[CODIGO DEL PRODUCTO]],Tabla79[],2,FALSE)</f>
        <v>#N/A</v>
      </c>
      <c r="T2545" s="37"/>
      <c r="U2545" s="78"/>
    </row>
    <row r="2546" spans="15:21" x14ac:dyDescent="0.25">
      <c r="O2546" s="76"/>
      <c r="P2546" s="78"/>
      <c r="Q2546" s="77"/>
      <c r="R2546" s="78"/>
      <c r="S2546" s="36" t="e">
        <f>VLOOKUP(Tabla911[[#This Row],[CODIGO DEL PRODUCTO]],Tabla79[],2,FALSE)</f>
        <v>#N/A</v>
      </c>
      <c r="T2546" s="37"/>
      <c r="U2546" s="78"/>
    </row>
    <row r="2547" spans="15:21" x14ac:dyDescent="0.25">
      <c r="O2547" s="76"/>
      <c r="P2547" s="78"/>
      <c r="Q2547" s="77"/>
      <c r="R2547" s="78"/>
      <c r="S2547" s="36" t="e">
        <f>VLOOKUP(Tabla911[[#This Row],[CODIGO DEL PRODUCTO]],Tabla79[],2,FALSE)</f>
        <v>#N/A</v>
      </c>
      <c r="T2547" s="37"/>
      <c r="U2547" s="78"/>
    </row>
    <row r="2548" spans="15:21" x14ac:dyDescent="0.25">
      <c r="O2548" s="76"/>
      <c r="P2548" s="78"/>
      <c r="Q2548" s="77"/>
      <c r="R2548" s="78"/>
      <c r="S2548" s="36" t="e">
        <f>VLOOKUP(Tabla911[[#This Row],[CODIGO DEL PRODUCTO]],Tabla79[],2,FALSE)</f>
        <v>#N/A</v>
      </c>
      <c r="T2548" s="37"/>
      <c r="U2548" s="78"/>
    </row>
    <row r="2549" spans="15:21" x14ac:dyDescent="0.25">
      <c r="O2549" s="76"/>
      <c r="P2549" s="78"/>
      <c r="Q2549" s="77"/>
      <c r="R2549" s="78"/>
      <c r="S2549" s="36" t="e">
        <f>VLOOKUP(Tabla911[[#This Row],[CODIGO DEL PRODUCTO]],Tabla79[],2,FALSE)</f>
        <v>#N/A</v>
      </c>
      <c r="T2549" s="37"/>
      <c r="U2549" s="78"/>
    </row>
    <row r="2550" spans="15:21" x14ac:dyDescent="0.25">
      <c r="O2550" s="76"/>
      <c r="P2550" s="78"/>
      <c r="Q2550" s="77"/>
      <c r="R2550" s="78"/>
      <c r="S2550" s="36" t="e">
        <f>VLOOKUP(Tabla911[[#This Row],[CODIGO DEL PRODUCTO]],Tabla79[],2,FALSE)</f>
        <v>#N/A</v>
      </c>
      <c r="T2550" s="37"/>
      <c r="U2550" s="78"/>
    </row>
    <row r="2551" spans="15:21" x14ac:dyDescent="0.25">
      <c r="O2551" s="76"/>
      <c r="P2551" s="78"/>
      <c r="Q2551" s="77"/>
      <c r="R2551" s="78"/>
      <c r="S2551" s="36" t="e">
        <f>VLOOKUP(Tabla911[[#This Row],[CODIGO DEL PRODUCTO]],Tabla79[],2,FALSE)</f>
        <v>#N/A</v>
      </c>
      <c r="T2551" s="37"/>
      <c r="U2551" s="78"/>
    </row>
    <row r="2552" spans="15:21" x14ac:dyDescent="0.25">
      <c r="O2552" s="76"/>
      <c r="P2552" s="78"/>
      <c r="Q2552" s="77"/>
      <c r="R2552" s="78"/>
      <c r="S2552" s="36" t="e">
        <f>VLOOKUP(Tabla911[[#This Row],[CODIGO DEL PRODUCTO]],Tabla79[],2,FALSE)</f>
        <v>#N/A</v>
      </c>
      <c r="T2552" s="37"/>
      <c r="U2552" s="78"/>
    </row>
    <row r="2553" spans="15:21" x14ac:dyDescent="0.25">
      <c r="O2553" s="76"/>
      <c r="P2553" s="78"/>
      <c r="Q2553" s="77"/>
      <c r="R2553" s="78"/>
      <c r="S2553" s="36" t="e">
        <f>VLOOKUP(Tabla911[[#This Row],[CODIGO DEL PRODUCTO]],Tabla79[],2,FALSE)</f>
        <v>#N/A</v>
      </c>
      <c r="T2553" s="37"/>
      <c r="U2553" s="78"/>
    </row>
    <row r="2554" spans="15:21" x14ac:dyDescent="0.25">
      <c r="O2554" s="76"/>
      <c r="P2554" s="78"/>
      <c r="Q2554" s="77"/>
      <c r="R2554" s="78"/>
      <c r="S2554" s="36" t="e">
        <f>VLOOKUP(Tabla911[[#This Row],[CODIGO DEL PRODUCTO]],Tabla79[],2,FALSE)</f>
        <v>#N/A</v>
      </c>
      <c r="T2554" s="37"/>
      <c r="U2554" s="78"/>
    </row>
    <row r="2555" spans="15:21" x14ac:dyDescent="0.25">
      <c r="O2555" s="76"/>
      <c r="P2555" s="78"/>
      <c r="Q2555" s="77"/>
      <c r="R2555" s="78"/>
      <c r="S2555" s="36" t="e">
        <f>VLOOKUP(Tabla911[[#This Row],[CODIGO DEL PRODUCTO]],Tabla79[],2,FALSE)</f>
        <v>#N/A</v>
      </c>
      <c r="T2555" s="37"/>
      <c r="U2555" s="78"/>
    </row>
    <row r="2556" spans="15:21" x14ac:dyDescent="0.25">
      <c r="O2556" s="76"/>
      <c r="P2556" s="78"/>
      <c r="Q2556" s="77"/>
      <c r="R2556" s="78"/>
      <c r="S2556" s="36" t="e">
        <f>VLOOKUP(Tabla911[[#This Row],[CODIGO DEL PRODUCTO]],Tabla79[],2,FALSE)</f>
        <v>#N/A</v>
      </c>
      <c r="T2556" s="37"/>
      <c r="U2556" s="78"/>
    </row>
    <row r="2557" spans="15:21" x14ac:dyDescent="0.25">
      <c r="O2557" s="76"/>
      <c r="P2557" s="78"/>
      <c r="Q2557" s="77"/>
      <c r="R2557" s="78"/>
      <c r="S2557" s="36" t="e">
        <f>VLOOKUP(Tabla911[[#This Row],[CODIGO DEL PRODUCTO]],Tabla79[],2,FALSE)</f>
        <v>#N/A</v>
      </c>
      <c r="T2557" s="37"/>
      <c r="U2557" s="78"/>
    </row>
    <row r="2558" spans="15:21" x14ac:dyDescent="0.25">
      <c r="O2558" s="76"/>
      <c r="P2558" s="78"/>
      <c r="Q2558" s="77"/>
      <c r="R2558" s="78"/>
      <c r="S2558" s="36" t="e">
        <f>VLOOKUP(Tabla911[[#This Row],[CODIGO DEL PRODUCTO]],Tabla79[],2,FALSE)</f>
        <v>#N/A</v>
      </c>
      <c r="T2558" s="37"/>
      <c r="U2558" s="78"/>
    </row>
    <row r="2559" spans="15:21" x14ac:dyDescent="0.25">
      <c r="O2559" s="76"/>
      <c r="P2559" s="78"/>
      <c r="Q2559" s="77"/>
      <c r="R2559" s="78"/>
      <c r="S2559" s="36" t="e">
        <f>VLOOKUP(Tabla911[[#This Row],[CODIGO DEL PRODUCTO]],Tabla79[],2,FALSE)</f>
        <v>#N/A</v>
      </c>
      <c r="T2559" s="37"/>
      <c r="U2559" s="78"/>
    </row>
    <row r="2560" spans="15:21" x14ac:dyDescent="0.25">
      <c r="O2560" s="76"/>
      <c r="P2560" s="78"/>
      <c r="Q2560" s="77"/>
      <c r="R2560" s="78"/>
      <c r="S2560" s="36" t="e">
        <f>VLOOKUP(Tabla911[[#This Row],[CODIGO DEL PRODUCTO]],Tabla79[],2,FALSE)</f>
        <v>#N/A</v>
      </c>
      <c r="T2560" s="37"/>
      <c r="U2560" s="78"/>
    </row>
    <row r="2561" spans="15:21" x14ac:dyDescent="0.25">
      <c r="O2561" s="76"/>
      <c r="P2561" s="78"/>
      <c r="Q2561" s="77"/>
      <c r="R2561" s="78"/>
      <c r="S2561" s="36" t="e">
        <f>VLOOKUP(Tabla911[[#This Row],[CODIGO DEL PRODUCTO]],Tabla79[],2,FALSE)</f>
        <v>#N/A</v>
      </c>
      <c r="T2561" s="37"/>
      <c r="U2561" s="78"/>
    </row>
    <row r="2562" spans="15:21" x14ac:dyDescent="0.25">
      <c r="O2562" s="76"/>
      <c r="P2562" s="78"/>
      <c r="Q2562" s="77"/>
      <c r="R2562" s="78"/>
      <c r="S2562" s="36" t="e">
        <f>VLOOKUP(Tabla911[[#This Row],[CODIGO DEL PRODUCTO]],Tabla79[],2,FALSE)</f>
        <v>#N/A</v>
      </c>
      <c r="T2562" s="37"/>
      <c r="U2562" s="78"/>
    </row>
    <row r="2563" spans="15:21" x14ac:dyDescent="0.25">
      <c r="O2563" s="76"/>
      <c r="P2563" s="78"/>
      <c r="Q2563" s="77"/>
      <c r="R2563" s="78"/>
      <c r="S2563" s="36" t="e">
        <f>VLOOKUP(Tabla911[[#This Row],[CODIGO DEL PRODUCTO]],Tabla79[],2,FALSE)</f>
        <v>#N/A</v>
      </c>
      <c r="T2563" s="37"/>
      <c r="U2563" s="78"/>
    </row>
    <row r="2564" spans="15:21" x14ac:dyDescent="0.25">
      <c r="O2564" s="76"/>
      <c r="P2564" s="78"/>
      <c r="Q2564" s="77"/>
      <c r="R2564" s="78"/>
      <c r="S2564" s="36" t="e">
        <f>VLOOKUP(Tabla911[[#This Row],[CODIGO DEL PRODUCTO]],Tabla79[],2,FALSE)</f>
        <v>#N/A</v>
      </c>
      <c r="T2564" s="37"/>
      <c r="U2564" s="78"/>
    </row>
    <row r="2565" spans="15:21" x14ac:dyDescent="0.25">
      <c r="O2565" s="76"/>
      <c r="P2565" s="78"/>
      <c r="Q2565" s="77"/>
      <c r="R2565" s="78"/>
      <c r="S2565" s="36" t="e">
        <f>VLOOKUP(Tabla911[[#This Row],[CODIGO DEL PRODUCTO]],Tabla79[],2,FALSE)</f>
        <v>#N/A</v>
      </c>
      <c r="T2565" s="37"/>
      <c r="U2565" s="78"/>
    </row>
    <row r="2566" spans="15:21" x14ac:dyDescent="0.25">
      <c r="O2566" s="76"/>
      <c r="P2566" s="78"/>
      <c r="Q2566" s="77"/>
      <c r="R2566" s="78"/>
      <c r="S2566" s="36" t="e">
        <f>VLOOKUP(Tabla911[[#This Row],[CODIGO DEL PRODUCTO]],Tabla79[],2,FALSE)</f>
        <v>#N/A</v>
      </c>
      <c r="T2566" s="37"/>
      <c r="U2566" s="78"/>
    </row>
    <row r="2567" spans="15:21" x14ac:dyDescent="0.25">
      <c r="O2567" s="76"/>
      <c r="P2567" s="78"/>
      <c r="Q2567" s="77"/>
      <c r="R2567" s="78"/>
      <c r="S2567" s="36" t="e">
        <f>VLOOKUP(Tabla911[[#This Row],[CODIGO DEL PRODUCTO]],Tabla79[],2,FALSE)</f>
        <v>#N/A</v>
      </c>
      <c r="T2567" s="37"/>
      <c r="U2567" s="78"/>
    </row>
    <row r="2568" spans="15:21" x14ac:dyDescent="0.25">
      <c r="O2568" s="76"/>
      <c r="P2568" s="78"/>
      <c r="Q2568" s="77"/>
      <c r="R2568" s="78"/>
      <c r="S2568" s="36" t="e">
        <f>VLOOKUP(Tabla911[[#This Row],[CODIGO DEL PRODUCTO]],Tabla79[],2,FALSE)</f>
        <v>#N/A</v>
      </c>
      <c r="T2568" s="37"/>
      <c r="U2568" s="78"/>
    </row>
    <row r="2569" spans="15:21" x14ac:dyDescent="0.25">
      <c r="O2569" s="76"/>
      <c r="P2569" s="78"/>
      <c r="Q2569" s="77"/>
      <c r="R2569" s="78"/>
      <c r="S2569" s="36" t="e">
        <f>VLOOKUP(Tabla911[[#This Row],[CODIGO DEL PRODUCTO]],Tabla79[],2,FALSE)</f>
        <v>#N/A</v>
      </c>
      <c r="T2569" s="37"/>
      <c r="U2569" s="78"/>
    </row>
    <row r="2570" spans="15:21" x14ac:dyDescent="0.25">
      <c r="O2570" s="76"/>
      <c r="P2570" s="78"/>
      <c r="Q2570" s="77"/>
      <c r="R2570" s="78"/>
      <c r="S2570" s="36" t="e">
        <f>VLOOKUP(Tabla911[[#This Row],[CODIGO DEL PRODUCTO]],Tabla79[],2,FALSE)</f>
        <v>#N/A</v>
      </c>
      <c r="T2570" s="37"/>
      <c r="U2570" s="78"/>
    </row>
    <row r="2571" spans="15:21" x14ac:dyDescent="0.25">
      <c r="O2571" s="76"/>
      <c r="P2571" s="78"/>
      <c r="Q2571" s="77"/>
      <c r="R2571" s="78"/>
      <c r="S2571" s="36" t="e">
        <f>VLOOKUP(Tabla911[[#This Row],[CODIGO DEL PRODUCTO]],Tabla79[],2,FALSE)</f>
        <v>#N/A</v>
      </c>
      <c r="T2571" s="37"/>
      <c r="U2571" s="78"/>
    </row>
    <row r="2572" spans="15:21" x14ac:dyDescent="0.25">
      <c r="O2572" s="76"/>
      <c r="P2572" s="78"/>
      <c r="Q2572" s="77"/>
      <c r="R2572" s="78"/>
      <c r="S2572" s="36" t="e">
        <f>VLOOKUP(Tabla911[[#This Row],[CODIGO DEL PRODUCTO]],Tabla79[],2,FALSE)</f>
        <v>#N/A</v>
      </c>
      <c r="T2572" s="37"/>
      <c r="U2572" s="78"/>
    </row>
    <row r="2573" spans="15:21" x14ac:dyDescent="0.25">
      <c r="O2573" s="76"/>
      <c r="P2573" s="78"/>
      <c r="Q2573" s="77"/>
      <c r="R2573" s="78"/>
      <c r="S2573" s="36" t="e">
        <f>VLOOKUP(Tabla911[[#This Row],[CODIGO DEL PRODUCTO]],Tabla79[],2,FALSE)</f>
        <v>#N/A</v>
      </c>
      <c r="T2573" s="37"/>
      <c r="U2573" s="78"/>
    </row>
    <row r="2574" spans="15:21" x14ac:dyDescent="0.25">
      <c r="O2574" s="76"/>
      <c r="P2574" s="78"/>
      <c r="Q2574" s="77"/>
      <c r="R2574" s="78"/>
      <c r="S2574" s="36" t="e">
        <f>VLOOKUP(Tabla911[[#This Row],[CODIGO DEL PRODUCTO]],Tabla79[],2,FALSE)</f>
        <v>#N/A</v>
      </c>
      <c r="T2574" s="37"/>
      <c r="U2574" s="78"/>
    </row>
    <row r="2575" spans="15:21" x14ac:dyDescent="0.25">
      <c r="O2575" s="76"/>
      <c r="P2575" s="78"/>
      <c r="Q2575" s="77"/>
      <c r="R2575" s="78"/>
      <c r="S2575" s="36" t="e">
        <f>VLOOKUP(Tabla911[[#This Row],[CODIGO DEL PRODUCTO]],Tabla79[],2,FALSE)</f>
        <v>#N/A</v>
      </c>
      <c r="T2575" s="37"/>
      <c r="U2575" s="78"/>
    </row>
    <row r="2576" spans="15:21" x14ac:dyDescent="0.25">
      <c r="O2576" s="76"/>
      <c r="P2576" s="78"/>
      <c r="Q2576" s="77"/>
      <c r="R2576" s="78"/>
      <c r="S2576" s="36" t="e">
        <f>VLOOKUP(Tabla911[[#This Row],[CODIGO DEL PRODUCTO]],Tabla79[],2,FALSE)</f>
        <v>#N/A</v>
      </c>
      <c r="T2576" s="37"/>
      <c r="U2576" s="78"/>
    </row>
    <row r="2577" spans="15:21" x14ac:dyDescent="0.25">
      <c r="O2577" s="76"/>
      <c r="P2577" s="78"/>
      <c r="Q2577" s="77"/>
      <c r="R2577" s="78"/>
      <c r="S2577" s="36" t="e">
        <f>VLOOKUP(Tabla911[[#This Row],[CODIGO DEL PRODUCTO]],Tabla79[],2,FALSE)</f>
        <v>#N/A</v>
      </c>
      <c r="T2577" s="37"/>
      <c r="U2577" s="78"/>
    </row>
    <row r="2578" spans="15:21" x14ac:dyDescent="0.25">
      <c r="O2578" s="76"/>
      <c r="P2578" s="78"/>
      <c r="Q2578" s="77"/>
      <c r="R2578" s="78"/>
      <c r="S2578" s="36" t="e">
        <f>VLOOKUP(Tabla911[[#This Row],[CODIGO DEL PRODUCTO]],Tabla79[],2,FALSE)</f>
        <v>#N/A</v>
      </c>
      <c r="T2578" s="37"/>
      <c r="U2578" s="78"/>
    </row>
    <row r="2579" spans="15:21" x14ac:dyDescent="0.25">
      <c r="O2579" s="76"/>
      <c r="P2579" s="78"/>
      <c r="Q2579" s="77"/>
      <c r="R2579" s="78"/>
      <c r="S2579" s="36" t="e">
        <f>VLOOKUP(Tabla911[[#This Row],[CODIGO DEL PRODUCTO]],Tabla79[],2,FALSE)</f>
        <v>#N/A</v>
      </c>
      <c r="T2579" s="37"/>
      <c r="U2579" s="78"/>
    </row>
    <row r="2580" spans="15:21" x14ac:dyDescent="0.25">
      <c r="O2580" s="76"/>
      <c r="P2580" s="78"/>
      <c r="Q2580" s="77"/>
      <c r="R2580" s="78"/>
      <c r="S2580" s="36" t="e">
        <f>VLOOKUP(Tabla911[[#This Row],[CODIGO DEL PRODUCTO]],Tabla79[],2,FALSE)</f>
        <v>#N/A</v>
      </c>
      <c r="T2580" s="37"/>
      <c r="U2580" s="78"/>
    </row>
    <row r="2581" spans="15:21" x14ac:dyDescent="0.25">
      <c r="O2581" s="76"/>
      <c r="P2581" s="78"/>
      <c r="Q2581" s="77"/>
      <c r="R2581" s="78"/>
      <c r="S2581" s="36" t="e">
        <f>VLOOKUP(Tabla911[[#This Row],[CODIGO DEL PRODUCTO]],Tabla79[],2,FALSE)</f>
        <v>#N/A</v>
      </c>
      <c r="T2581" s="37"/>
      <c r="U2581" s="78"/>
    </row>
    <row r="2582" spans="15:21" x14ac:dyDescent="0.25">
      <c r="O2582" s="76"/>
      <c r="P2582" s="78"/>
      <c r="Q2582" s="77"/>
      <c r="R2582" s="78"/>
      <c r="S2582" s="36" t="e">
        <f>VLOOKUP(Tabla911[[#This Row],[CODIGO DEL PRODUCTO]],Tabla79[],2,FALSE)</f>
        <v>#N/A</v>
      </c>
      <c r="T2582" s="37"/>
      <c r="U2582" s="78"/>
    </row>
    <row r="2583" spans="15:21" x14ac:dyDescent="0.25">
      <c r="O2583" s="76"/>
      <c r="P2583" s="78"/>
      <c r="Q2583" s="77"/>
      <c r="R2583" s="78"/>
      <c r="S2583" s="36" t="e">
        <f>VLOOKUP(Tabla911[[#This Row],[CODIGO DEL PRODUCTO]],Tabla79[],2,FALSE)</f>
        <v>#N/A</v>
      </c>
      <c r="T2583" s="37"/>
      <c r="U2583" s="78"/>
    </row>
    <row r="2584" spans="15:21" x14ac:dyDescent="0.25">
      <c r="O2584" s="76"/>
      <c r="P2584" s="78"/>
      <c r="Q2584" s="77"/>
      <c r="R2584" s="78"/>
      <c r="S2584" s="36" t="e">
        <f>VLOOKUP(Tabla911[[#This Row],[CODIGO DEL PRODUCTO]],Tabla79[],2,FALSE)</f>
        <v>#N/A</v>
      </c>
      <c r="T2584" s="37"/>
      <c r="U2584" s="78"/>
    </row>
    <row r="2585" spans="15:21" x14ac:dyDescent="0.25">
      <c r="O2585" s="76"/>
      <c r="P2585" s="78"/>
      <c r="Q2585" s="77"/>
      <c r="R2585" s="78"/>
      <c r="S2585" s="36" t="e">
        <f>VLOOKUP(Tabla911[[#This Row],[CODIGO DEL PRODUCTO]],Tabla79[],2,FALSE)</f>
        <v>#N/A</v>
      </c>
      <c r="T2585" s="37"/>
      <c r="U2585" s="78"/>
    </row>
    <row r="2586" spans="15:21" x14ac:dyDescent="0.25">
      <c r="O2586" s="76"/>
      <c r="P2586" s="78"/>
      <c r="Q2586" s="77"/>
      <c r="R2586" s="78"/>
      <c r="S2586" s="36" t="e">
        <f>VLOOKUP(Tabla911[[#This Row],[CODIGO DEL PRODUCTO]],Tabla79[],2,FALSE)</f>
        <v>#N/A</v>
      </c>
      <c r="T2586" s="37"/>
      <c r="U2586" s="78"/>
    </row>
    <row r="2587" spans="15:21" x14ac:dyDescent="0.25">
      <c r="O2587" s="76"/>
      <c r="P2587" s="78"/>
      <c r="Q2587" s="77"/>
      <c r="R2587" s="78"/>
      <c r="S2587" s="36" t="e">
        <f>VLOOKUP(Tabla911[[#This Row],[CODIGO DEL PRODUCTO]],Tabla79[],2,FALSE)</f>
        <v>#N/A</v>
      </c>
      <c r="T2587" s="37"/>
      <c r="U2587" s="78"/>
    </row>
    <row r="2588" spans="15:21" x14ac:dyDescent="0.25">
      <c r="O2588" s="76"/>
      <c r="P2588" s="78"/>
      <c r="Q2588" s="77"/>
      <c r="R2588" s="78"/>
      <c r="S2588" s="36" t="e">
        <f>VLOOKUP(Tabla911[[#This Row],[CODIGO DEL PRODUCTO]],Tabla79[],2,FALSE)</f>
        <v>#N/A</v>
      </c>
      <c r="T2588" s="37"/>
      <c r="U2588" s="78"/>
    </row>
    <row r="2589" spans="15:21" x14ac:dyDescent="0.25">
      <c r="O2589" s="76"/>
      <c r="P2589" s="78"/>
      <c r="Q2589" s="77"/>
      <c r="R2589" s="78"/>
      <c r="S2589" s="36" t="e">
        <f>VLOOKUP(Tabla911[[#This Row],[CODIGO DEL PRODUCTO]],Tabla79[],2,FALSE)</f>
        <v>#N/A</v>
      </c>
      <c r="T2589" s="37"/>
      <c r="U2589" s="78"/>
    </row>
    <row r="2590" spans="15:21" x14ac:dyDescent="0.25">
      <c r="O2590" s="76"/>
      <c r="P2590" s="78"/>
      <c r="Q2590" s="77"/>
      <c r="R2590" s="78"/>
      <c r="S2590" s="36" t="e">
        <f>VLOOKUP(Tabla911[[#This Row],[CODIGO DEL PRODUCTO]],Tabla79[],2,FALSE)</f>
        <v>#N/A</v>
      </c>
      <c r="T2590" s="37"/>
      <c r="U2590" s="78"/>
    </row>
    <row r="2591" spans="15:21" x14ac:dyDescent="0.25">
      <c r="O2591" s="76"/>
      <c r="P2591" s="78"/>
      <c r="Q2591" s="77"/>
      <c r="R2591" s="78"/>
      <c r="S2591" s="36" t="e">
        <f>VLOOKUP(Tabla911[[#This Row],[CODIGO DEL PRODUCTO]],Tabla79[],2,FALSE)</f>
        <v>#N/A</v>
      </c>
      <c r="T2591" s="37"/>
      <c r="U2591" s="78"/>
    </row>
    <row r="2592" spans="15:21" x14ac:dyDescent="0.25">
      <c r="O2592" s="76"/>
      <c r="P2592" s="78"/>
      <c r="Q2592" s="77"/>
      <c r="R2592" s="78"/>
      <c r="S2592" s="36" t="e">
        <f>VLOOKUP(Tabla911[[#This Row],[CODIGO DEL PRODUCTO]],Tabla79[],2,FALSE)</f>
        <v>#N/A</v>
      </c>
      <c r="T2592" s="37"/>
      <c r="U2592" s="78"/>
    </row>
    <row r="2593" spans="15:21" x14ac:dyDescent="0.25">
      <c r="O2593" s="76"/>
      <c r="P2593" s="78"/>
      <c r="Q2593" s="77"/>
      <c r="R2593" s="78"/>
      <c r="S2593" s="36" t="e">
        <f>VLOOKUP(Tabla911[[#This Row],[CODIGO DEL PRODUCTO]],Tabla79[],2,FALSE)</f>
        <v>#N/A</v>
      </c>
      <c r="T2593" s="37"/>
      <c r="U2593" s="78"/>
    </row>
    <row r="2594" spans="15:21" x14ac:dyDescent="0.25">
      <c r="O2594" s="76"/>
      <c r="P2594" s="78"/>
      <c r="Q2594" s="77"/>
      <c r="R2594" s="78"/>
      <c r="S2594" s="36" t="e">
        <f>VLOOKUP(Tabla911[[#This Row],[CODIGO DEL PRODUCTO]],Tabla79[],2,FALSE)</f>
        <v>#N/A</v>
      </c>
      <c r="T2594" s="37"/>
      <c r="U2594" s="78"/>
    </row>
    <row r="2595" spans="15:21" x14ac:dyDescent="0.25">
      <c r="O2595" s="76"/>
      <c r="P2595" s="78"/>
      <c r="Q2595" s="77"/>
      <c r="R2595" s="78"/>
      <c r="S2595" s="36" t="e">
        <f>VLOOKUP(Tabla911[[#This Row],[CODIGO DEL PRODUCTO]],Tabla79[],2,FALSE)</f>
        <v>#N/A</v>
      </c>
      <c r="T2595" s="37"/>
      <c r="U2595" s="78"/>
    </row>
    <row r="2596" spans="15:21" x14ac:dyDescent="0.25">
      <c r="O2596" s="76"/>
      <c r="P2596" s="78"/>
      <c r="Q2596" s="77"/>
      <c r="R2596" s="78"/>
      <c r="S2596" s="36" t="e">
        <f>VLOOKUP(Tabla911[[#This Row],[CODIGO DEL PRODUCTO]],Tabla79[],2,FALSE)</f>
        <v>#N/A</v>
      </c>
      <c r="T2596" s="37"/>
      <c r="U2596" s="78"/>
    </row>
    <row r="2597" spans="15:21" x14ac:dyDescent="0.25">
      <c r="O2597" s="76"/>
      <c r="P2597" s="78"/>
      <c r="Q2597" s="77"/>
      <c r="R2597" s="78"/>
      <c r="S2597" s="36" t="e">
        <f>VLOOKUP(Tabla911[[#This Row],[CODIGO DEL PRODUCTO]],Tabla79[],2,FALSE)</f>
        <v>#N/A</v>
      </c>
      <c r="T2597" s="37"/>
      <c r="U2597" s="78"/>
    </row>
    <row r="2598" spans="15:21" x14ac:dyDescent="0.25">
      <c r="O2598" s="76"/>
      <c r="P2598" s="78"/>
      <c r="Q2598" s="77"/>
      <c r="R2598" s="78"/>
      <c r="S2598" s="36" t="e">
        <f>VLOOKUP(Tabla911[[#This Row],[CODIGO DEL PRODUCTO]],Tabla79[],2,FALSE)</f>
        <v>#N/A</v>
      </c>
      <c r="T2598" s="37"/>
      <c r="U2598" s="78"/>
    </row>
    <row r="2599" spans="15:21" x14ac:dyDescent="0.25">
      <c r="O2599" s="76"/>
      <c r="P2599" s="78"/>
      <c r="Q2599" s="77"/>
      <c r="R2599" s="78"/>
      <c r="S2599" s="36" t="e">
        <f>VLOOKUP(Tabla911[[#This Row],[CODIGO DEL PRODUCTO]],Tabla79[],2,FALSE)</f>
        <v>#N/A</v>
      </c>
      <c r="T2599" s="37"/>
      <c r="U2599" s="78"/>
    </row>
    <row r="2600" spans="15:21" x14ac:dyDescent="0.25">
      <c r="O2600" s="76"/>
      <c r="P2600" s="78"/>
      <c r="Q2600" s="77"/>
      <c r="R2600" s="78"/>
      <c r="S2600" s="36" t="e">
        <f>VLOOKUP(Tabla911[[#This Row],[CODIGO DEL PRODUCTO]],Tabla79[],2,FALSE)</f>
        <v>#N/A</v>
      </c>
      <c r="T2600" s="37"/>
      <c r="U2600" s="78"/>
    </row>
    <row r="2601" spans="15:21" x14ac:dyDescent="0.25">
      <c r="O2601" s="76"/>
      <c r="P2601" s="78"/>
      <c r="Q2601" s="77"/>
      <c r="R2601" s="78"/>
      <c r="S2601" s="36" t="e">
        <f>VLOOKUP(Tabla911[[#This Row],[CODIGO DEL PRODUCTO]],Tabla79[],2,FALSE)</f>
        <v>#N/A</v>
      </c>
      <c r="T2601" s="37"/>
      <c r="U2601" s="78"/>
    </row>
    <row r="2602" spans="15:21" x14ac:dyDescent="0.25">
      <c r="O2602" s="76"/>
      <c r="P2602" s="78"/>
      <c r="Q2602" s="77"/>
      <c r="R2602" s="78"/>
      <c r="S2602" s="36" t="e">
        <f>VLOOKUP(Tabla911[[#This Row],[CODIGO DEL PRODUCTO]],Tabla79[],2,FALSE)</f>
        <v>#N/A</v>
      </c>
      <c r="T2602" s="37"/>
      <c r="U2602" s="78"/>
    </row>
    <row r="2603" spans="15:21" x14ac:dyDescent="0.25">
      <c r="O2603" s="76"/>
      <c r="P2603" s="78"/>
      <c r="Q2603" s="77"/>
      <c r="R2603" s="78"/>
      <c r="S2603" s="36" t="e">
        <f>VLOOKUP(Tabla911[[#This Row],[CODIGO DEL PRODUCTO]],Tabla79[],2,FALSE)</f>
        <v>#N/A</v>
      </c>
      <c r="T2603" s="37"/>
      <c r="U2603" s="78"/>
    </row>
    <row r="2604" spans="15:21" x14ac:dyDescent="0.25">
      <c r="O2604" s="76"/>
      <c r="P2604" s="78"/>
      <c r="Q2604" s="77"/>
      <c r="R2604" s="78"/>
      <c r="S2604" s="36" t="e">
        <f>VLOOKUP(Tabla911[[#This Row],[CODIGO DEL PRODUCTO]],Tabla79[],2,FALSE)</f>
        <v>#N/A</v>
      </c>
      <c r="T2604" s="37"/>
      <c r="U2604" s="78"/>
    </row>
    <row r="2605" spans="15:21" x14ac:dyDescent="0.25">
      <c r="O2605" s="76"/>
      <c r="P2605" s="78"/>
      <c r="Q2605" s="77"/>
      <c r="R2605" s="78"/>
      <c r="S2605" s="36" t="e">
        <f>VLOOKUP(Tabla911[[#This Row],[CODIGO DEL PRODUCTO]],Tabla79[],2,FALSE)</f>
        <v>#N/A</v>
      </c>
      <c r="T2605" s="37"/>
      <c r="U2605" s="78"/>
    </row>
    <row r="2606" spans="15:21" x14ac:dyDescent="0.25">
      <c r="O2606" s="76"/>
      <c r="P2606" s="78"/>
      <c r="Q2606" s="77"/>
      <c r="R2606" s="78"/>
      <c r="S2606" s="36" t="e">
        <f>VLOOKUP(Tabla911[[#This Row],[CODIGO DEL PRODUCTO]],Tabla79[],2,FALSE)</f>
        <v>#N/A</v>
      </c>
      <c r="T2606" s="37"/>
      <c r="U2606" s="78"/>
    </row>
    <row r="2607" spans="15:21" x14ac:dyDescent="0.25">
      <c r="O2607" s="76"/>
      <c r="P2607" s="78"/>
      <c r="Q2607" s="77"/>
      <c r="R2607" s="78"/>
      <c r="S2607" s="36" t="e">
        <f>VLOOKUP(Tabla911[[#This Row],[CODIGO DEL PRODUCTO]],Tabla79[],2,FALSE)</f>
        <v>#N/A</v>
      </c>
      <c r="T2607" s="37"/>
      <c r="U2607" s="78"/>
    </row>
    <row r="2608" spans="15:21" x14ac:dyDescent="0.25">
      <c r="O2608" s="76"/>
      <c r="P2608" s="78"/>
      <c r="Q2608" s="77"/>
      <c r="R2608" s="78"/>
      <c r="S2608" s="36" t="e">
        <f>VLOOKUP(Tabla911[[#This Row],[CODIGO DEL PRODUCTO]],Tabla79[],2,FALSE)</f>
        <v>#N/A</v>
      </c>
      <c r="T2608" s="37"/>
      <c r="U2608" s="78"/>
    </row>
    <row r="2609" spans="15:21" x14ac:dyDescent="0.25">
      <c r="O2609" s="76"/>
      <c r="P2609" s="78"/>
      <c r="Q2609" s="77"/>
      <c r="R2609" s="78"/>
      <c r="S2609" s="36" t="e">
        <f>VLOOKUP(Tabla911[[#This Row],[CODIGO DEL PRODUCTO]],Tabla79[],2,FALSE)</f>
        <v>#N/A</v>
      </c>
      <c r="T2609" s="37"/>
      <c r="U2609" s="78"/>
    </row>
    <row r="2610" spans="15:21" x14ac:dyDescent="0.25">
      <c r="O2610" s="76"/>
      <c r="P2610" s="78"/>
      <c r="Q2610" s="77"/>
      <c r="R2610" s="78"/>
      <c r="S2610" s="36" t="e">
        <f>VLOOKUP(Tabla911[[#This Row],[CODIGO DEL PRODUCTO]],Tabla79[],2,FALSE)</f>
        <v>#N/A</v>
      </c>
      <c r="T2610" s="37"/>
      <c r="U2610" s="78"/>
    </row>
    <row r="2611" spans="15:21" x14ac:dyDescent="0.25">
      <c r="O2611" s="76"/>
      <c r="P2611" s="78"/>
      <c r="Q2611" s="77"/>
      <c r="R2611" s="78"/>
      <c r="S2611" s="36" t="e">
        <f>VLOOKUP(Tabla911[[#This Row],[CODIGO DEL PRODUCTO]],Tabla79[],2,FALSE)</f>
        <v>#N/A</v>
      </c>
      <c r="T2611" s="37"/>
      <c r="U2611" s="78"/>
    </row>
    <row r="2612" spans="15:21" x14ac:dyDescent="0.25">
      <c r="O2612" s="76"/>
      <c r="P2612" s="78"/>
      <c r="Q2612" s="77"/>
      <c r="R2612" s="78"/>
      <c r="S2612" s="36" t="e">
        <f>VLOOKUP(Tabla911[[#This Row],[CODIGO DEL PRODUCTO]],Tabla79[],2,FALSE)</f>
        <v>#N/A</v>
      </c>
      <c r="T2612" s="37"/>
      <c r="U2612" s="78"/>
    </row>
    <row r="2613" spans="15:21" x14ac:dyDescent="0.25">
      <c r="O2613" s="76"/>
      <c r="P2613" s="78"/>
      <c r="Q2613" s="77"/>
      <c r="R2613" s="78"/>
      <c r="S2613" s="36" t="e">
        <f>VLOOKUP(Tabla911[[#This Row],[CODIGO DEL PRODUCTO]],Tabla79[],2,FALSE)</f>
        <v>#N/A</v>
      </c>
      <c r="T2613" s="37"/>
      <c r="U2613" s="78"/>
    </row>
    <row r="2614" spans="15:21" x14ac:dyDescent="0.25">
      <c r="O2614" s="76"/>
      <c r="P2614" s="78"/>
      <c r="Q2614" s="77"/>
      <c r="R2614" s="78"/>
      <c r="S2614" s="36" t="e">
        <f>VLOOKUP(Tabla911[[#This Row],[CODIGO DEL PRODUCTO]],Tabla79[],2,FALSE)</f>
        <v>#N/A</v>
      </c>
      <c r="T2614" s="37"/>
      <c r="U2614" s="78"/>
    </row>
    <row r="2615" spans="15:21" x14ac:dyDescent="0.25">
      <c r="O2615" s="76"/>
      <c r="P2615" s="78"/>
      <c r="Q2615" s="77"/>
      <c r="R2615" s="78"/>
      <c r="S2615" s="36" t="e">
        <f>VLOOKUP(Tabla911[[#This Row],[CODIGO DEL PRODUCTO]],Tabla79[],2,FALSE)</f>
        <v>#N/A</v>
      </c>
      <c r="T2615" s="37"/>
      <c r="U2615" s="78"/>
    </row>
    <row r="2616" spans="15:21" x14ac:dyDescent="0.25">
      <c r="O2616" s="76"/>
      <c r="P2616" s="78"/>
      <c r="Q2616" s="77"/>
      <c r="R2616" s="78"/>
      <c r="S2616" s="36" t="e">
        <f>VLOOKUP(Tabla911[[#This Row],[CODIGO DEL PRODUCTO]],Tabla79[],2,FALSE)</f>
        <v>#N/A</v>
      </c>
      <c r="T2616" s="37"/>
      <c r="U2616" s="78"/>
    </row>
    <row r="2617" spans="15:21" x14ac:dyDescent="0.25">
      <c r="O2617" s="76"/>
      <c r="P2617" s="78"/>
      <c r="Q2617" s="77"/>
      <c r="R2617" s="78"/>
      <c r="S2617" s="36" t="e">
        <f>VLOOKUP(Tabla911[[#This Row],[CODIGO DEL PRODUCTO]],Tabla79[],2,FALSE)</f>
        <v>#N/A</v>
      </c>
      <c r="T2617" s="37"/>
      <c r="U2617" s="78"/>
    </row>
    <row r="2618" spans="15:21" x14ac:dyDescent="0.25">
      <c r="O2618" s="76"/>
      <c r="P2618" s="78"/>
      <c r="Q2618" s="77"/>
      <c r="R2618" s="78"/>
      <c r="S2618" s="36" t="e">
        <f>VLOOKUP(Tabla911[[#This Row],[CODIGO DEL PRODUCTO]],Tabla79[],2,FALSE)</f>
        <v>#N/A</v>
      </c>
      <c r="T2618" s="37"/>
      <c r="U2618" s="78"/>
    </row>
    <row r="2619" spans="15:21" x14ac:dyDescent="0.25">
      <c r="O2619" s="76"/>
      <c r="P2619" s="78"/>
      <c r="Q2619" s="77"/>
      <c r="R2619" s="78"/>
      <c r="S2619" s="36" t="e">
        <f>VLOOKUP(Tabla911[[#This Row],[CODIGO DEL PRODUCTO]],Tabla79[],2,FALSE)</f>
        <v>#N/A</v>
      </c>
      <c r="T2619" s="37"/>
      <c r="U2619" s="78"/>
    </row>
    <row r="2620" spans="15:21" x14ac:dyDescent="0.25">
      <c r="O2620" s="76"/>
      <c r="P2620" s="78"/>
      <c r="Q2620" s="77"/>
      <c r="R2620" s="78"/>
      <c r="S2620" s="36" t="e">
        <f>VLOOKUP(Tabla911[[#This Row],[CODIGO DEL PRODUCTO]],Tabla79[],2,FALSE)</f>
        <v>#N/A</v>
      </c>
      <c r="T2620" s="37"/>
      <c r="U2620" s="78"/>
    </row>
    <row r="2621" spans="15:21" x14ac:dyDescent="0.25">
      <c r="O2621" s="76"/>
      <c r="P2621" s="78"/>
      <c r="Q2621" s="77"/>
      <c r="R2621" s="78"/>
      <c r="S2621" s="36" t="e">
        <f>VLOOKUP(Tabla911[[#This Row],[CODIGO DEL PRODUCTO]],Tabla79[],2,FALSE)</f>
        <v>#N/A</v>
      </c>
      <c r="T2621" s="37"/>
      <c r="U2621" s="78"/>
    </row>
    <row r="2622" spans="15:21" x14ac:dyDescent="0.25">
      <c r="O2622" s="76"/>
      <c r="P2622" s="78"/>
      <c r="Q2622" s="77"/>
      <c r="R2622" s="78"/>
      <c r="S2622" s="36" t="e">
        <f>VLOOKUP(Tabla911[[#This Row],[CODIGO DEL PRODUCTO]],Tabla79[],2,FALSE)</f>
        <v>#N/A</v>
      </c>
      <c r="T2622" s="37"/>
      <c r="U2622" s="78"/>
    </row>
    <row r="2623" spans="15:21" x14ac:dyDescent="0.25">
      <c r="O2623" s="76"/>
      <c r="P2623" s="78"/>
      <c r="Q2623" s="77"/>
      <c r="R2623" s="78"/>
      <c r="S2623" s="36" t="e">
        <f>VLOOKUP(Tabla911[[#This Row],[CODIGO DEL PRODUCTO]],Tabla79[],2,FALSE)</f>
        <v>#N/A</v>
      </c>
      <c r="T2623" s="37"/>
      <c r="U2623" s="78"/>
    </row>
    <row r="2624" spans="15:21" x14ac:dyDescent="0.25">
      <c r="O2624" s="76"/>
      <c r="P2624" s="78"/>
      <c r="Q2624" s="77"/>
      <c r="R2624" s="78"/>
      <c r="S2624" s="36" t="e">
        <f>VLOOKUP(Tabla911[[#This Row],[CODIGO DEL PRODUCTO]],Tabla79[],2,FALSE)</f>
        <v>#N/A</v>
      </c>
      <c r="T2624" s="37"/>
      <c r="U2624" s="78"/>
    </row>
    <row r="2625" spans="15:21" x14ac:dyDescent="0.25">
      <c r="O2625" s="76"/>
      <c r="P2625" s="78"/>
      <c r="Q2625" s="77"/>
      <c r="R2625" s="78"/>
      <c r="S2625" s="36" t="e">
        <f>VLOOKUP(Tabla911[[#This Row],[CODIGO DEL PRODUCTO]],Tabla79[],2,FALSE)</f>
        <v>#N/A</v>
      </c>
      <c r="T2625" s="37"/>
      <c r="U2625" s="78"/>
    </row>
    <row r="2626" spans="15:21" x14ac:dyDescent="0.25">
      <c r="O2626" s="76"/>
      <c r="P2626" s="78"/>
      <c r="Q2626" s="77"/>
      <c r="R2626" s="78"/>
      <c r="S2626" s="36" t="e">
        <f>VLOOKUP(Tabla911[[#This Row],[CODIGO DEL PRODUCTO]],Tabla79[],2,FALSE)</f>
        <v>#N/A</v>
      </c>
      <c r="T2626" s="37"/>
      <c r="U2626" s="78"/>
    </row>
    <row r="2627" spans="15:21" x14ac:dyDescent="0.25">
      <c r="O2627" s="76"/>
      <c r="P2627" s="78"/>
      <c r="Q2627" s="77"/>
      <c r="R2627" s="78"/>
      <c r="S2627" s="36" t="e">
        <f>VLOOKUP(Tabla911[[#This Row],[CODIGO DEL PRODUCTO]],Tabla79[],2,FALSE)</f>
        <v>#N/A</v>
      </c>
      <c r="T2627" s="37"/>
      <c r="U2627" s="78"/>
    </row>
    <row r="2628" spans="15:21" x14ac:dyDescent="0.25">
      <c r="O2628" s="76"/>
      <c r="P2628" s="78"/>
      <c r="Q2628" s="77"/>
      <c r="R2628" s="78"/>
      <c r="S2628" s="36" t="e">
        <f>VLOOKUP(Tabla911[[#This Row],[CODIGO DEL PRODUCTO]],Tabla79[],2,FALSE)</f>
        <v>#N/A</v>
      </c>
      <c r="T2628" s="37"/>
      <c r="U2628" s="78"/>
    </row>
    <row r="2629" spans="15:21" x14ac:dyDescent="0.25">
      <c r="O2629" s="76"/>
      <c r="P2629" s="78"/>
      <c r="Q2629" s="77"/>
      <c r="R2629" s="78"/>
      <c r="S2629" s="36" t="e">
        <f>VLOOKUP(Tabla911[[#This Row],[CODIGO DEL PRODUCTO]],Tabla79[],2,FALSE)</f>
        <v>#N/A</v>
      </c>
      <c r="T2629" s="37"/>
      <c r="U2629" s="78"/>
    </row>
    <row r="2630" spans="15:21" x14ac:dyDescent="0.25">
      <c r="O2630" s="76"/>
      <c r="P2630" s="78"/>
      <c r="Q2630" s="77"/>
      <c r="R2630" s="78"/>
      <c r="S2630" s="36" t="e">
        <f>VLOOKUP(Tabla911[[#This Row],[CODIGO DEL PRODUCTO]],Tabla79[],2,FALSE)</f>
        <v>#N/A</v>
      </c>
      <c r="T2630" s="37"/>
      <c r="U2630" s="78"/>
    </row>
    <row r="2631" spans="15:21" x14ac:dyDescent="0.25">
      <c r="O2631" s="76"/>
      <c r="P2631" s="78"/>
      <c r="Q2631" s="77"/>
      <c r="R2631" s="78"/>
      <c r="S2631" s="36" t="e">
        <f>VLOOKUP(Tabla911[[#This Row],[CODIGO DEL PRODUCTO]],Tabla79[],2,FALSE)</f>
        <v>#N/A</v>
      </c>
      <c r="T2631" s="37"/>
      <c r="U2631" s="78"/>
    </row>
    <row r="2632" spans="15:21" x14ac:dyDescent="0.25">
      <c r="O2632" s="76"/>
      <c r="P2632" s="78"/>
      <c r="Q2632" s="77"/>
      <c r="R2632" s="78"/>
      <c r="S2632" s="36" t="e">
        <f>VLOOKUP(Tabla911[[#This Row],[CODIGO DEL PRODUCTO]],Tabla79[],2,FALSE)</f>
        <v>#N/A</v>
      </c>
      <c r="T2632" s="37"/>
      <c r="U2632" s="78"/>
    </row>
    <row r="2633" spans="15:21" x14ac:dyDescent="0.25">
      <c r="O2633" s="76"/>
      <c r="P2633" s="78"/>
      <c r="Q2633" s="77"/>
      <c r="R2633" s="78"/>
      <c r="S2633" s="36" t="e">
        <f>VLOOKUP(Tabla911[[#This Row],[CODIGO DEL PRODUCTO]],Tabla79[],2,FALSE)</f>
        <v>#N/A</v>
      </c>
      <c r="T2633" s="37"/>
      <c r="U2633" s="78"/>
    </row>
    <row r="2634" spans="15:21" x14ac:dyDescent="0.25">
      <c r="O2634" s="76"/>
      <c r="P2634" s="78"/>
      <c r="Q2634" s="77"/>
      <c r="R2634" s="78"/>
      <c r="S2634" s="36" t="e">
        <f>VLOOKUP(Tabla911[[#This Row],[CODIGO DEL PRODUCTO]],Tabla79[],2,FALSE)</f>
        <v>#N/A</v>
      </c>
      <c r="T2634" s="37"/>
      <c r="U2634" s="78"/>
    </row>
    <row r="2635" spans="15:21" x14ac:dyDescent="0.25">
      <c r="O2635" s="76"/>
      <c r="P2635" s="78"/>
      <c r="Q2635" s="77"/>
      <c r="R2635" s="78"/>
      <c r="S2635" s="36" t="e">
        <f>VLOOKUP(Tabla911[[#This Row],[CODIGO DEL PRODUCTO]],Tabla79[],2,FALSE)</f>
        <v>#N/A</v>
      </c>
      <c r="T2635" s="37"/>
      <c r="U2635" s="78"/>
    </row>
    <row r="2636" spans="15:21" x14ac:dyDescent="0.25">
      <c r="O2636" s="76"/>
      <c r="P2636" s="78"/>
      <c r="Q2636" s="77"/>
      <c r="R2636" s="78"/>
      <c r="S2636" s="36" t="e">
        <f>VLOOKUP(Tabla911[[#This Row],[CODIGO DEL PRODUCTO]],Tabla79[],2,FALSE)</f>
        <v>#N/A</v>
      </c>
      <c r="T2636" s="37"/>
      <c r="U2636" s="78"/>
    </row>
    <row r="2637" spans="15:21" x14ac:dyDescent="0.25">
      <c r="O2637" s="76"/>
      <c r="P2637" s="78"/>
      <c r="Q2637" s="77"/>
      <c r="R2637" s="78"/>
      <c r="S2637" s="36" t="e">
        <f>VLOOKUP(Tabla911[[#This Row],[CODIGO DEL PRODUCTO]],Tabla79[],2,FALSE)</f>
        <v>#N/A</v>
      </c>
      <c r="T2637" s="37"/>
      <c r="U2637" s="78"/>
    </row>
    <row r="2638" spans="15:21" x14ac:dyDescent="0.25">
      <c r="O2638" s="76"/>
      <c r="P2638" s="78"/>
      <c r="Q2638" s="77"/>
      <c r="R2638" s="78"/>
      <c r="S2638" s="36" t="e">
        <f>VLOOKUP(Tabla911[[#This Row],[CODIGO DEL PRODUCTO]],Tabla79[],2,FALSE)</f>
        <v>#N/A</v>
      </c>
      <c r="T2638" s="37"/>
      <c r="U2638" s="78"/>
    </row>
    <row r="2639" spans="15:21" x14ac:dyDescent="0.25">
      <c r="O2639" s="76"/>
      <c r="P2639" s="78"/>
      <c r="Q2639" s="77"/>
      <c r="R2639" s="78"/>
      <c r="S2639" s="36" t="e">
        <f>VLOOKUP(Tabla911[[#This Row],[CODIGO DEL PRODUCTO]],Tabla79[],2,FALSE)</f>
        <v>#N/A</v>
      </c>
      <c r="T2639" s="37"/>
      <c r="U2639" s="78"/>
    </row>
    <row r="2640" spans="15:21" x14ac:dyDescent="0.25">
      <c r="O2640" s="76"/>
      <c r="P2640" s="78"/>
      <c r="Q2640" s="77"/>
      <c r="R2640" s="78"/>
      <c r="S2640" s="36" t="e">
        <f>VLOOKUP(Tabla911[[#This Row],[CODIGO DEL PRODUCTO]],Tabla79[],2,FALSE)</f>
        <v>#N/A</v>
      </c>
      <c r="T2640" s="37"/>
      <c r="U2640" s="78"/>
    </row>
    <row r="2641" spans="15:21" x14ac:dyDescent="0.25">
      <c r="O2641" s="76"/>
      <c r="P2641" s="78"/>
      <c r="Q2641" s="77"/>
      <c r="R2641" s="78"/>
      <c r="S2641" s="36" t="e">
        <f>VLOOKUP(Tabla911[[#This Row],[CODIGO DEL PRODUCTO]],Tabla79[],2,FALSE)</f>
        <v>#N/A</v>
      </c>
      <c r="T2641" s="37"/>
      <c r="U2641" s="78"/>
    </row>
    <row r="2642" spans="15:21" x14ac:dyDescent="0.25">
      <c r="O2642" s="76"/>
      <c r="P2642" s="78"/>
      <c r="Q2642" s="77"/>
      <c r="R2642" s="78"/>
      <c r="S2642" s="36" t="e">
        <f>VLOOKUP(Tabla911[[#This Row],[CODIGO DEL PRODUCTO]],Tabla79[],2,FALSE)</f>
        <v>#N/A</v>
      </c>
      <c r="T2642" s="37"/>
      <c r="U2642" s="78"/>
    </row>
    <row r="2643" spans="15:21" x14ac:dyDescent="0.25">
      <c r="O2643" s="76"/>
      <c r="P2643" s="78"/>
      <c r="Q2643" s="77"/>
      <c r="R2643" s="78"/>
      <c r="S2643" s="36" t="e">
        <f>VLOOKUP(Tabla911[[#This Row],[CODIGO DEL PRODUCTO]],Tabla79[],2,FALSE)</f>
        <v>#N/A</v>
      </c>
      <c r="T2643" s="37"/>
      <c r="U2643" s="78"/>
    </row>
    <row r="2644" spans="15:21" x14ac:dyDescent="0.25">
      <c r="O2644" s="76"/>
      <c r="P2644" s="78"/>
      <c r="Q2644" s="77"/>
      <c r="R2644" s="78"/>
      <c r="S2644" s="36" t="e">
        <f>VLOOKUP(Tabla911[[#This Row],[CODIGO DEL PRODUCTO]],Tabla79[],2,FALSE)</f>
        <v>#N/A</v>
      </c>
      <c r="T2644" s="37"/>
      <c r="U2644" s="78"/>
    </row>
    <row r="2645" spans="15:21" x14ac:dyDescent="0.25">
      <c r="O2645" s="76"/>
      <c r="P2645" s="78"/>
      <c r="Q2645" s="77"/>
      <c r="R2645" s="78"/>
      <c r="S2645" s="36" t="e">
        <f>VLOOKUP(Tabla911[[#This Row],[CODIGO DEL PRODUCTO]],Tabla79[],2,FALSE)</f>
        <v>#N/A</v>
      </c>
      <c r="T2645" s="37"/>
      <c r="U2645" s="78"/>
    </row>
    <row r="2646" spans="15:21" x14ac:dyDescent="0.25">
      <c r="O2646" s="76"/>
      <c r="P2646" s="78"/>
      <c r="Q2646" s="77"/>
      <c r="R2646" s="78"/>
      <c r="S2646" s="36" t="e">
        <f>VLOOKUP(Tabla911[[#This Row],[CODIGO DEL PRODUCTO]],Tabla79[],2,FALSE)</f>
        <v>#N/A</v>
      </c>
      <c r="T2646" s="37"/>
      <c r="U2646" s="78"/>
    </row>
    <row r="2647" spans="15:21" x14ac:dyDescent="0.25">
      <c r="O2647" s="76"/>
      <c r="P2647" s="78"/>
      <c r="Q2647" s="77"/>
      <c r="R2647" s="78"/>
      <c r="S2647" s="36" t="e">
        <f>VLOOKUP(Tabla911[[#This Row],[CODIGO DEL PRODUCTO]],Tabla79[],2,FALSE)</f>
        <v>#N/A</v>
      </c>
      <c r="T2647" s="37"/>
      <c r="U2647" s="78"/>
    </row>
    <row r="2648" spans="15:21" x14ac:dyDescent="0.25">
      <c r="O2648" s="76"/>
      <c r="P2648" s="78"/>
      <c r="Q2648" s="77"/>
      <c r="R2648" s="78"/>
      <c r="S2648" s="36" t="e">
        <f>VLOOKUP(Tabla911[[#This Row],[CODIGO DEL PRODUCTO]],Tabla79[],2,FALSE)</f>
        <v>#N/A</v>
      </c>
      <c r="T2648" s="37"/>
      <c r="U2648" s="78"/>
    </row>
    <row r="2649" spans="15:21" x14ac:dyDescent="0.25">
      <c r="O2649" s="76"/>
      <c r="P2649" s="78"/>
      <c r="Q2649" s="77"/>
      <c r="R2649" s="78"/>
      <c r="S2649" s="36" t="e">
        <f>VLOOKUP(Tabla911[[#This Row],[CODIGO DEL PRODUCTO]],Tabla79[],2,FALSE)</f>
        <v>#N/A</v>
      </c>
      <c r="T2649" s="37"/>
      <c r="U2649" s="78"/>
    </row>
    <row r="2650" spans="15:21" x14ac:dyDescent="0.25">
      <c r="O2650" s="76"/>
      <c r="P2650" s="78"/>
      <c r="Q2650" s="77"/>
      <c r="R2650" s="78"/>
      <c r="S2650" s="36" t="e">
        <f>VLOOKUP(Tabla911[[#This Row],[CODIGO DEL PRODUCTO]],Tabla79[],2,FALSE)</f>
        <v>#N/A</v>
      </c>
      <c r="T2650" s="37"/>
      <c r="U2650" s="78"/>
    </row>
    <row r="2651" spans="15:21" x14ac:dyDescent="0.25">
      <c r="O2651" s="76"/>
      <c r="P2651" s="78"/>
      <c r="Q2651" s="77"/>
      <c r="R2651" s="78"/>
      <c r="S2651" s="36" t="e">
        <f>VLOOKUP(Tabla911[[#This Row],[CODIGO DEL PRODUCTO]],Tabla79[],2,FALSE)</f>
        <v>#N/A</v>
      </c>
      <c r="T2651" s="37"/>
      <c r="U2651" s="78"/>
    </row>
    <row r="2652" spans="15:21" x14ac:dyDescent="0.25">
      <c r="O2652" s="76"/>
      <c r="P2652" s="78"/>
      <c r="Q2652" s="77"/>
      <c r="R2652" s="78"/>
      <c r="S2652" s="36" t="e">
        <f>VLOOKUP(Tabla911[[#This Row],[CODIGO DEL PRODUCTO]],Tabla79[],2,FALSE)</f>
        <v>#N/A</v>
      </c>
      <c r="T2652" s="37"/>
      <c r="U2652" s="78"/>
    </row>
    <row r="2653" spans="15:21" x14ac:dyDescent="0.25">
      <c r="O2653" s="76"/>
      <c r="P2653" s="78"/>
      <c r="Q2653" s="77"/>
      <c r="R2653" s="78"/>
      <c r="S2653" s="36" t="e">
        <f>VLOOKUP(Tabla911[[#This Row],[CODIGO DEL PRODUCTO]],Tabla79[],2,FALSE)</f>
        <v>#N/A</v>
      </c>
      <c r="T2653" s="37"/>
      <c r="U2653" s="78"/>
    </row>
    <row r="2654" spans="15:21" x14ac:dyDescent="0.25">
      <c r="O2654" s="76"/>
      <c r="P2654" s="78"/>
      <c r="Q2654" s="77"/>
      <c r="R2654" s="78"/>
      <c r="S2654" s="36" t="e">
        <f>VLOOKUP(Tabla911[[#This Row],[CODIGO DEL PRODUCTO]],Tabla79[],2,FALSE)</f>
        <v>#N/A</v>
      </c>
      <c r="T2654" s="37"/>
      <c r="U2654" s="78"/>
    </row>
    <row r="2655" spans="15:21" x14ac:dyDescent="0.25">
      <c r="O2655" s="76"/>
      <c r="P2655" s="78"/>
      <c r="Q2655" s="77"/>
      <c r="R2655" s="78"/>
      <c r="S2655" s="36" t="e">
        <f>VLOOKUP(Tabla911[[#This Row],[CODIGO DEL PRODUCTO]],Tabla79[],2,FALSE)</f>
        <v>#N/A</v>
      </c>
      <c r="T2655" s="37"/>
      <c r="U2655" s="78"/>
    </row>
    <row r="2656" spans="15:21" x14ac:dyDescent="0.25">
      <c r="O2656" s="76"/>
      <c r="P2656" s="78"/>
      <c r="Q2656" s="77"/>
      <c r="R2656" s="78"/>
      <c r="S2656" s="36" t="e">
        <f>VLOOKUP(Tabla911[[#This Row],[CODIGO DEL PRODUCTO]],Tabla79[],2,FALSE)</f>
        <v>#N/A</v>
      </c>
      <c r="T2656" s="37"/>
      <c r="U2656" s="78"/>
    </row>
    <row r="2657" spans="15:21" x14ac:dyDescent="0.25">
      <c r="O2657" s="76"/>
      <c r="P2657" s="78"/>
      <c r="Q2657" s="77"/>
      <c r="R2657" s="78"/>
      <c r="S2657" s="36" t="e">
        <f>VLOOKUP(Tabla911[[#This Row],[CODIGO DEL PRODUCTO]],Tabla79[],2,FALSE)</f>
        <v>#N/A</v>
      </c>
      <c r="T2657" s="37"/>
      <c r="U2657" s="78"/>
    </row>
    <row r="2658" spans="15:21" x14ac:dyDescent="0.25">
      <c r="O2658" s="76"/>
      <c r="P2658" s="78"/>
      <c r="Q2658" s="77"/>
      <c r="R2658" s="78"/>
      <c r="S2658" s="36" t="e">
        <f>VLOOKUP(Tabla911[[#This Row],[CODIGO DEL PRODUCTO]],Tabla79[],2,FALSE)</f>
        <v>#N/A</v>
      </c>
      <c r="T2658" s="37"/>
      <c r="U2658" s="78"/>
    </row>
    <row r="2659" spans="15:21" x14ac:dyDescent="0.25">
      <c r="O2659" s="76"/>
      <c r="P2659" s="78"/>
      <c r="Q2659" s="77"/>
      <c r="R2659" s="78"/>
      <c r="S2659" s="36" t="e">
        <f>VLOOKUP(Tabla911[[#This Row],[CODIGO DEL PRODUCTO]],Tabla79[],2,FALSE)</f>
        <v>#N/A</v>
      </c>
      <c r="T2659" s="37"/>
      <c r="U2659" s="78"/>
    </row>
    <row r="2660" spans="15:21" x14ac:dyDescent="0.25">
      <c r="O2660" s="76"/>
      <c r="P2660" s="78"/>
      <c r="Q2660" s="77"/>
      <c r="R2660" s="78"/>
      <c r="S2660" s="36" t="e">
        <f>VLOOKUP(Tabla911[[#This Row],[CODIGO DEL PRODUCTO]],Tabla79[],2,FALSE)</f>
        <v>#N/A</v>
      </c>
      <c r="T2660" s="37"/>
      <c r="U2660" s="78"/>
    </row>
    <row r="2661" spans="15:21" x14ac:dyDescent="0.25">
      <c r="O2661" s="76"/>
      <c r="P2661" s="78"/>
      <c r="Q2661" s="77"/>
      <c r="R2661" s="78"/>
      <c r="S2661" s="36" t="e">
        <f>VLOOKUP(Tabla911[[#This Row],[CODIGO DEL PRODUCTO]],Tabla79[],2,FALSE)</f>
        <v>#N/A</v>
      </c>
      <c r="T2661" s="37"/>
      <c r="U2661" s="78"/>
    </row>
    <row r="2662" spans="15:21" x14ac:dyDescent="0.25">
      <c r="O2662" s="76"/>
      <c r="P2662" s="78"/>
      <c r="Q2662" s="77"/>
      <c r="R2662" s="78"/>
      <c r="S2662" s="36" t="e">
        <f>VLOOKUP(Tabla911[[#This Row],[CODIGO DEL PRODUCTO]],Tabla79[],2,FALSE)</f>
        <v>#N/A</v>
      </c>
      <c r="T2662" s="37"/>
      <c r="U2662" s="78"/>
    </row>
    <row r="2663" spans="15:21" x14ac:dyDescent="0.25">
      <c r="O2663" s="76"/>
      <c r="P2663" s="78"/>
      <c r="Q2663" s="77"/>
      <c r="R2663" s="78"/>
      <c r="S2663" s="36" t="e">
        <f>VLOOKUP(Tabla911[[#This Row],[CODIGO DEL PRODUCTO]],Tabla79[],2,FALSE)</f>
        <v>#N/A</v>
      </c>
      <c r="T2663" s="37"/>
      <c r="U2663" s="78"/>
    </row>
    <row r="2664" spans="15:21" x14ac:dyDescent="0.25">
      <c r="O2664" s="76"/>
      <c r="P2664" s="78"/>
      <c r="Q2664" s="77"/>
      <c r="R2664" s="78"/>
      <c r="S2664" s="36" t="e">
        <f>VLOOKUP(Tabla911[[#This Row],[CODIGO DEL PRODUCTO]],Tabla79[],2,FALSE)</f>
        <v>#N/A</v>
      </c>
      <c r="T2664" s="37"/>
      <c r="U2664" s="78"/>
    </row>
    <row r="2665" spans="15:21" x14ac:dyDescent="0.25">
      <c r="O2665" s="76"/>
      <c r="P2665" s="78"/>
      <c r="Q2665" s="77"/>
      <c r="R2665" s="78"/>
      <c r="S2665" s="36" t="e">
        <f>VLOOKUP(Tabla911[[#This Row],[CODIGO DEL PRODUCTO]],Tabla79[],2,FALSE)</f>
        <v>#N/A</v>
      </c>
      <c r="T2665" s="37"/>
      <c r="U2665" s="78"/>
    </row>
    <row r="2666" spans="15:21" x14ac:dyDescent="0.25">
      <c r="O2666" s="76"/>
      <c r="P2666" s="78"/>
      <c r="Q2666" s="77"/>
      <c r="R2666" s="78"/>
      <c r="S2666" s="36" t="e">
        <f>VLOOKUP(Tabla911[[#This Row],[CODIGO DEL PRODUCTO]],Tabla79[],2,FALSE)</f>
        <v>#N/A</v>
      </c>
      <c r="T2666" s="37"/>
      <c r="U2666" s="78"/>
    </row>
    <row r="2667" spans="15:21" x14ac:dyDescent="0.25">
      <c r="O2667" s="76"/>
      <c r="P2667" s="78"/>
      <c r="Q2667" s="77"/>
      <c r="R2667" s="78"/>
      <c r="S2667" s="36" t="e">
        <f>VLOOKUP(Tabla911[[#This Row],[CODIGO DEL PRODUCTO]],Tabla79[],2,FALSE)</f>
        <v>#N/A</v>
      </c>
      <c r="T2667" s="37"/>
      <c r="U2667" s="78"/>
    </row>
    <row r="2668" spans="15:21" x14ac:dyDescent="0.25">
      <c r="O2668" s="76"/>
      <c r="P2668" s="78"/>
      <c r="Q2668" s="77"/>
      <c r="R2668" s="78"/>
      <c r="S2668" s="36" t="e">
        <f>VLOOKUP(Tabla911[[#This Row],[CODIGO DEL PRODUCTO]],Tabla79[],2,FALSE)</f>
        <v>#N/A</v>
      </c>
      <c r="T2668" s="37"/>
      <c r="U2668" s="78"/>
    </row>
    <row r="2669" spans="15:21" x14ac:dyDescent="0.25">
      <c r="O2669" s="76"/>
      <c r="P2669" s="78"/>
      <c r="Q2669" s="77"/>
      <c r="R2669" s="78"/>
      <c r="S2669" s="36" t="e">
        <f>VLOOKUP(Tabla911[[#This Row],[CODIGO DEL PRODUCTO]],Tabla79[],2,FALSE)</f>
        <v>#N/A</v>
      </c>
      <c r="T2669" s="37"/>
      <c r="U2669" s="78"/>
    </row>
    <row r="2670" spans="15:21" x14ac:dyDescent="0.25">
      <c r="O2670" s="76"/>
      <c r="P2670" s="78"/>
      <c r="Q2670" s="77"/>
      <c r="R2670" s="78"/>
      <c r="S2670" s="36" t="e">
        <f>VLOOKUP(Tabla911[[#This Row],[CODIGO DEL PRODUCTO]],Tabla79[],2,FALSE)</f>
        <v>#N/A</v>
      </c>
      <c r="T2670" s="37"/>
      <c r="U2670" s="78"/>
    </row>
    <row r="2671" spans="15:21" x14ac:dyDescent="0.25">
      <c r="O2671" s="76"/>
      <c r="P2671" s="78"/>
      <c r="Q2671" s="77"/>
      <c r="R2671" s="78"/>
      <c r="S2671" s="36" t="e">
        <f>VLOOKUP(Tabla911[[#This Row],[CODIGO DEL PRODUCTO]],Tabla79[],2,FALSE)</f>
        <v>#N/A</v>
      </c>
      <c r="T2671" s="37"/>
      <c r="U2671" s="78"/>
    </row>
    <row r="2672" spans="15:21" x14ac:dyDescent="0.25">
      <c r="O2672" s="76"/>
      <c r="P2672" s="78"/>
      <c r="Q2672" s="77"/>
      <c r="R2672" s="78"/>
      <c r="S2672" s="36" t="e">
        <f>VLOOKUP(Tabla911[[#This Row],[CODIGO DEL PRODUCTO]],Tabla79[],2,FALSE)</f>
        <v>#N/A</v>
      </c>
      <c r="T2672" s="37"/>
      <c r="U2672" s="78"/>
    </row>
    <row r="2673" spans="15:21" x14ac:dyDescent="0.25">
      <c r="O2673" s="76"/>
      <c r="P2673" s="78"/>
      <c r="Q2673" s="77"/>
      <c r="R2673" s="78"/>
      <c r="S2673" s="36" t="e">
        <f>VLOOKUP(Tabla911[[#This Row],[CODIGO DEL PRODUCTO]],Tabla79[],2,FALSE)</f>
        <v>#N/A</v>
      </c>
      <c r="T2673" s="37"/>
      <c r="U2673" s="78"/>
    </row>
    <row r="2674" spans="15:21" x14ac:dyDescent="0.25">
      <c r="O2674" s="76"/>
      <c r="P2674" s="78"/>
      <c r="Q2674" s="77"/>
      <c r="R2674" s="78"/>
      <c r="S2674" s="36" t="e">
        <f>VLOOKUP(Tabla911[[#This Row],[CODIGO DEL PRODUCTO]],Tabla79[],2,FALSE)</f>
        <v>#N/A</v>
      </c>
      <c r="T2674" s="37"/>
      <c r="U2674" s="78"/>
    </row>
    <row r="2675" spans="15:21" x14ac:dyDescent="0.25">
      <c r="O2675" s="76"/>
      <c r="P2675" s="78"/>
      <c r="Q2675" s="77"/>
      <c r="R2675" s="78"/>
      <c r="S2675" s="36" t="e">
        <f>VLOOKUP(Tabla911[[#This Row],[CODIGO DEL PRODUCTO]],Tabla79[],2,FALSE)</f>
        <v>#N/A</v>
      </c>
      <c r="T2675" s="37"/>
      <c r="U2675" s="78"/>
    </row>
    <row r="2676" spans="15:21" x14ac:dyDescent="0.25">
      <c r="O2676" s="76"/>
      <c r="P2676" s="78"/>
      <c r="Q2676" s="77"/>
      <c r="R2676" s="78"/>
      <c r="S2676" s="36" t="e">
        <f>VLOOKUP(Tabla911[[#This Row],[CODIGO DEL PRODUCTO]],Tabla79[],2,FALSE)</f>
        <v>#N/A</v>
      </c>
      <c r="T2676" s="37"/>
      <c r="U2676" s="78"/>
    </row>
    <row r="2677" spans="15:21" x14ac:dyDescent="0.25">
      <c r="O2677" s="76"/>
      <c r="P2677" s="78"/>
      <c r="Q2677" s="77"/>
      <c r="R2677" s="78"/>
      <c r="S2677" s="36" t="e">
        <f>VLOOKUP(Tabla911[[#This Row],[CODIGO DEL PRODUCTO]],Tabla79[],2,FALSE)</f>
        <v>#N/A</v>
      </c>
      <c r="T2677" s="37"/>
      <c r="U2677" s="78"/>
    </row>
    <row r="2678" spans="15:21" x14ac:dyDescent="0.25">
      <c r="O2678" s="76"/>
      <c r="P2678" s="78"/>
      <c r="Q2678" s="77"/>
      <c r="R2678" s="78"/>
      <c r="S2678" s="36" t="e">
        <f>VLOOKUP(Tabla911[[#This Row],[CODIGO DEL PRODUCTO]],Tabla79[],2,FALSE)</f>
        <v>#N/A</v>
      </c>
      <c r="T2678" s="37"/>
      <c r="U2678" s="78"/>
    </row>
    <row r="2679" spans="15:21" x14ac:dyDescent="0.25">
      <c r="O2679" s="76"/>
      <c r="P2679" s="78"/>
      <c r="Q2679" s="77"/>
      <c r="R2679" s="78"/>
      <c r="S2679" s="36" t="e">
        <f>VLOOKUP(Tabla911[[#This Row],[CODIGO DEL PRODUCTO]],Tabla79[],2,FALSE)</f>
        <v>#N/A</v>
      </c>
      <c r="T2679" s="37"/>
      <c r="U2679" s="78"/>
    </row>
    <row r="2680" spans="15:21" x14ac:dyDescent="0.25">
      <c r="O2680" s="76"/>
      <c r="P2680" s="78"/>
      <c r="Q2680" s="77"/>
      <c r="R2680" s="78"/>
      <c r="S2680" s="36" t="e">
        <f>VLOOKUP(Tabla911[[#This Row],[CODIGO DEL PRODUCTO]],Tabla79[],2,FALSE)</f>
        <v>#N/A</v>
      </c>
      <c r="T2680" s="37"/>
      <c r="U2680" s="78"/>
    </row>
    <row r="2681" spans="15:21" x14ac:dyDescent="0.25">
      <c r="O2681" s="76"/>
      <c r="P2681" s="78"/>
      <c r="Q2681" s="77"/>
      <c r="R2681" s="78"/>
      <c r="S2681" s="36" t="e">
        <f>VLOOKUP(Tabla911[[#This Row],[CODIGO DEL PRODUCTO]],Tabla79[],2,FALSE)</f>
        <v>#N/A</v>
      </c>
      <c r="T2681" s="37"/>
      <c r="U2681" s="78"/>
    </row>
    <row r="2682" spans="15:21" x14ac:dyDescent="0.25">
      <c r="O2682" s="76"/>
      <c r="P2682" s="78"/>
      <c r="Q2682" s="77"/>
      <c r="R2682" s="78"/>
      <c r="S2682" s="36" t="e">
        <f>VLOOKUP(Tabla911[[#This Row],[CODIGO DEL PRODUCTO]],Tabla79[],2,FALSE)</f>
        <v>#N/A</v>
      </c>
      <c r="T2682" s="37"/>
      <c r="U2682" s="78"/>
    </row>
    <row r="2683" spans="15:21" x14ac:dyDescent="0.25">
      <c r="O2683" s="76"/>
      <c r="P2683" s="78"/>
      <c r="Q2683" s="77"/>
      <c r="R2683" s="78"/>
      <c r="S2683" s="36" t="e">
        <f>VLOOKUP(Tabla911[[#This Row],[CODIGO DEL PRODUCTO]],Tabla79[],2,FALSE)</f>
        <v>#N/A</v>
      </c>
      <c r="T2683" s="37"/>
      <c r="U2683" s="78"/>
    </row>
    <row r="2684" spans="15:21" x14ac:dyDescent="0.25">
      <c r="O2684" s="76"/>
      <c r="P2684" s="78"/>
      <c r="Q2684" s="77"/>
      <c r="R2684" s="78"/>
      <c r="S2684" s="36" t="e">
        <f>VLOOKUP(Tabla911[[#This Row],[CODIGO DEL PRODUCTO]],Tabla79[],2,FALSE)</f>
        <v>#N/A</v>
      </c>
      <c r="T2684" s="37"/>
      <c r="U2684" s="78"/>
    </row>
    <row r="2685" spans="15:21" x14ac:dyDescent="0.25">
      <c r="O2685" s="76"/>
      <c r="P2685" s="78"/>
      <c r="Q2685" s="77"/>
      <c r="R2685" s="78"/>
      <c r="S2685" s="36" t="e">
        <f>VLOOKUP(Tabla911[[#This Row],[CODIGO DEL PRODUCTO]],Tabla79[],2,FALSE)</f>
        <v>#N/A</v>
      </c>
      <c r="T2685" s="37"/>
      <c r="U2685" s="78"/>
    </row>
    <row r="2686" spans="15:21" x14ac:dyDescent="0.25">
      <c r="O2686" s="76"/>
      <c r="P2686" s="78"/>
      <c r="Q2686" s="77"/>
      <c r="R2686" s="78"/>
      <c r="S2686" s="36" t="e">
        <f>VLOOKUP(Tabla911[[#This Row],[CODIGO DEL PRODUCTO]],Tabla79[],2,FALSE)</f>
        <v>#N/A</v>
      </c>
      <c r="T2686" s="37"/>
      <c r="U2686" s="78"/>
    </row>
    <row r="2687" spans="15:21" x14ac:dyDescent="0.25">
      <c r="O2687" s="76"/>
      <c r="P2687" s="78"/>
      <c r="Q2687" s="77"/>
      <c r="R2687" s="78"/>
      <c r="S2687" s="36" t="e">
        <f>VLOOKUP(Tabla911[[#This Row],[CODIGO DEL PRODUCTO]],Tabla79[],2,FALSE)</f>
        <v>#N/A</v>
      </c>
      <c r="T2687" s="37"/>
      <c r="U2687" s="78"/>
    </row>
    <row r="2688" spans="15:21" x14ac:dyDescent="0.25">
      <c r="O2688" s="76"/>
      <c r="P2688" s="78"/>
      <c r="Q2688" s="77"/>
      <c r="R2688" s="78"/>
      <c r="S2688" s="36" t="e">
        <f>VLOOKUP(Tabla911[[#This Row],[CODIGO DEL PRODUCTO]],Tabla79[],2,FALSE)</f>
        <v>#N/A</v>
      </c>
      <c r="T2688" s="37"/>
      <c r="U2688" s="78"/>
    </row>
    <row r="2689" spans="15:21" x14ac:dyDescent="0.25">
      <c r="O2689" s="76"/>
      <c r="P2689" s="78"/>
      <c r="Q2689" s="77"/>
      <c r="R2689" s="78"/>
      <c r="S2689" s="36" t="e">
        <f>VLOOKUP(Tabla911[[#This Row],[CODIGO DEL PRODUCTO]],Tabla79[],2,FALSE)</f>
        <v>#N/A</v>
      </c>
      <c r="T2689" s="37"/>
      <c r="U2689" s="78"/>
    </row>
    <row r="2690" spans="15:21" x14ac:dyDescent="0.25">
      <c r="O2690" s="76"/>
      <c r="P2690" s="78"/>
      <c r="Q2690" s="77"/>
      <c r="R2690" s="78"/>
      <c r="S2690" s="36" t="e">
        <f>VLOOKUP(Tabla911[[#This Row],[CODIGO DEL PRODUCTO]],Tabla79[],2,FALSE)</f>
        <v>#N/A</v>
      </c>
      <c r="T2690" s="37"/>
      <c r="U2690" s="78"/>
    </row>
    <row r="2691" spans="15:21" x14ac:dyDescent="0.25">
      <c r="O2691" s="76"/>
      <c r="P2691" s="78"/>
      <c r="Q2691" s="77"/>
      <c r="R2691" s="78"/>
      <c r="S2691" s="36" t="e">
        <f>VLOOKUP(Tabla911[[#This Row],[CODIGO DEL PRODUCTO]],Tabla79[],2,FALSE)</f>
        <v>#N/A</v>
      </c>
      <c r="T2691" s="37"/>
      <c r="U2691" s="78"/>
    </row>
    <row r="2692" spans="15:21" x14ac:dyDescent="0.25">
      <c r="O2692" s="76"/>
      <c r="P2692" s="78"/>
      <c r="Q2692" s="77"/>
      <c r="R2692" s="78"/>
      <c r="S2692" s="36" t="e">
        <f>VLOOKUP(Tabla911[[#This Row],[CODIGO DEL PRODUCTO]],Tabla79[],2,FALSE)</f>
        <v>#N/A</v>
      </c>
      <c r="T2692" s="37"/>
      <c r="U2692" s="78"/>
    </row>
    <row r="2693" spans="15:21" x14ac:dyDescent="0.25">
      <c r="O2693" s="76"/>
      <c r="P2693" s="78"/>
      <c r="Q2693" s="77"/>
      <c r="R2693" s="78"/>
      <c r="S2693" s="36" t="e">
        <f>VLOOKUP(Tabla911[[#This Row],[CODIGO DEL PRODUCTO]],Tabla79[],2,FALSE)</f>
        <v>#N/A</v>
      </c>
      <c r="T2693" s="37"/>
      <c r="U2693" s="78"/>
    </row>
    <row r="2694" spans="15:21" x14ac:dyDescent="0.25">
      <c r="O2694" s="76"/>
      <c r="P2694" s="78"/>
      <c r="Q2694" s="77"/>
      <c r="R2694" s="78"/>
      <c r="S2694" s="36" t="e">
        <f>VLOOKUP(Tabla911[[#This Row],[CODIGO DEL PRODUCTO]],Tabla79[],2,FALSE)</f>
        <v>#N/A</v>
      </c>
      <c r="T2694" s="37"/>
      <c r="U2694" s="78"/>
    </row>
    <row r="2695" spans="15:21" x14ac:dyDescent="0.25">
      <c r="O2695" s="76"/>
      <c r="P2695" s="78"/>
      <c r="Q2695" s="77"/>
      <c r="R2695" s="78"/>
      <c r="S2695" s="36" t="e">
        <f>VLOOKUP(Tabla911[[#This Row],[CODIGO DEL PRODUCTO]],Tabla79[],2,FALSE)</f>
        <v>#N/A</v>
      </c>
      <c r="T2695" s="37"/>
      <c r="U2695" s="78"/>
    </row>
    <row r="2696" spans="15:21" x14ac:dyDescent="0.25">
      <c r="O2696" s="76"/>
      <c r="P2696" s="78"/>
      <c r="Q2696" s="77"/>
      <c r="R2696" s="78"/>
      <c r="S2696" s="36" t="e">
        <f>VLOOKUP(Tabla911[[#This Row],[CODIGO DEL PRODUCTO]],Tabla79[],2,FALSE)</f>
        <v>#N/A</v>
      </c>
      <c r="T2696" s="37"/>
      <c r="U2696" s="78"/>
    </row>
    <row r="2697" spans="15:21" x14ac:dyDescent="0.25">
      <c r="O2697" s="76"/>
      <c r="P2697" s="78"/>
      <c r="Q2697" s="77"/>
      <c r="R2697" s="78"/>
      <c r="S2697" s="36" t="e">
        <f>VLOOKUP(Tabla911[[#This Row],[CODIGO DEL PRODUCTO]],Tabla79[],2,FALSE)</f>
        <v>#N/A</v>
      </c>
      <c r="T2697" s="37"/>
      <c r="U2697" s="78"/>
    </row>
    <row r="2698" spans="15:21" x14ac:dyDescent="0.25">
      <c r="O2698" s="76"/>
      <c r="P2698" s="78"/>
      <c r="Q2698" s="77"/>
      <c r="R2698" s="78"/>
      <c r="S2698" s="36" t="e">
        <f>VLOOKUP(Tabla911[[#This Row],[CODIGO DEL PRODUCTO]],Tabla79[],2,FALSE)</f>
        <v>#N/A</v>
      </c>
      <c r="T2698" s="37"/>
      <c r="U2698" s="78"/>
    </row>
    <row r="2699" spans="15:21" x14ac:dyDescent="0.25">
      <c r="O2699" s="76"/>
      <c r="P2699" s="78"/>
      <c r="Q2699" s="77"/>
      <c r="R2699" s="78"/>
      <c r="S2699" s="36" t="e">
        <f>VLOOKUP(Tabla911[[#This Row],[CODIGO DEL PRODUCTO]],Tabla79[],2,FALSE)</f>
        <v>#N/A</v>
      </c>
      <c r="T2699" s="37"/>
      <c r="U2699" s="78"/>
    </row>
    <row r="2700" spans="15:21" x14ac:dyDescent="0.25">
      <c r="O2700" s="76"/>
      <c r="P2700" s="78"/>
      <c r="Q2700" s="77"/>
      <c r="R2700" s="78"/>
      <c r="S2700" s="36" t="e">
        <f>VLOOKUP(Tabla911[[#This Row],[CODIGO DEL PRODUCTO]],Tabla79[],2,FALSE)</f>
        <v>#N/A</v>
      </c>
      <c r="T2700" s="37"/>
      <c r="U2700" s="78"/>
    </row>
    <row r="2701" spans="15:21" x14ac:dyDescent="0.25">
      <c r="O2701" s="76"/>
      <c r="P2701" s="78"/>
      <c r="Q2701" s="77"/>
      <c r="R2701" s="78"/>
      <c r="S2701" s="36" t="e">
        <f>VLOOKUP(Tabla911[[#This Row],[CODIGO DEL PRODUCTO]],Tabla79[],2,FALSE)</f>
        <v>#N/A</v>
      </c>
      <c r="T2701" s="37"/>
      <c r="U2701" s="78"/>
    </row>
    <row r="2702" spans="15:21" x14ac:dyDescent="0.25">
      <c r="O2702" s="76"/>
      <c r="P2702" s="78"/>
      <c r="Q2702" s="77"/>
      <c r="R2702" s="78"/>
      <c r="S2702" s="36" t="e">
        <f>VLOOKUP(Tabla911[[#This Row],[CODIGO DEL PRODUCTO]],Tabla79[],2,FALSE)</f>
        <v>#N/A</v>
      </c>
      <c r="T2702" s="37"/>
      <c r="U2702" s="78"/>
    </row>
    <row r="2703" spans="15:21" x14ac:dyDescent="0.25">
      <c r="O2703" s="76"/>
      <c r="P2703" s="78"/>
      <c r="Q2703" s="77"/>
      <c r="R2703" s="78"/>
      <c r="S2703" s="36" t="e">
        <f>VLOOKUP(Tabla911[[#This Row],[CODIGO DEL PRODUCTO]],Tabla79[],2,FALSE)</f>
        <v>#N/A</v>
      </c>
      <c r="T2703" s="37"/>
      <c r="U2703" s="78"/>
    </row>
    <row r="2704" spans="15:21" x14ac:dyDescent="0.25">
      <c r="O2704" s="76"/>
      <c r="P2704" s="78"/>
      <c r="Q2704" s="77"/>
      <c r="R2704" s="78"/>
      <c r="S2704" s="36" t="e">
        <f>VLOOKUP(Tabla911[[#This Row],[CODIGO DEL PRODUCTO]],Tabla79[],2,FALSE)</f>
        <v>#N/A</v>
      </c>
      <c r="T2704" s="37"/>
      <c r="U2704" s="78"/>
    </row>
    <row r="2705" spans="15:21" x14ac:dyDescent="0.25">
      <c r="O2705" s="76"/>
      <c r="P2705" s="78"/>
      <c r="Q2705" s="77"/>
      <c r="R2705" s="78"/>
      <c r="S2705" s="36" t="e">
        <f>VLOOKUP(Tabla911[[#This Row],[CODIGO DEL PRODUCTO]],Tabla79[],2,FALSE)</f>
        <v>#N/A</v>
      </c>
      <c r="T2705" s="37"/>
      <c r="U2705" s="78"/>
    </row>
    <row r="2706" spans="15:21" x14ac:dyDescent="0.25">
      <c r="O2706" s="76"/>
      <c r="P2706" s="78"/>
      <c r="Q2706" s="77"/>
      <c r="R2706" s="78"/>
      <c r="S2706" s="36" t="e">
        <f>VLOOKUP(Tabla911[[#This Row],[CODIGO DEL PRODUCTO]],Tabla79[],2,FALSE)</f>
        <v>#N/A</v>
      </c>
      <c r="T2706" s="37"/>
      <c r="U2706" s="78"/>
    </row>
    <row r="2707" spans="15:21" x14ac:dyDescent="0.25">
      <c r="O2707" s="76"/>
      <c r="P2707" s="78"/>
      <c r="Q2707" s="77"/>
      <c r="R2707" s="78"/>
      <c r="S2707" s="36" t="e">
        <f>VLOOKUP(Tabla911[[#This Row],[CODIGO DEL PRODUCTO]],Tabla79[],2,FALSE)</f>
        <v>#N/A</v>
      </c>
      <c r="T2707" s="37"/>
      <c r="U2707" s="78"/>
    </row>
    <row r="2708" spans="15:21" x14ac:dyDescent="0.25">
      <c r="O2708" s="76"/>
      <c r="P2708" s="78"/>
      <c r="Q2708" s="77"/>
      <c r="R2708" s="78"/>
      <c r="S2708" s="36" t="e">
        <f>VLOOKUP(Tabla911[[#This Row],[CODIGO DEL PRODUCTO]],Tabla79[],2,FALSE)</f>
        <v>#N/A</v>
      </c>
      <c r="T2708" s="37"/>
      <c r="U2708" s="78"/>
    </row>
    <row r="2709" spans="15:21" x14ac:dyDescent="0.25">
      <c r="O2709" s="76"/>
      <c r="P2709" s="78"/>
      <c r="Q2709" s="77"/>
      <c r="R2709" s="78"/>
      <c r="S2709" s="36" t="e">
        <f>VLOOKUP(Tabla911[[#This Row],[CODIGO DEL PRODUCTO]],Tabla79[],2,FALSE)</f>
        <v>#N/A</v>
      </c>
      <c r="T2709" s="37"/>
      <c r="U2709" s="78"/>
    </row>
    <row r="2710" spans="15:21" x14ac:dyDescent="0.25">
      <c r="O2710" s="76"/>
      <c r="P2710" s="78"/>
      <c r="Q2710" s="77"/>
      <c r="R2710" s="78"/>
      <c r="S2710" s="36" t="e">
        <f>VLOOKUP(Tabla911[[#This Row],[CODIGO DEL PRODUCTO]],Tabla79[],2,FALSE)</f>
        <v>#N/A</v>
      </c>
      <c r="T2710" s="37"/>
      <c r="U2710" s="78"/>
    </row>
    <row r="2711" spans="15:21" x14ac:dyDescent="0.25">
      <c r="O2711" s="76"/>
      <c r="P2711" s="78"/>
      <c r="Q2711" s="77"/>
      <c r="R2711" s="78"/>
      <c r="S2711" s="36" t="e">
        <f>VLOOKUP(Tabla911[[#This Row],[CODIGO DEL PRODUCTO]],Tabla79[],2,FALSE)</f>
        <v>#N/A</v>
      </c>
      <c r="T2711" s="37"/>
      <c r="U2711" s="78"/>
    </row>
    <row r="2712" spans="15:21" x14ac:dyDescent="0.25">
      <c r="O2712" s="76"/>
      <c r="P2712" s="78"/>
      <c r="Q2712" s="77"/>
      <c r="R2712" s="78"/>
      <c r="S2712" s="36" t="e">
        <f>VLOOKUP(Tabla911[[#This Row],[CODIGO DEL PRODUCTO]],Tabla79[],2,FALSE)</f>
        <v>#N/A</v>
      </c>
      <c r="T2712" s="37"/>
      <c r="U2712" s="78"/>
    </row>
    <row r="2713" spans="15:21" x14ac:dyDescent="0.25">
      <c r="O2713" s="76"/>
      <c r="P2713" s="78"/>
      <c r="Q2713" s="77"/>
      <c r="R2713" s="78"/>
      <c r="S2713" s="36" t="e">
        <f>VLOOKUP(Tabla911[[#This Row],[CODIGO DEL PRODUCTO]],Tabla79[],2,FALSE)</f>
        <v>#N/A</v>
      </c>
      <c r="T2713" s="37"/>
      <c r="U2713" s="78"/>
    </row>
    <row r="2714" spans="15:21" x14ac:dyDescent="0.25">
      <c r="O2714" s="76"/>
      <c r="P2714" s="78"/>
      <c r="Q2714" s="77"/>
      <c r="R2714" s="78"/>
      <c r="S2714" s="36" t="e">
        <f>VLOOKUP(Tabla911[[#This Row],[CODIGO DEL PRODUCTO]],Tabla79[],2,FALSE)</f>
        <v>#N/A</v>
      </c>
      <c r="T2714" s="37"/>
      <c r="U2714" s="78"/>
    </row>
    <row r="2715" spans="15:21" x14ac:dyDescent="0.25">
      <c r="O2715" s="76"/>
      <c r="P2715" s="78"/>
      <c r="Q2715" s="77"/>
      <c r="R2715" s="78"/>
      <c r="S2715" s="36" t="e">
        <f>VLOOKUP(Tabla911[[#This Row],[CODIGO DEL PRODUCTO]],Tabla79[],2,FALSE)</f>
        <v>#N/A</v>
      </c>
      <c r="T2715" s="37"/>
      <c r="U2715" s="78"/>
    </row>
    <row r="2716" spans="15:21" x14ac:dyDescent="0.25">
      <c r="O2716" s="76"/>
      <c r="P2716" s="78"/>
      <c r="Q2716" s="77"/>
      <c r="R2716" s="78"/>
      <c r="S2716" s="36" t="e">
        <f>VLOOKUP(Tabla911[[#This Row],[CODIGO DEL PRODUCTO]],Tabla79[],2,FALSE)</f>
        <v>#N/A</v>
      </c>
      <c r="T2716" s="37"/>
      <c r="U2716" s="78"/>
    </row>
    <row r="2717" spans="15:21" x14ac:dyDescent="0.25">
      <c r="O2717" s="76"/>
      <c r="P2717" s="78"/>
      <c r="Q2717" s="77"/>
      <c r="R2717" s="78"/>
      <c r="S2717" s="36" t="e">
        <f>VLOOKUP(Tabla911[[#This Row],[CODIGO DEL PRODUCTO]],Tabla79[],2,FALSE)</f>
        <v>#N/A</v>
      </c>
      <c r="T2717" s="37"/>
      <c r="U2717" s="78"/>
    </row>
    <row r="2718" spans="15:21" x14ac:dyDescent="0.25">
      <c r="O2718" s="76"/>
      <c r="P2718" s="78"/>
      <c r="Q2718" s="77"/>
      <c r="R2718" s="78"/>
      <c r="S2718" s="36" t="e">
        <f>VLOOKUP(Tabla911[[#This Row],[CODIGO DEL PRODUCTO]],Tabla79[],2,FALSE)</f>
        <v>#N/A</v>
      </c>
      <c r="T2718" s="37"/>
      <c r="U2718" s="78"/>
    </row>
    <row r="2719" spans="15:21" x14ac:dyDescent="0.25">
      <c r="O2719" s="76"/>
      <c r="P2719" s="78"/>
      <c r="Q2719" s="77"/>
      <c r="R2719" s="78"/>
      <c r="S2719" s="36" t="e">
        <f>VLOOKUP(Tabla911[[#This Row],[CODIGO DEL PRODUCTO]],Tabla79[],2,FALSE)</f>
        <v>#N/A</v>
      </c>
      <c r="T2719" s="37"/>
      <c r="U2719" s="78"/>
    </row>
    <row r="2720" spans="15:21" x14ac:dyDescent="0.25">
      <c r="O2720" s="76"/>
      <c r="P2720" s="78"/>
      <c r="Q2720" s="77"/>
      <c r="R2720" s="78"/>
      <c r="S2720" s="36" t="e">
        <f>VLOOKUP(Tabla911[[#This Row],[CODIGO DEL PRODUCTO]],Tabla79[],2,FALSE)</f>
        <v>#N/A</v>
      </c>
      <c r="T2720" s="37"/>
      <c r="U2720" s="78"/>
    </row>
    <row r="2721" spans="15:21" x14ac:dyDescent="0.25">
      <c r="O2721" s="76"/>
      <c r="P2721" s="78"/>
      <c r="Q2721" s="77"/>
      <c r="R2721" s="78"/>
      <c r="S2721" s="36" t="e">
        <f>VLOOKUP(Tabla911[[#This Row],[CODIGO DEL PRODUCTO]],Tabla79[],2,FALSE)</f>
        <v>#N/A</v>
      </c>
      <c r="T2721" s="37"/>
      <c r="U2721" s="78"/>
    </row>
    <row r="2722" spans="15:21" x14ac:dyDescent="0.25">
      <c r="O2722" s="76"/>
      <c r="P2722" s="78"/>
      <c r="Q2722" s="77"/>
      <c r="R2722" s="78"/>
      <c r="S2722" s="36" t="e">
        <f>VLOOKUP(Tabla911[[#This Row],[CODIGO DEL PRODUCTO]],Tabla79[],2,FALSE)</f>
        <v>#N/A</v>
      </c>
      <c r="T2722" s="37"/>
      <c r="U2722" s="78"/>
    </row>
    <row r="2723" spans="15:21" x14ac:dyDescent="0.25">
      <c r="O2723" s="76"/>
      <c r="P2723" s="78"/>
      <c r="Q2723" s="77"/>
      <c r="R2723" s="78"/>
      <c r="S2723" s="36" t="e">
        <f>VLOOKUP(Tabla911[[#This Row],[CODIGO DEL PRODUCTO]],Tabla79[],2,FALSE)</f>
        <v>#N/A</v>
      </c>
      <c r="T2723" s="37"/>
      <c r="U2723" s="78"/>
    </row>
    <row r="2724" spans="15:21" x14ac:dyDescent="0.25">
      <c r="O2724" s="76"/>
      <c r="P2724" s="78"/>
      <c r="Q2724" s="77"/>
      <c r="R2724" s="78"/>
      <c r="S2724" s="36" t="e">
        <f>VLOOKUP(Tabla911[[#This Row],[CODIGO DEL PRODUCTO]],Tabla79[],2,FALSE)</f>
        <v>#N/A</v>
      </c>
      <c r="T2724" s="37"/>
      <c r="U2724" s="78"/>
    </row>
    <row r="2725" spans="15:21" x14ac:dyDescent="0.25">
      <c r="O2725" s="76"/>
      <c r="P2725" s="78"/>
      <c r="Q2725" s="77"/>
      <c r="R2725" s="78"/>
      <c r="S2725" s="36" t="e">
        <f>VLOOKUP(Tabla911[[#This Row],[CODIGO DEL PRODUCTO]],Tabla79[],2,FALSE)</f>
        <v>#N/A</v>
      </c>
      <c r="T2725" s="37"/>
      <c r="U2725" s="78"/>
    </row>
    <row r="2726" spans="15:21" x14ac:dyDescent="0.25">
      <c r="O2726" s="76"/>
      <c r="P2726" s="78"/>
      <c r="Q2726" s="77"/>
      <c r="R2726" s="78"/>
      <c r="S2726" s="36" t="e">
        <f>VLOOKUP(Tabla911[[#This Row],[CODIGO DEL PRODUCTO]],Tabla79[],2,FALSE)</f>
        <v>#N/A</v>
      </c>
      <c r="T2726" s="37"/>
      <c r="U2726" s="78"/>
    </row>
    <row r="2727" spans="15:21" x14ac:dyDescent="0.25">
      <c r="O2727" s="76"/>
      <c r="P2727" s="78"/>
      <c r="Q2727" s="77"/>
      <c r="R2727" s="78"/>
      <c r="S2727" s="36" t="e">
        <f>VLOOKUP(Tabla911[[#This Row],[CODIGO DEL PRODUCTO]],Tabla79[],2,FALSE)</f>
        <v>#N/A</v>
      </c>
      <c r="T2727" s="37"/>
      <c r="U2727" s="78"/>
    </row>
    <row r="2728" spans="15:21" x14ac:dyDescent="0.25">
      <c r="O2728" s="76"/>
      <c r="P2728" s="78"/>
      <c r="Q2728" s="77"/>
      <c r="R2728" s="78"/>
      <c r="S2728" s="36" t="e">
        <f>VLOOKUP(Tabla911[[#This Row],[CODIGO DEL PRODUCTO]],Tabla79[],2,FALSE)</f>
        <v>#N/A</v>
      </c>
      <c r="T2728" s="37"/>
      <c r="U2728" s="78"/>
    </row>
    <row r="2729" spans="15:21" x14ac:dyDescent="0.25">
      <c r="O2729" s="76"/>
      <c r="P2729" s="78"/>
      <c r="Q2729" s="77"/>
      <c r="R2729" s="78"/>
      <c r="S2729" s="36" t="e">
        <f>VLOOKUP(Tabla911[[#This Row],[CODIGO DEL PRODUCTO]],Tabla79[],2,FALSE)</f>
        <v>#N/A</v>
      </c>
      <c r="T2729" s="37"/>
      <c r="U2729" s="78"/>
    </row>
    <row r="2730" spans="15:21" x14ac:dyDescent="0.25">
      <c r="O2730" s="76"/>
      <c r="P2730" s="78"/>
      <c r="Q2730" s="77"/>
      <c r="R2730" s="78"/>
      <c r="S2730" s="36" t="e">
        <f>VLOOKUP(Tabla911[[#This Row],[CODIGO DEL PRODUCTO]],Tabla79[],2,FALSE)</f>
        <v>#N/A</v>
      </c>
      <c r="T2730" s="37"/>
      <c r="U2730" s="78"/>
    </row>
    <row r="2731" spans="15:21" x14ac:dyDescent="0.25">
      <c r="O2731" s="76"/>
      <c r="P2731" s="78"/>
      <c r="Q2731" s="77"/>
      <c r="R2731" s="78"/>
      <c r="S2731" s="36" t="e">
        <f>VLOOKUP(Tabla911[[#This Row],[CODIGO DEL PRODUCTO]],Tabla79[],2,FALSE)</f>
        <v>#N/A</v>
      </c>
      <c r="T2731" s="37"/>
      <c r="U2731" s="78"/>
    </row>
    <row r="2732" spans="15:21" x14ac:dyDescent="0.25">
      <c r="O2732" s="76"/>
      <c r="P2732" s="78"/>
      <c r="Q2732" s="77"/>
      <c r="R2732" s="78"/>
      <c r="S2732" s="36" t="e">
        <f>VLOOKUP(Tabla911[[#This Row],[CODIGO DEL PRODUCTO]],Tabla79[],2,FALSE)</f>
        <v>#N/A</v>
      </c>
      <c r="T2732" s="37"/>
      <c r="U2732" s="78"/>
    </row>
    <row r="2733" spans="15:21" x14ac:dyDescent="0.25">
      <c r="O2733" s="76"/>
      <c r="P2733" s="78"/>
      <c r="Q2733" s="77"/>
      <c r="R2733" s="78"/>
      <c r="S2733" s="36" t="e">
        <f>VLOOKUP(Tabla911[[#This Row],[CODIGO DEL PRODUCTO]],Tabla79[],2,FALSE)</f>
        <v>#N/A</v>
      </c>
      <c r="T2733" s="37"/>
      <c r="U2733" s="78"/>
    </row>
    <row r="2734" spans="15:21" x14ac:dyDescent="0.25">
      <c r="O2734" s="76"/>
      <c r="P2734" s="78"/>
      <c r="Q2734" s="77"/>
      <c r="R2734" s="78"/>
      <c r="S2734" s="36" t="e">
        <f>VLOOKUP(Tabla911[[#This Row],[CODIGO DEL PRODUCTO]],Tabla79[],2,FALSE)</f>
        <v>#N/A</v>
      </c>
      <c r="T2734" s="37"/>
      <c r="U2734" s="78"/>
    </row>
    <row r="2735" spans="15:21" x14ac:dyDescent="0.25">
      <c r="O2735" s="76"/>
      <c r="P2735" s="78"/>
      <c r="Q2735" s="77"/>
      <c r="R2735" s="78"/>
      <c r="S2735" s="36" t="e">
        <f>VLOOKUP(Tabla911[[#This Row],[CODIGO DEL PRODUCTO]],Tabla79[],2,FALSE)</f>
        <v>#N/A</v>
      </c>
      <c r="T2735" s="37"/>
      <c r="U2735" s="78"/>
    </row>
    <row r="2736" spans="15:21" x14ac:dyDescent="0.25">
      <c r="O2736" s="76"/>
      <c r="P2736" s="78"/>
      <c r="Q2736" s="77"/>
      <c r="R2736" s="78"/>
      <c r="S2736" s="36" t="e">
        <f>VLOOKUP(Tabla911[[#This Row],[CODIGO DEL PRODUCTO]],Tabla79[],2,FALSE)</f>
        <v>#N/A</v>
      </c>
      <c r="T2736" s="37"/>
      <c r="U2736" s="78"/>
    </row>
    <row r="2737" spans="15:21" x14ac:dyDescent="0.25">
      <c r="O2737" s="76"/>
      <c r="P2737" s="78"/>
      <c r="Q2737" s="77"/>
      <c r="R2737" s="78"/>
      <c r="S2737" s="36" t="e">
        <f>VLOOKUP(Tabla911[[#This Row],[CODIGO DEL PRODUCTO]],Tabla79[],2,FALSE)</f>
        <v>#N/A</v>
      </c>
      <c r="T2737" s="37"/>
      <c r="U2737" s="78"/>
    </row>
    <row r="2738" spans="15:21" x14ac:dyDescent="0.25">
      <c r="O2738" s="76"/>
      <c r="P2738" s="78"/>
      <c r="Q2738" s="77"/>
      <c r="R2738" s="78"/>
      <c r="S2738" s="36" t="e">
        <f>VLOOKUP(Tabla911[[#This Row],[CODIGO DEL PRODUCTO]],Tabla79[],2,FALSE)</f>
        <v>#N/A</v>
      </c>
      <c r="T2738" s="37"/>
      <c r="U2738" s="78"/>
    </row>
    <row r="2739" spans="15:21" x14ac:dyDescent="0.25">
      <c r="O2739" s="76"/>
      <c r="P2739" s="78"/>
      <c r="Q2739" s="77"/>
      <c r="R2739" s="78"/>
      <c r="S2739" s="36" t="e">
        <f>VLOOKUP(Tabla911[[#This Row],[CODIGO DEL PRODUCTO]],Tabla79[],2,FALSE)</f>
        <v>#N/A</v>
      </c>
      <c r="T2739" s="37"/>
      <c r="U2739" s="78"/>
    </row>
    <row r="2740" spans="15:21" x14ac:dyDescent="0.25">
      <c r="O2740" s="76"/>
      <c r="P2740" s="78"/>
      <c r="Q2740" s="77"/>
      <c r="R2740" s="78"/>
      <c r="S2740" s="36" t="e">
        <f>VLOOKUP(Tabla911[[#This Row],[CODIGO DEL PRODUCTO]],Tabla79[],2,FALSE)</f>
        <v>#N/A</v>
      </c>
      <c r="T2740" s="37"/>
      <c r="U2740" s="78"/>
    </row>
    <row r="2741" spans="15:21" x14ac:dyDescent="0.25">
      <c r="O2741" s="76"/>
      <c r="P2741" s="78"/>
      <c r="Q2741" s="77"/>
      <c r="R2741" s="78"/>
      <c r="S2741" s="36" t="e">
        <f>VLOOKUP(Tabla911[[#This Row],[CODIGO DEL PRODUCTO]],Tabla79[],2,FALSE)</f>
        <v>#N/A</v>
      </c>
      <c r="T2741" s="37"/>
      <c r="U2741" s="78"/>
    </row>
    <row r="2742" spans="15:21" x14ac:dyDescent="0.25">
      <c r="O2742" s="76"/>
      <c r="P2742" s="78"/>
      <c r="Q2742" s="77"/>
      <c r="R2742" s="78"/>
      <c r="S2742" s="36" t="e">
        <f>VLOOKUP(Tabla911[[#This Row],[CODIGO DEL PRODUCTO]],Tabla79[],2,FALSE)</f>
        <v>#N/A</v>
      </c>
      <c r="T2742" s="37"/>
      <c r="U2742" s="78"/>
    </row>
    <row r="2743" spans="15:21" x14ac:dyDescent="0.25">
      <c r="O2743" s="76"/>
      <c r="P2743" s="78"/>
      <c r="Q2743" s="77"/>
      <c r="R2743" s="78"/>
      <c r="S2743" s="36" t="e">
        <f>VLOOKUP(Tabla911[[#This Row],[CODIGO DEL PRODUCTO]],Tabla79[],2,FALSE)</f>
        <v>#N/A</v>
      </c>
      <c r="T2743" s="37"/>
      <c r="U2743" s="78"/>
    </row>
    <row r="2744" spans="15:21" x14ac:dyDescent="0.25">
      <c r="O2744" s="76"/>
      <c r="P2744" s="78"/>
      <c r="Q2744" s="77"/>
      <c r="R2744" s="78"/>
      <c r="S2744" s="36" t="e">
        <f>VLOOKUP(Tabla911[[#This Row],[CODIGO DEL PRODUCTO]],Tabla79[],2,FALSE)</f>
        <v>#N/A</v>
      </c>
      <c r="T2744" s="37"/>
      <c r="U2744" s="78"/>
    </row>
    <row r="2745" spans="15:21" x14ac:dyDescent="0.25">
      <c r="O2745" s="76"/>
      <c r="P2745" s="78"/>
      <c r="Q2745" s="77"/>
      <c r="R2745" s="78"/>
      <c r="S2745" s="36" t="e">
        <f>VLOOKUP(Tabla911[[#This Row],[CODIGO DEL PRODUCTO]],Tabla79[],2,FALSE)</f>
        <v>#N/A</v>
      </c>
      <c r="T2745" s="37"/>
      <c r="U2745" s="78"/>
    </row>
    <row r="2746" spans="15:21" x14ac:dyDescent="0.25">
      <c r="O2746" s="76"/>
      <c r="P2746" s="78"/>
      <c r="Q2746" s="77"/>
      <c r="R2746" s="78"/>
      <c r="S2746" s="36" t="e">
        <f>VLOOKUP(Tabla911[[#This Row],[CODIGO DEL PRODUCTO]],Tabla79[],2,FALSE)</f>
        <v>#N/A</v>
      </c>
      <c r="T2746" s="37"/>
      <c r="U2746" s="78"/>
    </row>
    <row r="2747" spans="15:21" x14ac:dyDescent="0.25">
      <c r="O2747" s="76"/>
      <c r="P2747" s="78"/>
      <c r="Q2747" s="77"/>
      <c r="R2747" s="78"/>
      <c r="S2747" s="36" t="e">
        <f>VLOOKUP(Tabla911[[#This Row],[CODIGO DEL PRODUCTO]],Tabla79[],2,FALSE)</f>
        <v>#N/A</v>
      </c>
      <c r="T2747" s="37"/>
      <c r="U2747" s="78"/>
    </row>
    <row r="2748" spans="15:21" x14ac:dyDescent="0.25">
      <c r="O2748" s="76"/>
      <c r="P2748" s="78"/>
      <c r="Q2748" s="77"/>
      <c r="R2748" s="78"/>
      <c r="S2748" s="36" t="e">
        <f>VLOOKUP(Tabla911[[#This Row],[CODIGO DEL PRODUCTO]],Tabla79[],2,FALSE)</f>
        <v>#N/A</v>
      </c>
      <c r="T2748" s="37"/>
      <c r="U2748" s="78"/>
    </row>
    <row r="2749" spans="15:21" x14ac:dyDescent="0.25">
      <c r="O2749" s="76"/>
      <c r="P2749" s="78"/>
      <c r="Q2749" s="77"/>
      <c r="R2749" s="78"/>
      <c r="S2749" s="36" t="e">
        <f>VLOOKUP(Tabla911[[#This Row],[CODIGO DEL PRODUCTO]],Tabla79[],2,FALSE)</f>
        <v>#N/A</v>
      </c>
      <c r="T2749" s="37"/>
      <c r="U2749" s="78"/>
    </row>
    <row r="2750" spans="15:21" x14ac:dyDescent="0.25">
      <c r="O2750" s="76"/>
      <c r="P2750" s="78"/>
      <c r="Q2750" s="77"/>
      <c r="R2750" s="78"/>
      <c r="S2750" s="36" t="e">
        <f>VLOOKUP(Tabla911[[#This Row],[CODIGO DEL PRODUCTO]],Tabla79[],2,FALSE)</f>
        <v>#N/A</v>
      </c>
      <c r="T2750" s="37"/>
      <c r="U2750" s="78"/>
    </row>
    <row r="2751" spans="15:21" x14ac:dyDescent="0.25">
      <c r="O2751" s="76"/>
      <c r="P2751" s="78"/>
      <c r="Q2751" s="77"/>
      <c r="R2751" s="78"/>
      <c r="S2751" s="36" t="e">
        <f>VLOOKUP(Tabla911[[#This Row],[CODIGO DEL PRODUCTO]],Tabla79[],2,FALSE)</f>
        <v>#N/A</v>
      </c>
      <c r="T2751" s="37"/>
      <c r="U2751" s="78"/>
    </row>
    <row r="2752" spans="15:21" x14ac:dyDescent="0.25">
      <c r="O2752" s="76"/>
      <c r="P2752" s="78"/>
      <c r="Q2752" s="77"/>
      <c r="R2752" s="78"/>
      <c r="S2752" s="36" t="e">
        <f>VLOOKUP(Tabla911[[#This Row],[CODIGO DEL PRODUCTO]],Tabla79[],2,FALSE)</f>
        <v>#N/A</v>
      </c>
      <c r="T2752" s="37"/>
      <c r="U2752" s="78"/>
    </row>
    <row r="2753" spans="15:21" x14ac:dyDescent="0.25">
      <c r="O2753" s="76"/>
      <c r="P2753" s="78"/>
      <c r="Q2753" s="77"/>
      <c r="R2753" s="78"/>
      <c r="S2753" s="36" t="e">
        <f>VLOOKUP(Tabla911[[#This Row],[CODIGO DEL PRODUCTO]],Tabla79[],2,FALSE)</f>
        <v>#N/A</v>
      </c>
      <c r="T2753" s="37"/>
      <c r="U2753" s="78"/>
    </row>
    <row r="2754" spans="15:21" x14ac:dyDescent="0.25">
      <c r="O2754" s="76"/>
      <c r="P2754" s="78"/>
      <c r="Q2754" s="77"/>
      <c r="R2754" s="78"/>
      <c r="S2754" s="36" t="e">
        <f>VLOOKUP(Tabla911[[#This Row],[CODIGO DEL PRODUCTO]],Tabla79[],2,FALSE)</f>
        <v>#N/A</v>
      </c>
      <c r="T2754" s="37"/>
      <c r="U2754" s="78"/>
    </row>
    <row r="2755" spans="15:21" x14ac:dyDescent="0.25">
      <c r="O2755" s="76"/>
      <c r="P2755" s="78"/>
      <c r="Q2755" s="77"/>
      <c r="R2755" s="78"/>
      <c r="S2755" s="36" t="e">
        <f>VLOOKUP(Tabla911[[#This Row],[CODIGO DEL PRODUCTO]],Tabla79[],2,FALSE)</f>
        <v>#N/A</v>
      </c>
      <c r="T2755" s="37"/>
      <c r="U2755" s="78"/>
    </row>
    <row r="2756" spans="15:21" x14ac:dyDescent="0.25">
      <c r="O2756" s="76"/>
      <c r="P2756" s="78"/>
      <c r="Q2756" s="77"/>
      <c r="R2756" s="78"/>
      <c r="S2756" s="36" t="e">
        <f>VLOOKUP(Tabla911[[#This Row],[CODIGO DEL PRODUCTO]],Tabla79[],2,FALSE)</f>
        <v>#N/A</v>
      </c>
      <c r="T2756" s="37"/>
      <c r="U2756" s="78"/>
    </row>
    <row r="2757" spans="15:21" x14ac:dyDescent="0.25">
      <c r="O2757" s="76"/>
      <c r="P2757" s="78"/>
      <c r="Q2757" s="77"/>
      <c r="R2757" s="78"/>
      <c r="S2757" s="36" t="e">
        <f>VLOOKUP(Tabla911[[#This Row],[CODIGO DEL PRODUCTO]],Tabla79[],2,FALSE)</f>
        <v>#N/A</v>
      </c>
      <c r="T2757" s="37"/>
      <c r="U2757" s="78"/>
    </row>
    <row r="2758" spans="15:21" x14ac:dyDescent="0.25">
      <c r="O2758" s="76"/>
      <c r="P2758" s="78"/>
      <c r="Q2758" s="77"/>
      <c r="R2758" s="78"/>
      <c r="S2758" s="36" t="e">
        <f>VLOOKUP(Tabla911[[#This Row],[CODIGO DEL PRODUCTO]],Tabla79[],2,FALSE)</f>
        <v>#N/A</v>
      </c>
      <c r="T2758" s="37"/>
      <c r="U2758" s="78"/>
    </row>
    <row r="2759" spans="15:21" x14ac:dyDescent="0.25">
      <c r="O2759" s="76"/>
      <c r="P2759" s="78"/>
      <c r="Q2759" s="77"/>
      <c r="R2759" s="78"/>
      <c r="S2759" s="36" t="e">
        <f>VLOOKUP(Tabla911[[#This Row],[CODIGO DEL PRODUCTO]],Tabla79[],2,FALSE)</f>
        <v>#N/A</v>
      </c>
      <c r="T2759" s="37"/>
      <c r="U2759" s="78"/>
    </row>
    <row r="2760" spans="15:21" x14ac:dyDescent="0.25">
      <c r="O2760" s="76"/>
      <c r="P2760" s="78"/>
      <c r="Q2760" s="77"/>
      <c r="R2760" s="78"/>
      <c r="S2760" s="36" t="e">
        <f>VLOOKUP(Tabla911[[#This Row],[CODIGO DEL PRODUCTO]],Tabla79[],2,FALSE)</f>
        <v>#N/A</v>
      </c>
      <c r="T2760" s="37"/>
      <c r="U2760" s="78"/>
    </row>
    <row r="2761" spans="15:21" x14ac:dyDescent="0.25">
      <c r="O2761" s="76"/>
      <c r="P2761" s="78"/>
      <c r="Q2761" s="77"/>
      <c r="R2761" s="78"/>
      <c r="S2761" s="36" t="e">
        <f>VLOOKUP(Tabla911[[#This Row],[CODIGO DEL PRODUCTO]],Tabla79[],2,FALSE)</f>
        <v>#N/A</v>
      </c>
      <c r="T2761" s="37"/>
      <c r="U2761" s="78"/>
    </row>
    <row r="2762" spans="15:21" x14ac:dyDescent="0.25">
      <c r="O2762" s="76"/>
      <c r="P2762" s="78"/>
      <c r="Q2762" s="77"/>
      <c r="R2762" s="78"/>
      <c r="S2762" s="36" t="e">
        <f>VLOOKUP(Tabla911[[#This Row],[CODIGO DEL PRODUCTO]],Tabla79[],2,FALSE)</f>
        <v>#N/A</v>
      </c>
      <c r="T2762" s="37"/>
      <c r="U2762" s="78"/>
    </row>
    <row r="2763" spans="15:21" x14ac:dyDescent="0.25">
      <c r="O2763" s="76"/>
      <c r="P2763" s="78"/>
      <c r="Q2763" s="77"/>
      <c r="R2763" s="78"/>
      <c r="S2763" s="36" t="e">
        <f>VLOOKUP(Tabla911[[#This Row],[CODIGO DEL PRODUCTO]],Tabla79[],2,FALSE)</f>
        <v>#N/A</v>
      </c>
      <c r="T2763" s="37"/>
      <c r="U2763" s="78"/>
    </row>
    <row r="2764" spans="15:21" x14ac:dyDescent="0.25">
      <c r="O2764" s="76"/>
      <c r="P2764" s="78"/>
      <c r="Q2764" s="77"/>
      <c r="R2764" s="78"/>
      <c r="S2764" s="36" t="e">
        <f>VLOOKUP(Tabla911[[#This Row],[CODIGO DEL PRODUCTO]],Tabla79[],2,FALSE)</f>
        <v>#N/A</v>
      </c>
      <c r="T2764" s="37"/>
      <c r="U2764" s="78"/>
    </row>
    <row r="2765" spans="15:21" x14ac:dyDescent="0.25">
      <c r="O2765" s="76"/>
      <c r="P2765" s="78"/>
      <c r="Q2765" s="77"/>
      <c r="R2765" s="78"/>
      <c r="S2765" s="36" t="e">
        <f>VLOOKUP(Tabla911[[#This Row],[CODIGO DEL PRODUCTO]],Tabla79[],2,FALSE)</f>
        <v>#N/A</v>
      </c>
      <c r="T2765" s="37"/>
      <c r="U2765" s="78"/>
    </row>
    <row r="2766" spans="15:21" x14ac:dyDescent="0.25">
      <c r="O2766" s="76"/>
      <c r="P2766" s="78"/>
      <c r="Q2766" s="77"/>
      <c r="R2766" s="78"/>
      <c r="S2766" s="36" t="e">
        <f>VLOOKUP(Tabla911[[#This Row],[CODIGO DEL PRODUCTO]],Tabla79[],2,FALSE)</f>
        <v>#N/A</v>
      </c>
      <c r="T2766" s="37"/>
      <c r="U2766" s="78"/>
    </row>
    <row r="2767" spans="15:21" x14ac:dyDescent="0.25">
      <c r="O2767" s="76"/>
      <c r="P2767" s="78"/>
      <c r="Q2767" s="77"/>
      <c r="R2767" s="78"/>
      <c r="S2767" s="36" t="e">
        <f>VLOOKUP(Tabla911[[#This Row],[CODIGO DEL PRODUCTO]],Tabla79[],2,FALSE)</f>
        <v>#N/A</v>
      </c>
      <c r="T2767" s="37"/>
      <c r="U2767" s="78"/>
    </row>
    <row r="2768" spans="15:21" x14ac:dyDescent="0.25">
      <c r="O2768" s="76"/>
      <c r="P2768" s="78"/>
      <c r="Q2768" s="77"/>
      <c r="R2768" s="78"/>
      <c r="S2768" s="36" t="e">
        <f>VLOOKUP(Tabla911[[#This Row],[CODIGO DEL PRODUCTO]],Tabla79[],2,FALSE)</f>
        <v>#N/A</v>
      </c>
      <c r="T2768" s="37"/>
      <c r="U2768" s="78"/>
    </row>
    <row r="2769" spans="15:21" x14ac:dyDescent="0.25">
      <c r="O2769" s="76"/>
      <c r="P2769" s="78"/>
      <c r="Q2769" s="77"/>
      <c r="R2769" s="78"/>
      <c r="S2769" s="36" t="e">
        <f>VLOOKUP(Tabla911[[#This Row],[CODIGO DEL PRODUCTO]],Tabla79[],2,FALSE)</f>
        <v>#N/A</v>
      </c>
      <c r="T2769" s="37"/>
      <c r="U2769" s="78"/>
    </row>
    <row r="2770" spans="15:21" x14ac:dyDescent="0.25">
      <c r="O2770" s="76"/>
      <c r="P2770" s="78"/>
      <c r="Q2770" s="77"/>
      <c r="R2770" s="78"/>
      <c r="S2770" s="36" t="e">
        <f>VLOOKUP(Tabla911[[#This Row],[CODIGO DEL PRODUCTO]],Tabla79[],2,FALSE)</f>
        <v>#N/A</v>
      </c>
      <c r="T2770" s="37"/>
      <c r="U2770" s="78"/>
    </row>
    <row r="2771" spans="15:21" x14ac:dyDescent="0.25">
      <c r="O2771" s="76"/>
      <c r="P2771" s="78"/>
      <c r="Q2771" s="77"/>
      <c r="R2771" s="78"/>
      <c r="S2771" s="36" t="e">
        <f>VLOOKUP(Tabla911[[#This Row],[CODIGO DEL PRODUCTO]],Tabla79[],2,FALSE)</f>
        <v>#N/A</v>
      </c>
      <c r="T2771" s="37"/>
      <c r="U2771" s="78"/>
    </row>
    <row r="2772" spans="15:21" x14ac:dyDescent="0.25">
      <c r="O2772" s="76"/>
      <c r="P2772" s="78"/>
      <c r="Q2772" s="77"/>
      <c r="R2772" s="78"/>
      <c r="S2772" s="36" t="e">
        <f>VLOOKUP(Tabla911[[#This Row],[CODIGO DEL PRODUCTO]],Tabla79[],2,FALSE)</f>
        <v>#N/A</v>
      </c>
      <c r="T2772" s="37"/>
      <c r="U2772" s="78"/>
    </row>
    <row r="2773" spans="15:21" x14ac:dyDescent="0.25">
      <c r="O2773" s="76"/>
      <c r="P2773" s="78"/>
      <c r="Q2773" s="77"/>
      <c r="R2773" s="78"/>
      <c r="S2773" s="36" t="e">
        <f>VLOOKUP(Tabla911[[#This Row],[CODIGO DEL PRODUCTO]],Tabla79[],2,FALSE)</f>
        <v>#N/A</v>
      </c>
      <c r="T2773" s="37"/>
      <c r="U2773" s="78"/>
    </row>
    <row r="2774" spans="15:21" x14ac:dyDescent="0.25">
      <c r="O2774" s="76"/>
      <c r="P2774" s="78"/>
      <c r="Q2774" s="77"/>
      <c r="R2774" s="78"/>
      <c r="S2774" s="36" t="e">
        <f>VLOOKUP(Tabla911[[#This Row],[CODIGO DEL PRODUCTO]],Tabla79[],2,FALSE)</f>
        <v>#N/A</v>
      </c>
      <c r="T2774" s="37"/>
      <c r="U2774" s="78"/>
    </row>
    <row r="2775" spans="15:21" x14ac:dyDescent="0.25">
      <c r="O2775" s="76"/>
      <c r="P2775" s="78"/>
      <c r="Q2775" s="77"/>
      <c r="R2775" s="78"/>
      <c r="S2775" s="36" t="e">
        <f>VLOOKUP(Tabla911[[#This Row],[CODIGO DEL PRODUCTO]],Tabla79[],2,FALSE)</f>
        <v>#N/A</v>
      </c>
      <c r="T2775" s="37"/>
      <c r="U2775" s="78"/>
    </row>
    <row r="2776" spans="15:21" x14ac:dyDescent="0.25">
      <c r="O2776" s="76"/>
      <c r="P2776" s="78"/>
      <c r="Q2776" s="77"/>
      <c r="R2776" s="78"/>
      <c r="S2776" s="36" t="e">
        <f>VLOOKUP(Tabla911[[#This Row],[CODIGO DEL PRODUCTO]],Tabla79[],2,FALSE)</f>
        <v>#N/A</v>
      </c>
      <c r="T2776" s="37"/>
      <c r="U2776" s="78"/>
    </row>
    <row r="2777" spans="15:21" x14ac:dyDescent="0.25">
      <c r="O2777" s="76"/>
      <c r="P2777" s="78"/>
      <c r="Q2777" s="77"/>
      <c r="R2777" s="78"/>
      <c r="S2777" s="36" t="e">
        <f>VLOOKUP(Tabla911[[#This Row],[CODIGO DEL PRODUCTO]],Tabla79[],2,FALSE)</f>
        <v>#N/A</v>
      </c>
      <c r="T2777" s="37"/>
      <c r="U2777" s="78"/>
    </row>
    <row r="2778" spans="15:21" x14ac:dyDescent="0.25">
      <c r="O2778" s="76"/>
      <c r="P2778" s="78"/>
      <c r="Q2778" s="77"/>
      <c r="R2778" s="78"/>
      <c r="S2778" s="36" t="e">
        <f>VLOOKUP(Tabla911[[#This Row],[CODIGO DEL PRODUCTO]],Tabla79[],2,FALSE)</f>
        <v>#N/A</v>
      </c>
      <c r="T2778" s="37"/>
      <c r="U2778" s="78"/>
    </row>
    <row r="2779" spans="15:21" x14ac:dyDescent="0.25">
      <c r="O2779" s="76"/>
      <c r="P2779" s="78"/>
      <c r="Q2779" s="77"/>
      <c r="R2779" s="78"/>
      <c r="S2779" s="36" t="e">
        <f>VLOOKUP(Tabla911[[#This Row],[CODIGO DEL PRODUCTO]],Tabla79[],2,FALSE)</f>
        <v>#N/A</v>
      </c>
      <c r="T2779" s="37"/>
      <c r="U2779" s="78"/>
    </row>
    <row r="2780" spans="15:21" x14ac:dyDescent="0.25">
      <c r="O2780" s="76"/>
      <c r="P2780" s="78"/>
      <c r="Q2780" s="77"/>
      <c r="R2780" s="78"/>
      <c r="S2780" s="36" t="e">
        <f>VLOOKUP(Tabla911[[#This Row],[CODIGO DEL PRODUCTO]],Tabla79[],2,FALSE)</f>
        <v>#N/A</v>
      </c>
      <c r="T2780" s="37"/>
      <c r="U2780" s="78"/>
    </row>
    <row r="2781" spans="15:21" x14ac:dyDescent="0.25">
      <c r="O2781" s="76"/>
      <c r="P2781" s="78"/>
      <c r="Q2781" s="77"/>
      <c r="R2781" s="78"/>
      <c r="S2781" s="36" t="e">
        <f>VLOOKUP(Tabla911[[#This Row],[CODIGO DEL PRODUCTO]],Tabla79[],2,FALSE)</f>
        <v>#N/A</v>
      </c>
      <c r="T2781" s="37"/>
      <c r="U2781" s="78"/>
    </row>
    <row r="2782" spans="15:21" x14ac:dyDescent="0.25">
      <c r="O2782" s="76"/>
      <c r="P2782" s="78"/>
      <c r="Q2782" s="77"/>
      <c r="R2782" s="78"/>
      <c r="S2782" s="36" t="e">
        <f>VLOOKUP(Tabla911[[#This Row],[CODIGO DEL PRODUCTO]],Tabla79[],2,FALSE)</f>
        <v>#N/A</v>
      </c>
      <c r="T2782" s="37"/>
      <c r="U2782" s="78"/>
    </row>
    <row r="2783" spans="15:21" x14ac:dyDescent="0.25">
      <c r="O2783" s="76"/>
      <c r="P2783" s="78"/>
      <c r="Q2783" s="77"/>
      <c r="R2783" s="78"/>
      <c r="S2783" s="36" t="e">
        <f>VLOOKUP(Tabla911[[#This Row],[CODIGO DEL PRODUCTO]],Tabla79[],2,FALSE)</f>
        <v>#N/A</v>
      </c>
      <c r="T2783" s="37"/>
      <c r="U2783" s="78"/>
    </row>
    <row r="2784" spans="15:21" x14ac:dyDescent="0.25">
      <c r="O2784" s="76"/>
      <c r="P2784" s="78"/>
      <c r="Q2784" s="77"/>
      <c r="R2784" s="78"/>
      <c r="S2784" s="36" t="e">
        <f>VLOOKUP(Tabla911[[#This Row],[CODIGO DEL PRODUCTO]],Tabla79[],2,FALSE)</f>
        <v>#N/A</v>
      </c>
      <c r="T2784" s="37"/>
      <c r="U2784" s="78"/>
    </row>
    <row r="2785" spans="15:21" x14ac:dyDescent="0.25">
      <c r="O2785" s="76"/>
      <c r="P2785" s="78"/>
      <c r="Q2785" s="77"/>
      <c r="R2785" s="78"/>
      <c r="S2785" s="36" t="e">
        <f>VLOOKUP(Tabla911[[#This Row],[CODIGO DEL PRODUCTO]],Tabla79[],2,FALSE)</f>
        <v>#N/A</v>
      </c>
      <c r="T2785" s="37"/>
      <c r="U2785" s="78"/>
    </row>
    <row r="2786" spans="15:21" x14ac:dyDescent="0.25">
      <c r="O2786" s="76"/>
      <c r="P2786" s="78"/>
      <c r="Q2786" s="77"/>
      <c r="R2786" s="78"/>
      <c r="S2786" s="36" t="e">
        <f>VLOOKUP(Tabla911[[#This Row],[CODIGO DEL PRODUCTO]],Tabla79[],2,FALSE)</f>
        <v>#N/A</v>
      </c>
      <c r="T2786" s="37"/>
      <c r="U2786" s="78"/>
    </row>
    <row r="2787" spans="15:21" x14ac:dyDescent="0.25">
      <c r="O2787" s="76"/>
      <c r="P2787" s="78"/>
      <c r="Q2787" s="77"/>
      <c r="R2787" s="78"/>
      <c r="S2787" s="36" t="e">
        <f>VLOOKUP(Tabla911[[#This Row],[CODIGO DEL PRODUCTO]],Tabla79[],2,FALSE)</f>
        <v>#N/A</v>
      </c>
      <c r="T2787" s="37"/>
      <c r="U2787" s="78"/>
    </row>
    <row r="2788" spans="15:21" x14ac:dyDescent="0.25">
      <c r="O2788" s="76"/>
      <c r="P2788" s="78"/>
      <c r="Q2788" s="77"/>
      <c r="R2788" s="78"/>
      <c r="S2788" s="36" t="e">
        <f>VLOOKUP(Tabla911[[#This Row],[CODIGO DEL PRODUCTO]],Tabla79[],2,FALSE)</f>
        <v>#N/A</v>
      </c>
      <c r="T2788" s="37"/>
      <c r="U2788" s="78"/>
    </row>
    <row r="2789" spans="15:21" x14ac:dyDescent="0.25">
      <c r="O2789" s="76"/>
      <c r="P2789" s="78"/>
      <c r="Q2789" s="77"/>
      <c r="R2789" s="78"/>
      <c r="S2789" s="36" t="e">
        <f>VLOOKUP(Tabla911[[#This Row],[CODIGO DEL PRODUCTO]],Tabla79[],2,FALSE)</f>
        <v>#N/A</v>
      </c>
      <c r="T2789" s="37"/>
      <c r="U2789" s="78"/>
    </row>
    <row r="2790" spans="15:21" x14ac:dyDescent="0.25">
      <c r="O2790" s="76"/>
      <c r="P2790" s="78"/>
      <c r="Q2790" s="77"/>
      <c r="R2790" s="78"/>
      <c r="S2790" s="36" t="e">
        <f>VLOOKUP(Tabla911[[#This Row],[CODIGO DEL PRODUCTO]],Tabla79[],2,FALSE)</f>
        <v>#N/A</v>
      </c>
      <c r="T2790" s="37"/>
      <c r="U2790" s="78"/>
    </row>
    <row r="2791" spans="15:21" x14ac:dyDescent="0.25">
      <c r="O2791" s="76"/>
      <c r="P2791" s="78"/>
      <c r="Q2791" s="77"/>
      <c r="R2791" s="78"/>
      <c r="S2791" s="36" t="e">
        <f>VLOOKUP(Tabla911[[#This Row],[CODIGO DEL PRODUCTO]],Tabla79[],2,FALSE)</f>
        <v>#N/A</v>
      </c>
      <c r="T2791" s="37"/>
      <c r="U2791" s="78"/>
    </row>
    <row r="2792" spans="15:21" x14ac:dyDescent="0.25">
      <c r="O2792" s="76"/>
      <c r="P2792" s="78"/>
      <c r="Q2792" s="77"/>
      <c r="R2792" s="78"/>
      <c r="S2792" s="36" t="e">
        <f>VLOOKUP(Tabla911[[#This Row],[CODIGO DEL PRODUCTO]],Tabla79[],2,FALSE)</f>
        <v>#N/A</v>
      </c>
      <c r="T2792" s="37"/>
      <c r="U2792" s="78"/>
    </row>
    <row r="2793" spans="15:21" x14ac:dyDescent="0.25">
      <c r="O2793" s="76"/>
      <c r="P2793" s="78"/>
      <c r="Q2793" s="77"/>
      <c r="R2793" s="78"/>
      <c r="S2793" s="36" t="e">
        <f>VLOOKUP(Tabla911[[#This Row],[CODIGO DEL PRODUCTO]],Tabla79[],2,FALSE)</f>
        <v>#N/A</v>
      </c>
      <c r="T2793" s="37"/>
      <c r="U2793" s="78"/>
    </row>
    <row r="2794" spans="15:21" x14ac:dyDescent="0.25">
      <c r="O2794" s="76"/>
      <c r="P2794" s="78"/>
      <c r="Q2794" s="77"/>
      <c r="R2794" s="78"/>
      <c r="S2794" s="36" t="e">
        <f>VLOOKUP(Tabla911[[#This Row],[CODIGO DEL PRODUCTO]],Tabla79[],2,FALSE)</f>
        <v>#N/A</v>
      </c>
      <c r="T2794" s="37"/>
      <c r="U2794" s="78"/>
    </row>
    <row r="2795" spans="15:21" x14ac:dyDescent="0.25">
      <c r="O2795" s="76"/>
      <c r="P2795" s="78"/>
      <c r="Q2795" s="77"/>
      <c r="R2795" s="78"/>
      <c r="S2795" s="36" t="e">
        <f>VLOOKUP(Tabla911[[#This Row],[CODIGO DEL PRODUCTO]],Tabla79[],2,FALSE)</f>
        <v>#N/A</v>
      </c>
      <c r="T2795" s="37"/>
      <c r="U2795" s="78"/>
    </row>
    <row r="2796" spans="15:21" x14ac:dyDescent="0.25">
      <c r="O2796" s="76"/>
      <c r="P2796" s="78"/>
      <c r="Q2796" s="77"/>
      <c r="R2796" s="78"/>
      <c r="S2796" s="36" t="e">
        <f>VLOOKUP(Tabla911[[#This Row],[CODIGO DEL PRODUCTO]],Tabla79[],2,FALSE)</f>
        <v>#N/A</v>
      </c>
      <c r="T2796" s="37"/>
      <c r="U2796" s="78"/>
    </row>
    <row r="2797" spans="15:21" x14ac:dyDescent="0.25">
      <c r="O2797" s="76"/>
      <c r="P2797" s="78"/>
      <c r="Q2797" s="77"/>
      <c r="R2797" s="78"/>
      <c r="S2797" s="36" t="e">
        <f>VLOOKUP(Tabla911[[#This Row],[CODIGO DEL PRODUCTO]],Tabla79[],2,FALSE)</f>
        <v>#N/A</v>
      </c>
      <c r="T2797" s="37"/>
      <c r="U2797" s="78"/>
    </row>
    <row r="2798" spans="15:21" x14ac:dyDescent="0.25">
      <c r="O2798" s="76"/>
      <c r="P2798" s="78"/>
      <c r="Q2798" s="77"/>
      <c r="R2798" s="78"/>
      <c r="S2798" s="36" t="e">
        <f>VLOOKUP(Tabla911[[#This Row],[CODIGO DEL PRODUCTO]],Tabla79[],2,FALSE)</f>
        <v>#N/A</v>
      </c>
      <c r="T2798" s="37"/>
      <c r="U2798" s="78"/>
    </row>
    <row r="2799" spans="15:21" x14ac:dyDescent="0.25">
      <c r="O2799" s="76"/>
      <c r="P2799" s="78"/>
      <c r="Q2799" s="77"/>
      <c r="R2799" s="78"/>
      <c r="S2799" s="36" t="e">
        <f>VLOOKUP(Tabla911[[#This Row],[CODIGO DEL PRODUCTO]],Tabla79[],2,FALSE)</f>
        <v>#N/A</v>
      </c>
      <c r="T2799" s="37"/>
      <c r="U2799" s="78"/>
    </row>
    <row r="2800" spans="15:21" x14ac:dyDescent="0.25">
      <c r="O2800" s="76"/>
      <c r="P2800" s="78"/>
      <c r="Q2800" s="77"/>
      <c r="R2800" s="78"/>
      <c r="S2800" s="36" t="e">
        <f>VLOOKUP(Tabla911[[#This Row],[CODIGO DEL PRODUCTO]],Tabla79[],2,FALSE)</f>
        <v>#N/A</v>
      </c>
      <c r="T2800" s="37"/>
      <c r="U2800" s="78"/>
    </row>
    <row r="2801" spans="15:21" x14ac:dyDescent="0.25">
      <c r="O2801" s="76"/>
      <c r="P2801" s="78"/>
      <c r="Q2801" s="77"/>
      <c r="R2801" s="78"/>
      <c r="S2801" s="36" t="e">
        <f>VLOOKUP(Tabla911[[#This Row],[CODIGO DEL PRODUCTO]],Tabla79[],2,FALSE)</f>
        <v>#N/A</v>
      </c>
      <c r="T2801" s="37"/>
      <c r="U2801" s="78"/>
    </row>
    <row r="2802" spans="15:21" x14ac:dyDescent="0.25">
      <c r="O2802" s="76"/>
      <c r="P2802" s="78"/>
      <c r="Q2802" s="77"/>
      <c r="R2802" s="78"/>
      <c r="S2802" s="36" t="e">
        <f>VLOOKUP(Tabla911[[#This Row],[CODIGO DEL PRODUCTO]],Tabla79[],2,FALSE)</f>
        <v>#N/A</v>
      </c>
      <c r="T2802" s="37"/>
      <c r="U2802" s="78"/>
    </row>
    <row r="2803" spans="15:21" x14ac:dyDescent="0.25">
      <c r="O2803" s="76"/>
      <c r="P2803" s="78"/>
      <c r="Q2803" s="77"/>
      <c r="R2803" s="78"/>
      <c r="S2803" s="36" t="e">
        <f>VLOOKUP(Tabla911[[#This Row],[CODIGO DEL PRODUCTO]],Tabla79[],2,FALSE)</f>
        <v>#N/A</v>
      </c>
      <c r="T2803" s="37"/>
      <c r="U2803" s="78"/>
    </row>
    <row r="2804" spans="15:21" x14ac:dyDescent="0.25">
      <c r="O2804" s="76"/>
      <c r="P2804" s="78"/>
      <c r="Q2804" s="77"/>
      <c r="R2804" s="78"/>
      <c r="S2804" s="36" t="e">
        <f>VLOOKUP(Tabla911[[#This Row],[CODIGO DEL PRODUCTO]],Tabla79[],2,FALSE)</f>
        <v>#N/A</v>
      </c>
      <c r="T2804" s="37"/>
      <c r="U2804" s="78"/>
    </row>
    <row r="2805" spans="15:21" x14ac:dyDescent="0.25">
      <c r="O2805" s="76"/>
      <c r="P2805" s="78"/>
      <c r="Q2805" s="77"/>
      <c r="R2805" s="78"/>
      <c r="S2805" s="36" t="e">
        <f>VLOOKUP(Tabla911[[#This Row],[CODIGO DEL PRODUCTO]],Tabla79[],2,FALSE)</f>
        <v>#N/A</v>
      </c>
      <c r="T2805" s="37"/>
      <c r="U2805" s="78"/>
    </row>
    <row r="2806" spans="15:21" x14ac:dyDescent="0.25">
      <c r="O2806" s="76"/>
      <c r="P2806" s="78"/>
      <c r="Q2806" s="77"/>
      <c r="R2806" s="78"/>
      <c r="S2806" s="36" t="e">
        <f>VLOOKUP(Tabla911[[#This Row],[CODIGO DEL PRODUCTO]],Tabla79[],2,FALSE)</f>
        <v>#N/A</v>
      </c>
      <c r="T2806" s="37"/>
      <c r="U2806" s="78"/>
    </row>
    <row r="2807" spans="15:21" x14ac:dyDescent="0.25">
      <c r="O2807" s="76"/>
      <c r="P2807" s="78"/>
      <c r="Q2807" s="77"/>
      <c r="R2807" s="78"/>
      <c r="S2807" s="36" t="e">
        <f>VLOOKUP(Tabla911[[#This Row],[CODIGO DEL PRODUCTO]],Tabla79[],2,FALSE)</f>
        <v>#N/A</v>
      </c>
      <c r="T2807" s="37"/>
      <c r="U2807" s="78"/>
    </row>
    <row r="2808" spans="15:21" x14ac:dyDescent="0.25">
      <c r="O2808" s="76"/>
      <c r="P2808" s="78"/>
      <c r="Q2808" s="77"/>
      <c r="R2808" s="78"/>
      <c r="S2808" s="36" t="e">
        <f>VLOOKUP(Tabla911[[#This Row],[CODIGO DEL PRODUCTO]],Tabla79[],2,FALSE)</f>
        <v>#N/A</v>
      </c>
      <c r="T2808" s="37"/>
      <c r="U2808" s="78"/>
    </row>
    <row r="2809" spans="15:21" x14ac:dyDescent="0.25">
      <c r="O2809" s="76"/>
      <c r="P2809" s="78"/>
      <c r="Q2809" s="77"/>
      <c r="R2809" s="78"/>
      <c r="S2809" s="36" t="e">
        <f>VLOOKUP(Tabla911[[#This Row],[CODIGO DEL PRODUCTO]],Tabla79[],2,FALSE)</f>
        <v>#N/A</v>
      </c>
      <c r="T2809" s="37"/>
      <c r="U2809" s="78"/>
    </row>
    <row r="2810" spans="15:21" x14ac:dyDescent="0.25">
      <c r="O2810" s="76"/>
      <c r="P2810" s="78"/>
      <c r="Q2810" s="77"/>
      <c r="R2810" s="78"/>
      <c r="S2810" s="36" t="e">
        <f>VLOOKUP(Tabla911[[#This Row],[CODIGO DEL PRODUCTO]],Tabla79[],2,FALSE)</f>
        <v>#N/A</v>
      </c>
      <c r="T2810" s="37"/>
      <c r="U2810" s="78"/>
    </row>
    <row r="2811" spans="15:21" x14ac:dyDescent="0.25">
      <c r="O2811" s="76"/>
      <c r="P2811" s="78"/>
      <c r="Q2811" s="77"/>
      <c r="R2811" s="78"/>
      <c r="S2811" s="36" t="e">
        <f>VLOOKUP(Tabla911[[#This Row],[CODIGO DEL PRODUCTO]],Tabla79[],2,FALSE)</f>
        <v>#N/A</v>
      </c>
      <c r="T2811" s="37"/>
      <c r="U2811" s="78"/>
    </row>
    <row r="2812" spans="15:21" x14ac:dyDescent="0.25">
      <c r="O2812" s="76"/>
      <c r="P2812" s="78"/>
      <c r="Q2812" s="77"/>
      <c r="R2812" s="78"/>
      <c r="S2812" s="36" t="e">
        <f>VLOOKUP(Tabla911[[#This Row],[CODIGO DEL PRODUCTO]],Tabla79[],2,FALSE)</f>
        <v>#N/A</v>
      </c>
      <c r="T2812" s="37"/>
      <c r="U2812" s="78"/>
    </row>
    <row r="2813" spans="15:21" x14ac:dyDescent="0.25">
      <c r="O2813" s="76"/>
      <c r="P2813" s="78"/>
      <c r="Q2813" s="77"/>
      <c r="R2813" s="78"/>
      <c r="S2813" s="36" t="e">
        <f>VLOOKUP(Tabla911[[#This Row],[CODIGO DEL PRODUCTO]],Tabla79[],2,FALSE)</f>
        <v>#N/A</v>
      </c>
      <c r="T2813" s="37"/>
      <c r="U2813" s="78"/>
    </row>
    <row r="2814" spans="15:21" x14ac:dyDescent="0.25">
      <c r="O2814" s="76"/>
      <c r="P2814" s="78"/>
      <c r="Q2814" s="77"/>
      <c r="R2814" s="78"/>
      <c r="S2814" s="36" t="e">
        <f>VLOOKUP(Tabla911[[#This Row],[CODIGO DEL PRODUCTO]],Tabla79[],2,FALSE)</f>
        <v>#N/A</v>
      </c>
      <c r="T2814" s="37"/>
      <c r="U2814" s="78"/>
    </row>
    <row r="2815" spans="15:21" x14ac:dyDescent="0.25">
      <c r="O2815" s="76"/>
      <c r="P2815" s="78"/>
      <c r="Q2815" s="77"/>
      <c r="R2815" s="78"/>
      <c r="S2815" s="36" t="e">
        <f>VLOOKUP(Tabla911[[#This Row],[CODIGO DEL PRODUCTO]],Tabla79[],2,FALSE)</f>
        <v>#N/A</v>
      </c>
      <c r="T2815" s="37"/>
      <c r="U2815" s="78"/>
    </row>
    <row r="2816" spans="15:21" x14ac:dyDescent="0.25">
      <c r="O2816" s="76"/>
      <c r="P2816" s="78"/>
      <c r="Q2816" s="77"/>
      <c r="R2816" s="78"/>
      <c r="S2816" s="36" t="e">
        <f>VLOOKUP(Tabla911[[#This Row],[CODIGO DEL PRODUCTO]],Tabla79[],2,FALSE)</f>
        <v>#N/A</v>
      </c>
      <c r="T2816" s="37"/>
      <c r="U2816" s="78"/>
    </row>
    <row r="2817" spans="15:21" x14ac:dyDescent="0.25">
      <c r="O2817" s="76"/>
      <c r="P2817" s="78"/>
      <c r="Q2817" s="77"/>
      <c r="R2817" s="78"/>
      <c r="S2817" s="36" t="e">
        <f>VLOOKUP(Tabla911[[#This Row],[CODIGO DEL PRODUCTO]],Tabla79[],2,FALSE)</f>
        <v>#N/A</v>
      </c>
      <c r="T2817" s="37"/>
      <c r="U2817" s="78"/>
    </row>
    <row r="2818" spans="15:21" x14ac:dyDescent="0.25">
      <c r="O2818" s="76"/>
      <c r="P2818" s="78"/>
      <c r="Q2818" s="77"/>
      <c r="R2818" s="78"/>
      <c r="S2818" s="36" t="e">
        <f>VLOOKUP(Tabla911[[#This Row],[CODIGO DEL PRODUCTO]],Tabla79[],2,FALSE)</f>
        <v>#N/A</v>
      </c>
      <c r="T2818" s="37"/>
      <c r="U2818" s="78"/>
    </row>
    <row r="2819" spans="15:21" x14ac:dyDescent="0.25">
      <c r="O2819" s="76"/>
      <c r="P2819" s="78"/>
      <c r="Q2819" s="77"/>
      <c r="R2819" s="78"/>
      <c r="S2819" s="36" t="e">
        <f>VLOOKUP(Tabla911[[#This Row],[CODIGO DEL PRODUCTO]],Tabla79[],2,FALSE)</f>
        <v>#N/A</v>
      </c>
      <c r="T2819" s="37"/>
      <c r="U2819" s="78"/>
    </row>
    <row r="2820" spans="15:21" x14ac:dyDescent="0.25">
      <c r="O2820" s="76"/>
      <c r="P2820" s="78"/>
      <c r="Q2820" s="77"/>
      <c r="R2820" s="78"/>
      <c r="S2820" s="36" t="e">
        <f>VLOOKUP(Tabla911[[#This Row],[CODIGO DEL PRODUCTO]],Tabla79[],2,FALSE)</f>
        <v>#N/A</v>
      </c>
      <c r="T2820" s="37"/>
      <c r="U2820" s="78"/>
    </row>
    <row r="2821" spans="15:21" x14ac:dyDescent="0.25">
      <c r="O2821" s="76"/>
      <c r="P2821" s="78"/>
      <c r="Q2821" s="77"/>
      <c r="R2821" s="78"/>
      <c r="S2821" s="36" t="e">
        <f>VLOOKUP(Tabla911[[#This Row],[CODIGO DEL PRODUCTO]],Tabla79[],2,FALSE)</f>
        <v>#N/A</v>
      </c>
      <c r="T2821" s="37"/>
      <c r="U2821" s="78"/>
    </row>
    <row r="2822" spans="15:21" x14ac:dyDescent="0.25">
      <c r="O2822" s="76"/>
      <c r="P2822" s="78"/>
      <c r="Q2822" s="77"/>
      <c r="R2822" s="78"/>
      <c r="S2822" s="36" t="e">
        <f>VLOOKUP(Tabla911[[#This Row],[CODIGO DEL PRODUCTO]],Tabla79[],2,FALSE)</f>
        <v>#N/A</v>
      </c>
      <c r="T2822" s="37"/>
      <c r="U2822" s="78"/>
    </row>
    <row r="2823" spans="15:21" x14ac:dyDescent="0.25">
      <c r="O2823" s="76"/>
      <c r="P2823" s="78"/>
      <c r="Q2823" s="77"/>
      <c r="R2823" s="78"/>
      <c r="S2823" s="36" t="e">
        <f>VLOOKUP(Tabla911[[#This Row],[CODIGO DEL PRODUCTO]],Tabla79[],2,FALSE)</f>
        <v>#N/A</v>
      </c>
      <c r="T2823" s="37"/>
      <c r="U2823" s="78"/>
    </row>
    <row r="2824" spans="15:21" x14ac:dyDescent="0.25">
      <c r="O2824" s="76"/>
      <c r="P2824" s="78"/>
      <c r="Q2824" s="77"/>
      <c r="R2824" s="78"/>
      <c r="S2824" s="36" t="e">
        <f>VLOOKUP(Tabla911[[#This Row],[CODIGO DEL PRODUCTO]],Tabla79[],2,FALSE)</f>
        <v>#N/A</v>
      </c>
      <c r="T2824" s="37"/>
      <c r="U2824" s="78"/>
    </row>
    <row r="2825" spans="15:21" x14ac:dyDescent="0.25">
      <c r="O2825" s="76"/>
      <c r="P2825" s="78"/>
      <c r="Q2825" s="77"/>
      <c r="R2825" s="78"/>
      <c r="S2825" s="36" t="e">
        <f>VLOOKUP(Tabla911[[#This Row],[CODIGO DEL PRODUCTO]],Tabla79[],2,FALSE)</f>
        <v>#N/A</v>
      </c>
      <c r="T2825" s="37"/>
      <c r="U2825" s="78"/>
    </row>
    <row r="2826" spans="15:21" x14ac:dyDescent="0.25">
      <c r="O2826" s="76"/>
      <c r="P2826" s="78"/>
      <c r="Q2826" s="77"/>
      <c r="R2826" s="78"/>
      <c r="S2826" s="36" t="e">
        <f>VLOOKUP(Tabla911[[#This Row],[CODIGO DEL PRODUCTO]],Tabla79[],2,FALSE)</f>
        <v>#N/A</v>
      </c>
      <c r="T2826" s="37"/>
      <c r="U2826" s="78"/>
    </row>
    <row r="2827" spans="15:21" x14ac:dyDescent="0.25">
      <c r="O2827" s="76"/>
      <c r="P2827" s="78"/>
      <c r="Q2827" s="77"/>
      <c r="R2827" s="78"/>
      <c r="S2827" s="36" t="e">
        <f>VLOOKUP(Tabla911[[#This Row],[CODIGO DEL PRODUCTO]],Tabla79[],2,FALSE)</f>
        <v>#N/A</v>
      </c>
      <c r="T2827" s="37"/>
      <c r="U2827" s="78"/>
    </row>
    <row r="2828" spans="15:21" x14ac:dyDescent="0.25">
      <c r="O2828" s="76"/>
      <c r="P2828" s="78"/>
      <c r="Q2828" s="77"/>
      <c r="R2828" s="78"/>
      <c r="S2828" s="36" t="e">
        <f>VLOOKUP(Tabla911[[#This Row],[CODIGO DEL PRODUCTO]],Tabla79[],2,FALSE)</f>
        <v>#N/A</v>
      </c>
      <c r="T2828" s="37"/>
      <c r="U2828" s="78"/>
    </row>
    <row r="2829" spans="15:21" x14ac:dyDescent="0.25">
      <c r="O2829" s="76"/>
      <c r="P2829" s="78"/>
      <c r="Q2829" s="77"/>
      <c r="R2829" s="78"/>
      <c r="S2829" s="36" t="e">
        <f>VLOOKUP(Tabla911[[#This Row],[CODIGO DEL PRODUCTO]],Tabla79[],2,FALSE)</f>
        <v>#N/A</v>
      </c>
      <c r="T2829" s="37"/>
      <c r="U2829" s="78"/>
    </row>
    <row r="2830" spans="15:21" x14ac:dyDescent="0.25">
      <c r="O2830" s="76"/>
      <c r="P2830" s="78"/>
      <c r="Q2830" s="77"/>
      <c r="R2830" s="78"/>
      <c r="S2830" s="36" t="e">
        <f>VLOOKUP(Tabla911[[#This Row],[CODIGO DEL PRODUCTO]],Tabla79[],2,FALSE)</f>
        <v>#N/A</v>
      </c>
      <c r="T2830" s="37"/>
      <c r="U2830" s="78"/>
    </row>
    <row r="2831" spans="15:21" x14ac:dyDescent="0.25">
      <c r="O2831" s="76"/>
      <c r="P2831" s="78"/>
      <c r="Q2831" s="77"/>
      <c r="R2831" s="78"/>
      <c r="S2831" s="36" t="e">
        <f>VLOOKUP(Tabla911[[#This Row],[CODIGO DEL PRODUCTO]],Tabla79[],2,FALSE)</f>
        <v>#N/A</v>
      </c>
      <c r="T2831" s="37"/>
      <c r="U2831" s="78"/>
    </row>
    <row r="2832" spans="15:21" x14ac:dyDescent="0.25">
      <c r="O2832" s="76"/>
      <c r="P2832" s="78"/>
      <c r="Q2832" s="77"/>
      <c r="R2832" s="78"/>
      <c r="S2832" s="36" t="e">
        <f>VLOOKUP(Tabla911[[#This Row],[CODIGO DEL PRODUCTO]],Tabla79[],2,FALSE)</f>
        <v>#N/A</v>
      </c>
      <c r="T2832" s="37"/>
      <c r="U2832" s="78"/>
    </row>
    <row r="2833" spans="15:21" x14ac:dyDescent="0.25">
      <c r="O2833" s="76"/>
      <c r="P2833" s="78"/>
      <c r="Q2833" s="77"/>
      <c r="R2833" s="78"/>
      <c r="S2833" s="36" t="e">
        <f>VLOOKUP(Tabla911[[#This Row],[CODIGO DEL PRODUCTO]],Tabla79[],2,FALSE)</f>
        <v>#N/A</v>
      </c>
      <c r="T2833" s="37"/>
      <c r="U2833" s="78"/>
    </row>
    <row r="2834" spans="15:21" x14ac:dyDescent="0.25">
      <c r="O2834" s="76"/>
      <c r="P2834" s="78"/>
      <c r="Q2834" s="77"/>
      <c r="R2834" s="78"/>
      <c r="S2834" s="36" t="e">
        <f>VLOOKUP(Tabla911[[#This Row],[CODIGO DEL PRODUCTO]],Tabla79[],2,FALSE)</f>
        <v>#N/A</v>
      </c>
      <c r="T2834" s="37"/>
      <c r="U2834" s="78"/>
    </row>
    <row r="2835" spans="15:21" x14ac:dyDescent="0.25">
      <c r="O2835" s="76"/>
      <c r="P2835" s="78"/>
      <c r="Q2835" s="77"/>
      <c r="R2835" s="78"/>
      <c r="S2835" s="36" t="e">
        <f>VLOOKUP(Tabla911[[#This Row],[CODIGO DEL PRODUCTO]],Tabla79[],2,FALSE)</f>
        <v>#N/A</v>
      </c>
      <c r="T2835" s="37"/>
      <c r="U2835" s="78"/>
    </row>
    <row r="2836" spans="15:21" x14ac:dyDescent="0.25">
      <c r="O2836" s="76"/>
      <c r="P2836" s="78"/>
      <c r="Q2836" s="77"/>
      <c r="R2836" s="78"/>
      <c r="S2836" s="36" t="e">
        <f>VLOOKUP(Tabla911[[#This Row],[CODIGO DEL PRODUCTO]],Tabla79[],2,FALSE)</f>
        <v>#N/A</v>
      </c>
      <c r="T2836" s="37"/>
      <c r="U2836" s="78"/>
    </row>
    <row r="2837" spans="15:21" x14ac:dyDescent="0.25">
      <c r="O2837" s="76"/>
      <c r="P2837" s="78"/>
      <c r="Q2837" s="77"/>
      <c r="R2837" s="78"/>
      <c r="S2837" s="36" t="e">
        <f>VLOOKUP(Tabla911[[#This Row],[CODIGO DEL PRODUCTO]],Tabla79[],2,FALSE)</f>
        <v>#N/A</v>
      </c>
      <c r="T2837" s="37"/>
      <c r="U2837" s="78"/>
    </row>
    <row r="2838" spans="15:21" x14ac:dyDescent="0.25">
      <c r="O2838" s="76"/>
      <c r="P2838" s="78"/>
      <c r="Q2838" s="77"/>
      <c r="R2838" s="78"/>
      <c r="S2838" s="36" t="e">
        <f>VLOOKUP(Tabla911[[#This Row],[CODIGO DEL PRODUCTO]],Tabla79[],2,FALSE)</f>
        <v>#N/A</v>
      </c>
      <c r="T2838" s="37"/>
      <c r="U2838" s="78"/>
    </row>
    <row r="2839" spans="15:21" x14ac:dyDescent="0.25">
      <c r="O2839" s="76"/>
      <c r="P2839" s="78"/>
      <c r="Q2839" s="77"/>
      <c r="R2839" s="78"/>
      <c r="S2839" s="36" t="e">
        <f>VLOOKUP(Tabla911[[#This Row],[CODIGO DEL PRODUCTO]],Tabla79[],2,FALSE)</f>
        <v>#N/A</v>
      </c>
      <c r="T2839" s="37"/>
      <c r="U2839" s="78"/>
    </row>
    <row r="2840" spans="15:21" x14ac:dyDescent="0.25">
      <c r="O2840" s="76"/>
      <c r="P2840" s="78"/>
      <c r="Q2840" s="77"/>
      <c r="R2840" s="78"/>
      <c r="S2840" s="36" t="e">
        <f>VLOOKUP(Tabla911[[#This Row],[CODIGO DEL PRODUCTO]],Tabla79[],2,FALSE)</f>
        <v>#N/A</v>
      </c>
      <c r="T2840" s="37"/>
      <c r="U2840" s="78"/>
    </row>
    <row r="2841" spans="15:21" x14ac:dyDescent="0.25">
      <c r="O2841" s="76"/>
      <c r="P2841" s="78"/>
      <c r="Q2841" s="77"/>
      <c r="R2841" s="78"/>
      <c r="S2841" s="36" t="e">
        <f>VLOOKUP(Tabla911[[#This Row],[CODIGO DEL PRODUCTO]],Tabla79[],2,FALSE)</f>
        <v>#N/A</v>
      </c>
      <c r="T2841" s="37"/>
      <c r="U2841" s="78"/>
    </row>
    <row r="2842" spans="15:21" x14ac:dyDescent="0.25">
      <c r="O2842" s="76"/>
      <c r="P2842" s="78"/>
      <c r="Q2842" s="77"/>
      <c r="R2842" s="78"/>
      <c r="S2842" s="36" t="e">
        <f>VLOOKUP(Tabla911[[#This Row],[CODIGO DEL PRODUCTO]],Tabla79[],2,FALSE)</f>
        <v>#N/A</v>
      </c>
      <c r="T2842" s="37"/>
      <c r="U2842" s="78"/>
    </row>
    <row r="2843" spans="15:21" x14ac:dyDescent="0.25">
      <c r="O2843" s="76"/>
      <c r="P2843" s="78"/>
      <c r="Q2843" s="77"/>
      <c r="R2843" s="78"/>
      <c r="S2843" s="36" t="e">
        <f>VLOOKUP(Tabla911[[#This Row],[CODIGO DEL PRODUCTO]],Tabla79[],2,FALSE)</f>
        <v>#N/A</v>
      </c>
      <c r="T2843" s="37"/>
      <c r="U2843" s="78"/>
    </row>
    <row r="2844" spans="15:21" x14ac:dyDescent="0.25">
      <c r="O2844" s="76"/>
      <c r="P2844" s="78"/>
      <c r="Q2844" s="77"/>
      <c r="R2844" s="78"/>
      <c r="S2844" s="36" t="e">
        <f>VLOOKUP(Tabla911[[#This Row],[CODIGO DEL PRODUCTO]],Tabla79[],2,FALSE)</f>
        <v>#N/A</v>
      </c>
      <c r="T2844" s="37"/>
      <c r="U2844" s="78"/>
    </row>
    <row r="2845" spans="15:21" x14ac:dyDescent="0.25">
      <c r="O2845" s="76"/>
      <c r="P2845" s="78"/>
      <c r="Q2845" s="77"/>
      <c r="R2845" s="78"/>
      <c r="S2845" s="36" t="e">
        <f>VLOOKUP(Tabla911[[#This Row],[CODIGO DEL PRODUCTO]],Tabla79[],2,FALSE)</f>
        <v>#N/A</v>
      </c>
      <c r="T2845" s="37"/>
      <c r="U2845" s="78"/>
    </row>
    <row r="2846" spans="15:21" x14ac:dyDescent="0.25">
      <c r="O2846" s="76"/>
      <c r="P2846" s="78"/>
      <c r="Q2846" s="77"/>
      <c r="R2846" s="78"/>
      <c r="S2846" s="36" t="e">
        <f>VLOOKUP(Tabla911[[#This Row],[CODIGO DEL PRODUCTO]],Tabla79[],2,FALSE)</f>
        <v>#N/A</v>
      </c>
      <c r="T2846" s="37"/>
      <c r="U2846" s="78"/>
    </row>
    <row r="2847" spans="15:21" x14ac:dyDescent="0.25">
      <c r="O2847" s="76"/>
      <c r="P2847" s="78"/>
      <c r="Q2847" s="77"/>
      <c r="R2847" s="78"/>
      <c r="S2847" s="36" t="e">
        <f>VLOOKUP(Tabla911[[#This Row],[CODIGO DEL PRODUCTO]],Tabla79[],2,FALSE)</f>
        <v>#N/A</v>
      </c>
      <c r="T2847" s="37"/>
      <c r="U2847" s="78"/>
    </row>
    <row r="2848" spans="15:21" x14ac:dyDescent="0.25">
      <c r="O2848" s="76"/>
      <c r="P2848" s="78"/>
      <c r="Q2848" s="77"/>
      <c r="R2848" s="78"/>
      <c r="S2848" s="36" t="e">
        <f>VLOOKUP(Tabla911[[#This Row],[CODIGO DEL PRODUCTO]],Tabla79[],2,FALSE)</f>
        <v>#N/A</v>
      </c>
      <c r="T2848" s="37"/>
      <c r="U2848" s="78"/>
    </row>
    <row r="2849" spans="15:21" x14ac:dyDescent="0.25">
      <c r="O2849" s="76"/>
      <c r="P2849" s="78"/>
      <c r="Q2849" s="77"/>
      <c r="R2849" s="78"/>
      <c r="S2849" s="36" t="e">
        <f>VLOOKUP(Tabla911[[#This Row],[CODIGO DEL PRODUCTO]],Tabla79[],2,FALSE)</f>
        <v>#N/A</v>
      </c>
      <c r="T2849" s="37"/>
      <c r="U2849" s="78"/>
    </row>
    <row r="2850" spans="15:21" x14ac:dyDescent="0.25">
      <c r="O2850" s="76"/>
      <c r="P2850" s="78"/>
      <c r="Q2850" s="77"/>
      <c r="R2850" s="78"/>
      <c r="S2850" s="36" t="e">
        <f>VLOOKUP(Tabla911[[#This Row],[CODIGO DEL PRODUCTO]],Tabla79[],2,FALSE)</f>
        <v>#N/A</v>
      </c>
      <c r="T2850" s="37"/>
      <c r="U2850" s="78"/>
    </row>
    <row r="2851" spans="15:21" x14ac:dyDescent="0.25">
      <c r="O2851" s="76"/>
      <c r="P2851" s="78"/>
      <c r="Q2851" s="77"/>
      <c r="R2851" s="78"/>
      <c r="S2851" s="36" t="e">
        <f>VLOOKUP(Tabla911[[#This Row],[CODIGO DEL PRODUCTO]],Tabla79[],2,FALSE)</f>
        <v>#N/A</v>
      </c>
      <c r="T2851" s="37"/>
      <c r="U2851" s="78"/>
    </row>
    <row r="2852" spans="15:21" x14ac:dyDescent="0.25">
      <c r="O2852" s="76"/>
      <c r="P2852" s="78"/>
      <c r="Q2852" s="77"/>
      <c r="R2852" s="78"/>
      <c r="S2852" s="36" t="e">
        <f>VLOOKUP(Tabla911[[#This Row],[CODIGO DEL PRODUCTO]],Tabla79[],2,FALSE)</f>
        <v>#N/A</v>
      </c>
      <c r="T2852" s="37"/>
      <c r="U2852" s="78"/>
    </row>
    <row r="2853" spans="15:21" x14ac:dyDescent="0.25">
      <c r="O2853" s="76"/>
      <c r="P2853" s="78"/>
      <c r="Q2853" s="77"/>
      <c r="R2853" s="78"/>
      <c r="S2853" s="36" t="e">
        <f>VLOOKUP(Tabla911[[#This Row],[CODIGO DEL PRODUCTO]],Tabla79[],2,FALSE)</f>
        <v>#N/A</v>
      </c>
      <c r="T2853" s="37"/>
      <c r="U2853" s="78"/>
    </row>
    <row r="2854" spans="15:21" x14ac:dyDescent="0.25">
      <c r="O2854" s="76"/>
      <c r="P2854" s="78"/>
      <c r="Q2854" s="77"/>
      <c r="R2854" s="78"/>
      <c r="S2854" s="36" t="e">
        <f>VLOOKUP(Tabla911[[#This Row],[CODIGO DEL PRODUCTO]],Tabla79[],2,FALSE)</f>
        <v>#N/A</v>
      </c>
      <c r="T2854" s="37"/>
      <c r="U2854" s="78"/>
    </row>
    <row r="2855" spans="15:21" x14ac:dyDescent="0.25">
      <c r="O2855" s="76"/>
      <c r="P2855" s="78"/>
      <c r="Q2855" s="77"/>
      <c r="R2855" s="78"/>
      <c r="S2855" s="36" t="e">
        <f>VLOOKUP(Tabla911[[#This Row],[CODIGO DEL PRODUCTO]],Tabla79[],2,FALSE)</f>
        <v>#N/A</v>
      </c>
      <c r="T2855" s="37"/>
      <c r="U2855" s="78"/>
    </row>
    <row r="2856" spans="15:21" x14ac:dyDescent="0.25">
      <c r="O2856" s="76"/>
      <c r="P2856" s="78"/>
      <c r="Q2856" s="77"/>
      <c r="R2856" s="78"/>
      <c r="S2856" s="36" t="e">
        <f>VLOOKUP(Tabla911[[#This Row],[CODIGO DEL PRODUCTO]],Tabla79[],2,FALSE)</f>
        <v>#N/A</v>
      </c>
      <c r="T2856" s="37"/>
      <c r="U2856" s="78"/>
    </row>
    <row r="2857" spans="15:21" x14ac:dyDescent="0.25">
      <c r="O2857" s="76"/>
      <c r="P2857" s="78"/>
      <c r="Q2857" s="77"/>
      <c r="R2857" s="78"/>
      <c r="S2857" s="36" t="e">
        <f>VLOOKUP(Tabla911[[#This Row],[CODIGO DEL PRODUCTO]],Tabla79[],2,FALSE)</f>
        <v>#N/A</v>
      </c>
      <c r="T2857" s="37"/>
      <c r="U2857" s="78"/>
    </row>
    <row r="2858" spans="15:21" x14ac:dyDescent="0.25">
      <c r="O2858" s="76"/>
      <c r="P2858" s="78"/>
      <c r="Q2858" s="77"/>
      <c r="R2858" s="78"/>
      <c r="S2858" s="36" t="e">
        <f>VLOOKUP(Tabla911[[#This Row],[CODIGO DEL PRODUCTO]],Tabla79[],2,FALSE)</f>
        <v>#N/A</v>
      </c>
      <c r="T2858" s="37"/>
      <c r="U2858" s="78"/>
    </row>
    <row r="2859" spans="15:21" x14ac:dyDescent="0.25">
      <c r="O2859" s="76"/>
      <c r="P2859" s="78"/>
      <c r="Q2859" s="77"/>
      <c r="R2859" s="78"/>
      <c r="S2859" s="36" t="e">
        <f>VLOOKUP(Tabla911[[#This Row],[CODIGO DEL PRODUCTO]],Tabla79[],2,FALSE)</f>
        <v>#N/A</v>
      </c>
      <c r="T2859" s="37"/>
      <c r="U2859" s="78"/>
    </row>
    <row r="2860" spans="15:21" x14ac:dyDescent="0.25">
      <c r="O2860" s="76"/>
      <c r="P2860" s="78"/>
      <c r="Q2860" s="77"/>
      <c r="R2860" s="78"/>
      <c r="S2860" s="36" t="e">
        <f>VLOOKUP(Tabla911[[#This Row],[CODIGO DEL PRODUCTO]],Tabla79[],2,FALSE)</f>
        <v>#N/A</v>
      </c>
      <c r="T2860" s="37"/>
      <c r="U2860" s="78"/>
    </row>
    <row r="2861" spans="15:21" x14ac:dyDescent="0.25">
      <c r="O2861" s="76"/>
      <c r="P2861" s="78"/>
      <c r="Q2861" s="77"/>
      <c r="R2861" s="78"/>
      <c r="S2861" s="36" t="e">
        <f>VLOOKUP(Tabla911[[#This Row],[CODIGO DEL PRODUCTO]],Tabla79[],2,FALSE)</f>
        <v>#N/A</v>
      </c>
      <c r="T2861" s="37"/>
      <c r="U2861" s="78"/>
    </row>
    <row r="2862" spans="15:21" x14ac:dyDescent="0.25">
      <c r="O2862" s="76"/>
      <c r="P2862" s="78"/>
      <c r="Q2862" s="77"/>
      <c r="R2862" s="78"/>
      <c r="S2862" s="36" t="e">
        <f>VLOOKUP(Tabla911[[#This Row],[CODIGO DEL PRODUCTO]],Tabla79[],2,FALSE)</f>
        <v>#N/A</v>
      </c>
      <c r="T2862" s="37"/>
      <c r="U2862" s="78"/>
    </row>
    <row r="2863" spans="15:21" x14ac:dyDescent="0.25">
      <c r="O2863" s="76"/>
      <c r="P2863" s="78"/>
      <c r="Q2863" s="77"/>
      <c r="R2863" s="78"/>
      <c r="S2863" s="36" t="e">
        <f>VLOOKUP(Tabla911[[#This Row],[CODIGO DEL PRODUCTO]],Tabla79[],2,FALSE)</f>
        <v>#N/A</v>
      </c>
      <c r="T2863" s="37"/>
      <c r="U2863" s="78"/>
    </row>
    <row r="2864" spans="15:21" x14ac:dyDescent="0.25">
      <c r="O2864" s="76"/>
      <c r="P2864" s="78"/>
      <c r="Q2864" s="77"/>
      <c r="R2864" s="78"/>
      <c r="S2864" s="36" t="e">
        <f>VLOOKUP(Tabla911[[#This Row],[CODIGO DEL PRODUCTO]],Tabla79[],2,FALSE)</f>
        <v>#N/A</v>
      </c>
      <c r="T2864" s="37"/>
      <c r="U2864" s="78"/>
    </row>
    <row r="2865" spans="15:21" x14ac:dyDescent="0.25">
      <c r="O2865" s="76"/>
      <c r="P2865" s="78"/>
      <c r="Q2865" s="77"/>
      <c r="R2865" s="78"/>
      <c r="S2865" s="36" t="e">
        <f>VLOOKUP(Tabla911[[#This Row],[CODIGO DEL PRODUCTO]],Tabla79[],2,FALSE)</f>
        <v>#N/A</v>
      </c>
      <c r="T2865" s="37"/>
      <c r="U2865" s="78"/>
    </row>
    <row r="2866" spans="15:21" x14ac:dyDescent="0.25">
      <c r="O2866" s="76"/>
      <c r="P2866" s="78"/>
      <c r="Q2866" s="77"/>
      <c r="R2866" s="78"/>
      <c r="S2866" s="36" t="e">
        <f>VLOOKUP(Tabla911[[#This Row],[CODIGO DEL PRODUCTO]],Tabla79[],2,FALSE)</f>
        <v>#N/A</v>
      </c>
      <c r="T2866" s="37"/>
      <c r="U2866" s="78"/>
    </row>
    <row r="2867" spans="15:21" x14ac:dyDescent="0.25">
      <c r="O2867" s="76"/>
      <c r="P2867" s="78"/>
      <c r="Q2867" s="77"/>
      <c r="R2867" s="78"/>
      <c r="S2867" s="36" t="e">
        <f>VLOOKUP(Tabla911[[#This Row],[CODIGO DEL PRODUCTO]],Tabla79[],2,FALSE)</f>
        <v>#N/A</v>
      </c>
      <c r="T2867" s="37"/>
      <c r="U2867" s="78"/>
    </row>
    <row r="2868" spans="15:21" x14ac:dyDescent="0.25">
      <c r="O2868" s="76"/>
      <c r="P2868" s="78"/>
      <c r="Q2868" s="77"/>
      <c r="R2868" s="78"/>
      <c r="S2868" s="36" t="e">
        <f>VLOOKUP(Tabla911[[#This Row],[CODIGO DEL PRODUCTO]],Tabla79[],2,FALSE)</f>
        <v>#N/A</v>
      </c>
      <c r="T2868" s="37"/>
      <c r="U2868" s="78"/>
    </row>
    <row r="2869" spans="15:21" x14ac:dyDescent="0.25">
      <c r="O2869" s="76"/>
      <c r="P2869" s="78"/>
      <c r="Q2869" s="77"/>
      <c r="R2869" s="78"/>
      <c r="S2869" s="36" t="e">
        <f>VLOOKUP(Tabla911[[#This Row],[CODIGO DEL PRODUCTO]],Tabla79[],2,FALSE)</f>
        <v>#N/A</v>
      </c>
      <c r="T2869" s="37"/>
      <c r="U2869" s="78"/>
    </row>
    <row r="2870" spans="15:21" x14ac:dyDescent="0.25">
      <c r="O2870" s="76"/>
      <c r="P2870" s="78"/>
      <c r="Q2870" s="77"/>
      <c r="R2870" s="78"/>
      <c r="S2870" s="36" t="e">
        <f>VLOOKUP(Tabla911[[#This Row],[CODIGO DEL PRODUCTO]],Tabla79[],2,FALSE)</f>
        <v>#N/A</v>
      </c>
      <c r="T2870" s="37"/>
      <c r="U2870" s="78"/>
    </row>
    <row r="2871" spans="15:21" x14ac:dyDescent="0.25">
      <c r="O2871" s="76"/>
      <c r="P2871" s="78"/>
      <c r="Q2871" s="77"/>
      <c r="R2871" s="78"/>
      <c r="S2871" s="36" t="e">
        <f>VLOOKUP(Tabla911[[#This Row],[CODIGO DEL PRODUCTO]],Tabla79[],2,FALSE)</f>
        <v>#N/A</v>
      </c>
      <c r="T2871" s="37"/>
      <c r="U2871" s="78"/>
    </row>
    <row r="2872" spans="15:21" x14ac:dyDescent="0.25">
      <c r="O2872" s="76"/>
      <c r="P2872" s="78"/>
      <c r="Q2872" s="77"/>
      <c r="R2872" s="78"/>
      <c r="S2872" s="36" t="e">
        <f>VLOOKUP(Tabla911[[#This Row],[CODIGO DEL PRODUCTO]],Tabla79[],2,FALSE)</f>
        <v>#N/A</v>
      </c>
      <c r="T2872" s="37"/>
      <c r="U2872" s="78"/>
    </row>
    <row r="2873" spans="15:21" x14ac:dyDescent="0.25">
      <c r="O2873" s="76"/>
      <c r="P2873" s="78"/>
      <c r="Q2873" s="77"/>
      <c r="R2873" s="78"/>
      <c r="S2873" s="36" t="e">
        <f>VLOOKUP(Tabla911[[#This Row],[CODIGO DEL PRODUCTO]],Tabla79[],2,FALSE)</f>
        <v>#N/A</v>
      </c>
      <c r="T2873" s="37"/>
      <c r="U2873" s="78"/>
    </row>
    <row r="2874" spans="15:21" x14ac:dyDescent="0.25">
      <c r="O2874" s="76"/>
      <c r="P2874" s="78"/>
      <c r="Q2874" s="77"/>
      <c r="R2874" s="78"/>
      <c r="S2874" s="36" t="e">
        <f>VLOOKUP(Tabla911[[#This Row],[CODIGO DEL PRODUCTO]],Tabla79[],2,FALSE)</f>
        <v>#N/A</v>
      </c>
      <c r="T2874" s="37"/>
      <c r="U2874" s="78"/>
    </row>
    <row r="2875" spans="15:21" x14ac:dyDescent="0.25">
      <c r="O2875" s="76"/>
      <c r="P2875" s="78"/>
      <c r="Q2875" s="77"/>
      <c r="R2875" s="78"/>
      <c r="S2875" s="36" t="e">
        <f>VLOOKUP(Tabla911[[#This Row],[CODIGO DEL PRODUCTO]],Tabla79[],2,FALSE)</f>
        <v>#N/A</v>
      </c>
      <c r="T2875" s="37"/>
      <c r="U2875" s="78"/>
    </row>
    <row r="2876" spans="15:21" x14ac:dyDescent="0.25">
      <c r="O2876" s="76"/>
      <c r="P2876" s="78"/>
      <c r="Q2876" s="77"/>
      <c r="R2876" s="78"/>
      <c r="S2876" s="36" t="e">
        <f>VLOOKUP(Tabla911[[#This Row],[CODIGO DEL PRODUCTO]],Tabla79[],2,FALSE)</f>
        <v>#N/A</v>
      </c>
      <c r="T2876" s="37"/>
      <c r="U2876" s="78"/>
    </row>
    <row r="2877" spans="15:21" x14ac:dyDescent="0.25">
      <c r="O2877" s="76"/>
      <c r="P2877" s="78"/>
      <c r="Q2877" s="77"/>
      <c r="R2877" s="78"/>
      <c r="S2877" s="36" t="e">
        <f>VLOOKUP(Tabla911[[#This Row],[CODIGO DEL PRODUCTO]],Tabla79[],2,FALSE)</f>
        <v>#N/A</v>
      </c>
      <c r="T2877" s="37"/>
      <c r="U2877" s="78"/>
    </row>
    <row r="2878" spans="15:21" x14ac:dyDescent="0.25">
      <c r="O2878" s="76"/>
      <c r="P2878" s="78"/>
      <c r="Q2878" s="77"/>
      <c r="R2878" s="78"/>
      <c r="S2878" s="36" t="e">
        <f>VLOOKUP(Tabla911[[#This Row],[CODIGO DEL PRODUCTO]],Tabla79[],2,FALSE)</f>
        <v>#N/A</v>
      </c>
      <c r="T2878" s="37"/>
      <c r="U2878" s="78"/>
    </row>
    <row r="2879" spans="15:21" x14ac:dyDescent="0.25">
      <c r="O2879" s="76"/>
      <c r="P2879" s="78"/>
      <c r="Q2879" s="77"/>
      <c r="R2879" s="78"/>
      <c r="S2879" s="36" t="e">
        <f>VLOOKUP(Tabla911[[#This Row],[CODIGO DEL PRODUCTO]],Tabla79[],2,FALSE)</f>
        <v>#N/A</v>
      </c>
      <c r="T2879" s="37"/>
      <c r="U2879" s="78"/>
    </row>
    <row r="2880" spans="15:21" x14ac:dyDescent="0.25">
      <c r="O2880" s="76"/>
      <c r="P2880" s="78"/>
      <c r="Q2880" s="77"/>
      <c r="R2880" s="78"/>
      <c r="S2880" s="36" t="e">
        <f>VLOOKUP(Tabla911[[#This Row],[CODIGO DEL PRODUCTO]],Tabla79[],2,FALSE)</f>
        <v>#N/A</v>
      </c>
      <c r="T2880" s="37"/>
      <c r="U2880" s="78"/>
    </row>
    <row r="2881" spans="15:21" x14ac:dyDescent="0.25">
      <c r="O2881" s="76"/>
      <c r="P2881" s="78"/>
      <c r="Q2881" s="77"/>
      <c r="R2881" s="78"/>
      <c r="S2881" s="36" t="e">
        <f>VLOOKUP(Tabla911[[#This Row],[CODIGO DEL PRODUCTO]],Tabla79[],2,FALSE)</f>
        <v>#N/A</v>
      </c>
      <c r="T2881" s="37"/>
      <c r="U2881" s="78"/>
    </row>
    <row r="2882" spans="15:21" x14ac:dyDescent="0.25">
      <c r="O2882" s="76"/>
      <c r="P2882" s="78"/>
      <c r="Q2882" s="77"/>
      <c r="R2882" s="78"/>
      <c r="S2882" s="36" t="e">
        <f>VLOOKUP(Tabla911[[#This Row],[CODIGO DEL PRODUCTO]],Tabla79[],2,FALSE)</f>
        <v>#N/A</v>
      </c>
      <c r="T2882" s="37"/>
      <c r="U2882" s="78"/>
    </row>
    <row r="2883" spans="15:21" x14ac:dyDescent="0.25">
      <c r="O2883" s="76"/>
      <c r="P2883" s="78"/>
      <c r="Q2883" s="77"/>
      <c r="R2883" s="78"/>
      <c r="S2883" s="36" t="e">
        <f>VLOOKUP(Tabla911[[#This Row],[CODIGO DEL PRODUCTO]],Tabla79[],2,FALSE)</f>
        <v>#N/A</v>
      </c>
      <c r="T2883" s="37"/>
      <c r="U2883" s="78"/>
    </row>
    <row r="2884" spans="15:21" x14ac:dyDescent="0.25">
      <c r="O2884" s="76"/>
      <c r="P2884" s="78"/>
      <c r="Q2884" s="77"/>
      <c r="R2884" s="78"/>
      <c r="S2884" s="36" t="e">
        <f>VLOOKUP(Tabla911[[#This Row],[CODIGO DEL PRODUCTO]],Tabla79[],2,FALSE)</f>
        <v>#N/A</v>
      </c>
      <c r="T2884" s="37"/>
      <c r="U2884" s="78"/>
    </row>
    <row r="2885" spans="15:21" x14ac:dyDescent="0.25">
      <c r="O2885" s="76"/>
      <c r="P2885" s="78"/>
      <c r="Q2885" s="77"/>
      <c r="R2885" s="78"/>
      <c r="S2885" s="36" t="e">
        <f>VLOOKUP(Tabla911[[#This Row],[CODIGO DEL PRODUCTO]],Tabla79[],2,FALSE)</f>
        <v>#N/A</v>
      </c>
      <c r="T2885" s="37"/>
      <c r="U2885" s="78"/>
    </row>
    <row r="2886" spans="15:21" x14ac:dyDescent="0.25">
      <c r="O2886" s="76"/>
      <c r="P2886" s="78"/>
      <c r="Q2886" s="77"/>
      <c r="R2886" s="78"/>
      <c r="S2886" s="36" t="e">
        <f>VLOOKUP(Tabla911[[#This Row],[CODIGO DEL PRODUCTO]],Tabla79[],2,FALSE)</f>
        <v>#N/A</v>
      </c>
      <c r="T2886" s="37"/>
      <c r="U2886" s="78"/>
    </row>
    <row r="2887" spans="15:21" x14ac:dyDescent="0.25">
      <c r="O2887" s="76"/>
      <c r="P2887" s="78"/>
      <c r="Q2887" s="77"/>
      <c r="R2887" s="78"/>
      <c r="S2887" s="36" t="e">
        <f>VLOOKUP(Tabla911[[#This Row],[CODIGO DEL PRODUCTO]],Tabla79[],2,FALSE)</f>
        <v>#N/A</v>
      </c>
      <c r="T2887" s="37"/>
      <c r="U2887" s="78"/>
    </row>
    <row r="2888" spans="15:21" x14ac:dyDescent="0.25">
      <c r="O2888" s="76"/>
      <c r="P2888" s="78"/>
      <c r="Q2888" s="77"/>
      <c r="R2888" s="78"/>
      <c r="S2888" s="36" t="e">
        <f>VLOOKUP(Tabla911[[#This Row],[CODIGO DEL PRODUCTO]],Tabla79[],2,FALSE)</f>
        <v>#N/A</v>
      </c>
      <c r="T2888" s="37"/>
      <c r="U2888" s="78"/>
    </row>
    <row r="2889" spans="15:21" x14ac:dyDescent="0.25">
      <c r="O2889" s="76"/>
      <c r="P2889" s="78"/>
      <c r="Q2889" s="77"/>
      <c r="R2889" s="78"/>
      <c r="S2889" s="36" t="e">
        <f>VLOOKUP(Tabla911[[#This Row],[CODIGO DEL PRODUCTO]],Tabla79[],2,FALSE)</f>
        <v>#N/A</v>
      </c>
      <c r="T2889" s="37"/>
      <c r="U2889" s="78"/>
    </row>
    <row r="2890" spans="15:21" x14ac:dyDescent="0.25">
      <c r="O2890" s="76"/>
      <c r="P2890" s="78"/>
      <c r="Q2890" s="77"/>
      <c r="R2890" s="78"/>
      <c r="S2890" s="36" t="e">
        <f>VLOOKUP(Tabla911[[#This Row],[CODIGO DEL PRODUCTO]],Tabla79[],2,FALSE)</f>
        <v>#N/A</v>
      </c>
      <c r="T2890" s="37"/>
      <c r="U2890" s="78"/>
    </row>
    <row r="2891" spans="15:21" x14ac:dyDescent="0.25">
      <c r="O2891" s="76"/>
      <c r="P2891" s="78"/>
      <c r="Q2891" s="77"/>
      <c r="R2891" s="78"/>
      <c r="S2891" s="36" t="e">
        <f>VLOOKUP(Tabla911[[#This Row],[CODIGO DEL PRODUCTO]],Tabla79[],2,FALSE)</f>
        <v>#N/A</v>
      </c>
      <c r="T2891" s="37"/>
      <c r="U2891" s="78"/>
    </row>
    <row r="2892" spans="15:21" x14ac:dyDescent="0.25">
      <c r="O2892" s="76"/>
      <c r="P2892" s="78"/>
      <c r="Q2892" s="77"/>
      <c r="R2892" s="78"/>
      <c r="S2892" s="36" t="e">
        <f>VLOOKUP(Tabla911[[#This Row],[CODIGO DEL PRODUCTO]],Tabla79[],2,FALSE)</f>
        <v>#N/A</v>
      </c>
      <c r="T2892" s="37"/>
      <c r="U2892" s="78"/>
    </row>
    <row r="2893" spans="15:21" x14ac:dyDescent="0.25">
      <c r="O2893" s="76"/>
      <c r="P2893" s="78"/>
      <c r="Q2893" s="77"/>
      <c r="R2893" s="78"/>
      <c r="S2893" s="36" t="e">
        <f>VLOOKUP(Tabla911[[#This Row],[CODIGO DEL PRODUCTO]],Tabla79[],2,FALSE)</f>
        <v>#N/A</v>
      </c>
      <c r="T2893" s="37"/>
      <c r="U2893" s="78"/>
    </row>
    <row r="2894" spans="15:21" x14ac:dyDescent="0.25">
      <c r="O2894" s="76"/>
      <c r="P2894" s="78"/>
      <c r="Q2894" s="77"/>
      <c r="R2894" s="78"/>
      <c r="S2894" s="36" t="e">
        <f>VLOOKUP(Tabla911[[#This Row],[CODIGO DEL PRODUCTO]],Tabla79[],2,FALSE)</f>
        <v>#N/A</v>
      </c>
      <c r="T2894" s="37"/>
      <c r="U2894" s="78"/>
    </row>
    <row r="2895" spans="15:21" x14ac:dyDescent="0.25">
      <c r="O2895" s="76"/>
      <c r="P2895" s="78"/>
      <c r="Q2895" s="77"/>
      <c r="R2895" s="78"/>
      <c r="S2895" s="36" t="e">
        <f>VLOOKUP(Tabla911[[#This Row],[CODIGO DEL PRODUCTO]],Tabla79[],2,FALSE)</f>
        <v>#N/A</v>
      </c>
      <c r="T2895" s="37"/>
      <c r="U2895" s="78"/>
    </row>
    <row r="2896" spans="15:21" x14ac:dyDescent="0.25">
      <c r="O2896" s="76"/>
      <c r="P2896" s="78"/>
      <c r="Q2896" s="77"/>
      <c r="R2896" s="78"/>
      <c r="S2896" s="36" t="e">
        <f>VLOOKUP(Tabla911[[#This Row],[CODIGO DEL PRODUCTO]],Tabla79[],2,FALSE)</f>
        <v>#N/A</v>
      </c>
      <c r="T2896" s="37"/>
      <c r="U2896" s="78"/>
    </row>
    <row r="2897" spans="15:21" x14ac:dyDescent="0.25">
      <c r="O2897" s="76"/>
      <c r="P2897" s="78"/>
      <c r="Q2897" s="77"/>
      <c r="R2897" s="78"/>
      <c r="S2897" s="36" t="e">
        <f>VLOOKUP(Tabla911[[#This Row],[CODIGO DEL PRODUCTO]],Tabla79[],2,FALSE)</f>
        <v>#N/A</v>
      </c>
      <c r="T2897" s="37"/>
      <c r="U2897" s="78"/>
    </row>
    <row r="2898" spans="15:21" x14ac:dyDescent="0.25">
      <c r="O2898" s="76"/>
      <c r="P2898" s="78"/>
      <c r="Q2898" s="77"/>
      <c r="R2898" s="78"/>
      <c r="S2898" s="36" t="e">
        <f>VLOOKUP(Tabla911[[#This Row],[CODIGO DEL PRODUCTO]],Tabla79[],2,FALSE)</f>
        <v>#N/A</v>
      </c>
      <c r="T2898" s="37"/>
      <c r="U2898" s="78"/>
    </row>
    <row r="2899" spans="15:21" x14ac:dyDescent="0.25">
      <c r="O2899" s="76"/>
      <c r="P2899" s="78"/>
      <c r="Q2899" s="77"/>
      <c r="R2899" s="78"/>
      <c r="S2899" s="36" t="e">
        <f>VLOOKUP(Tabla911[[#This Row],[CODIGO DEL PRODUCTO]],Tabla79[],2,FALSE)</f>
        <v>#N/A</v>
      </c>
      <c r="T2899" s="37"/>
      <c r="U2899" s="78"/>
    </row>
    <row r="2900" spans="15:21" x14ac:dyDescent="0.25">
      <c r="O2900" s="76"/>
      <c r="P2900" s="78"/>
      <c r="Q2900" s="77"/>
      <c r="R2900" s="78"/>
      <c r="S2900" s="36" t="e">
        <f>VLOOKUP(Tabla911[[#This Row],[CODIGO DEL PRODUCTO]],Tabla79[],2,FALSE)</f>
        <v>#N/A</v>
      </c>
      <c r="T2900" s="37"/>
      <c r="U2900" s="78"/>
    </row>
    <row r="2901" spans="15:21" x14ac:dyDescent="0.25">
      <c r="O2901" s="76"/>
      <c r="P2901" s="78"/>
      <c r="Q2901" s="77"/>
      <c r="R2901" s="78"/>
      <c r="S2901" s="36" t="e">
        <f>VLOOKUP(Tabla911[[#This Row],[CODIGO DEL PRODUCTO]],Tabla79[],2,FALSE)</f>
        <v>#N/A</v>
      </c>
      <c r="T2901" s="37"/>
      <c r="U2901" s="78"/>
    </row>
    <row r="2902" spans="15:21" x14ac:dyDescent="0.25">
      <c r="O2902" s="76"/>
      <c r="P2902" s="78"/>
      <c r="Q2902" s="77"/>
      <c r="R2902" s="78"/>
      <c r="S2902" s="36" t="e">
        <f>VLOOKUP(Tabla911[[#This Row],[CODIGO DEL PRODUCTO]],Tabla79[],2,FALSE)</f>
        <v>#N/A</v>
      </c>
      <c r="T2902" s="37"/>
      <c r="U2902" s="78"/>
    </row>
    <row r="2903" spans="15:21" x14ac:dyDescent="0.25">
      <c r="O2903" s="76"/>
      <c r="P2903" s="78"/>
      <c r="Q2903" s="77"/>
      <c r="R2903" s="78"/>
      <c r="S2903" s="36" t="e">
        <f>VLOOKUP(Tabla911[[#This Row],[CODIGO DEL PRODUCTO]],Tabla79[],2,FALSE)</f>
        <v>#N/A</v>
      </c>
      <c r="T2903" s="37"/>
      <c r="U2903" s="78"/>
    </row>
    <row r="2904" spans="15:21" x14ac:dyDescent="0.25">
      <c r="O2904" s="76"/>
      <c r="P2904" s="78"/>
      <c r="Q2904" s="77"/>
      <c r="R2904" s="78"/>
      <c r="S2904" s="36" t="e">
        <f>VLOOKUP(Tabla911[[#This Row],[CODIGO DEL PRODUCTO]],Tabla79[],2,FALSE)</f>
        <v>#N/A</v>
      </c>
      <c r="T2904" s="37"/>
      <c r="U2904" s="78"/>
    </row>
    <row r="2905" spans="15:21" x14ac:dyDescent="0.25">
      <c r="O2905" s="76"/>
      <c r="P2905" s="78"/>
      <c r="Q2905" s="77"/>
      <c r="R2905" s="78"/>
      <c r="S2905" s="36" t="e">
        <f>VLOOKUP(Tabla911[[#This Row],[CODIGO DEL PRODUCTO]],Tabla79[],2,FALSE)</f>
        <v>#N/A</v>
      </c>
      <c r="T2905" s="37"/>
      <c r="U2905" s="78"/>
    </row>
    <row r="2906" spans="15:21" x14ac:dyDescent="0.25">
      <c r="O2906" s="76"/>
      <c r="P2906" s="78"/>
      <c r="Q2906" s="77"/>
      <c r="R2906" s="78"/>
      <c r="S2906" s="36" t="e">
        <f>VLOOKUP(Tabla911[[#This Row],[CODIGO DEL PRODUCTO]],Tabla79[],2,FALSE)</f>
        <v>#N/A</v>
      </c>
      <c r="T2906" s="37"/>
      <c r="U2906" s="78"/>
    </row>
    <row r="2907" spans="15:21" x14ac:dyDescent="0.25">
      <c r="O2907" s="76"/>
      <c r="P2907" s="78"/>
      <c r="Q2907" s="77"/>
      <c r="R2907" s="78"/>
      <c r="S2907" s="36" t="e">
        <f>VLOOKUP(Tabla911[[#This Row],[CODIGO DEL PRODUCTO]],Tabla79[],2,FALSE)</f>
        <v>#N/A</v>
      </c>
      <c r="T2907" s="37"/>
      <c r="U2907" s="78"/>
    </row>
    <row r="2908" spans="15:21" x14ac:dyDescent="0.25">
      <c r="O2908" s="76"/>
      <c r="P2908" s="78"/>
      <c r="Q2908" s="77"/>
      <c r="R2908" s="78"/>
      <c r="S2908" s="36" t="e">
        <f>VLOOKUP(Tabla911[[#This Row],[CODIGO DEL PRODUCTO]],Tabla79[],2,FALSE)</f>
        <v>#N/A</v>
      </c>
      <c r="T2908" s="37"/>
      <c r="U2908" s="78"/>
    </row>
    <row r="2909" spans="15:21" x14ac:dyDescent="0.25">
      <c r="O2909" s="76"/>
      <c r="P2909" s="78"/>
      <c r="Q2909" s="77"/>
      <c r="R2909" s="78"/>
      <c r="S2909" s="36" t="e">
        <f>VLOOKUP(Tabla911[[#This Row],[CODIGO DEL PRODUCTO]],Tabla79[],2,FALSE)</f>
        <v>#N/A</v>
      </c>
      <c r="T2909" s="37"/>
      <c r="U2909" s="78"/>
    </row>
    <row r="2910" spans="15:21" x14ac:dyDescent="0.25">
      <c r="O2910" s="76"/>
      <c r="P2910" s="78"/>
      <c r="Q2910" s="77"/>
      <c r="R2910" s="78"/>
      <c r="S2910" s="36" t="e">
        <f>VLOOKUP(Tabla911[[#This Row],[CODIGO DEL PRODUCTO]],Tabla79[],2,FALSE)</f>
        <v>#N/A</v>
      </c>
      <c r="T2910" s="37"/>
      <c r="U2910" s="78"/>
    </row>
    <row r="2911" spans="15:21" x14ac:dyDescent="0.25">
      <c r="O2911" s="76"/>
      <c r="P2911" s="78"/>
      <c r="Q2911" s="77"/>
      <c r="R2911" s="78"/>
      <c r="S2911" s="36" t="e">
        <f>VLOOKUP(Tabla911[[#This Row],[CODIGO DEL PRODUCTO]],Tabla79[],2,FALSE)</f>
        <v>#N/A</v>
      </c>
      <c r="T2911" s="37"/>
      <c r="U2911" s="78"/>
    </row>
    <row r="2912" spans="15:21" x14ac:dyDescent="0.25">
      <c r="O2912" s="76"/>
      <c r="P2912" s="78"/>
      <c r="Q2912" s="77"/>
      <c r="R2912" s="78"/>
      <c r="S2912" s="36" t="e">
        <f>VLOOKUP(Tabla911[[#This Row],[CODIGO DEL PRODUCTO]],Tabla79[],2,FALSE)</f>
        <v>#N/A</v>
      </c>
      <c r="T2912" s="37"/>
      <c r="U2912" s="78"/>
    </row>
    <row r="2913" spans="15:21" x14ac:dyDescent="0.25">
      <c r="O2913" s="76"/>
      <c r="P2913" s="78"/>
      <c r="Q2913" s="77"/>
      <c r="R2913" s="78"/>
      <c r="S2913" s="36" t="e">
        <f>VLOOKUP(Tabla911[[#This Row],[CODIGO DEL PRODUCTO]],Tabla79[],2,FALSE)</f>
        <v>#N/A</v>
      </c>
      <c r="T2913" s="37"/>
      <c r="U2913" s="78"/>
    </row>
    <row r="2914" spans="15:21" x14ac:dyDescent="0.25">
      <c r="O2914" s="76"/>
      <c r="P2914" s="78"/>
      <c r="Q2914" s="77"/>
      <c r="R2914" s="78"/>
      <c r="S2914" s="36" t="e">
        <f>VLOOKUP(Tabla911[[#This Row],[CODIGO DEL PRODUCTO]],Tabla79[],2,FALSE)</f>
        <v>#N/A</v>
      </c>
      <c r="T2914" s="37"/>
      <c r="U2914" s="78"/>
    </row>
    <row r="2915" spans="15:21" x14ac:dyDescent="0.25">
      <c r="O2915" s="76"/>
      <c r="P2915" s="78"/>
      <c r="Q2915" s="77"/>
      <c r="R2915" s="78"/>
      <c r="S2915" s="36" t="e">
        <f>VLOOKUP(Tabla911[[#This Row],[CODIGO DEL PRODUCTO]],Tabla79[],2,FALSE)</f>
        <v>#N/A</v>
      </c>
      <c r="T2915" s="37"/>
      <c r="U2915" s="78"/>
    </row>
    <row r="2916" spans="15:21" x14ac:dyDescent="0.25">
      <c r="O2916" s="76"/>
      <c r="P2916" s="78"/>
      <c r="Q2916" s="77"/>
      <c r="R2916" s="78"/>
      <c r="S2916" s="36" t="e">
        <f>VLOOKUP(Tabla911[[#This Row],[CODIGO DEL PRODUCTO]],Tabla79[],2,FALSE)</f>
        <v>#N/A</v>
      </c>
      <c r="T2916" s="37"/>
      <c r="U2916" s="78"/>
    </row>
    <row r="2917" spans="15:21" x14ac:dyDescent="0.25">
      <c r="O2917" s="76"/>
      <c r="P2917" s="78"/>
      <c r="Q2917" s="77"/>
      <c r="R2917" s="78"/>
      <c r="S2917" s="36" t="e">
        <f>VLOOKUP(Tabla911[[#This Row],[CODIGO DEL PRODUCTO]],Tabla79[],2,FALSE)</f>
        <v>#N/A</v>
      </c>
      <c r="T2917" s="37"/>
      <c r="U2917" s="78"/>
    </row>
    <row r="2918" spans="15:21" x14ac:dyDescent="0.25">
      <c r="O2918" s="76"/>
      <c r="P2918" s="78"/>
      <c r="Q2918" s="77"/>
      <c r="R2918" s="78"/>
      <c r="S2918" s="36" t="e">
        <f>VLOOKUP(Tabla911[[#This Row],[CODIGO DEL PRODUCTO]],Tabla79[],2,FALSE)</f>
        <v>#N/A</v>
      </c>
      <c r="T2918" s="37"/>
      <c r="U2918" s="78"/>
    </row>
    <row r="2919" spans="15:21" x14ac:dyDescent="0.25">
      <c r="O2919" s="76"/>
      <c r="P2919" s="78"/>
      <c r="Q2919" s="77"/>
      <c r="R2919" s="78"/>
      <c r="S2919" s="36" t="e">
        <f>VLOOKUP(Tabla911[[#This Row],[CODIGO DEL PRODUCTO]],Tabla79[],2,FALSE)</f>
        <v>#N/A</v>
      </c>
      <c r="T2919" s="37"/>
      <c r="U2919" s="78"/>
    </row>
    <row r="2920" spans="15:21" x14ac:dyDescent="0.25">
      <c r="O2920" s="76"/>
      <c r="P2920" s="78"/>
      <c r="Q2920" s="77"/>
      <c r="R2920" s="78"/>
      <c r="S2920" s="36" t="e">
        <f>VLOOKUP(Tabla911[[#This Row],[CODIGO DEL PRODUCTO]],Tabla79[],2,FALSE)</f>
        <v>#N/A</v>
      </c>
      <c r="T2920" s="37"/>
      <c r="U2920" s="78"/>
    </row>
    <row r="2921" spans="15:21" x14ac:dyDescent="0.25">
      <c r="O2921" s="76"/>
      <c r="P2921" s="78"/>
      <c r="Q2921" s="77"/>
      <c r="R2921" s="78"/>
      <c r="S2921" s="36" t="e">
        <f>VLOOKUP(Tabla911[[#This Row],[CODIGO DEL PRODUCTO]],Tabla79[],2,FALSE)</f>
        <v>#N/A</v>
      </c>
      <c r="T2921" s="37"/>
      <c r="U2921" s="78"/>
    </row>
    <row r="2922" spans="15:21" x14ac:dyDescent="0.25">
      <c r="O2922" s="76"/>
      <c r="P2922" s="78"/>
      <c r="Q2922" s="77"/>
      <c r="R2922" s="78"/>
      <c r="S2922" s="36" t="e">
        <f>VLOOKUP(Tabla911[[#This Row],[CODIGO DEL PRODUCTO]],Tabla79[],2,FALSE)</f>
        <v>#N/A</v>
      </c>
      <c r="T2922" s="37"/>
      <c r="U2922" s="78"/>
    </row>
    <row r="2923" spans="15:21" x14ac:dyDescent="0.25">
      <c r="O2923" s="76"/>
      <c r="P2923" s="78"/>
      <c r="Q2923" s="77"/>
      <c r="R2923" s="78"/>
      <c r="S2923" s="36" t="e">
        <f>VLOOKUP(Tabla911[[#This Row],[CODIGO DEL PRODUCTO]],Tabla79[],2,FALSE)</f>
        <v>#N/A</v>
      </c>
      <c r="T2923" s="37"/>
      <c r="U2923" s="78"/>
    </row>
    <row r="2924" spans="15:21" x14ac:dyDescent="0.25">
      <c r="O2924" s="76"/>
      <c r="P2924" s="78"/>
      <c r="Q2924" s="77"/>
      <c r="R2924" s="78"/>
      <c r="S2924" s="36" t="e">
        <f>VLOOKUP(Tabla911[[#This Row],[CODIGO DEL PRODUCTO]],Tabla79[],2,FALSE)</f>
        <v>#N/A</v>
      </c>
      <c r="T2924" s="37"/>
      <c r="U2924" s="78"/>
    </row>
    <row r="2925" spans="15:21" x14ac:dyDescent="0.25">
      <c r="O2925" s="76"/>
      <c r="P2925" s="78"/>
      <c r="Q2925" s="77"/>
      <c r="R2925" s="78"/>
      <c r="S2925" s="36" t="e">
        <f>VLOOKUP(Tabla911[[#This Row],[CODIGO DEL PRODUCTO]],Tabla79[],2,FALSE)</f>
        <v>#N/A</v>
      </c>
      <c r="T2925" s="37"/>
      <c r="U2925" s="78"/>
    </row>
    <row r="2926" spans="15:21" x14ac:dyDescent="0.25">
      <c r="O2926" s="76"/>
      <c r="P2926" s="78"/>
      <c r="Q2926" s="77"/>
      <c r="R2926" s="78"/>
      <c r="S2926" s="36" t="e">
        <f>VLOOKUP(Tabla911[[#This Row],[CODIGO DEL PRODUCTO]],Tabla79[],2,FALSE)</f>
        <v>#N/A</v>
      </c>
      <c r="T2926" s="37"/>
      <c r="U2926" s="78"/>
    </row>
    <row r="2927" spans="15:21" x14ac:dyDescent="0.25">
      <c r="O2927" s="76"/>
      <c r="P2927" s="78"/>
      <c r="Q2927" s="77"/>
      <c r="R2927" s="78"/>
      <c r="S2927" s="36" t="e">
        <f>VLOOKUP(Tabla911[[#This Row],[CODIGO DEL PRODUCTO]],Tabla79[],2,FALSE)</f>
        <v>#N/A</v>
      </c>
      <c r="T2927" s="37"/>
      <c r="U2927" s="78"/>
    </row>
    <row r="2928" spans="15:21" x14ac:dyDescent="0.25">
      <c r="O2928" s="76"/>
      <c r="P2928" s="78"/>
      <c r="Q2928" s="77"/>
      <c r="R2928" s="78"/>
      <c r="S2928" s="36" t="e">
        <f>VLOOKUP(Tabla911[[#This Row],[CODIGO DEL PRODUCTO]],Tabla79[],2,FALSE)</f>
        <v>#N/A</v>
      </c>
      <c r="T2928" s="37"/>
      <c r="U2928" s="78"/>
    </row>
    <row r="2929" spans="15:21" x14ac:dyDescent="0.25">
      <c r="O2929" s="76"/>
      <c r="P2929" s="78"/>
      <c r="Q2929" s="77"/>
      <c r="R2929" s="78"/>
      <c r="S2929" s="36" t="e">
        <f>VLOOKUP(Tabla911[[#This Row],[CODIGO DEL PRODUCTO]],Tabla79[],2,FALSE)</f>
        <v>#N/A</v>
      </c>
      <c r="T2929" s="37"/>
      <c r="U2929" s="78"/>
    </row>
    <row r="2930" spans="15:21" x14ac:dyDescent="0.25">
      <c r="O2930" s="76"/>
      <c r="P2930" s="78"/>
      <c r="Q2930" s="77"/>
      <c r="R2930" s="78"/>
      <c r="S2930" s="36" t="e">
        <f>VLOOKUP(Tabla911[[#This Row],[CODIGO DEL PRODUCTO]],Tabla79[],2,FALSE)</f>
        <v>#N/A</v>
      </c>
      <c r="T2930" s="37"/>
      <c r="U2930" s="78"/>
    </row>
    <row r="2931" spans="15:21" x14ac:dyDescent="0.25">
      <c r="O2931" s="76"/>
      <c r="P2931" s="78"/>
      <c r="Q2931" s="77"/>
      <c r="R2931" s="78"/>
      <c r="S2931" s="36" t="e">
        <f>VLOOKUP(Tabla911[[#This Row],[CODIGO DEL PRODUCTO]],Tabla79[],2,FALSE)</f>
        <v>#N/A</v>
      </c>
      <c r="T2931" s="37"/>
      <c r="U2931" s="78"/>
    </row>
    <row r="2932" spans="15:21" x14ac:dyDescent="0.25">
      <c r="O2932" s="76"/>
      <c r="P2932" s="78"/>
      <c r="Q2932" s="77"/>
      <c r="R2932" s="78"/>
      <c r="S2932" s="36" t="e">
        <f>VLOOKUP(Tabla911[[#This Row],[CODIGO DEL PRODUCTO]],Tabla79[],2,FALSE)</f>
        <v>#N/A</v>
      </c>
      <c r="T2932" s="37"/>
      <c r="U2932" s="78"/>
    </row>
    <row r="2933" spans="15:21" x14ac:dyDescent="0.25">
      <c r="O2933" s="76"/>
      <c r="P2933" s="78"/>
      <c r="Q2933" s="77"/>
      <c r="R2933" s="78"/>
      <c r="S2933" s="36" t="e">
        <f>VLOOKUP(Tabla911[[#This Row],[CODIGO DEL PRODUCTO]],Tabla79[],2,FALSE)</f>
        <v>#N/A</v>
      </c>
      <c r="T2933" s="37"/>
      <c r="U2933" s="78"/>
    </row>
    <row r="2934" spans="15:21" x14ac:dyDescent="0.25">
      <c r="O2934" s="76"/>
      <c r="P2934" s="78"/>
      <c r="Q2934" s="77"/>
      <c r="R2934" s="78"/>
      <c r="S2934" s="36" t="e">
        <f>VLOOKUP(Tabla911[[#This Row],[CODIGO DEL PRODUCTO]],Tabla79[],2,FALSE)</f>
        <v>#N/A</v>
      </c>
      <c r="T2934" s="37"/>
      <c r="U2934" s="78"/>
    </row>
    <row r="2935" spans="15:21" x14ac:dyDescent="0.25">
      <c r="O2935" s="76"/>
      <c r="P2935" s="78"/>
      <c r="Q2935" s="77"/>
      <c r="R2935" s="78"/>
      <c r="S2935" s="36" t="e">
        <f>VLOOKUP(Tabla911[[#This Row],[CODIGO DEL PRODUCTO]],Tabla79[],2,FALSE)</f>
        <v>#N/A</v>
      </c>
      <c r="T2935" s="37"/>
      <c r="U2935" s="78"/>
    </row>
    <row r="2936" spans="15:21" x14ac:dyDescent="0.25">
      <c r="O2936" s="76"/>
      <c r="P2936" s="78"/>
      <c r="Q2936" s="77"/>
      <c r="R2936" s="78"/>
      <c r="S2936" s="36" t="e">
        <f>VLOOKUP(Tabla911[[#This Row],[CODIGO DEL PRODUCTO]],Tabla79[],2,FALSE)</f>
        <v>#N/A</v>
      </c>
      <c r="T2936" s="37"/>
      <c r="U2936" s="78"/>
    </row>
    <row r="2937" spans="15:21" x14ac:dyDescent="0.25">
      <c r="O2937" s="76"/>
      <c r="P2937" s="78"/>
      <c r="Q2937" s="77"/>
      <c r="R2937" s="78"/>
      <c r="S2937" s="36" t="e">
        <f>VLOOKUP(Tabla911[[#This Row],[CODIGO DEL PRODUCTO]],Tabla79[],2,FALSE)</f>
        <v>#N/A</v>
      </c>
      <c r="T2937" s="37"/>
      <c r="U2937" s="78"/>
    </row>
    <row r="2938" spans="15:21" x14ac:dyDescent="0.25">
      <c r="O2938" s="76"/>
      <c r="P2938" s="78"/>
      <c r="Q2938" s="77"/>
      <c r="R2938" s="78"/>
      <c r="S2938" s="36" t="e">
        <f>VLOOKUP(Tabla911[[#This Row],[CODIGO DEL PRODUCTO]],Tabla79[],2,FALSE)</f>
        <v>#N/A</v>
      </c>
      <c r="T2938" s="37"/>
      <c r="U2938" s="78"/>
    </row>
    <row r="2939" spans="15:21" x14ac:dyDescent="0.25">
      <c r="O2939" s="76"/>
      <c r="P2939" s="78"/>
      <c r="Q2939" s="77"/>
      <c r="R2939" s="78"/>
      <c r="S2939" s="36" t="e">
        <f>VLOOKUP(Tabla911[[#This Row],[CODIGO DEL PRODUCTO]],Tabla79[],2,FALSE)</f>
        <v>#N/A</v>
      </c>
      <c r="T2939" s="37"/>
      <c r="U2939" s="78"/>
    </row>
    <row r="2940" spans="15:21" x14ac:dyDescent="0.25">
      <c r="O2940" s="76"/>
      <c r="P2940" s="78"/>
      <c r="Q2940" s="77"/>
      <c r="R2940" s="78"/>
      <c r="S2940" s="36" t="e">
        <f>VLOOKUP(Tabla911[[#This Row],[CODIGO DEL PRODUCTO]],Tabla79[],2,FALSE)</f>
        <v>#N/A</v>
      </c>
      <c r="T2940" s="37"/>
      <c r="U2940" s="78"/>
    </row>
    <row r="2941" spans="15:21" x14ac:dyDescent="0.25">
      <c r="O2941" s="76"/>
      <c r="P2941" s="78"/>
      <c r="Q2941" s="77"/>
      <c r="R2941" s="78"/>
      <c r="S2941" s="36" t="e">
        <f>VLOOKUP(Tabla911[[#This Row],[CODIGO DEL PRODUCTO]],Tabla79[],2,FALSE)</f>
        <v>#N/A</v>
      </c>
      <c r="T2941" s="37"/>
      <c r="U2941" s="78"/>
    </row>
    <row r="2942" spans="15:21" x14ac:dyDescent="0.25">
      <c r="O2942" s="76"/>
      <c r="P2942" s="78"/>
      <c r="Q2942" s="77"/>
      <c r="R2942" s="78"/>
      <c r="S2942" s="36" t="e">
        <f>VLOOKUP(Tabla911[[#This Row],[CODIGO DEL PRODUCTO]],Tabla79[],2,FALSE)</f>
        <v>#N/A</v>
      </c>
      <c r="T2942" s="37"/>
      <c r="U2942" s="78"/>
    </row>
    <row r="2943" spans="15:21" x14ac:dyDescent="0.25">
      <c r="O2943" s="76"/>
      <c r="P2943" s="78"/>
      <c r="Q2943" s="77"/>
      <c r="R2943" s="78"/>
      <c r="S2943" s="36" t="e">
        <f>VLOOKUP(Tabla911[[#This Row],[CODIGO DEL PRODUCTO]],Tabla79[],2,FALSE)</f>
        <v>#N/A</v>
      </c>
      <c r="T2943" s="37"/>
      <c r="U2943" s="78"/>
    </row>
    <row r="2944" spans="15:21" x14ac:dyDescent="0.25">
      <c r="O2944" s="76"/>
      <c r="P2944" s="78"/>
      <c r="Q2944" s="77"/>
      <c r="R2944" s="78"/>
      <c r="S2944" s="36" t="e">
        <f>VLOOKUP(Tabla911[[#This Row],[CODIGO DEL PRODUCTO]],Tabla79[],2,FALSE)</f>
        <v>#N/A</v>
      </c>
      <c r="T2944" s="37"/>
      <c r="U2944" s="78"/>
    </row>
    <row r="2945" spans="15:21" x14ac:dyDescent="0.25">
      <c r="O2945" s="76"/>
      <c r="P2945" s="78"/>
      <c r="Q2945" s="77"/>
      <c r="R2945" s="78"/>
      <c r="S2945" s="36" t="e">
        <f>VLOOKUP(Tabla911[[#This Row],[CODIGO DEL PRODUCTO]],Tabla79[],2,FALSE)</f>
        <v>#N/A</v>
      </c>
      <c r="T2945" s="37"/>
      <c r="U2945" s="78"/>
    </row>
    <row r="2946" spans="15:21" x14ac:dyDescent="0.25">
      <c r="O2946" s="76"/>
      <c r="P2946" s="78"/>
      <c r="Q2946" s="77"/>
      <c r="R2946" s="78"/>
      <c r="S2946" s="36" t="e">
        <f>VLOOKUP(Tabla911[[#This Row],[CODIGO DEL PRODUCTO]],Tabla79[],2,FALSE)</f>
        <v>#N/A</v>
      </c>
      <c r="T2946" s="37"/>
      <c r="U2946" s="78"/>
    </row>
    <row r="2947" spans="15:21" x14ac:dyDescent="0.25">
      <c r="O2947" s="76"/>
      <c r="P2947" s="78"/>
      <c r="Q2947" s="77"/>
      <c r="R2947" s="78"/>
      <c r="S2947" s="36" t="e">
        <f>VLOOKUP(Tabla911[[#This Row],[CODIGO DEL PRODUCTO]],Tabla79[],2,FALSE)</f>
        <v>#N/A</v>
      </c>
      <c r="T2947" s="37"/>
      <c r="U2947" s="78"/>
    </row>
    <row r="2948" spans="15:21" x14ac:dyDescent="0.25">
      <c r="O2948" s="76"/>
      <c r="P2948" s="78"/>
      <c r="Q2948" s="77"/>
      <c r="R2948" s="78"/>
      <c r="S2948" s="36" t="e">
        <f>VLOOKUP(Tabla911[[#This Row],[CODIGO DEL PRODUCTO]],Tabla79[],2,FALSE)</f>
        <v>#N/A</v>
      </c>
      <c r="T2948" s="37"/>
      <c r="U2948" s="78"/>
    </row>
    <row r="2949" spans="15:21" x14ac:dyDescent="0.25">
      <c r="O2949" s="76"/>
      <c r="P2949" s="78"/>
      <c r="Q2949" s="77"/>
      <c r="R2949" s="78"/>
      <c r="S2949" s="36" t="e">
        <f>VLOOKUP(Tabla911[[#This Row],[CODIGO DEL PRODUCTO]],Tabla79[],2,FALSE)</f>
        <v>#N/A</v>
      </c>
      <c r="T2949" s="37"/>
      <c r="U2949" s="78"/>
    </row>
    <row r="2950" spans="15:21" x14ac:dyDescent="0.25">
      <c r="O2950" s="76"/>
      <c r="P2950" s="78"/>
      <c r="Q2950" s="77"/>
      <c r="R2950" s="78"/>
      <c r="S2950" s="36" t="e">
        <f>VLOOKUP(Tabla911[[#This Row],[CODIGO DEL PRODUCTO]],Tabla79[],2,FALSE)</f>
        <v>#N/A</v>
      </c>
      <c r="T2950" s="37"/>
      <c r="U2950" s="78"/>
    </row>
    <row r="2951" spans="15:21" x14ac:dyDescent="0.25">
      <c r="O2951" s="76"/>
      <c r="P2951" s="78"/>
      <c r="Q2951" s="77"/>
      <c r="R2951" s="78"/>
      <c r="S2951" s="36" t="e">
        <f>VLOOKUP(Tabla911[[#This Row],[CODIGO DEL PRODUCTO]],Tabla79[],2,FALSE)</f>
        <v>#N/A</v>
      </c>
      <c r="T2951" s="37"/>
      <c r="U2951" s="78"/>
    </row>
    <row r="2952" spans="15:21" x14ac:dyDescent="0.25">
      <c r="O2952" s="76"/>
      <c r="P2952" s="78"/>
      <c r="Q2952" s="77"/>
      <c r="R2952" s="78"/>
      <c r="S2952" s="36" t="e">
        <f>VLOOKUP(Tabla911[[#This Row],[CODIGO DEL PRODUCTO]],Tabla79[],2,FALSE)</f>
        <v>#N/A</v>
      </c>
      <c r="T2952" s="37"/>
      <c r="U2952" s="78"/>
    </row>
    <row r="2953" spans="15:21" x14ac:dyDescent="0.25">
      <c r="O2953" s="76"/>
      <c r="P2953" s="78"/>
      <c r="Q2953" s="77"/>
      <c r="R2953" s="78"/>
      <c r="S2953" s="36" t="e">
        <f>VLOOKUP(Tabla911[[#This Row],[CODIGO DEL PRODUCTO]],Tabla79[],2,FALSE)</f>
        <v>#N/A</v>
      </c>
      <c r="T2953" s="37"/>
      <c r="U2953" s="78"/>
    </row>
    <row r="2954" spans="15:21" x14ac:dyDescent="0.25">
      <c r="O2954" s="76"/>
      <c r="P2954" s="78"/>
      <c r="Q2954" s="77"/>
      <c r="R2954" s="78"/>
      <c r="S2954" s="36" t="e">
        <f>VLOOKUP(Tabla911[[#This Row],[CODIGO DEL PRODUCTO]],Tabla79[],2,FALSE)</f>
        <v>#N/A</v>
      </c>
      <c r="T2954" s="37"/>
      <c r="U2954" s="78"/>
    </row>
    <row r="2955" spans="15:21" x14ac:dyDescent="0.25">
      <c r="O2955" s="76"/>
      <c r="P2955" s="78"/>
      <c r="Q2955" s="77"/>
      <c r="R2955" s="78"/>
      <c r="S2955" s="36" t="e">
        <f>VLOOKUP(Tabla911[[#This Row],[CODIGO DEL PRODUCTO]],Tabla79[],2,FALSE)</f>
        <v>#N/A</v>
      </c>
      <c r="T2955" s="37"/>
      <c r="U2955" s="78"/>
    </row>
    <row r="2956" spans="15:21" x14ac:dyDescent="0.25">
      <c r="O2956" s="76"/>
      <c r="P2956" s="78"/>
      <c r="Q2956" s="77"/>
      <c r="R2956" s="78"/>
      <c r="S2956" s="36" t="e">
        <f>VLOOKUP(Tabla911[[#This Row],[CODIGO DEL PRODUCTO]],Tabla79[],2,FALSE)</f>
        <v>#N/A</v>
      </c>
      <c r="T2956" s="37"/>
      <c r="U2956" s="78"/>
    </row>
    <row r="2957" spans="15:21" x14ac:dyDescent="0.25">
      <c r="O2957" s="76"/>
      <c r="P2957" s="78"/>
      <c r="Q2957" s="77"/>
      <c r="R2957" s="78"/>
      <c r="S2957" s="36" t="e">
        <f>VLOOKUP(Tabla911[[#This Row],[CODIGO DEL PRODUCTO]],Tabla79[],2,FALSE)</f>
        <v>#N/A</v>
      </c>
      <c r="T2957" s="37"/>
      <c r="U2957" s="78"/>
    </row>
    <row r="2958" spans="15:21" x14ac:dyDescent="0.25">
      <c r="O2958" s="76"/>
      <c r="P2958" s="78"/>
      <c r="Q2958" s="77"/>
      <c r="R2958" s="78"/>
      <c r="S2958" s="36" t="e">
        <f>VLOOKUP(Tabla911[[#This Row],[CODIGO DEL PRODUCTO]],Tabla79[],2,FALSE)</f>
        <v>#N/A</v>
      </c>
      <c r="T2958" s="37"/>
      <c r="U2958" s="78"/>
    </row>
    <row r="2959" spans="15:21" x14ac:dyDescent="0.25">
      <c r="O2959" s="76"/>
      <c r="P2959" s="78"/>
      <c r="Q2959" s="77"/>
      <c r="R2959" s="78"/>
      <c r="S2959" s="36" t="e">
        <f>VLOOKUP(Tabla911[[#This Row],[CODIGO DEL PRODUCTO]],Tabla79[],2,FALSE)</f>
        <v>#N/A</v>
      </c>
      <c r="T2959" s="37"/>
      <c r="U2959" s="78"/>
    </row>
    <row r="2960" spans="15:21" x14ac:dyDescent="0.25">
      <c r="O2960" s="76"/>
      <c r="P2960" s="78"/>
      <c r="Q2960" s="77"/>
      <c r="R2960" s="78"/>
      <c r="S2960" s="36" t="e">
        <f>VLOOKUP(Tabla911[[#This Row],[CODIGO DEL PRODUCTO]],Tabla79[],2,FALSE)</f>
        <v>#N/A</v>
      </c>
      <c r="T2960" s="37"/>
      <c r="U2960" s="78"/>
    </row>
    <row r="2961" spans="15:21" x14ac:dyDescent="0.25">
      <c r="O2961" s="76"/>
      <c r="P2961" s="78"/>
      <c r="Q2961" s="77"/>
      <c r="R2961" s="78"/>
      <c r="S2961" s="36" t="e">
        <f>VLOOKUP(Tabla911[[#This Row],[CODIGO DEL PRODUCTO]],Tabla79[],2,FALSE)</f>
        <v>#N/A</v>
      </c>
      <c r="T2961" s="37"/>
      <c r="U2961" s="78"/>
    </row>
    <row r="2962" spans="15:21" x14ac:dyDescent="0.25">
      <c r="O2962" s="76"/>
      <c r="P2962" s="78"/>
      <c r="Q2962" s="77"/>
      <c r="R2962" s="78"/>
      <c r="S2962" s="36" t="e">
        <f>VLOOKUP(Tabla911[[#This Row],[CODIGO DEL PRODUCTO]],Tabla79[],2,FALSE)</f>
        <v>#N/A</v>
      </c>
      <c r="T2962" s="37"/>
      <c r="U2962" s="78"/>
    </row>
    <row r="2963" spans="15:21" x14ac:dyDescent="0.25">
      <c r="O2963" s="76"/>
      <c r="P2963" s="78"/>
      <c r="Q2963" s="77"/>
      <c r="R2963" s="78"/>
      <c r="S2963" s="36" t="e">
        <f>VLOOKUP(Tabla911[[#This Row],[CODIGO DEL PRODUCTO]],Tabla79[],2,FALSE)</f>
        <v>#N/A</v>
      </c>
      <c r="T2963" s="37"/>
      <c r="U2963" s="78"/>
    </row>
    <row r="2964" spans="15:21" x14ac:dyDescent="0.25">
      <c r="O2964" s="76"/>
      <c r="P2964" s="78"/>
      <c r="Q2964" s="77"/>
      <c r="R2964" s="78"/>
      <c r="S2964" s="36" t="e">
        <f>VLOOKUP(Tabla911[[#This Row],[CODIGO DEL PRODUCTO]],Tabla79[],2,FALSE)</f>
        <v>#N/A</v>
      </c>
      <c r="T2964" s="37"/>
      <c r="U2964" s="78"/>
    </row>
    <row r="2965" spans="15:21" x14ac:dyDescent="0.25">
      <c r="O2965" s="76"/>
      <c r="P2965" s="78"/>
      <c r="Q2965" s="77"/>
      <c r="R2965" s="78"/>
      <c r="S2965" s="36" t="e">
        <f>VLOOKUP(Tabla911[[#This Row],[CODIGO DEL PRODUCTO]],Tabla79[],2,FALSE)</f>
        <v>#N/A</v>
      </c>
      <c r="T2965" s="37"/>
      <c r="U2965" s="78"/>
    </row>
    <row r="2966" spans="15:21" x14ac:dyDescent="0.25">
      <c r="O2966" s="76"/>
      <c r="P2966" s="78"/>
      <c r="Q2966" s="77"/>
      <c r="R2966" s="78"/>
      <c r="S2966" s="36" t="e">
        <f>VLOOKUP(Tabla911[[#This Row],[CODIGO DEL PRODUCTO]],Tabla79[],2,FALSE)</f>
        <v>#N/A</v>
      </c>
      <c r="T2966" s="37"/>
      <c r="U2966" s="78"/>
    </row>
    <row r="2967" spans="15:21" x14ac:dyDescent="0.25">
      <c r="O2967" s="76"/>
      <c r="P2967" s="78"/>
      <c r="Q2967" s="77"/>
      <c r="R2967" s="78"/>
      <c r="S2967" s="36" t="e">
        <f>VLOOKUP(Tabla911[[#This Row],[CODIGO DEL PRODUCTO]],Tabla79[],2,FALSE)</f>
        <v>#N/A</v>
      </c>
      <c r="T2967" s="37"/>
      <c r="U2967" s="78"/>
    </row>
    <row r="2968" spans="15:21" x14ac:dyDescent="0.25">
      <c r="O2968" s="76"/>
      <c r="P2968" s="78"/>
      <c r="Q2968" s="77"/>
      <c r="R2968" s="78"/>
      <c r="S2968" s="36" t="e">
        <f>VLOOKUP(Tabla911[[#This Row],[CODIGO DEL PRODUCTO]],Tabla79[],2,FALSE)</f>
        <v>#N/A</v>
      </c>
      <c r="T2968" s="37"/>
      <c r="U2968" s="78"/>
    </row>
    <row r="2969" spans="15:21" x14ac:dyDescent="0.25">
      <c r="O2969" s="76"/>
      <c r="P2969" s="78"/>
      <c r="Q2969" s="77"/>
      <c r="R2969" s="78"/>
      <c r="S2969" s="36" t="e">
        <f>VLOOKUP(Tabla911[[#This Row],[CODIGO DEL PRODUCTO]],Tabla79[],2,FALSE)</f>
        <v>#N/A</v>
      </c>
      <c r="T2969" s="37"/>
      <c r="U2969" s="78"/>
    </row>
    <row r="2970" spans="15:21" x14ac:dyDescent="0.25">
      <c r="O2970" s="76"/>
      <c r="P2970" s="78"/>
      <c r="Q2970" s="77"/>
      <c r="R2970" s="78"/>
      <c r="S2970" s="36" t="e">
        <f>VLOOKUP(Tabla911[[#This Row],[CODIGO DEL PRODUCTO]],Tabla79[],2,FALSE)</f>
        <v>#N/A</v>
      </c>
      <c r="T2970" s="37"/>
      <c r="U2970" s="78"/>
    </row>
    <row r="2971" spans="15:21" x14ac:dyDescent="0.25">
      <c r="O2971" s="76"/>
      <c r="P2971" s="78"/>
      <c r="Q2971" s="77"/>
      <c r="R2971" s="78"/>
      <c r="S2971" s="36" t="e">
        <f>VLOOKUP(Tabla911[[#This Row],[CODIGO DEL PRODUCTO]],Tabla79[],2,FALSE)</f>
        <v>#N/A</v>
      </c>
      <c r="T2971" s="37"/>
      <c r="U2971" s="78"/>
    </row>
    <row r="2972" spans="15:21" x14ac:dyDescent="0.25">
      <c r="O2972" s="76"/>
      <c r="P2972" s="78"/>
      <c r="Q2972" s="77"/>
      <c r="R2972" s="78"/>
      <c r="S2972" s="36" t="e">
        <f>VLOOKUP(Tabla911[[#This Row],[CODIGO DEL PRODUCTO]],Tabla79[],2,FALSE)</f>
        <v>#N/A</v>
      </c>
      <c r="T2972" s="37"/>
      <c r="U2972" s="78"/>
    </row>
    <row r="2973" spans="15:21" x14ac:dyDescent="0.25">
      <c r="O2973" s="76"/>
      <c r="P2973" s="78"/>
      <c r="Q2973" s="77"/>
      <c r="R2973" s="78"/>
      <c r="S2973" s="36" t="e">
        <f>VLOOKUP(Tabla911[[#This Row],[CODIGO DEL PRODUCTO]],Tabla79[],2,FALSE)</f>
        <v>#N/A</v>
      </c>
      <c r="T2973" s="37"/>
      <c r="U2973" s="78"/>
    </row>
    <row r="2974" spans="15:21" x14ac:dyDescent="0.25">
      <c r="O2974" s="76"/>
      <c r="P2974" s="78"/>
      <c r="Q2974" s="77"/>
      <c r="R2974" s="78"/>
      <c r="S2974" s="36" t="e">
        <f>VLOOKUP(Tabla911[[#This Row],[CODIGO DEL PRODUCTO]],Tabla79[],2,FALSE)</f>
        <v>#N/A</v>
      </c>
      <c r="T2974" s="37"/>
      <c r="U2974" s="78"/>
    </row>
    <row r="2975" spans="15:21" x14ac:dyDescent="0.25">
      <c r="O2975" s="76"/>
      <c r="P2975" s="78"/>
      <c r="Q2975" s="77"/>
      <c r="R2975" s="78"/>
      <c r="S2975" s="36" t="e">
        <f>VLOOKUP(Tabla911[[#This Row],[CODIGO DEL PRODUCTO]],Tabla79[],2,FALSE)</f>
        <v>#N/A</v>
      </c>
      <c r="T2975" s="37"/>
      <c r="U2975" s="78"/>
    </row>
    <row r="2976" spans="15:21" x14ac:dyDescent="0.25">
      <c r="O2976" s="76"/>
      <c r="P2976" s="78"/>
      <c r="Q2976" s="77"/>
      <c r="R2976" s="78"/>
      <c r="S2976" s="36" t="e">
        <f>VLOOKUP(Tabla911[[#This Row],[CODIGO DEL PRODUCTO]],Tabla79[],2,FALSE)</f>
        <v>#N/A</v>
      </c>
      <c r="T2976" s="37"/>
      <c r="U2976" s="78"/>
    </row>
    <row r="2977" spans="15:21" x14ac:dyDescent="0.25">
      <c r="O2977" s="76"/>
      <c r="P2977" s="78"/>
      <c r="Q2977" s="77"/>
      <c r="R2977" s="78"/>
      <c r="S2977" s="36" t="e">
        <f>VLOOKUP(Tabla911[[#This Row],[CODIGO DEL PRODUCTO]],Tabla79[],2,FALSE)</f>
        <v>#N/A</v>
      </c>
      <c r="T2977" s="37"/>
      <c r="U2977" s="78"/>
    </row>
    <row r="2978" spans="15:21" x14ac:dyDescent="0.25">
      <c r="O2978" s="76"/>
      <c r="P2978" s="78"/>
      <c r="Q2978" s="77"/>
      <c r="R2978" s="78"/>
      <c r="S2978" s="36" t="e">
        <f>VLOOKUP(Tabla911[[#This Row],[CODIGO DEL PRODUCTO]],Tabla79[],2,FALSE)</f>
        <v>#N/A</v>
      </c>
      <c r="T2978" s="37"/>
      <c r="U2978" s="78"/>
    </row>
    <row r="2979" spans="15:21" x14ac:dyDescent="0.25">
      <c r="O2979" s="76"/>
      <c r="P2979" s="78"/>
      <c r="Q2979" s="77"/>
      <c r="R2979" s="78"/>
      <c r="S2979" s="36" t="e">
        <f>VLOOKUP(Tabla911[[#This Row],[CODIGO DEL PRODUCTO]],Tabla79[],2,FALSE)</f>
        <v>#N/A</v>
      </c>
      <c r="T2979" s="37"/>
      <c r="U2979" s="78"/>
    </row>
    <row r="2980" spans="15:21" x14ac:dyDescent="0.25">
      <c r="O2980" s="76"/>
      <c r="P2980" s="78"/>
      <c r="Q2980" s="77"/>
      <c r="R2980" s="78"/>
      <c r="S2980" s="36" t="e">
        <f>VLOOKUP(Tabla911[[#This Row],[CODIGO DEL PRODUCTO]],Tabla79[],2,FALSE)</f>
        <v>#N/A</v>
      </c>
      <c r="T2980" s="37"/>
      <c r="U2980" s="78"/>
    </row>
    <row r="2981" spans="15:21" x14ac:dyDescent="0.25">
      <c r="O2981" s="76"/>
      <c r="P2981" s="78"/>
      <c r="Q2981" s="77"/>
      <c r="R2981" s="78"/>
      <c r="S2981" s="36" t="e">
        <f>VLOOKUP(Tabla911[[#This Row],[CODIGO DEL PRODUCTO]],Tabla79[],2,FALSE)</f>
        <v>#N/A</v>
      </c>
      <c r="T2981" s="37"/>
      <c r="U2981" s="78"/>
    </row>
    <row r="2982" spans="15:21" x14ac:dyDescent="0.25">
      <c r="O2982" s="76"/>
      <c r="P2982" s="78"/>
      <c r="Q2982" s="77"/>
      <c r="R2982" s="78"/>
      <c r="S2982" s="36" t="e">
        <f>VLOOKUP(Tabla911[[#This Row],[CODIGO DEL PRODUCTO]],Tabla79[],2,FALSE)</f>
        <v>#N/A</v>
      </c>
      <c r="T2982" s="37"/>
      <c r="U2982" s="78"/>
    </row>
    <row r="2983" spans="15:21" x14ac:dyDescent="0.25">
      <c r="O2983" s="76"/>
      <c r="P2983" s="78"/>
      <c r="Q2983" s="77"/>
      <c r="R2983" s="78"/>
      <c r="S2983" s="36" t="e">
        <f>VLOOKUP(Tabla911[[#This Row],[CODIGO DEL PRODUCTO]],Tabla79[],2,FALSE)</f>
        <v>#N/A</v>
      </c>
      <c r="T2983" s="37"/>
      <c r="U2983" s="78"/>
    </row>
    <row r="2984" spans="15:21" x14ac:dyDescent="0.25">
      <c r="O2984" s="76"/>
      <c r="P2984" s="78"/>
      <c r="Q2984" s="77"/>
      <c r="R2984" s="78"/>
      <c r="S2984" s="36" t="e">
        <f>VLOOKUP(Tabla911[[#This Row],[CODIGO DEL PRODUCTO]],Tabla79[],2,FALSE)</f>
        <v>#N/A</v>
      </c>
      <c r="T2984" s="37"/>
      <c r="U2984" s="78"/>
    </row>
    <row r="2985" spans="15:21" x14ac:dyDescent="0.25">
      <c r="O2985" s="76"/>
      <c r="P2985" s="78"/>
      <c r="Q2985" s="77"/>
      <c r="R2985" s="78"/>
      <c r="S2985" s="36" t="e">
        <f>VLOOKUP(Tabla911[[#This Row],[CODIGO DEL PRODUCTO]],Tabla79[],2,FALSE)</f>
        <v>#N/A</v>
      </c>
      <c r="T2985" s="37"/>
      <c r="U2985" s="78"/>
    </row>
    <row r="2986" spans="15:21" x14ac:dyDescent="0.25">
      <c r="O2986" s="76"/>
      <c r="P2986" s="78"/>
      <c r="Q2986" s="77"/>
      <c r="R2986" s="78"/>
      <c r="S2986" s="36" t="e">
        <f>VLOOKUP(Tabla911[[#This Row],[CODIGO DEL PRODUCTO]],Tabla79[],2,FALSE)</f>
        <v>#N/A</v>
      </c>
      <c r="T2986" s="37"/>
      <c r="U2986" s="78"/>
    </row>
    <row r="2987" spans="15:21" x14ac:dyDescent="0.25">
      <c r="O2987" s="76"/>
      <c r="P2987" s="78"/>
      <c r="Q2987" s="77"/>
      <c r="R2987" s="78"/>
      <c r="S2987" s="36" t="e">
        <f>VLOOKUP(Tabla911[[#This Row],[CODIGO DEL PRODUCTO]],Tabla79[],2,FALSE)</f>
        <v>#N/A</v>
      </c>
      <c r="T2987" s="37"/>
      <c r="U2987" s="78"/>
    </row>
    <row r="2988" spans="15:21" x14ac:dyDescent="0.25">
      <c r="O2988" s="76"/>
      <c r="P2988" s="78"/>
      <c r="Q2988" s="77"/>
      <c r="R2988" s="78"/>
      <c r="S2988" s="36" t="e">
        <f>VLOOKUP(Tabla911[[#This Row],[CODIGO DEL PRODUCTO]],Tabla79[],2,FALSE)</f>
        <v>#N/A</v>
      </c>
      <c r="T2988" s="37"/>
      <c r="U2988" s="78"/>
    </row>
    <row r="2989" spans="15:21" x14ac:dyDescent="0.25">
      <c r="O2989" s="76"/>
      <c r="P2989" s="78"/>
      <c r="Q2989" s="77"/>
      <c r="R2989" s="78"/>
      <c r="S2989" s="36" t="e">
        <f>VLOOKUP(Tabla911[[#This Row],[CODIGO DEL PRODUCTO]],Tabla79[],2,FALSE)</f>
        <v>#N/A</v>
      </c>
      <c r="T2989" s="37"/>
      <c r="U2989" s="78"/>
    </row>
    <row r="2990" spans="15:21" x14ac:dyDescent="0.25">
      <c r="O2990" s="76"/>
      <c r="P2990" s="78"/>
      <c r="Q2990" s="77"/>
      <c r="R2990" s="78"/>
      <c r="S2990" s="36" t="e">
        <f>VLOOKUP(Tabla911[[#This Row],[CODIGO DEL PRODUCTO]],Tabla79[],2,FALSE)</f>
        <v>#N/A</v>
      </c>
      <c r="T2990" s="37"/>
      <c r="U2990" s="78"/>
    </row>
    <row r="2991" spans="15:21" x14ac:dyDescent="0.25">
      <c r="O2991" s="76"/>
      <c r="P2991" s="78"/>
      <c r="Q2991" s="77"/>
      <c r="R2991" s="78"/>
      <c r="S2991" s="36" t="e">
        <f>VLOOKUP(Tabla911[[#This Row],[CODIGO DEL PRODUCTO]],Tabla79[],2,FALSE)</f>
        <v>#N/A</v>
      </c>
      <c r="T2991" s="37"/>
      <c r="U2991" s="78"/>
    </row>
    <row r="2992" spans="15:21" x14ac:dyDescent="0.25">
      <c r="O2992" s="76"/>
      <c r="P2992" s="78"/>
      <c r="Q2992" s="77"/>
      <c r="R2992" s="78"/>
      <c r="S2992" s="36" t="e">
        <f>VLOOKUP(Tabla911[[#This Row],[CODIGO DEL PRODUCTO]],Tabla79[],2,FALSE)</f>
        <v>#N/A</v>
      </c>
      <c r="T2992" s="37"/>
      <c r="U2992" s="78"/>
    </row>
    <row r="2993" spans="15:21" x14ac:dyDescent="0.25">
      <c r="O2993" s="76"/>
      <c r="P2993" s="78"/>
      <c r="Q2993" s="77"/>
      <c r="R2993" s="78"/>
      <c r="S2993" s="36" t="e">
        <f>VLOOKUP(Tabla911[[#This Row],[CODIGO DEL PRODUCTO]],Tabla79[],2,FALSE)</f>
        <v>#N/A</v>
      </c>
      <c r="T2993" s="37"/>
      <c r="U2993" s="78"/>
    </row>
    <row r="2994" spans="15:21" x14ac:dyDescent="0.25">
      <c r="O2994" s="76"/>
      <c r="P2994" s="78"/>
      <c r="Q2994" s="77"/>
      <c r="R2994" s="78"/>
      <c r="S2994" s="36" t="e">
        <f>VLOOKUP(Tabla911[[#This Row],[CODIGO DEL PRODUCTO]],Tabla79[],2,FALSE)</f>
        <v>#N/A</v>
      </c>
      <c r="T2994" s="37"/>
      <c r="U2994" s="78"/>
    </row>
    <row r="2995" spans="15:21" x14ac:dyDescent="0.25">
      <c r="O2995" s="76"/>
      <c r="P2995" s="78"/>
      <c r="Q2995" s="77"/>
      <c r="R2995" s="78"/>
      <c r="S2995" s="36" t="e">
        <f>VLOOKUP(Tabla911[[#This Row],[CODIGO DEL PRODUCTO]],Tabla79[],2,FALSE)</f>
        <v>#N/A</v>
      </c>
      <c r="T2995" s="37"/>
      <c r="U2995" s="78"/>
    </row>
    <row r="2996" spans="15:21" x14ac:dyDescent="0.25">
      <c r="O2996" s="76"/>
      <c r="P2996" s="78"/>
      <c r="Q2996" s="77"/>
      <c r="R2996" s="78"/>
      <c r="S2996" s="36" t="e">
        <f>VLOOKUP(Tabla911[[#This Row],[CODIGO DEL PRODUCTO]],Tabla79[],2,FALSE)</f>
        <v>#N/A</v>
      </c>
      <c r="T2996" s="37"/>
      <c r="U2996" s="78"/>
    </row>
    <row r="2997" spans="15:21" x14ac:dyDescent="0.25">
      <c r="O2997" s="76"/>
      <c r="P2997" s="78"/>
      <c r="Q2997" s="77"/>
      <c r="R2997" s="78"/>
      <c r="S2997" s="36" t="e">
        <f>VLOOKUP(Tabla911[[#This Row],[CODIGO DEL PRODUCTO]],Tabla79[],2,FALSE)</f>
        <v>#N/A</v>
      </c>
      <c r="T2997" s="37"/>
      <c r="U2997" s="78"/>
    </row>
    <row r="2998" spans="15:21" x14ac:dyDescent="0.25">
      <c r="O2998" s="76"/>
      <c r="P2998" s="78"/>
      <c r="Q2998" s="77"/>
      <c r="R2998" s="78"/>
      <c r="S2998" s="36" t="e">
        <f>VLOOKUP(Tabla911[[#This Row],[CODIGO DEL PRODUCTO]],Tabla79[],2,FALSE)</f>
        <v>#N/A</v>
      </c>
      <c r="T2998" s="37"/>
      <c r="U2998" s="78"/>
    </row>
    <row r="2999" spans="15:21" x14ac:dyDescent="0.25">
      <c r="O2999" s="76"/>
      <c r="P2999" s="78"/>
      <c r="Q2999" s="77"/>
      <c r="R2999" s="78"/>
      <c r="S2999" s="36" t="e">
        <f>VLOOKUP(Tabla911[[#This Row],[CODIGO DEL PRODUCTO]],Tabla79[],2,FALSE)</f>
        <v>#N/A</v>
      </c>
      <c r="T2999" s="37"/>
      <c r="U2999" s="78"/>
    </row>
    <row r="3000" spans="15:21" x14ac:dyDescent="0.25">
      <c r="O3000" s="76"/>
      <c r="P3000" s="78"/>
      <c r="Q3000" s="77"/>
      <c r="R3000" s="78"/>
      <c r="S3000" s="36" t="e">
        <f>VLOOKUP(Tabla911[[#This Row],[CODIGO DEL PRODUCTO]],Tabla79[],2,FALSE)</f>
        <v>#N/A</v>
      </c>
      <c r="T3000" s="37"/>
      <c r="U3000" s="78"/>
    </row>
  </sheetData>
  <mergeCells count="3">
    <mergeCell ref="A3:F3"/>
    <mergeCell ref="H3:M3"/>
    <mergeCell ref="O3:T3"/>
  </mergeCells>
  <conditionalFormatting sqref="H7:H431 O12:O703">
    <cfRule type="duplicateValues" dxfId="103" priority="4"/>
  </conditionalFormatting>
  <conditionalFormatting sqref="A1:A1048576">
    <cfRule type="duplicateValues" dxfId="102" priority="3"/>
  </conditionalFormatting>
  <conditionalFormatting sqref="H6">
    <cfRule type="duplicateValues" dxfId="101" priority="2"/>
  </conditionalFormatting>
  <conditionalFormatting sqref="O6:O11">
    <cfRule type="duplicateValues" dxfId="100" priority="1"/>
  </conditionalFormatting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402"/>
  <sheetViews>
    <sheetView topLeftCell="A372" workbookViewId="0">
      <selection activeCell="I402" sqref="I402"/>
    </sheetView>
  </sheetViews>
  <sheetFormatPr baseColWidth="10" defaultRowHeight="15" x14ac:dyDescent="0.25"/>
  <cols>
    <col min="1" max="1" width="18.28515625" bestFit="1" customWidth="1"/>
    <col min="2" max="2" width="33" bestFit="1" customWidth="1"/>
    <col min="3" max="3" width="14.5703125" bestFit="1" customWidth="1"/>
    <col min="4" max="4" width="6.28515625" customWidth="1"/>
    <col min="5" max="5" width="18.28515625" bestFit="1" customWidth="1"/>
    <col min="6" max="6" width="24" bestFit="1" customWidth="1"/>
    <col min="7" max="7" width="14.5703125" bestFit="1" customWidth="1"/>
    <col min="8" max="8" width="7" customWidth="1"/>
    <col min="9" max="9" width="18.28515625" bestFit="1" customWidth="1"/>
    <col min="10" max="10" width="30.140625" bestFit="1" customWidth="1"/>
    <col min="11" max="11" width="14.5703125" bestFit="1" customWidth="1"/>
    <col min="12" max="12" width="6.42578125" customWidth="1"/>
    <col min="13" max="13" width="18.28515625" bestFit="1" customWidth="1"/>
    <col min="14" max="14" width="24" bestFit="1" customWidth="1"/>
    <col min="15" max="15" width="14.5703125" bestFit="1" customWidth="1"/>
  </cols>
  <sheetData>
    <row r="2" spans="1:15" x14ac:dyDescent="0.25">
      <c r="B2" s="23" t="s">
        <v>28</v>
      </c>
      <c r="F2" s="23" t="s">
        <v>29</v>
      </c>
    </row>
    <row r="3" spans="1:15" x14ac:dyDescent="0.25">
      <c r="B3" s="16" t="s">
        <v>25</v>
      </c>
      <c r="F3" s="14" t="s">
        <v>26</v>
      </c>
    </row>
    <row r="4" spans="1:15" x14ac:dyDescent="0.25">
      <c r="A4" s="8" t="s">
        <v>7</v>
      </c>
      <c r="B4" s="6" t="s">
        <v>0</v>
      </c>
      <c r="C4" s="5" t="s">
        <v>5</v>
      </c>
      <c r="E4" s="11" t="s">
        <v>7</v>
      </c>
      <c r="F4" s="12" t="s">
        <v>0</v>
      </c>
      <c r="G4" s="13" t="s">
        <v>164</v>
      </c>
    </row>
    <row r="5" spans="1:15" x14ac:dyDescent="0.25">
      <c r="A5" s="172">
        <v>45558</v>
      </c>
      <c r="B5" s="3" t="s">
        <v>1</v>
      </c>
      <c r="C5" s="22">
        <v>8512</v>
      </c>
      <c r="E5" s="163" t="s">
        <v>8</v>
      </c>
      <c r="F5" s="4" t="s">
        <v>6</v>
      </c>
      <c r="G5" s="22">
        <v>332039</v>
      </c>
      <c r="H5" s="67"/>
    </row>
    <row r="6" spans="1:15" x14ac:dyDescent="0.25">
      <c r="A6" s="176"/>
      <c r="B6" s="3" t="s">
        <v>2</v>
      </c>
      <c r="C6" s="22">
        <v>3740</v>
      </c>
      <c r="E6" s="164"/>
      <c r="F6" s="4" t="s">
        <v>9</v>
      </c>
      <c r="G6" s="22">
        <v>208776</v>
      </c>
      <c r="H6" s="4"/>
    </row>
    <row r="7" spans="1:15" x14ac:dyDescent="0.25">
      <c r="A7" s="176"/>
      <c r="B7" s="3" t="s">
        <v>3</v>
      </c>
      <c r="C7" s="22">
        <v>9450</v>
      </c>
      <c r="E7" s="164"/>
      <c r="F7" s="4" t="s">
        <v>24</v>
      </c>
      <c r="G7" s="22">
        <v>9114</v>
      </c>
      <c r="H7" s="4"/>
    </row>
    <row r="8" spans="1:15" x14ac:dyDescent="0.25">
      <c r="A8" s="176"/>
      <c r="B8" s="3" t="s">
        <v>4</v>
      </c>
      <c r="C8" s="22">
        <v>4860</v>
      </c>
      <c r="E8" s="164"/>
      <c r="F8" s="4" t="s">
        <v>10</v>
      </c>
      <c r="G8" s="22">
        <v>117824</v>
      </c>
      <c r="H8" s="9"/>
    </row>
    <row r="9" spans="1:15" x14ac:dyDescent="0.25">
      <c r="A9" s="176"/>
      <c r="B9" s="3" t="s">
        <v>6</v>
      </c>
      <c r="C9" s="22">
        <v>5600</v>
      </c>
      <c r="E9" s="164"/>
      <c r="F9" s="4" t="s">
        <v>12</v>
      </c>
      <c r="G9" s="22">
        <v>1019.82</v>
      </c>
      <c r="H9" s="9"/>
    </row>
    <row r="10" spans="1:15" x14ac:dyDescent="0.25">
      <c r="A10" s="176"/>
      <c r="B10" s="4" t="s">
        <v>10</v>
      </c>
      <c r="C10" s="9"/>
      <c r="E10" s="164"/>
      <c r="F10" s="10" t="s">
        <v>14</v>
      </c>
      <c r="G10" s="22">
        <v>43973</v>
      </c>
      <c r="H10" s="9"/>
    </row>
    <row r="11" spans="1:15" x14ac:dyDescent="0.25">
      <c r="A11" s="176"/>
      <c r="B11" s="4" t="s">
        <v>11</v>
      </c>
      <c r="C11" s="9"/>
      <c r="E11" s="164"/>
      <c r="F11" s="4" t="s">
        <v>13</v>
      </c>
      <c r="G11" s="22">
        <v>54676</v>
      </c>
      <c r="H11" s="9"/>
    </row>
    <row r="12" spans="1:15" x14ac:dyDescent="0.25">
      <c r="A12" s="177"/>
      <c r="B12" s="21" t="s">
        <v>24</v>
      </c>
      <c r="C12" s="9"/>
      <c r="E12" s="165"/>
      <c r="F12" s="4" t="s">
        <v>15</v>
      </c>
      <c r="G12" s="22">
        <v>484061</v>
      </c>
      <c r="H12" s="9"/>
      <c r="K12" s="45"/>
    </row>
    <row r="13" spans="1:15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5">
      <c r="B14" s="23" t="s">
        <v>29</v>
      </c>
      <c r="F14" s="23" t="s">
        <v>29</v>
      </c>
      <c r="J14" s="23" t="s">
        <v>29</v>
      </c>
      <c r="N14" s="23" t="s">
        <v>29</v>
      </c>
    </row>
    <row r="15" spans="1:15" x14ac:dyDescent="0.25">
      <c r="B15" s="14" t="s">
        <v>59</v>
      </c>
      <c r="F15" s="14" t="s">
        <v>75</v>
      </c>
      <c r="J15" s="14" t="s">
        <v>111</v>
      </c>
      <c r="N15" s="14" t="s">
        <v>130</v>
      </c>
    </row>
    <row r="16" spans="1:15" x14ac:dyDescent="0.25">
      <c r="A16" s="11" t="s">
        <v>7</v>
      </c>
      <c r="B16" s="12" t="s">
        <v>0</v>
      </c>
      <c r="C16" s="13" t="s">
        <v>164</v>
      </c>
      <c r="E16" s="11" t="s">
        <v>7</v>
      </c>
      <c r="F16" s="12" t="s">
        <v>0</v>
      </c>
      <c r="G16" s="13" t="s">
        <v>164</v>
      </c>
      <c r="I16" s="11" t="s">
        <v>7</v>
      </c>
      <c r="J16" s="12" t="s">
        <v>0</v>
      </c>
      <c r="K16" s="13" t="s">
        <v>164</v>
      </c>
      <c r="M16" s="11" t="s">
        <v>7</v>
      </c>
      <c r="N16" s="12" t="s">
        <v>0</v>
      </c>
      <c r="O16" s="13" t="s">
        <v>164</v>
      </c>
    </row>
    <row r="17" spans="1:15" x14ac:dyDescent="0.25">
      <c r="A17" s="163" t="s">
        <v>60</v>
      </c>
      <c r="B17" s="4" t="s">
        <v>6</v>
      </c>
      <c r="C17" s="22">
        <v>304286</v>
      </c>
      <c r="E17" s="163" t="s">
        <v>76</v>
      </c>
      <c r="F17" s="4" t="s">
        <v>6</v>
      </c>
      <c r="G17" s="22">
        <v>344601</v>
      </c>
      <c r="I17" s="163" t="s">
        <v>111</v>
      </c>
      <c r="J17" s="4" t="s">
        <v>6</v>
      </c>
      <c r="K17" s="22">
        <v>334398</v>
      </c>
      <c r="M17" s="163" t="s">
        <v>131</v>
      </c>
      <c r="N17" s="4" t="s">
        <v>6</v>
      </c>
      <c r="O17" s="22">
        <v>205349</v>
      </c>
    </row>
    <row r="18" spans="1:15" x14ac:dyDescent="0.25">
      <c r="A18" s="164"/>
      <c r="B18" s="4" t="s">
        <v>9</v>
      </c>
      <c r="C18" s="22">
        <v>196484</v>
      </c>
      <c r="E18" s="164"/>
      <c r="F18" s="4" t="s">
        <v>9</v>
      </c>
      <c r="G18" s="22">
        <v>219332</v>
      </c>
      <c r="I18" s="164"/>
      <c r="J18" s="4" t="s">
        <v>9</v>
      </c>
      <c r="K18" s="22">
        <v>218654</v>
      </c>
      <c r="M18" s="164"/>
      <c r="N18" s="4" t="s">
        <v>9</v>
      </c>
      <c r="O18" s="22">
        <v>122957</v>
      </c>
    </row>
    <row r="19" spans="1:15" x14ac:dyDescent="0.25">
      <c r="A19" s="164"/>
      <c r="B19" s="4" t="s">
        <v>24</v>
      </c>
      <c r="C19" s="22">
        <v>11951</v>
      </c>
      <c r="E19" s="164"/>
      <c r="F19" s="4" t="s">
        <v>24</v>
      </c>
      <c r="G19" s="22"/>
      <c r="I19" s="164"/>
      <c r="J19" s="4" t="s">
        <v>24</v>
      </c>
      <c r="K19" s="22"/>
      <c r="M19" s="164"/>
      <c r="N19" s="4" t="s">
        <v>24</v>
      </c>
      <c r="O19" s="22"/>
    </row>
    <row r="20" spans="1:15" x14ac:dyDescent="0.25">
      <c r="A20" s="164"/>
      <c r="B20" s="4" t="s">
        <v>10</v>
      </c>
      <c r="C20" s="22">
        <v>152869</v>
      </c>
      <c r="E20" s="164"/>
      <c r="F20" s="4" t="s">
        <v>10</v>
      </c>
      <c r="G20" s="22">
        <v>182232</v>
      </c>
      <c r="I20" s="164"/>
      <c r="J20" s="4" t="s">
        <v>10</v>
      </c>
      <c r="K20" s="22">
        <v>187956</v>
      </c>
      <c r="M20" s="164"/>
      <c r="N20" s="4" t="s">
        <v>10</v>
      </c>
      <c r="O20" s="22">
        <v>104499</v>
      </c>
    </row>
    <row r="21" spans="1:15" x14ac:dyDescent="0.25">
      <c r="A21" s="164"/>
      <c r="B21" s="4" t="s">
        <v>12</v>
      </c>
      <c r="C21" s="22">
        <v>909.15</v>
      </c>
      <c r="E21" s="164"/>
      <c r="F21" s="4" t="s">
        <v>12</v>
      </c>
      <c r="G21" s="22">
        <v>983.42</v>
      </c>
      <c r="I21" s="164"/>
      <c r="J21" s="4" t="s">
        <v>12</v>
      </c>
      <c r="K21" s="22">
        <v>1120.99</v>
      </c>
      <c r="M21" s="164"/>
      <c r="N21" s="4" t="s">
        <v>12</v>
      </c>
      <c r="O21" s="22">
        <v>609.87</v>
      </c>
    </row>
    <row r="22" spans="1:15" x14ac:dyDescent="0.25">
      <c r="A22" s="164"/>
      <c r="B22" s="10" t="s">
        <v>14</v>
      </c>
      <c r="C22" s="22">
        <v>110368</v>
      </c>
      <c r="E22" s="164"/>
      <c r="F22" s="10" t="s">
        <v>14</v>
      </c>
      <c r="G22" s="22">
        <v>130648</v>
      </c>
      <c r="I22" s="164"/>
      <c r="J22" s="10" t="s">
        <v>14</v>
      </c>
      <c r="K22" s="22">
        <v>127039</v>
      </c>
      <c r="M22" s="164"/>
      <c r="N22" s="10" t="s">
        <v>14</v>
      </c>
      <c r="O22" s="22">
        <v>12035</v>
      </c>
    </row>
    <row r="23" spans="1:15" x14ac:dyDescent="0.25">
      <c r="A23" s="164"/>
      <c r="B23" s="4" t="s">
        <v>13</v>
      </c>
      <c r="C23" s="22">
        <v>49535</v>
      </c>
      <c r="E23" s="164"/>
      <c r="F23" s="4" t="s">
        <v>13</v>
      </c>
      <c r="G23" s="22">
        <v>91007</v>
      </c>
      <c r="I23" s="164"/>
      <c r="J23" s="4" t="s">
        <v>13</v>
      </c>
      <c r="K23" s="22">
        <v>88591</v>
      </c>
      <c r="M23" s="164"/>
      <c r="N23" s="4" t="s">
        <v>13</v>
      </c>
      <c r="O23" s="22">
        <v>50795</v>
      </c>
    </row>
    <row r="24" spans="1:15" x14ac:dyDescent="0.25">
      <c r="A24" s="165"/>
      <c r="B24" s="4" t="s">
        <v>15</v>
      </c>
      <c r="C24" s="22">
        <v>319272</v>
      </c>
      <c r="E24" s="165"/>
      <c r="F24" s="4" t="s">
        <v>15</v>
      </c>
      <c r="G24" s="22">
        <v>314079</v>
      </c>
      <c r="I24" s="165"/>
      <c r="J24" s="4" t="s">
        <v>15</v>
      </c>
      <c r="K24" s="22">
        <v>331117</v>
      </c>
      <c r="M24" s="165"/>
      <c r="N24" s="4" t="s">
        <v>15</v>
      </c>
      <c r="O24" s="22">
        <v>310229</v>
      </c>
    </row>
    <row r="25" spans="1:15" ht="15.75" thickBot="1" x14ac:dyDescent="0.3"/>
    <row r="26" spans="1:15" x14ac:dyDescent="0.25">
      <c r="B26" s="23" t="s">
        <v>29</v>
      </c>
      <c r="E26" s="56"/>
      <c r="F26" s="57" t="s">
        <v>175</v>
      </c>
      <c r="G26" s="58"/>
    </row>
    <row r="27" spans="1:15" x14ac:dyDescent="0.25">
      <c r="B27" s="14" t="s">
        <v>163</v>
      </c>
      <c r="E27" s="59"/>
      <c r="F27" s="60" t="s">
        <v>174</v>
      </c>
      <c r="G27" s="61"/>
    </row>
    <row r="28" spans="1:15" x14ac:dyDescent="0.25">
      <c r="A28" s="11" t="s">
        <v>7</v>
      </c>
      <c r="B28" s="12" t="s">
        <v>0</v>
      </c>
      <c r="C28" s="13" t="s">
        <v>164</v>
      </c>
      <c r="E28" s="62" t="s">
        <v>7</v>
      </c>
      <c r="F28" s="12" t="s">
        <v>0</v>
      </c>
      <c r="G28" s="63" t="s">
        <v>164</v>
      </c>
    </row>
    <row r="29" spans="1:15" x14ac:dyDescent="0.25">
      <c r="A29" s="163" t="s">
        <v>163</v>
      </c>
      <c r="B29" s="4" t="s">
        <v>6</v>
      </c>
      <c r="C29" s="22">
        <v>283907</v>
      </c>
      <c r="E29" s="173" t="s">
        <v>174</v>
      </c>
      <c r="F29" s="54" t="s">
        <v>6</v>
      </c>
      <c r="G29" s="68">
        <f>+C17+G17+K17+O17+C29</f>
        <v>1472541</v>
      </c>
    </row>
    <row r="30" spans="1:15" x14ac:dyDescent="0.25">
      <c r="A30" s="164"/>
      <c r="B30" s="4" t="s">
        <v>9</v>
      </c>
      <c r="C30" s="22">
        <v>183071</v>
      </c>
      <c r="E30" s="174"/>
      <c r="F30" s="54" t="s">
        <v>9</v>
      </c>
      <c r="G30" s="68">
        <f>+C18+G18+K18+O18</f>
        <v>757427</v>
      </c>
    </row>
    <row r="31" spans="1:15" x14ac:dyDescent="0.25">
      <c r="A31" s="164"/>
      <c r="B31" s="4" t="s">
        <v>24</v>
      </c>
      <c r="C31" s="22">
        <v>15171</v>
      </c>
      <c r="E31" s="174"/>
      <c r="F31" s="54" t="s">
        <v>24</v>
      </c>
      <c r="G31" s="68">
        <f>+C19+C31</f>
        <v>27122</v>
      </c>
    </row>
    <row r="32" spans="1:15" x14ac:dyDescent="0.25">
      <c r="A32" s="164"/>
      <c r="B32" s="4" t="s">
        <v>10</v>
      </c>
      <c r="C32" s="22">
        <v>137094</v>
      </c>
      <c r="E32" s="174"/>
      <c r="F32" s="54" t="s">
        <v>10</v>
      </c>
      <c r="G32" s="68">
        <f>+C20+G20+K20+O20+C32</f>
        <v>764650</v>
      </c>
    </row>
    <row r="33" spans="1:15" x14ac:dyDescent="0.25">
      <c r="A33" s="164"/>
      <c r="B33" s="4" t="s">
        <v>12</v>
      </c>
      <c r="C33" s="22">
        <v>823.45</v>
      </c>
      <c r="E33" s="174"/>
      <c r="F33" s="54" t="s">
        <v>12</v>
      </c>
      <c r="G33" s="68">
        <f>+C21+G21+K21+O21+C33</f>
        <v>4446.88</v>
      </c>
    </row>
    <row r="34" spans="1:15" x14ac:dyDescent="0.25">
      <c r="A34" s="164"/>
      <c r="B34" s="10" t="s">
        <v>14</v>
      </c>
      <c r="C34" s="22">
        <v>128956</v>
      </c>
      <c r="E34" s="174"/>
      <c r="F34" s="55" t="s">
        <v>14</v>
      </c>
      <c r="G34" s="68">
        <f>+C22+G22+K22+O22+C34</f>
        <v>509046</v>
      </c>
    </row>
    <row r="35" spans="1:15" x14ac:dyDescent="0.25">
      <c r="A35" s="164"/>
      <c r="B35" s="4" t="s">
        <v>13</v>
      </c>
      <c r="C35" s="22">
        <v>63603</v>
      </c>
      <c r="E35" s="174"/>
      <c r="F35" s="54" t="s">
        <v>13</v>
      </c>
      <c r="G35" s="68">
        <f>+C23+G23+K23+O23+C35</f>
        <v>343531</v>
      </c>
    </row>
    <row r="36" spans="1:15" ht="15.75" thickBot="1" x14ac:dyDescent="0.3">
      <c r="A36" s="165"/>
      <c r="B36" s="4" t="s">
        <v>15</v>
      </c>
      <c r="C36" s="22">
        <v>228207</v>
      </c>
      <c r="E36" s="175"/>
      <c r="F36" s="64" t="s">
        <v>15</v>
      </c>
      <c r="G36" s="68">
        <f>+C24+G24+K24+O24+C36</f>
        <v>1502904</v>
      </c>
    </row>
    <row r="37" spans="1:1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x14ac:dyDescent="0.25">
      <c r="B38" s="23" t="s">
        <v>29</v>
      </c>
      <c r="F38" s="23" t="s">
        <v>177</v>
      </c>
      <c r="J38" s="23" t="s">
        <v>177</v>
      </c>
      <c r="N38" s="23" t="s">
        <v>177</v>
      </c>
    </row>
    <row r="39" spans="1:15" x14ac:dyDescent="0.25">
      <c r="B39" s="65" t="s">
        <v>167</v>
      </c>
      <c r="F39" s="66" t="s">
        <v>178</v>
      </c>
      <c r="J39" s="66" t="s">
        <v>192</v>
      </c>
      <c r="N39" s="66" t="s">
        <v>193</v>
      </c>
    </row>
    <row r="40" spans="1:15" x14ac:dyDescent="0.25">
      <c r="A40" s="11" t="s">
        <v>7</v>
      </c>
      <c r="B40" s="12" t="s">
        <v>0</v>
      </c>
      <c r="C40" s="13" t="s">
        <v>164</v>
      </c>
      <c r="E40" s="13" t="s">
        <v>7</v>
      </c>
      <c r="F40" s="13" t="s">
        <v>0</v>
      </c>
      <c r="G40" s="13" t="s">
        <v>164</v>
      </c>
      <c r="I40" s="13" t="s">
        <v>7</v>
      </c>
      <c r="J40" s="13" t="s">
        <v>0</v>
      </c>
      <c r="K40" s="13" t="s">
        <v>164</v>
      </c>
      <c r="M40" s="13" t="s">
        <v>7</v>
      </c>
      <c r="N40" s="13" t="s">
        <v>0</v>
      </c>
      <c r="O40" s="13" t="s">
        <v>164</v>
      </c>
    </row>
    <row r="41" spans="1:15" x14ac:dyDescent="0.25">
      <c r="A41" s="163" t="s">
        <v>167</v>
      </c>
      <c r="B41" s="4" t="s">
        <v>6</v>
      </c>
      <c r="C41" s="22">
        <v>382471</v>
      </c>
      <c r="E41" s="168" t="s">
        <v>178</v>
      </c>
      <c r="F41" s="9" t="s">
        <v>6</v>
      </c>
      <c r="G41" s="22">
        <v>263670</v>
      </c>
      <c r="H41" s="67"/>
      <c r="I41" s="168" t="s">
        <v>192</v>
      </c>
      <c r="J41" s="9" t="s">
        <v>6</v>
      </c>
      <c r="K41" s="22">
        <v>144894</v>
      </c>
      <c r="M41" s="168" t="s">
        <v>193</v>
      </c>
      <c r="N41" s="9" t="s">
        <v>6</v>
      </c>
      <c r="O41" s="22">
        <v>220767</v>
      </c>
    </row>
    <row r="42" spans="1:15" x14ac:dyDescent="0.25">
      <c r="A42" s="164"/>
      <c r="B42" s="4" t="s">
        <v>9</v>
      </c>
      <c r="C42" s="22">
        <v>301248</v>
      </c>
      <c r="E42" s="169"/>
      <c r="F42" s="9" t="s">
        <v>41</v>
      </c>
      <c r="G42" s="22">
        <v>217114</v>
      </c>
      <c r="I42" s="169"/>
      <c r="J42" s="9" t="s">
        <v>41</v>
      </c>
      <c r="K42" s="22">
        <v>122736</v>
      </c>
      <c r="M42" s="169"/>
      <c r="N42" s="9" t="s">
        <v>41</v>
      </c>
      <c r="O42" s="22">
        <v>139691</v>
      </c>
    </row>
    <row r="43" spans="1:15" x14ac:dyDescent="0.25">
      <c r="A43" s="164"/>
      <c r="B43" s="4" t="s">
        <v>24</v>
      </c>
      <c r="C43" s="22"/>
      <c r="E43" s="169"/>
      <c r="F43" s="9" t="s">
        <v>24</v>
      </c>
      <c r="G43" s="22"/>
      <c r="I43" s="169"/>
      <c r="J43" s="9" t="s">
        <v>24</v>
      </c>
      <c r="K43" s="22"/>
      <c r="M43" s="169"/>
      <c r="N43" s="9" t="s">
        <v>24</v>
      </c>
      <c r="O43" s="22"/>
    </row>
    <row r="44" spans="1:15" x14ac:dyDescent="0.25">
      <c r="A44" s="164"/>
      <c r="B44" s="4" t="s">
        <v>10</v>
      </c>
      <c r="C44" s="22">
        <v>217193</v>
      </c>
      <c r="E44" s="169"/>
      <c r="F44" s="9" t="s">
        <v>10</v>
      </c>
      <c r="G44" s="22">
        <v>154195</v>
      </c>
      <c r="I44" s="169"/>
      <c r="J44" s="9" t="s">
        <v>10</v>
      </c>
      <c r="K44" s="22">
        <v>86198</v>
      </c>
      <c r="M44" s="169"/>
      <c r="N44" s="9" t="s">
        <v>10</v>
      </c>
      <c r="O44" s="22">
        <v>125702</v>
      </c>
    </row>
    <row r="45" spans="1:15" x14ac:dyDescent="0.25">
      <c r="A45" s="164"/>
      <c r="B45" s="4" t="s">
        <v>12</v>
      </c>
      <c r="C45" s="22">
        <v>1274.17</v>
      </c>
      <c r="E45" s="169"/>
      <c r="F45" s="9" t="s">
        <v>11</v>
      </c>
      <c r="G45" s="22">
        <v>875.29</v>
      </c>
      <c r="I45" s="169"/>
      <c r="J45" s="9" t="s">
        <v>11</v>
      </c>
      <c r="K45" s="22">
        <v>506.45</v>
      </c>
      <c r="M45" s="169"/>
      <c r="N45" s="9" t="s">
        <v>11</v>
      </c>
      <c r="O45" s="22">
        <v>694.31</v>
      </c>
    </row>
    <row r="46" spans="1:15" x14ac:dyDescent="0.25">
      <c r="A46" s="164"/>
      <c r="B46" s="10" t="s">
        <v>14</v>
      </c>
      <c r="C46" s="22">
        <v>77343</v>
      </c>
      <c r="E46" s="169"/>
      <c r="F46" s="9" t="s">
        <v>49</v>
      </c>
      <c r="G46" s="22">
        <v>132710</v>
      </c>
      <c r="I46" s="169"/>
      <c r="J46" s="9" t="s">
        <v>49</v>
      </c>
      <c r="K46" s="22">
        <v>72152</v>
      </c>
      <c r="M46" s="169"/>
      <c r="N46" s="9" t="s">
        <v>49</v>
      </c>
      <c r="O46" s="22">
        <v>58413</v>
      </c>
    </row>
    <row r="47" spans="1:15" x14ac:dyDescent="0.25">
      <c r="A47" s="164"/>
      <c r="B47" s="4" t="s">
        <v>13</v>
      </c>
      <c r="C47" s="22">
        <v>48215</v>
      </c>
      <c r="E47" s="169"/>
      <c r="F47" s="9" t="s">
        <v>47</v>
      </c>
      <c r="G47" s="22">
        <v>9702</v>
      </c>
      <c r="I47" s="169"/>
      <c r="J47" s="9" t="s">
        <v>47</v>
      </c>
      <c r="K47" s="22"/>
      <c r="M47" s="169"/>
      <c r="N47" s="9" t="s">
        <v>47</v>
      </c>
      <c r="O47" s="22">
        <v>24756</v>
      </c>
    </row>
    <row r="48" spans="1:15" x14ac:dyDescent="0.25">
      <c r="A48" s="165"/>
      <c r="B48" s="4" t="s">
        <v>15</v>
      </c>
      <c r="C48" s="22">
        <v>576477</v>
      </c>
      <c r="E48" s="170"/>
      <c r="F48" s="9" t="s">
        <v>44</v>
      </c>
      <c r="G48" s="22">
        <v>293017</v>
      </c>
      <c r="I48" s="170"/>
      <c r="J48" s="9" t="s">
        <v>44</v>
      </c>
      <c r="K48" s="22">
        <v>170515</v>
      </c>
      <c r="M48" s="170"/>
      <c r="N48" s="9" t="s">
        <v>44</v>
      </c>
      <c r="O48" s="22">
        <v>273633</v>
      </c>
    </row>
    <row r="49" spans="1:15" ht="15.75" thickBot="1" x14ac:dyDescent="0.3">
      <c r="C49" s="69"/>
    </row>
    <row r="50" spans="1:15" x14ac:dyDescent="0.25">
      <c r="A50" s="56"/>
      <c r="B50" s="57" t="s">
        <v>175</v>
      </c>
      <c r="C50" s="58"/>
    </row>
    <row r="51" spans="1:15" x14ac:dyDescent="0.25">
      <c r="A51" s="59"/>
      <c r="B51" s="60" t="s">
        <v>194</v>
      </c>
      <c r="C51" s="61"/>
    </row>
    <row r="52" spans="1:15" x14ac:dyDescent="0.25">
      <c r="A52" s="62" t="s">
        <v>7</v>
      </c>
      <c r="B52" s="12" t="s">
        <v>0</v>
      </c>
      <c r="C52" s="63" t="s">
        <v>164</v>
      </c>
    </row>
    <row r="53" spans="1:15" x14ac:dyDescent="0.25">
      <c r="A53" s="173" t="s">
        <v>195</v>
      </c>
      <c r="B53" s="54" t="s">
        <v>6</v>
      </c>
      <c r="C53" s="68">
        <f>+C41+G41+K41+O41</f>
        <v>1011802</v>
      </c>
    </row>
    <row r="54" spans="1:15" x14ac:dyDescent="0.25">
      <c r="A54" s="174"/>
      <c r="B54" s="54" t="s">
        <v>9</v>
      </c>
      <c r="C54" s="68">
        <f>+C42+G42+K42+O42</f>
        <v>780789</v>
      </c>
    </row>
    <row r="55" spans="1:15" x14ac:dyDescent="0.25">
      <c r="A55" s="174"/>
      <c r="B55" s="54" t="s">
        <v>24</v>
      </c>
      <c r="C55" s="68"/>
    </row>
    <row r="56" spans="1:15" x14ac:dyDescent="0.25">
      <c r="A56" s="174"/>
      <c r="B56" s="54" t="s">
        <v>10</v>
      </c>
      <c r="C56" s="68">
        <f>+C44+G44+K44+O44</f>
        <v>583288</v>
      </c>
    </row>
    <row r="57" spans="1:15" x14ac:dyDescent="0.25">
      <c r="A57" s="174"/>
      <c r="B57" s="54" t="s">
        <v>12</v>
      </c>
      <c r="C57" s="68">
        <f>+C45+G45+K45+O45</f>
        <v>3350.22</v>
      </c>
    </row>
    <row r="58" spans="1:15" x14ac:dyDescent="0.25">
      <c r="A58" s="174"/>
      <c r="B58" s="55" t="s">
        <v>14</v>
      </c>
      <c r="C58" s="68">
        <f>+C46+G46+K46+O46</f>
        <v>340618</v>
      </c>
    </row>
    <row r="59" spans="1:15" x14ac:dyDescent="0.25">
      <c r="A59" s="174"/>
      <c r="B59" s="54" t="s">
        <v>13</v>
      </c>
      <c r="C59" s="68">
        <f>+C47+G47+K47+O47</f>
        <v>82673</v>
      </c>
    </row>
    <row r="60" spans="1:15" ht="15.75" thickBot="1" x14ac:dyDescent="0.3">
      <c r="A60" s="175"/>
      <c r="B60" s="64" t="s">
        <v>15</v>
      </c>
      <c r="C60" s="68">
        <f>+C48+G48+K48+O48</f>
        <v>1313642</v>
      </c>
    </row>
    <row r="61" spans="1:1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x14ac:dyDescent="0.25">
      <c r="B62" s="23" t="s">
        <v>177</v>
      </c>
      <c r="F62" s="23" t="s">
        <v>177</v>
      </c>
      <c r="J62" s="23" t="s">
        <v>177</v>
      </c>
      <c r="N62" s="23" t="s">
        <v>177</v>
      </c>
    </row>
    <row r="63" spans="1:15" x14ac:dyDescent="0.25">
      <c r="B63" s="66" t="s">
        <v>200</v>
      </c>
      <c r="F63" s="66" t="s">
        <v>220</v>
      </c>
      <c r="J63" s="66" t="s">
        <v>221</v>
      </c>
      <c r="N63" s="66"/>
    </row>
    <row r="64" spans="1:15" x14ac:dyDescent="0.25">
      <c r="A64" s="13" t="s">
        <v>7</v>
      </c>
      <c r="B64" s="13" t="s">
        <v>0</v>
      </c>
      <c r="C64" s="13" t="s">
        <v>164</v>
      </c>
      <c r="E64" s="13" t="s">
        <v>7</v>
      </c>
      <c r="F64" s="13" t="s">
        <v>0</v>
      </c>
      <c r="G64" s="13" t="s">
        <v>164</v>
      </c>
      <c r="I64" s="13" t="s">
        <v>7</v>
      </c>
      <c r="J64" s="13" t="s">
        <v>0</v>
      </c>
      <c r="K64" s="13" t="s">
        <v>164</v>
      </c>
      <c r="M64" s="13" t="s">
        <v>7</v>
      </c>
      <c r="N64" s="13" t="s">
        <v>0</v>
      </c>
      <c r="O64" s="13" t="s">
        <v>164</v>
      </c>
    </row>
    <row r="65" spans="1:15" x14ac:dyDescent="0.25">
      <c r="A65" s="168" t="s">
        <v>200</v>
      </c>
      <c r="B65" s="9" t="s">
        <v>6</v>
      </c>
      <c r="C65" s="22">
        <v>264726</v>
      </c>
      <c r="E65" s="168" t="s">
        <v>220</v>
      </c>
      <c r="F65" s="9" t="s">
        <v>6</v>
      </c>
      <c r="G65" s="22">
        <v>337873</v>
      </c>
      <c r="I65" s="168" t="s">
        <v>221</v>
      </c>
      <c r="J65" s="9" t="s">
        <v>6</v>
      </c>
      <c r="K65" s="22">
        <v>591768</v>
      </c>
      <c r="M65" s="168" t="s">
        <v>223</v>
      </c>
      <c r="N65" s="9" t="s">
        <v>6</v>
      </c>
      <c r="O65" s="22"/>
    </row>
    <row r="66" spans="1:15" x14ac:dyDescent="0.25">
      <c r="A66" s="169"/>
      <c r="B66" s="9" t="s">
        <v>41</v>
      </c>
      <c r="C66" s="22">
        <v>182625</v>
      </c>
      <c r="E66" s="169"/>
      <c r="F66" s="9" t="s">
        <v>41</v>
      </c>
      <c r="G66" s="22">
        <v>237438</v>
      </c>
      <c r="I66" s="169"/>
      <c r="J66" s="9" t="s">
        <v>41</v>
      </c>
      <c r="K66" s="22">
        <v>409541</v>
      </c>
      <c r="M66" s="169"/>
      <c r="N66" s="9" t="s">
        <v>41</v>
      </c>
      <c r="O66" s="22"/>
    </row>
    <row r="67" spans="1:15" x14ac:dyDescent="0.25">
      <c r="A67" s="169"/>
      <c r="B67" s="9" t="s">
        <v>24</v>
      </c>
      <c r="C67" s="22"/>
      <c r="E67" s="169"/>
      <c r="F67" s="9" t="s">
        <v>24</v>
      </c>
      <c r="G67" s="9"/>
      <c r="I67" s="169"/>
      <c r="J67" s="9" t="s">
        <v>24</v>
      </c>
      <c r="K67" s="22">
        <v>7281</v>
      </c>
      <c r="M67" s="169"/>
      <c r="N67" s="9" t="s">
        <v>24</v>
      </c>
      <c r="O67" s="22"/>
    </row>
    <row r="68" spans="1:15" x14ac:dyDescent="0.25">
      <c r="A68" s="169"/>
      <c r="B68" s="9" t="s">
        <v>10</v>
      </c>
      <c r="C68" s="22">
        <v>145817</v>
      </c>
      <c r="E68" s="169"/>
      <c r="F68" s="9" t="s">
        <v>10</v>
      </c>
      <c r="G68" s="22">
        <v>199002</v>
      </c>
      <c r="I68" s="169"/>
      <c r="J68" s="9" t="s">
        <v>10</v>
      </c>
      <c r="K68" s="22">
        <v>337339</v>
      </c>
      <c r="M68" s="169"/>
      <c r="N68" s="9" t="s">
        <v>10</v>
      </c>
      <c r="O68" s="22"/>
    </row>
    <row r="69" spans="1:15" x14ac:dyDescent="0.25">
      <c r="A69" s="169"/>
      <c r="B69" s="9" t="s">
        <v>11</v>
      </c>
      <c r="C69" s="22">
        <v>794.66</v>
      </c>
      <c r="E69" s="169"/>
      <c r="F69" s="9" t="s">
        <v>11</v>
      </c>
      <c r="G69" s="22">
        <v>1096.5999999999999</v>
      </c>
      <c r="I69" s="169"/>
      <c r="J69" s="9" t="s">
        <v>11</v>
      </c>
      <c r="K69" s="22">
        <v>1924.12</v>
      </c>
      <c r="M69" s="169"/>
      <c r="N69" s="9" t="s">
        <v>11</v>
      </c>
      <c r="O69" s="22"/>
    </row>
    <row r="70" spans="1:15" x14ac:dyDescent="0.25">
      <c r="A70" s="169"/>
      <c r="B70" s="9" t="s">
        <v>49</v>
      </c>
      <c r="C70" s="22">
        <v>115483</v>
      </c>
      <c r="E70" s="169"/>
      <c r="F70" s="9" t="s">
        <v>49</v>
      </c>
      <c r="G70" s="22">
        <v>88462</v>
      </c>
      <c r="I70" s="169"/>
      <c r="J70" s="9" t="s">
        <v>49</v>
      </c>
      <c r="K70" s="22">
        <v>141135</v>
      </c>
      <c r="M70" s="169"/>
      <c r="N70" s="9" t="s">
        <v>49</v>
      </c>
      <c r="O70" s="22"/>
    </row>
    <row r="71" spans="1:15" x14ac:dyDescent="0.25">
      <c r="A71" s="169"/>
      <c r="B71" s="9" t="s">
        <v>47</v>
      </c>
      <c r="C71" s="22">
        <v>18942</v>
      </c>
      <c r="E71" s="169"/>
      <c r="F71" s="9" t="s">
        <v>47</v>
      </c>
      <c r="G71" s="22">
        <v>28451</v>
      </c>
      <c r="I71" s="169"/>
      <c r="J71" s="9" t="s">
        <v>47</v>
      </c>
      <c r="K71" s="22">
        <v>51138</v>
      </c>
      <c r="M71" s="169"/>
      <c r="N71" s="9" t="s">
        <v>47</v>
      </c>
      <c r="O71" s="22"/>
    </row>
    <row r="72" spans="1:15" x14ac:dyDescent="0.25">
      <c r="A72" s="170"/>
      <c r="B72" s="9" t="s">
        <v>44</v>
      </c>
      <c r="C72" s="22">
        <v>268082</v>
      </c>
      <c r="E72" s="170"/>
      <c r="F72" s="9" t="s">
        <v>44</v>
      </c>
      <c r="G72" s="22">
        <v>462540</v>
      </c>
      <c r="I72" s="170"/>
      <c r="J72" s="9" t="s">
        <v>44</v>
      </c>
      <c r="K72" s="22">
        <v>815133</v>
      </c>
      <c r="M72" s="170"/>
      <c r="N72" s="9" t="s">
        <v>44</v>
      </c>
      <c r="O72" s="22"/>
    </row>
    <row r="73" spans="1:15" ht="15.75" thickBot="1" x14ac:dyDescent="0.3"/>
    <row r="74" spans="1:15" x14ac:dyDescent="0.25">
      <c r="A74" s="56"/>
      <c r="B74" s="57" t="s">
        <v>175</v>
      </c>
      <c r="C74" s="58"/>
    </row>
    <row r="75" spans="1:15" x14ac:dyDescent="0.25">
      <c r="A75" s="59"/>
      <c r="B75" s="60" t="s">
        <v>222</v>
      </c>
      <c r="C75" s="61"/>
    </row>
    <row r="76" spans="1:15" x14ac:dyDescent="0.25">
      <c r="A76" s="62" t="s">
        <v>7</v>
      </c>
      <c r="B76" s="12" t="s">
        <v>0</v>
      </c>
      <c r="C76" s="63" t="s">
        <v>164</v>
      </c>
    </row>
    <row r="77" spans="1:15" x14ac:dyDescent="0.25">
      <c r="A77" s="173" t="s">
        <v>222</v>
      </c>
      <c r="B77" s="54" t="s">
        <v>6</v>
      </c>
      <c r="C77" s="68">
        <f>+C65+G65+K65+O65</f>
        <v>1194367</v>
      </c>
    </row>
    <row r="78" spans="1:15" x14ac:dyDescent="0.25">
      <c r="A78" s="174"/>
      <c r="B78" s="54" t="s">
        <v>9</v>
      </c>
      <c r="C78" s="68">
        <f t="shared" ref="C78:C84" si="0">+C66+G66+K66+O66</f>
        <v>829604</v>
      </c>
    </row>
    <row r="79" spans="1:15" x14ac:dyDescent="0.25">
      <c r="A79" s="174"/>
      <c r="B79" s="54" t="s">
        <v>24</v>
      </c>
      <c r="C79" s="68">
        <f t="shared" si="0"/>
        <v>7281</v>
      </c>
    </row>
    <row r="80" spans="1:15" x14ac:dyDescent="0.25">
      <c r="A80" s="174"/>
      <c r="B80" s="54" t="s">
        <v>10</v>
      </c>
      <c r="C80" s="68">
        <f t="shared" si="0"/>
        <v>682158</v>
      </c>
    </row>
    <row r="81" spans="1:15" x14ac:dyDescent="0.25">
      <c r="A81" s="174"/>
      <c r="B81" s="54" t="s">
        <v>12</v>
      </c>
      <c r="C81" s="68">
        <f t="shared" si="0"/>
        <v>3815.3799999999997</v>
      </c>
    </row>
    <row r="82" spans="1:15" x14ac:dyDescent="0.25">
      <c r="A82" s="174"/>
      <c r="B82" s="55" t="s">
        <v>14</v>
      </c>
      <c r="C82" s="68">
        <f t="shared" si="0"/>
        <v>345080</v>
      </c>
    </row>
    <row r="83" spans="1:15" x14ac:dyDescent="0.25">
      <c r="A83" s="174"/>
      <c r="B83" s="54" t="s">
        <v>13</v>
      </c>
      <c r="C83" s="68">
        <f t="shared" si="0"/>
        <v>98531</v>
      </c>
    </row>
    <row r="84" spans="1:15" ht="15.75" thickBot="1" x14ac:dyDescent="0.3">
      <c r="A84" s="175"/>
      <c r="B84" s="64" t="s">
        <v>15</v>
      </c>
      <c r="C84" s="68">
        <f t="shared" si="0"/>
        <v>1545755</v>
      </c>
    </row>
    <row r="85" spans="1:1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7" spans="1:15" x14ac:dyDescent="0.25">
      <c r="B87" s="23" t="s">
        <v>177</v>
      </c>
      <c r="F87" s="23" t="s">
        <v>177</v>
      </c>
      <c r="J87" s="23" t="s">
        <v>177</v>
      </c>
      <c r="N87" s="23" t="s">
        <v>177</v>
      </c>
    </row>
    <row r="88" spans="1:15" x14ac:dyDescent="0.25">
      <c r="B88" s="66" t="s">
        <v>257</v>
      </c>
      <c r="F88" s="66" t="s">
        <v>259</v>
      </c>
      <c r="J88" s="66" t="s">
        <v>260</v>
      </c>
      <c r="N88" s="66" t="s">
        <v>261</v>
      </c>
    </row>
    <row r="89" spans="1:15" x14ac:dyDescent="0.25">
      <c r="A89" s="13" t="s">
        <v>7</v>
      </c>
      <c r="B89" s="13" t="s">
        <v>0</v>
      </c>
      <c r="C89" s="13" t="s">
        <v>164</v>
      </c>
      <c r="E89" s="13" t="s">
        <v>7</v>
      </c>
      <c r="F89" s="13" t="s">
        <v>0</v>
      </c>
      <c r="G89" s="13" t="s">
        <v>164</v>
      </c>
      <c r="I89" s="13" t="s">
        <v>7</v>
      </c>
      <c r="J89" s="13" t="s">
        <v>0</v>
      </c>
      <c r="K89" s="13" t="s">
        <v>164</v>
      </c>
      <c r="M89" s="13" t="s">
        <v>7</v>
      </c>
      <c r="N89" s="13" t="s">
        <v>0</v>
      </c>
      <c r="O89" s="13" t="s">
        <v>164</v>
      </c>
    </row>
    <row r="90" spans="1:15" x14ac:dyDescent="0.25">
      <c r="A90" s="168" t="s">
        <v>258</v>
      </c>
      <c r="B90" s="9" t="s">
        <v>6</v>
      </c>
      <c r="C90" s="22">
        <v>315944</v>
      </c>
      <c r="E90" s="168" t="s">
        <v>259</v>
      </c>
      <c r="F90" s="9" t="s">
        <v>6</v>
      </c>
      <c r="G90" s="22">
        <v>315645</v>
      </c>
      <c r="I90" s="168" t="s">
        <v>260</v>
      </c>
      <c r="J90" s="9" t="s">
        <v>6</v>
      </c>
      <c r="K90" s="22">
        <v>266550</v>
      </c>
      <c r="M90" s="168" t="s">
        <v>261</v>
      </c>
      <c r="N90" s="9" t="s">
        <v>6</v>
      </c>
      <c r="O90" s="22">
        <v>255445</v>
      </c>
    </row>
    <row r="91" spans="1:15" x14ac:dyDescent="0.25">
      <c r="A91" s="169"/>
      <c r="B91" s="9" t="s">
        <v>41</v>
      </c>
      <c r="C91" s="22">
        <v>232870</v>
      </c>
      <c r="E91" s="169"/>
      <c r="F91" s="9" t="s">
        <v>41</v>
      </c>
      <c r="G91" s="22">
        <v>235911</v>
      </c>
      <c r="I91" s="169"/>
      <c r="J91" s="9" t="s">
        <v>41</v>
      </c>
      <c r="K91" s="22">
        <v>211612</v>
      </c>
      <c r="M91" s="169"/>
      <c r="N91" s="9" t="s">
        <v>41</v>
      </c>
      <c r="O91" s="22">
        <v>190818</v>
      </c>
    </row>
    <row r="92" spans="1:15" x14ac:dyDescent="0.25">
      <c r="A92" s="169"/>
      <c r="B92" s="9" t="s">
        <v>24</v>
      </c>
      <c r="C92" s="22"/>
      <c r="E92" s="169"/>
      <c r="F92" s="9" t="s">
        <v>24</v>
      </c>
      <c r="G92" s="22"/>
      <c r="I92" s="169"/>
      <c r="J92" s="9" t="s">
        <v>24</v>
      </c>
      <c r="K92" s="22"/>
      <c r="M92" s="169"/>
      <c r="N92" s="9" t="s">
        <v>24</v>
      </c>
      <c r="O92" s="22"/>
    </row>
    <row r="93" spans="1:15" x14ac:dyDescent="0.25">
      <c r="A93" s="169"/>
      <c r="B93" s="9" t="s">
        <v>10</v>
      </c>
      <c r="C93" s="22">
        <v>187484</v>
      </c>
      <c r="E93" s="169"/>
      <c r="F93" s="9" t="s">
        <v>10</v>
      </c>
      <c r="G93" s="22">
        <v>185587</v>
      </c>
      <c r="I93" s="169"/>
      <c r="J93" s="9" t="s">
        <v>10</v>
      </c>
      <c r="K93" s="22">
        <v>171585</v>
      </c>
      <c r="M93" s="169"/>
      <c r="N93" s="9" t="s">
        <v>10</v>
      </c>
      <c r="O93" s="22">
        <v>153471</v>
      </c>
    </row>
    <row r="94" spans="1:15" x14ac:dyDescent="0.25">
      <c r="A94" s="169"/>
      <c r="B94" s="9" t="s">
        <v>11</v>
      </c>
      <c r="C94" s="22">
        <v>1089.8699999999999</v>
      </c>
      <c r="E94" s="169"/>
      <c r="F94" s="9" t="s">
        <v>11</v>
      </c>
      <c r="G94" s="22">
        <v>1105.77</v>
      </c>
      <c r="I94" s="169"/>
      <c r="J94" s="9" t="s">
        <v>11</v>
      </c>
      <c r="K94" s="22">
        <v>997.33</v>
      </c>
      <c r="M94" s="169"/>
      <c r="N94" s="9" t="s">
        <v>11</v>
      </c>
      <c r="O94" s="22">
        <v>900.96</v>
      </c>
    </row>
    <row r="95" spans="1:15" x14ac:dyDescent="0.25">
      <c r="A95" s="169"/>
      <c r="B95" s="9" t="s">
        <v>49</v>
      </c>
      <c r="C95" s="22">
        <v>89055</v>
      </c>
      <c r="E95" s="169"/>
      <c r="F95" s="9" t="s">
        <v>49</v>
      </c>
      <c r="G95" s="22">
        <v>142873</v>
      </c>
      <c r="I95" s="169"/>
      <c r="J95" s="9" t="s">
        <v>49</v>
      </c>
      <c r="K95" s="22">
        <v>29713</v>
      </c>
      <c r="M95" s="169"/>
      <c r="N95" s="9" t="s">
        <v>49</v>
      </c>
      <c r="O95" s="22">
        <v>24899</v>
      </c>
    </row>
    <row r="96" spans="1:15" x14ac:dyDescent="0.25">
      <c r="A96" s="169"/>
      <c r="B96" s="9" t="s">
        <v>47</v>
      </c>
      <c r="C96" s="22">
        <v>55701</v>
      </c>
      <c r="E96" s="169"/>
      <c r="F96" s="9" t="s">
        <v>47</v>
      </c>
      <c r="G96" s="22">
        <v>95385</v>
      </c>
      <c r="I96" s="169"/>
      <c r="J96" s="9" t="s">
        <v>47</v>
      </c>
      <c r="K96" s="22">
        <v>105747</v>
      </c>
      <c r="M96" s="169"/>
      <c r="N96" s="9" t="s">
        <v>47</v>
      </c>
      <c r="O96" s="22">
        <v>59245</v>
      </c>
    </row>
    <row r="97" spans="1:15" x14ac:dyDescent="0.25">
      <c r="A97" s="170"/>
      <c r="B97" s="9" t="s">
        <v>44</v>
      </c>
      <c r="C97" s="22">
        <v>414940</v>
      </c>
      <c r="E97" s="170"/>
      <c r="F97" s="9" t="s">
        <v>44</v>
      </c>
      <c r="G97" s="22">
        <v>292410</v>
      </c>
      <c r="I97" s="170"/>
      <c r="J97" s="9" t="s">
        <v>44</v>
      </c>
      <c r="K97" s="22">
        <v>390464</v>
      </c>
      <c r="M97" s="170"/>
      <c r="N97" s="9" t="s">
        <v>44</v>
      </c>
      <c r="O97" s="22">
        <v>401956</v>
      </c>
    </row>
    <row r="98" spans="1:15" ht="15.75" thickBot="1" x14ac:dyDescent="0.3"/>
    <row r="99" spans="1:15" x14ac:dyDescent="0.25">
      <c r="A99" s="56"/>
      <c r="B99" s="57" t="s">
        <v>175</v>
      </c>
      <c r="C99" s="58"/>
    </row>
    <row r="100" spans="1:15" x14ac:dyDescent="0.25">
      <c r="A100" s="59"/>
      <c r="B100" s="60" t="s">
        <v>262</v>
      </c>
      <c r="C100" s="61"/>
    </row>
    <row r="101" spans="1:15" x14ac:dyDescent="0.25">
      <c r="A101" s="62" t="s">
        <v>7</v>
      </c>
      <c r="B101" s="12" t="s">
        <v>0</v>
      </c>
      <c r="C101" s="63" t="s">
        <v>164</v>
      </c>
    </row>
    <row r="102" spans="1:15" x14ac:dyDescent="0.25">
      <c r="A102" s="173" t="s">
        <v>262</v>
      </c>
      <c r="B102" s="54" t="s">
        <v>6</v>
      </c>
      <c r="C102" s="68">
        <f>+C90+G90+K90+O90</f>
        <v>1153584</v>
      </c>
      <c r="E102" t="s">
        <v>267</v>
      </c>
    </row>
    <row r="103" spans="1:15" x14ac:dyDescent="0.25">
      <c r="A103" s="174"/>
      <c r="B103" s="54" t="s">
        <v>9</v>
      </c>
      <c r="C103" s="68">
        <f t="shared" ref="C103:C109" si="1">+C91+G91+K91+O91</f>
        <v>871211</v>
      </c>
    </row>
    <row r="104" spans="1:15" x14ac:dyDescent="0.25">
      <c r="A104" s="174"/>
      <c r="B104" s="54" t="s">
        <v>24</v>
      </c>
      <c r="C104" s="68">
        <f t="shared" si="1"/>
        <v>0</v>
      </c>
    </row>
    <row r="105" spans="1:15" x14ac:dyDescent="0.25">
      <c r="A105" s="174"/>
      <c r="B105" s="54" t="s">
        <v>10</v>
      </c>
      <c r="C105" s="68">
        <f t="shared" si="1"/>
        <v>698127</v>
      </c>
    </row>
    <row r="106" spans="1:15" x14ac:dyDescent="0.25">
      <c r="A106" s="174"/>
      <c r="B106" s="54" t="s">
        <v>12</v>
      </c>
      <c r="C106" s="68">
        <f t="shared" si="1"/>
        <v>4093.93</v>
      </c>
    </row>
    <row r="107" spans="1:15" x14ac:dyDescent="0.25">
      <c r="A107" s="174"/>
      <c r="B107" s="55" t="s">
        <v>14</v>
      </c>
      <c r="C107" s="68">
        <f t="shared" si="1"/>
        <v>286540</v>
      </c>
    </row>
    <row r="108" spans="1:15" x14ac:dyDescent="0.25">
      <c r="A108" s="174"/>
      <c r="B108" s="54" t="s">
        <v>13</v>
      </c>
      <c r="C108" s="68">
        <f t="shared" si="1"/>
        <v>316078</v>
      </c>
    </row>
    <row r="109" spans="1:15" ht="15.75" thickBot="1" x14ac:dyDescent="0.3">
      <c r="A109" s="175"/>
      <c r="B109" s="64" t="s">
        <v>15</v>
      </c>
      <c r="C109" s="68">
        <f t="shared" si="1"/>
        <v>1499770</v>
      </c>
    </row>
    <row r="110" spans="1:1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x14ac:dyDescent="0.25">
      <c r="B111" s="23" t="s">
        <v>177</v>
      </c>
      <c r="F111" s="23" t="s">
        <v>177</v>
      </c>
      <c r="J111" s="23" t="s">
        <v>177</v>
      </c>
      <c r="N111" s="23" t="s">
        <v>177</v>
      </c>
    </row>
    <row r="112" spans="1:15" x14ac:dyDescent="0.25">
      <c r="B112" s="66" t="s">
        <v>268</v>
      </c>
      <c r="F112" s="66" t="s">
        <v>269</v>
      </c>
      <c r="J112" s="66" t="s">
        <v>270</v>
      </c>
      <c r="N112" s="66" t="s">
        <v>271</v>
      </c>
    </row>
    <row r="113" spans="1:15" x14ac:dyDescent="0.25">
      <c r="A113" s="13" t="s">
        <v>7</v>
      </c>
      <c r="B113" s="13" t="s">
        <v>0</v>
      </c>
      <c r="C113" s="13" t="s">
        <v>164</v>
      </c>
      <c r="E113" s="13" t="s">
        <v>7</v>
      </c>
      <c r="F113" s="13" t="s">
        <v>0</v>
      </c>
      <c r="G113" s="13" t="s">
        <v>164</v>
      </c>
      <c r="I113" s="13" t="s">
        <v>7</v>
      </c>
      <c r="J113" s="13" t="s">
        <v>0</v>
      </c>
      <c r="K113" s="13" t="s">
        <v>164</v>
      </c>
      <c r="M113" s="13" t="s">
        <v>7</v>
      </c>
      <c r="N113" s="13" t="s">
        <v>0</v>
      </c>
      <c r="O113" s="13" t="s">
        <v>164</v>
      </c>
    </row>
    <row r="114" spans="1:15" x14ac:dyDescent="0.25">
      <c r="A114" s="168" t="s">
        <v>268</v>
      </c>
      <c r="B114" s="9" t="s">
        <v>6</v>
      </c>
      <c r="C114" s="22">
        <v>126953</v>
      </c>
      <c r="E114" s="168" t="s">
        <v>269</v>
      </c>
      <c r="F114" s="9" t="s">
        <v>6</v>
      </c>
      <c r="G114" s="22">
        <v>99781</v>
      </c>
      <c r="I114" s="168" t="s">
        <v>270</v>
      </c>
      <c r="J114" s="9" t="s">
        <v>6</v>
      </c>
      <c r="K114" s="22">
        <v>346578</v>
      </c>
      <c r="M114" s="168" t="s">
        <v>272</v>
      </c>
      <c r="N114" s="9" t="s">
        <v>6</v>
      </c>
      <c r="O114" s="22">
        <v>48473</v>
      </c>
    </row>
    <row r="115" spans="1:15" x14ac:dyDescent="0.25">
      <c r="A115" s="169"/>
      <c r="B115" s="9" t="s">
        <v>41</v>
      </c>
      <c r="C115" s="22">
        <v>89575</v>
      </c>
      <c r="E115" s="169"/>
      <c r="F115" s="9" t="s">
        <v>41</v>
      </c>
      <c r="G115" s="22">
        <v>75045</v>
      </c>
      <c r="I115" s="169"/>
      <c r="J115" s="9" t="s">
        <v>41</v>
      </c>
      <c r="K115" s="22">
        <v>247557</v>
      </c>
      <c r="M115" s="169"/>
      <c r="N115" s="9" t="s">
        <v>41</v>
      </c>
      <c r="O115" s="22">
        <v>32563</v>
      </c>
    </row>
    <row r="116" spans="1:15" x14ac:dyDescent="0.25">
      <c r="A116" s="169"/>
      <c r="B116" s="9" t="s">
        <v>24</v>
      </c>
      <c r="C116" s="22">
        <v>5230</v>
      </c>
      <c r="E116" s="169"/>
      <c r="F116" s="9" t="s">
        <v>24</v>
      </c>
      <c r="G116" s="22"/>
      <c r="I116" s="169"/>
      <c r="J116" s="9" t="s">
        <v>24</v>
      </c>
      <c r="K116" s="22"/>
      <c r="M116" s="169"/>
      <c r="N116" s="9" t="s">
        <v>24</v>
      </c>
      <c r="O116" s="22"/>
    </row>
    <row r="117" spans="1:15" x14ac:dyDescent="0.25">
      <c r="A117" s="169"/>
      <c r="B117" s="9" t="s">
        <v>10</v>
      </c>
      <c r="C117" s="22">
        <v>65028</v>
      </c>
      <c r="E117" s="169"/>
      <c r="F117" s="9" t="s">
        <v>10</v>
      </c>
      <c r="G117" s="22">
        <v>54743</v>
      </c>
      <c r="I117" s="169"/>
      <c r="J117" s="9" t="s">
        <v>10</v>
      </c>
      <c r="K117" s="22">
        <v>204429</v>
      </c>
      <c r="M117" s="169"/>
      <c r="N117" s="9" t="s">
        <v>10</v>
      </c>
      <c r="O117" s="22">
        <v>25491</v>
      </c>
    </row>
    <row r="118" spans="1:15" x14ac:dyDescent="0.25">
      <c r="A118" s="169"/>
      <c r="B118" s="9" t="s">
        <v>11</v>
      </c>
      <c r="C118" s="22">
        <v>451.07</v>
      </c>
      <c r="E118" s="169"/>
      <c r="F118" s="9" t="s">
        <v>11</v>
      </c>
      <c r="G118" s="22">
        <v>340.57</v>
      </c>
      <c r="I118" s="169"/>
      <c r="J118" s="9" t="s">
        <v>11</v>
      </c>
      <c r="K118" s="22">
        <v>1233.44</v>
      </c>
      <c r="M118" s="169"/>
      <c r="N118" s="9" t="s">
        <v>11</v>
      </c>
      <c r="O118" s="22">
        <v>141.22</v>
      </c>
    </row>
    <row r="119" spans="1:15" x14ac:dyDescent="0.25">
      <c r="A119" s="169"/>
      <c r="B119" s="9" t="s">
        <v>49</v>
      </c>
      <c r="C119" s="22">
        <v>92933</v>
      </c>
      <c r="E119" s="169"/>
      <c r="F119" s="9" t="s">
        <v>49</v>
      </c>
      <c r="G119" s="22">
        <v>19481</v>
      </c>
      <c r="I119" s="169"/>
      <c r="J119" s="9" t="s">
        <v>49</v>
      </c>
      <c r="K119" s="22">
        <v>154496</v>
      </c>
      <c r="M119" s="169"/>
      <c r="N119" s="9" t="s">
        <v>49</v>
      </c>
      <c r="O119" s="22">
        <v>10903</v>
      </c>
    </row>
    <row r="120" spans="1:15" x14ac:dyDescent="0.25">
      <c r="A120" s="169"/>
      <c r="B120" s="9" t="s">
        <v>47</v>
      </c>
      <c r="C120" s="22"/>
      <c r="E120" s="169"/>
      <c r="F120" s="9" t="s">
        <v>47</v>
      </c>
      <c r="G120" s="22"/>
      <c r="I120" s="169"/>
      <c r="J120" s="9" t="s">
        <v>47</v>
      </c>
      <c r="K120" s="22">
        <v>48298</v>
      </c>
      <c r="M120" s="169"/>
      <c r="N120" s="9" t="s">
        <v>47</v>
      </c>
      <c r="O120" s="22">
        <v>22934</v>
      </c>
    </row>
    <row r="121" spans="1:15" x14ac:dyDescent="0.25">
      <c r="A121" s="170"/>
      <c r="B121" s="9" t="s">
        <v>44</v>
      </c>
      <c r="C121" s="22">
        <v>77322</v>
      </c>
      <c r="E121" s="170"/>
      <c r="F121" s="9" t="s">
        <v>44</v>
      </c>
      <c r="G121" s="22">
        <v>159825</v>
      </c>
      <c r="I121" s="170"/>
      <c r="J121" s="9" t="s">
        <v>44</v>
      </c>
      <c r="K121" s="22">
        <v>364005</v>
      </c>
      <c r="M121" s="170"/>
      <c r="N121" s="9" t="s">
        <v>44</v>
      </c>
      <c r="O121" s="22">
        <v>47514</v>
      </c>
    </row>
    <row r="122" spans="1:15" ht="15.75" thickBot="1" x14ac:dyDescent="0.3"/>
    <row r="123" spans="1:15" x14ac:dyDescent="0.25">
      <c r="A123" s="56"/>
      <c r="B123" s="57" t="s">
        <v>175</v>
      </c>
      <c r="C123" s="58"/>
    </row>
    <row r="124" spans="1:15" x14ac:dyDescent="0.25">
      <c r="A124" s="59"/>
      <c r="B124" s="60" t="s">
        <v>279</v>
      </c>
      <c r="C124" s="61"/>
    </row>
    <row r="125" spans="1:15" x14ac:dyDescent="0.25">
      <c r="A125" s="62" t="s">
        <v>7</v>
      </c>
      <c r="B125" s="12" t="s">
        <v>0</v>
      </c>
      <c r="C125" s="63" t="s">
        <v>164</v>
      </c>
    </row>
    <row r="126" spans="1:15" x14ac:dyDescent="0.25">
      <c r="A126" s="173" t="s">
        <v>279</v>
      </c>
      <c r="B126" s="54" t="s">
        <v>6</v>
      </c>
      <c r="C126" s="68">
        <f>+C114+G114+K114+O114</f>
        <v>621785</v>
      </c>
      <c r="E126" t="s">
        <v>267</v>
      </c>
    </row>
    <row r="127" spans="1:15" x14ac:dyDescent="0.25">
      <c r="A127" s="174"/>
      <c r="B127" s="54" t="s">
        <v>9</v>
      </c>
      <c r="C127" s="68">
        <f t="shared" ref="C127:C133" si="2">+C115+G115+K115+O115</f>
        <v>444740</v>
      </c>
    </row>
    <row r="128" spans="1:15" x14ac:dyDescent="0.25">
      <c r="A128" s="174"/>
      <c r="B128" s="54" t="s">
        <v>24</v>
      </c>
      <c r="C128" s="68">
        <f t="shared" si="2"/>
        <v>5230</v>
      </c>
    </row>
    <row r="129" spans="1:15" x14ac:dyDescent="0.25">
      <c r="A129" s="174"/>
      <c r="B129" s="54" t="s">
        <v>10</v>
      </c>
      <c r="C129" s="68">
        <f t="shared" si="2"/>
        <v>349691</v>
      </c>
    </row>
    <row r="130" spans="1:15" x14ac:dyDescent="0.25">
      <c r="A130" s="174"/>
      <c r="B130" s="54" t="s">
        <v>12</v>
      </c>
      <c r="C130" s="68">
        <f t="shared" si="2"/>
        <v>2166.2999999999997</v>
      </c>
    </row>
    <row r="131" spans="1:15" x14ac:dyDescent="0.25">
      <c r="A131" s="174"/>
      <c r="B131" s="55" t="s">
        <v>14</v>
      </c>
      <c r="C131" s="68">
        <f t="shared" si="2"/>
        <v>277813</v>
      </c>
    </row>
    <row r="132" spans="1:15" x14ac:dyDescent="0.25">
      <c r="A132" s="174"/>
      <c r="B132" s="54" t="s">
        <v>13</v>
      </c>
      <c r="C132" s="68">
        <f t="shared" si="2"/>
        <v>71232</v>
      </c>
    </row>
    <row r="133" spans="1:15" ht="15.75" thickBot="1" x14ac:dyDescent="0.3">
      <c r="A133" s="175"/>
      <c r="B133" s="64" t="s">
        <v>15</v>
      </c>
      <c r="C133" s="68">
        <f t="shared" si="2"/>
        <v>648666</v>
      </c>
    </row>
    <row r="134" spans="1:1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6" spans="1:15" x14ac:dyDescent="0.25">
      <c r="B136" s="66" t="s">
        <v>288</v>
      </c>
      <c r="F136" s="66" t="s">
        <v>289</v>
      </c>
      <c r="J136" s="66" t="s">
        <v>290</v>
      </c>
      <c r="N136" s="66" t="s">
        <v>319</v>
      </c>
    </row>
    <row r="137" spans="1:15" x14ac:dyDescent="0.25">
      <c r="A137" s="13" t="s">
        <v>7</v>
      </c>
      <c r="B137" s="13" t="s">
        <v>0</v>
      </c>
      <c r="C137" s="13" t="s">
        <v>164</v>
      </c>
      <c r="E137" s="13" t="s">
        <v>7</v>
      </c>
      <c r="F137" s="13" t="s">
        <v>0</v>
      </c>
      <c r="G137" s="13" t="s">
        <v>164</v>
      </c>
      <c r="I137" s="13" t="s">
        <v>7</v>
      </c>
      <c r="J137" s="13" t="s">
        <v>0</v>
      </c>
      <c r="K137" s="13" t="s">
        <v>164</v>
      </c>
      <c r="M137" s="13" t="s">
        <v>7</v>
      </c>
      <c r="N137" s="13" t="s">
        <v>0</v>
      </c>
      <c r="O137" s="13" t="s">
        <v>164</v>
      </c>
    </row>
    <row r="138" spans="1:15" x14ac:dyDescent="0.25">
      <c r="A138" s="168" t="s">
        <v>268</v>
      </c>
      <c r="B138" s="9" t="s">
        <v>6</v>
      </c>
      <c r="C138" s="22">
        <v>174265</v>
      </c>
      <c r="E138" s="168" t="s">
        <v>269</v>
      </c>
      <c r="F138" s="9" t="s">
        <v>6</v>
      </c>
      <c r="G138" s="22">
        <v>186980</v>
      </c>
      <c r="I138" s="168" t="s">
        <v>270</v>
      </c>
      <c r="J138" s="9" t="s">
        <v>6</v>
      </c>
      <c r="K138" s="22">
        <v>360054</v>
      </c>
      <c r="M138" s="168" t="s">
        <v>320</v>
      </c>
      <c r="N138" s="9" t="s">
        <v>6</v>
      </c>
      <c r="O138" s="22">
        <v>300326</v>
      </c>
    </row>
    <row r="139" spans="1:15" x14ac:dyDescent="0.25">
      <c r="A139" s="169"/>
      <c r="B139" s="9" t="s">
        <v>41</v>
      </c>
      <c r="C139" s="22">
        <v>108749</v>
      </c>
      <c r="E139" s="169"/>
      <c r="F139" s="9" t="s">
        <v>41</v>
      </c>
      <c r="G139" s="22">
        <v>121994</v>
      </c>
      <c r="I139" s="169"/>
      <c r="J139" s="9" t="s">
        <v>41</v>
      </c>
      <c r="K139" s="22">
        <v>239514</v>
      </c>
      <c r="M139" s="169"/>
      <c r="N139" s="9" t="s">
        <v>41</v>
      </c>
      <c r="O139" s="22">
        <v>200699</v>
      </c>
    </row>
    <row r="140" spans="1:15" x14ac:dyDescent="0.25">
      <c r="A140" s="169"/>
      <c r="B140" s="9" t="s">
        <v>24</v>
      </c>
      <c r="C140" s="22"/>
      <c r="E140" s="169"/>
      <c r="F140" s="9" t="s">
        <v>24</v>
      </c>
      <c r="G140" s="22"/>
      <c r="I140" s="169"/>
      <c r="J140" s="9" t="s">
        <v>24</v>
      </c>
      <c r="K140" s="22"/>
      <c r="M140" s="169"/>
      <c r="N140" s="9" t="s">
        <v>24</v>
      </c>
      <c r="O140" s="22"/>
    </row>
    <row r="141" spans="1:15" x14ac:dyDescent="0.25">
      <c r="A141" s="169"/>
      <c r="B141" s="9" t="s">
        <v>10</v>
      </c>
      <c r="C141" s="22">
        <v>85778</v>
      </c>
      <c r="E141" s="169"/>
      <c r="F141" s="9" t="s">
        <v>10</v>
      </c>
      <c r="G141" s="22">
        <v>100940</v>
      </c>
      <c r="I141" s="169"/>
      <c r="J141" s="9" t="s">
        <v>10</v>
      </c>
      <c r="K141" s="22">
        <v>202173</v>
      </c>
      <c r="M141" s="169"/>
      <c r="N141" s="9" t="s">
        <v>10</v>
      </c>
      <c r="O141" s="22">
        <v>163532</v>
      </c>
    </row>
    <row r="142" spans="1:15" x14ac:dyDescent="0.25">
      <c r="A142" s="169"/>
      <c r="B142" s="9" t="s">
        <v>11</v>
      </c>
      <c r="C142" s="22">
        <v>515.29999999999995</v>
      </c>
      <c r="E142" s="169"/>
      <c r="F142" s="9" t="s">
        <v>11</v>
      </c>
      <c r="G142" s="22">
        <v>609.25</v>
      </c>
      <c r="I142" s="169"/>
      <c r="J142" s="9" t="s">
        <v>11</v>
      </c>
      <c r="K142" s="22">
        <v>1192.5</v>
      </c>
      <c r="M142" s="169"/>
      <c r="N142" s="9" t="s">
        <v>11</v>
      </c>
      <c r="O142" s="22">
        <v>1029.1500000000001</v>
      </c>
    </row>
    <row r="143" spans="1:15" x14ac:dyDescent="0.25">
      <c r="A143" s="169"/>
      <c r="B143" s="9" t="s">
        <v>49</v>
      </c>
      <c r="C143" s="22">
        <v>67137</v>
      </c>
      <c r="E143" s="169"/>
      <c r="F143" s="9" t="s">
        <v>49</v>
      </c>
      <c r="G143" s="22">
        <v>32356</v>
      </c>
      <c r="I143" s="169"/>
      <c r="J143" s="9" t="s">
        <v>49</v>
      </c>
      <c r="K143" s="22">
        <v>30134</v>
      </c>
      <c r="M143" s="169"/>
      <c r="N143" s="9" t="s">
        <v>49</v>
      </c>
      <c r="O143" s="22">
        <v>159061</v>
      </c>
    </row>
    <row r="144" spans="1:15" x14ac:dyDescent="0.25">
      <c r="A144" s="169"/>
      <c r="B144" s="9" t="s">
        <v>47</v>
      </c>
      <c r="C144" s="22">
        <v>40785</v>
      </c>
      <c r="E144" s="169"/>
      <c r="F144" s="9" t="s">
        <v>47</v>
      </c>
      <c r="G144" s="22">
        <v>87146</v>
      </c>
      <c r="I144" s="169"/>
      <c r="J144" s="9" t="s">
        <v>47</v>
      </c>
      <c r="K144" s="22">
        <v>37986</v>
      </c>
      <c r="M144" s="169"/>
      <c r="N144" s="9" t="s">
        <v>47</v>
      </c>
      <c r="O144" s="22">
        <v>32140</v>
      </c>
    </row>
    <row r="145" spans="1:15" x14ac:dyDescent="0.25">
      <c r="A145" s="170"/>
      <c r="B145" s="9" t="s">
        <v>44</v>
      </c>
      <c r="C145" s="86">
        <v>144381</v>
      </c>
      <c r="E145" s="170"/>
      <c r="F145" s="9" t="s">
        <v>44</v>
      </c>
      <c r="G145" s="22">
        <f>33875+174907</f>
        <v>208782</v>
      </c>
      <c r="I145" s="170"/>
      <c r="J145" s="9" t="s">
        <v>44</v>
      </c>
      <c r="K145" s="22">
        <v>550683</v>
      </c>
      <c r="M145" s="170"/>
      <c r="N145" s="9" t="s">
        <v>44</v>
      </c>
      <c r="O145" s="22">
        <v>255295</v>
      </c>
    </row>
    <row r="146" spans="1:15" x14ac:dyDescent="0.25">
      <c r="C146" s="22"/>
      <c r="F146" s="9"/>
      <c r="G146" s="22"/>
      <c r="N146" s="9"/>
      <c r="O146" s="86"/>
    </row>
    <row r="148" spans="1:15" ht="15.75" thickBot="1" x14ac:dyDescent="0.3"/>
    <row r="149" spans="1:15" x14ac:dyDescent="0.25">
      <c r="A149" s="56"/>
      <c r="B149" s="57" t="s">
        <v>175</v>
      </c>
      <c r="C149" s="58"/>
    </row>
    <row r="150" spans="1:15" x14ac:dyDescent="0.25">
      <c r="A150" s="59"/>
      <c r="B150" s="60" t="s">
        <v>291</v>
      </c>
      <c r="C150" s="61"/>
      <c r="E150" t="s">
        <v>267</v>
      </c>
    </row>
    <row r="151" spans="1:15" x14ac:dyDescent="0.25">
      <c r="A151" s="62" t="s">
        <v>7</v>
      </c>
      <c r="B151" s="12" t="s">
        <v>0</v>
      </c>
      <c r="C151" s="63" t="s">
        <v>164</v>
      </c>
      <c r="G151" s="85"/>
    </row>
    <row r="152" spans="1:15" x14ac:dyDescent="0.25">
      <c r="A152" s="82" t="s">
        <v>292</v>
      </c>
      <c r="B152" s="54" t="s">
        <v>6</v>
      </c>
      <c r="C152" s="68">
        <f t="shared" ref="C152:C157" si="3">+C138+G138+K138+O138</f>
        <v>1021625</v>
      </c>
      <c r="F152" s="85"/>
      <c r="G152" s="85"/>
    </row>
    <row r="153" spans="1:15" x14ac:dyDescent="0.25">
      <c r="A153" s="83"/>
      <c r="B153" s="54" t="s">
        <v>9</v>
      </c>
      <c r="C153" s="68">
        <f t="shared" si="3"/>
        <v>670956</v>
      </c>
    </row>
    <row r="154" spans="1:15" x14ac:dyDescent="0.25">
      <c r="A154" s="83"/>
      <c r="B154" s="54" t="s">
        <v>24</v>
      </c>
      <c r="C154" s="68">
        <f t="shared" si="3"/>
        <v>0</v>
      </c>
    </row>
    <row r="155" spans="1:15" x14ac:dyDescent="0.25">
      <c r="A155" s="83"/>
      <c r="B155" s="54" t="s">
        <v>10</v>
      </c>
      <c r="C155" s="68">
        <f t="shared" si="3"/>
        <v>552423</v>
      </c>
    </row>
    <row r="156" spans="1:15" x14ac:dyDescent="0.25">
      <c r="A156" s="83"/>
      <c r="B156" s="54" t="s">
        <v>12</v>
      </c>
      <c r="C156" s="68">
        <f t="shared" si="3"/>
        <v>3346.2000000000003</v>
      </c>
      <c r="G156" s="85"/>
    </row>
    <row r="157" spans="1:15" x14ac:dyDescent="0.25">
      <c r="A157" s="83"/>
      <c r="B157" s="55" t="s">
        <v>14</v>
      </c>
      <c r="C157" s="68">
        <f t="shared" si="3"/>
        <v>288688</v>
      </c>
    </row>
    <row r="158" spans="1:15" x14ac:dyDescent="0.25">
      <c r="A158" s="83"/>
      <c r="B158" s="54" t="s">
        <v>13</v>
      </c>
      <c r="C158" s="68">
        <f>+C144+G144+K144+O144</f>
        <v>198057</v>
      </c>
    </row>
    <row r="159" spans="1:15" ht="15.75" thickBot="1" x14ac:dyDescent="0.3">
      <c r="A159" s="84"/>
      <c r="B159" s="64" t="s">
        <v>15</v>
      </c>
      <c r="C159" s="68">
        <f>+C145+G145+K145+O145</f>
        <v>1159141</v>
      </c>
    </row>
    <row r="160" spans="1:15" ht="15.75" thickBot="1" x14ac:dyDescent="0.3">
      <c r="B160" s="64"/>
      <c r="C160" s="68"/>
    </row>
    <row r="162" spans="1:1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</row>
    <row r="165" spans="1:15" x14ac:dyDescent="0.25">
      <c r="B165" s="66" t="s">
        <v>325</v>
      </c>
      <c r="F165" s="66" t="s">
        <v>326</v>
      </c>
      <c r="J165" s="66" t="s">
        <v>327</v>
      </c>
      <c r="N165" s="66" t="s">
        <v>328</v>
      </c>
    </row>
    <row r="166" spans="1:15" x14ac:dyDescent="0.25">
      <c r="A166" s="13" t="s">
        <v>7</v>
      </c>
      <c r="B166" s="13" t="s">
        <v>0</v>
      </c>
      <c r="C166" s="13" t="s">
        <v>164</v>
      </c>
      <c r="E166" s="13" t="s">
        <v>7</v>
      </c>
      <c r="F166" s="13" t="s">
        <v>0</v>
      </c>
      <c r="G166" s="13" t="s">
        <v>164</v>
      </c>
      <c r="I166" s="13" t="s">
        <v>7</v>
      </c>
      <c r="J166" s="13" t="s">
        <v>0</v>
      </c>
      <c r="K166" s="13" t="s">
        <v>164</v>
      </c>
      <c r="M166" s="13" t="s">
        <v>7</v>
      </c>
      <c r="N166" s="13" t="s">
        <v>0</v>
      </c>
      <c r="O166" s="13" t="s">
        <v>164</v>
      </c>
    </row>
    <row r="167" spans="1:15" x14ac:dyDescent="0.25">
      <c r="A167" s="168" t="s">
        <v>325</v>
      </c>
      <c r="B167" s="9" t="s">
        <v>6</v>
      </c>
      <c r="C167" s="22">
        <v>279070</v>
      </c>
      <c r="E167" s="168" t="s">
        <v>326</v>
      </c>
      <c r="F167" s="9" t="s">
        <v>6</v>
      </c>
      <c r="G167" s="22">
        <v>311276</v>
      </c>
      <c r="I167" s="168" t="s">
        <v>327</v>
      </c>
      <c r="J167" s="9" t="s">
        <v>6</v>
      </c>
      <c r="K167" s="22">
        <v>317518</v>
      </c>
      <c r="M167" s="168" t="s">
        <v>328</v>
      </c>
      <c r="N167" s="9" t="s">
        <v>6</v>
      </c>
      <c r="O167" s="22">
        <v>431152</v>
      </c>
    </row>
    <row r="168" spans="1:15" x14ac:dyDescent="0.25">
      <c r="A168" s="169"/>
      <c r="B168" s="9" t="s">
        <v>41</v>
      </c>
      <c r="C168" s="22">
        <v>186723</v>
      </c>
      <c r="E168" s="169"/>
      <c r="F168" s="9" t="s">
        <v>41</v>
      </c>
      <c r="G168" s="22">
        <v>207166</v>
      </c>
      <c r="I168" s="169"/>
      <c r="J168" s="9" t="s">
        <v>41</v>
      </c>
      <c r="K168" s="22">
        <v>206033</v>
      </c>
      <c r="M168" s="169"/>
      <c r="N168" s="9" t="s">
        <v>41</v>
      </c>
      <c r="O168" s="22">
        <v>278750</v>
      </c>
    </row>
    <row r="169" spans="1:15" x14ac:dyDescent="0.25">
      <c r="A169" s="169"/>
      <c r="B169" s="9" t="s">
        <v>24</v>
      </c>
      <c r="C169" s="22"/>
      <c r="E169" s="169"/>
      <c r="F169" s="9" t="s">
        <v>24</v>
      </c>
      <c r="G169" s="22"/>
      <c r="I169" s="169"/>
      <c r="J169" s="9" t="s">
        <v>24</v>
      </c>
      <c r="K169" s="22">
        <v>2358</v>
      </c>
      <c r="M169" s="169"/>
      <c r="N169" s="9" t="s">
        <v>24</v>
      </c>
      <c r="O169" s="22">
        <v>1200</v>
      </c>
    </row>
    <row r="170" spans="1:15" x14ac:dyDescent="0.25">
      <c r="A170" s="169"/>
      <c r="B170" s="9" t="s">
        <v>10</v>
      </c>
      <c r="C170" s="22">
        <v>161943</v>
      </c>
      <c r="E170" s="169"/>
      <c r="F170" s="9" t="s">
        <v>10</v>
      </c>
      <c r="G170" s="22">
        <v>176742</v>
      </c>
      <c r="I170" s="169"/>
      <c r="J170" s="9" t="s">
        <v>10</v>
      </c>
      <c r="K170" s="22">
        <v>174033</v>
      </c>
      <c r="M170" s="169"/>
      <c r="N170" s="9" t="s">
        <v>10</v>
      </c>
      <c r="O170" s="22">
        <v>230396</v>
      </c>
    </row>
    <row r="171" spans="1:15" x14ac:dyDescent="0.25">
      <c r="A171" s="169"/>
      <c r="B171" s="9" t="s">
        <v>11</v>
      </c>
      <c r="C171" s="22">
        <v>956.32</v>
      </c>
      <c r="E171" s="169"/>
      <c r="F171" s="9" t="s">
        <v>11</v>
      </c>
      <c r="G171" s="22">
        <v>1016.08</v>
      </c>
      <c r="I171" s="169"/>
      <c r="J171" s="9" t="s">
        <v>11</v>
      </c>
      <c r="K171" s="22">
        <v>1056.78</v>
      </c>
      <c r="M171" s="169"/>
      <c r="N171" s="9" t="s">
        <v>11</v>
      </c>
      <c r="O171" s="22">
        <v>1371.63</v>
      </c>
    </row>
    <row r="172" spans="1:15" x14ac:dyDescent="0.25">
      <c r="A172" s="169"/>
      <c r="B172" s="9" t="s">
        <v>49</v>
      </c>
      <c r="C172" s="22">
        <v>32272</v>
      </c>
      <c r="E172" s="169"/>
      <c r="F172" s="9" t="s">
        <v>49</v>
      </c>
      <c r="G172" s="22">
        <v>69499</v>
      </c>
      <c r="I172" s="169"/>
      <c r="J172" s="9" t="s">
        <v>49</v>
      </c>
      <c r="K172" s="22">
        <v>117382</v>
      </c>
      <c r="M172" s="169"/>
      <c r="N172" s="9" t="s">
        <v>49</v>
      </c>
      <c r="O172" s="22">
        <v>78840</v>
      </c>
    </row>
    <row r="173" spans="1:15" x14ac:dyDescent="0.25">
      <c r="A173" s="169"/>
      <c r="B173" s="9" t="s">
        <v>47</v>
      </c>
      <c r="C173" s="22">
        <v>2901</v>
      </c>
      <c r="E173" s="169"/>
      <c r="F173" s="9" t="s">
        <v>47</v>
      </c>
      <c r="G173" s="22"/>
      <c r="I173" s="169"/>
      <c r="J173" s="9" t="s">
        <v>47</v>
      </c>
      <c r="K173" s="22">
        <v>41913</v>
      </c>
      <c r="M173" s="169"/>
      <c r="N173" s="9" t="s">
        <v>47</v>
      </c>
      <c r="O173" s="22">
        <v>10391</v>
      </c>
    </row>
    <row r="174" spans="1:15" x14ac:dyDescent="0.25">
      <c r="A174" s="170"/>
      <c r="B174" s="9" t="s">
        <v>44</v>
      </c>
      <c r="C174" s="90">
        <v>448911</v>
      </c>
      <c r="E174" s="170"/>
      <c r="F174" s="9" t="s">
        <v>44</v>
      </c>
      <c r="G174" s="22">
        <v>461238</v>
      </c>
      <c r="I174" s="170"/>
      <c r="J174" s="9" t="s">
        <v>44</v>
      </c>
      <c r="K174" s="22">
        <v>357533</v>
      </c>
      <c r="M174" s="170"/>
      <c r="N174" s="9" t="s">
        <v>44</v>
      </c>
      <c r="O174" s="22">
        <v>639642</v>
      </c>
    </row>
    <row r="176" spans="1:15" ht="15.75" thickBot="1" x14ac:dyDescent="0.3"/>
    <row r="177" spans="1:15" x14ac:dyDescent="0.25">
      <c r="A177" s="56"/>
      <c r="B177" s="57" t="s">
        <v>175</v>
      </c>
      <c r="C177" s="58"/>
    </row>
    <row r="178" spans="1:15" x14ac:dyDescent="0.25">
      <c r="A178" s="59"/>
      <c r="B178" s="60" t="s">
        <v>329</v>
      </c>
      <c r="C178" s="61"/>
    </row>
    <row r="179" spans="1:15" x14ac:dyDescent="0.25">
      <c r="A179" s="62" t="s">
        <v>7</v>
      </c>
      <c r="B179" s="12" t="s">
        <v>0</v>
      </c>
      <c r="C179" s="63" t="s">
        <v>164</v>
      </c>
    </row>
    <row r="180" spans="1:15" x14ac:dyDescent="0.25">
      <c r="A180" s="87"/>
      <c r="B180" s="54" t="s">
        <v>6</v>
      </c>
      <c r="C180" s="68">
        <f t="shared" ref="C180:C187" si="4">+C167+G167+K167+O167</f>
        <v>1339016</v>
      </c>
    </row>
    <row r="181" spans="1:15" x14ac:dyDescent="0.25">
      <c r="A181" s="88"/>
      <c r="B181" s="54" t="s">
        <v>9</v>
      </c>
      <c r="C181" s="68">
        <f t="shared" si="4"/>
        <v>878672</v>
      </c>
    </row>
    <row r="182" spans="1:15" x14ac:dyDescent="0.25">
      <c r="A182" s="88"/>
      <c r="B182" s="54" t="s">
        <v>24</v>
      </c>
      <c r="C182" s="68">
        <f t="shared" si="4"/>
        <v>3558</v>
      </c>
    </row>
    <row r="183" spans="1:15" x14ac:dyDescent="0.25">
      <c r="A183" s="88" t="s">
        <v>329</v>
      </c>
      <c r="B183" s="54" t="s">
        <v>10</v>
      </c>
      <c r="C183" s="68">
        <f t="shared" si="4"/>
        <v>743114</v>
      </c>
    </row>
    <row r="184" spans="1:15" x14ac:dyDescent="0.25">
      <c r="A184" s="88"/>
      <c r="B184" s="54" t="s">
        <v>12</v>
      </c>
      <c r="C184" s="68">
        <f t="shared" si="4"/>
        <v>4400.8100000000004</v>
      </c>
    </row>
    <row r="185" spans="1:15" x14ac:dyDescent="0.25">
      <c r="A185" s="88"/>
      <c r="B185" s="55" t="s">
        <v>14</v>
      </c>
      <c r="C185" s="68">
        <f t="shared" si="4"/>
        <v>297993</v>
      </c>
    </row>
    <row r="186" spans="1:15" x14ac:dyDescent="0.25">
      <c r="A186" s="88"/>
      <c r="B186" s="54" t="s">
        <v>13</v>
      </c>
      <c r="C186" s="68">
        <f t="shared" si="4"/>
        <v>55205</v>
      </c>
    </row>
    <row r="187" spans="1:15" ht="15.75" thickBot="1" x14ac:dyDescent="0.3">
      <c r="A187" s="89"/>
      <c r="B187" s="64" t="s">
        <v>15</v>
      </c>
      <c r="C187" s="68">
        <f t="shared" si="4"/>
        <v>1907324</v>
      </c>
    </row>
    <row r="189" spans="1:15" s="16" customFormat="1" x14ac:dyDescent="0.25"/>
    <row r="191" spans="1:15" x14ac:dyDescent="0.25">
      <c r="B191" s="66" t="s">
        <v>376</v>
      </c>
      <c r="F191" s="66" t="s">
        <v>377</v>
      </c>
      <c r="J191" s="66" t="s">
        <v>378</v>
      </c>
      <c r="N191" s="66" t="s">
        <v>379</v>
      </c>
    </row>
    <row r="192" spans="1:15" x14ac:dyDescent="0.25">
      <c r="A192" s="13" t="s">
        <v>7</v>
      </c>
      <c r="B192" s="13" t="s">
        <v>0</v>
      </c>
      <c r="C192" s="13" t="s">
        <v>164</v>
      </c>
      <c r="E192" s="13" t="s">
        <v>7</v>
      </c>
      <c r="F192" s="13" t="s">
        <v>0</v>
      </c>
      <c r="G192" s="13" t="s">
        <v>164</v>
      </c>
      <c r="I192" s="13" t="s">
        <v>7</v>
      </c>
      <c r="J192" s="13" t="s">
        <v>0</v>
      </c>
      <c r="K192" s="13" t="s">
        <v>164</v>
      </c>
      <c r="M192" s="13" t="s">
        <v>7</v>
      </c>
      <c r="N192" s="13" t="s">
        <v>0</v>
      </c>
      <c r="O192" s="13" t="s">
        <v>164</v>
      </c>
    </row>
    <row r="193" spans="1:15" x14ac:dyDescent="0.25">
      <c r="A193" s="168" t="s">
        <v>376</v>
      </c>
      <c r="B193" s="9" t="s">
        <v>6</v>
      </c>
      <c r="C193" s="22">
        <v>288991</v>
      </c>
      <c r="E193" s="168" t="s">
        <v>377</v>
      </c>
      <c r="F193" s="9" t="s">
        <v>6</v>
      </c>
      <c r="G193" s="22">
        <v>382625</v>
      </c>
      <c r="I193" s="168" t="s">
        <v>378</v>
      </c>
      <c r="J193" s="9" t="s">
        <v>6</v>
      </c>
      <c r="K193" s="22">
        <v>271250</v>
      </c>
      <c r="M193" s="168" t="s">
        <v>379</v>
      </c>
      <c r="N193" s="9" t="s">
        <v>6</v>
      </c>
      <c r="O193" s="22">
        <v>167326</v>
      </c>
    </row>
    <row r="194" spans="1:15" x14ac:dyDescent="0.25">
      <c r="A194" s="169"/>
      <c r="B194" s="9" t="s">
        <v>41</v>
      </c>
      <c r="C194" s="22">
        <v>201617</v>
      </c>
      <c r="E194" s="169"/>
      <c r="F194" s="9" t="s">
        <v>41</v>
      </c>
      <c r="G194" s="22">
        <v>278016</v>
      </c>
      <c r="I194" s="169"/>
      <c r="J194" s="9" t="s">
        <v>41</v>
      </c>
      <c r="K194" s="22">
        <v>195722</v>
      </c>
      <c r="M194" s="169"/>
      <c r="N194" s="9" t="s">
        <v>41</v>
      </c>
      <c r="O194" s="22">
        <v>123101</v>
      </c>
    </row>
    <row r="195" spans="1:15" x14ac:dyDescent="0.25">
      <c r="A195" s="169"/>
      <c r="B195" s="9" t="s">
        <v>24</v>
      </c>
      <c r="C195" s="22"/>
      <c r="E195" s="169"/>
      <c r="F195" s="9" t="s">
        <v>24</v>
      </c>
      <c r="G195" s="22"/>
      <c r="I195" s="169"/>
      <c r="J195" s="9" t="s">
        <v>24</v>
      </c>
      <c r="K195" s="22"/>
      <c r="M195" s="169"/>
      <c r="N195" s="9" t="s">
        <v>24</v>
      </c>
      <c r="O195" s="22"/>
    </row>
    <row r="196" spans="1:15" x14ac:dyDescent="0.25">
      <c r="A196" s="169"/>
      <c r="B196" s="9" t="s">
        <v>10</v>
      </c>
      <c r="C196" s="22">
        <v>151349</v>
      </c>
      <c r="E196" s="169"/>
      <c r="F196" s="9" t="s">
        <v>10</v>
      </c>
      <c r="G196" s="22">
        <v>207190</v>
      </c>
      <c r="I196" s="169"/>
      <c r="J196" s="9" t="s">
        <v>10</v>
      </c>
      <c r="K196" s="22">
        <v>148884</v>
      </c>
      <c r="M196" s="169"/>
      <c r="N196" s="9" t="s">
        <v>10</v>
      </c>
      <c r="O196" s="99">
        <v>92088</v>
      </c>
    </row>
    <row r="197" spans="1:15" x14ac:dyDescent="0.25">
      <c r="A197" s="169"/>
      <c r="B197" s="9" t="s">
        <v>11</v>
      </c>
      <c r="C197" s="22">
        <v>933.04</v>
      </c>
      <c r="E197" s="169"/>
      <c r="F197" s="9" t="s">
        <v>11</v>
      </c>
      <c r="G197" s="22">
        <v>1215.1099999999999</v>
      </c>
      <c r="I197" s="169"/>
      <c r="J197" s="9" t="s">
        <v>11</v>
      </c>
      <c r="K197" s="22">
        <v>850.52</v>
      </c>
      <c r="M197" s="169"/>
      <c r="N197" s="9" t="s">
        <v>11</v>
      </c>
      <c r="O197" s="99">
        <v>583.36</v>
      </c>
    </row>
    <row r="198" spans="1:15" x14ac:dyDescent="0.25">
      <c r="A198" s="169"/>
      <c r="B198" s="9" t="s">
        <v>49</v>
      </c>
      <c r="C198" s="22">
        <v>114335</v>
      </c>
      <c r="E198" s="169"/>
      <c r="F198" s="9" t="s">
        <v>49</v>
      </c>
      <c r="G198" s="22">
        <v>58131</v>
      </c>
      <c r="I198" s="169"/>
      <c r="J198" s="9" t="s">
        <v>49</v>
      </c>
      <c r="K198" s="22">
        <v>72368</v>
      </c>
      <c r="M198" s="169"/>
      <c r="N198" s="9" t="s">
        <v>49</v>
      </c>
      <c r="O198" s="22">
        <v>56673</v>
      </c>
    </row>
    <row r="199" spans="1:15" x14ac:dyDescent="0.25">
      <c r="A199" s="169"/>
      <c r="B199" s="9" t="s">
        <v>47</v>
      </c>
      <c r="C199" s="22"/>
      <c r="E199" s="169"/>
      <c r="F199" s="9" t="s">
        <v>47</v>
      </c>
      <c r="G199" s="22"/>
      <c r="I199" s="169"/>
      <c r="J199" s="9" t="s">
        <v>47</v>
      </c>
      <c r="K199" s="22">
        <v>3151</v>
      </c>
      <c r="M199" s="169"/>
      <c r="N199" s="9" t="s">
        <v>47</v>
      </c>
      <c r="O199" s="22"/>
    </row>
    <row r="200" spans="1:15" x14ac:dyDescent="0.25">
      <c r="A200" s="170"/>
      <c r="B200" s="9" t="s">
        <v>44</v>
      </c>
      <c r="C200" s="90">
        <v>327691</v>
      </c>
      <c r="E200" s="170"/>
      <c r="F200" s="9" t="s">
        <v>44</v>
      </c>
      <c r="G200" s="22">
        <v>576576</v>
      </c>
      <c r="I200" s="170"/>
      <c r="J200" s="9" t="s">
        <v>44</v>
      </c>
      <c r="K200" s="22">
        <v>354695</v>
      </c>
      <c r="M200" s="170"/>
      <c r="N200" s="9" t="s">
        <v>44</v>
      </c>
      <c r="O200" s="22">
        <v>195635</v>
      </c>
    </row>
    <row r="202" spans="1:15" ht="15.75" thickBot="1" x14ac:dyDescent="0.3"/>
    <row r="203" spans="1:15" x14ac:dyDescent="0.25">
      <c r="B203" s="57" t="s">
        <v>175</v>
      </c>
      <c r="C203" s="58"/>
    </row>
    <row r="204" spans="1:15" x14ac:dyDescent="0.25">
      <c r="B204" s="60" t="s">
        <v>380</v>
      </c>
      <c r="C204" s="61"/>
    </row>
    <row r="205" spans="1:15" x14ac:dyDescent="0.25">
      <c r="A205" s="62" t="s">
        <v>7</v>
      </c>
      <c r="B205" s="12" t="s">
        <v>0</v>
      </c>
      <c r="C205" s="63" t="s">
        <v>164</v>
      </c>
    </row>
    <row r="206" spans="1:15" x14ac:dyDescent="0.25">
      <c r="A206" s="93"/>
      <c r="B206" s="54" t="s">
        <v>6</v>
      </c>
      <c r="C206" s="68">
        <f t="shared" ref="C206:C213" si="5">+C193+G193+K193+O193</f>
        <v>1110192</v>
      </c>
    </row>
    <row r="207" spans="1:15" x14ac:dyDescent="0.25">
      <c r="A207" s="94"/>
      <c r="B207" s="54" t="s">
        <v>9</v>
      </c>
      <c r="C207" s="68">
        <f t="shared" si="5"/>
        <v>798456</v>
      </c>
    </row>
    <row r="208" spans="1:15" x14ac:dyDescent="0.25">
      <c r="A208" s="94"/>
      <c r="B208" s="54" t="s">
        <v>24</v>
      </c>
      <c r="C208" s="68">
        <f t="shared" si="5"/>
        <v>0</v>
      </c>
    </row>
    <row r="209" spans="1:15" x14ac:dyDescent="0.25">
      <c r="A209" s="94" t="s">
        <v>380</v>
      </c>
      <c r="B209" s="54" t="s">
        <v>10</v>
      </c>
      <c r="C209" s="68">
        <f t="shared" si="5"/>
        <v>599511</v>
      </c>
    </row>
    <row r="210" spans="1:15" x14ac:dyDescent="0.25">
      <c r="A210" s="94"/>
      <c r="B210" s="54" t="s">
        <v>12</v>
      </c>
      <c r="C210" s="68">
        <f t="shared" si="5"/>
        <v>3582.0299999999997</v>
      </c>
    </row>
    <row r="211" spans="1:15" x14ac:dyDescent="0.25">
      <c r="A211" s="94"/>
      <c r="B211" s="55" t="s">
        <v>14</v>
      </c>
      <c r="C211" s="68">
        <f t="shared" si="5"/>
        <v>301507</v>
      </c>
    </row>
    <row r="212" spans="1:15" x14ac:dyDescent="0.25">
      <c r="A212" s="94"/>
      <c r="B212" s="54" t="s">
        <v>13</v>
      </c>
      <c r="C212" s="68">
        <f t="shared" si="5"/>
        <v>3151</v>
      </c>
    </row>
    <row r="213" spans="1:15" ht="15.75" thickBot="1" x14ac:dyDescent="0.3">
      <c r="A213" s="95"/>
      <c r="B213" s="64" t="s">
        <v>15</v>
      </c>
      <c r="C213" s="68">
        <f t="shared" si="5"/>
        <v>1454597</v>
      </c>
    </row>
    <row r="215" spans="1:15" s="16" customFormat="1" x14ac:dyDescent="0.25"/>
    <row r="217" spans="1:15" x14ac:dyDescent="0.25">
      <c r="B217" s="66" t="s">
        <v>406</v>
      </c>
      <c r="F217" s="66" t="s">
        <v>407</v>
      </c>
      <c r="J217" s="66" t="s">
        <v>408</v>
      </c>
      <c r="N217" s="66" t="s">
        <v>409</v>
      </c>
    </row>
    <row r="218" spans="1:15" x14ac:dyDescent="0.25">
      <c r="A218" s="13" t="s">
        <v>7</v>
      </c>
      <c r="B218" s="13" t="s">
        <v>0</v>
      </c>
      <c r="C218" s="13" t="s">
        <v>164</v>
      </c>
      <c r="E218" s="13" t="s">
        <v>7</v>
      </c>
      <c r="F218" s="13" t="s">
        <v>0</v>
      </c>
      <c r="G218" s="13" t="s">
        <v>164</v>
      </c>
      <c r="I218" s="13" t="s">
        <v>7</v>
      </c>
      <c r="J218" s="13" t="s">
        <v>0</v>
      </c>
      <c r="K218" s="13" t="s">
        <v>164</v>
      </c>
      <c r="M218" s="13" t="s">
        <v>7</v>
      </c>
      <c r="N218" s="13" t="s">
        <v>0</v>
      </c>
      <c r="O218" s="13" t="s">
        <v>164</v>
      </c>
    </row>
    <row r="219" spans="1:15" x14ac:dyDescent="0.25">
      <c r="A219" s="168" t="s">
        <v>406</v>
      </c>
      <c r="B219" s="9" t="s">
        <v>6</v>
      </c>
      <c r="C219" s="22">
        <v>347389</v>
      </c>
      <c r="E219" s="168" t="s">
        <v>407</v>
      </c>
      <c r="F219" s="9" t="s">
        <v>6</v>
      </c>
      <c r="G219" s="22">
        <v>295065</v>
      </c>
      <c r="I219" s="168" t="s">
        <v>408</v>
      </c>
      <c r="J219" s="9" t="s">
        <v>6</v>
      </c>
      <c r="K219" s="22">
        <v>333311</v>
      </c>
      <c r="M219" s="168" t="s">
        <v>411</v>
      </c>
      <c r="N219" s="9" t="s">
        <v>6</v>
      </c>
      <c r="O219" s="22">
        <v>427819</v>
      </c>
    </row>
    <row r="220" spans="1:15" x14ac:dyDescent="0.25">
      <c r="A220" s="169"/>
      <c r="B220" s="9" t="s">
        <v>41</v>
      </c>
      <c r="C220" s="22">
        <v>249696</v>
      </c>
      <c r="E220" s="169"/>
      <c r="F220" s="9" t="s">
        <v>41</v>
      </c>
      <c r="G220" s="22">
        <v>213614</v>
      </c>
      <c r="I220" s="169"/>
      <c r="J220" s="9" t="s">
        <v>41</v>
      </c>
      <c r="K220" s="22">
        <v>230455</v>
      </c>
      <c r="M220" s="169"/>
      <c r="N220" s="9" t="s">
        <v>41</v>
      </c>
      <c r="O220" s="22">
        <v>321651</v>
      </c>
    </row>
    <row r="221" spans="1:15" x14ac:dyDescent="0.25">
      <c r="A221" s="169"/>
      <c r="B221" s="9" t="s">
        <v>24</v>
      </c>
      <c r="C221" s="22"/>
      <c r="E221" s="169"/>
      <c r="F221" s="9" t="s">
        <v>24</v>
      </c>
      <c r="G221" s="22"/>
      <c r="I221" s="169"/>
      <c r="J221" s="9" t="s">
        <v>24</v>
      </c>
      <c r="K221" s="22"/>
      <c r="M221" s="169"/>
      <c r="N221" s="9" t="s">
        <v>24</v>
      </c>
      <c r="O221" s="22"/>
    </row>
    <row r="222" spans="1:15" x14ac:dyDescent="0.25">
      <c r="A222" s="169"/>
      <c r="B222" s="9" t="s">
        <v>10</v>
      </c>
      <c r="C222" s="22">
        <v>193345</v>
      </c>
      <c r="E222" s="169"/>
      <c r="F222" s="9" t="s">
        <v>10</v>
      </c>
      <c r="G222" s="22">
        <v>158090</v>
      </c>
      <c r="I222" s="169"/>
      <c r="J222" s="9" t="s">
        <v>10</v>
      </c>
      <c r="K222" s="22">
        <v>167120</v>
      </c>
      <c r="M222" s="169"/>
      <c r="N222" s="9" t="s">
        <v>10</v>
      </c>
      <c r="O222" s="99">
        <v>229722</v>
      </c>
    </row>
    <row r="223" spans="1:15" x14ac:dyDescent="0.25">
      <c r="A223" s="169"/>
      <c r="B223" s="9" t="s">
        <v>11</v>
      </c>
      <c r="C223" s="22">
        <v>1114.54</v>
      </c>
      <c r="E223" s="169"/>
      <c r="F223" s="9" t="s">
        <v>11</v>
      </c>
      <c r="G223" s="22">
        <v>971.22</v>
      </c>
      <c r="I223" s="169"/>
      <c r="J223" s="9" t="s">
        <v>11</v>
      </c>
      <c r="K223" s="22">
        <v>15.69</v>
      </c>
      <c r="M223" s="169"/>
      <c r="N223" s="9" t="s">
        <v>11</v>
      </c>
      <c r="O223" s="99">
        <v>0</v>
      </c>
    </row>
    <row r="224" spans="1:15" x14ac:dyDescent="0.25">
      <c r="A224" s="169"/>
      <c r="B224" s="9" t="s">
        <v>49</v>
      </c>
      <c r="C224" s="22">
        <v>48957</v>
      </c>
      <c r="E224" s="169"/>
      <c r="F224" s="9" t="s">
        <v>49</v>
      </c>
      <c r="G224" s="22">
        <v>112284</v>
      </c>
      <c r="I224" s="169"/>
      <c r="J224" s="9" t="s">
        <v>49</v>
      </c>
      <c r="K224" s="22">
        <v>70266</v>
      </c>
      <c r="M224" s="169"/>
      <c r="N224" s="9" t="s">
        <v>49</v>
      </c>
      <c r="O224" s="22">
        <v>78097</v>
      </c>
    </row>
    <row r="225" spans="1:15" x14ac:dyDescent="0.25">
      <c r="A225" s="169"/>
      <c r="B225" s="9" t="s">
        <v>44</v>
      </c>
      <c r="C225" s="90">
        <v>535275</v>
      </c>
      <c r="E225" s="169"/>
      <c r="F225" s="9" t="s">
        <v>44</v>
      </c>
      <c r="G225" s="22">
        <v>333247</v>
      </c>
      <c r="I225" s="169"/>
      <c r="J225" s="9" t="s">
        <v>44</v>
      </c>
      <c r="K225" s="22">
        <v>442452</v>
      </c>
      <c r="M225" s="169"/>
      <c r="N225" s="9" t="s">
        <v>44</v>
      </c>
      <c r="O225" s="22">
        <v>601151</v>
      </c>
    </row>
    <row r="226" spans="1:15" x14ac:dyDescent="0.25">
      <c r="A226" s="170"/>
      <c r="B226" s="9" t="s">
        <v>47</v>
      </c>
      <c r="C226" s="22"/>
      <c r="E226" s="170"/>
      <c r="F226" s="9" t="s">
        <v>47</v>
      </c>
      <c r="G226" s="22"/>
      <c r="I226" s="170"/>
      <c r="J226" s="9" t="s">
        <v>47</v>
      </c>
      <c r="K226" s="22"/>
      <c r="M226" s="170"/>
      <c r="N226" s="9" t="s">
        <v>47</v>
      </c>
      <c r="O226" s="22"/>
    </row>
    <row r="227" spans="1:15" x14ac:dyDescent="0.25">
      <c r="B227" s="103" t="s">
        <v>424</v>
      </c>
      <c r="C227" s="90"/>
      <c r="F227" s="103" t="s">
        <v>424</v>
      </c>
      <c r="G227" s="90"/>
      <c r="J227" s="103" t="s">
        <v>424</v>
      </c>
      <c r="K227" s="90">
        <v>736.93</v>
      </c>
      <c r="N227" s="103" t="s">
        <v>424</v>
      </c>
      <c r="O227" s="90">
        <v>731.07</v>
      </c>
    </row>
    <row r="228" spans="1:15" ht="15.75" thickBot="1" x14ac:dyDescent="0.3"/>
    <row r="229" spans="1:15" x14ac:dyDescent="0.25">
      <c r="B229" s="57" t="s">
        <v>175</v>
      </c>
      <c r="C229" s="58"/>
    </row>
    <row r="230" spans="1:15" x14ac:dyDescent="0.25">
      <c r="B230" s="60" t="s">
        <v>410</v>
      </c>
      <c r="C230" s="61"/>
    </row>
    <row r="231" spans="1:15" x14ac:dyDescent="0.25">
      <c r="A231" s="62" t="s">
        <v>7</v>
      </c>
      <c r="B231" s="12" t="s">
        <v>0</v>
      </c>
      <c r="C231" s="63" t="s">
        <v>164</v>
      </c>
    </row>
    <row r="232" spans="1:15" x14ac:dyDescent="0.25">
      <c r="A232" s="96"/>
      <c r="B232" s="54" t="s">
        <v>6</v>
      </c>
      <c r="C232" s="68">
        <f t="shared" ref="C232:C240" si="6">+C219+G219+K219+O219</f>
        <v>1403584</v>
      </c>
    </row>
    <row r="233" spans="1:15" x14ac:dyDescent="0.25">
      <c r="A233" s="97"/>
      <c r="B233" s="54" t="s">
        <v>9</v>
      </c>
      <c r="C233" s="68">
        <f t="shared" si="6"/>
        <v>1015416</v>
      </c>
    </row>
    <row r="234" spans="1:15" x14ac:dyDescent="0.25">
      <c r="A234" s="97"/>
      <c r="B234" s="54" t="s">
        <v>24</v>
      </c>
      <c r="C234" s="68">
        <f t="shared" si="6"/>
        <v>0</v>
      </c>
    </row>
    <row r="235" spans="1:15" x14ac:dyDescent="0.25">
      <c r="A235" s="97" t="s">
        <v>410</v>
      </c>
      <c r="B235" s="54" t="s">
        <v>10</v>
      </c>
      <c r="C235" s="68">
        <f t="shared" si="6"/>
        <v>748277</v>
      </c>
    </row>
    <row r="236" spans="1:15" x14ac:dyDescent="0.25">
      <c r="A236" s="97"/>
      <c r="B236" s="54" t="s">
        <v>12</v>
      </c>
      <c r="C236" s="68">
        <f t="shared" si="6"/>
        <v>2101.4500000000003</v>
      </c>
    </row>
    <row r="237" spans="1:15" x14ac:dyDescent="0.25">
      <c r="A237" s="97"/>
      <c r="B237" s="55" t="s">
        <v>14</v>
      </c>
      <c r="C237" s="68">
        <f t="shared" si="6"/>
        <v>309604</v>
      </c>
    </row>
    <row r="238" spans="1:15" x14ac:dyDescent="0.25">
      <c r="A238" s="97"/>
      <c r="B238" s="104" t="s">
        <v>15</v>
      </c>
      <c r="C238" s="105">
        <f t="shared" si="6"/>
        <v>1912125</v>
      </c>
    </row>
    <row r="239" spans="1:15" ht="15.75" thickBot="1" x14ac:dyDescent="0.3">
      <c r="A239" s="98"/>
      <c r="B239" s="54" t="s">
        <v>13</v>
      </c>
      <c r="C239" s="68">
        <f t="shared" si="6"/>
        <v>0</v>
      </c>
    </row>
    <row r="240" spans="1:15" x14ac:dyDescent="0.25">
      <c r="B240" s="54" t="s">
        <v>424</v>
      </c>
      <c r="C240" s="106">
        <f t="shared" si="6"/>
        <v>1468</v>
      </c>
    </row>
    <row r="242" spans="1:15" s="16" customFormat="1" x14ac:dyDescent="0.25"/>
    <row r="244" spans="1:15" x14ac:dyDescent="0.25">
      <c r="B244" s="66" t="s">
        <v>435</v>
      </c>
      <c r="F244" s="66" t="s">
        <v>437</v>
      </c>
      <c r="J244" s="66" t="s">
        <v>438</v>
      </c>
      <c r="N244" s="66" t="s">
        <v>439</v>
      </c>
    </row>
    <row r="245" spans="1:15" x14ac:dyDescent="0.25">
      <c r="A245" s="13" t="s">
        <v>7</v>
      </c>
      <c r="B245" s="13" t="s">
        <v>0</v>
      </c>
      <c r="C245" s="13" t="s">
        <v>164</v>
      </c>
      <c r="E245" s="13" t="s">
        <v>7</v>
      </c>
      <c r="F245" s="13" t="s">
        <v>0</v>
      </c>
      <c r="G245" s="13" t="s">
        <v>164</v>
      </c>
      <c r="I245" s="13" t="s">
        <v>7</v>
      </c>
      <c r="J245" s="13" t="s">
        <v>0</v>
      </c>
      <c r="K245" s="13" t="s">
        <v>164</v>
      </c>
      <c r="M245" s="13" t="s">
        <v>7</v>
      </c>
      <c r="N245" s="13" t="s">
        <v>0</v>
      </c>
      <c r="O245" s="13" t="s">
        <v>164</v>
      </c>
    </row>
    <row r="246" spans="1:15" x14ac:dyDescent="0.25">
      <c r="A246" s="168" t="s">
        <v>436</v>
      </c>
      <c r="B246" s="9" t="s">
        <v>6</v>
      </c>
      <c r="C246" s="22">
        <v>378179</v>
      </c>
      <c r="E246" s="168" t="s">
        <v>437</v>
      </c>
      <c r="F246" s="9" t="s">
        <v>6</v>
      </c>
      <c r="G246" s="22">
        <v>437018</v>
      </c>
      <c r="I246" s="168" t="s">
        <v>438</v>
      </c>
      <c r="J246" s="9" t="s">
        <v>6</v>
      </c>
      <c r="K246" s="22">
        <v>320444</v>
      </c>
      <c r="M246" s="168" t="s">
        <v>439</v>
      </c>
      <c r="N246" s="9" t="s">
        <v>6</v>
      </c>
      <c r="O246" s="22">
        <v>611349</v>
      </c>
    </row>
    <row r="247" spans="1:15" x14ac:dyDescent="0.25">
      <c r="A247" s="169"/>
      <c r="B247" s="9" t="s">
        <v>41</v>
      </c>
      <c r="C247" s="22">
        <v>281526</v>
      </c>
      <c r="E247" s="169"/>
      <c r="F247" s="9" t="s">
        <v>41</v>
      </c>
      <c r="G247" s="22">
        <v>320715</v>
      </c>
      <c r="I247" s="169"/>
      <c r="J247" s="9" t="s">
        <v>41</v>
      </c>
      <c r="K247" s="22">
        <v>225303</v>
      </c>
      <c r="M247" s="169"/>
      <c r="N247" s="9" t="s">
        <v>41</v>
      </c>
      <c r="O247" s="22">
        <v>412699</v>
      </c>
    </row>
    <row r="248" spans="1:15" x14ac:dyDescent="0.25">
      <c r="A248" s="169"/>
      <c r="B248" s="9" t="s">
        <v>24</v>
      </c>
      <c r="C248" s="22">
        <v>0</v>
      </c>
      <c r="E248" s="169"/>
      <c r="F248" s="9" t="s">
        <v>24</v>
      </c>
      <c r="G248" s="22"/>
      <c r="I248" s="169"/>
      <c r="J248" s="9" t="s">
        <v>24</v>
      </c>
      <c r="K248" s="22"/>
      <c r="M248" s="169"/>
      <c r="N248" s="9" t="s">
        <v>24</v>
      </c>
      <c r="O248" s="22"/>
    </row>
    <row r="249" spans="1:15" x14ac:dyDescent="0.25">
      <c r="A249" s="169"/>
      <c r="B249" s="9" t="s">
        <v>10</v>
      </c>
      <c r="C249" s="22">
        <v>186983</v>
      </c>
      <c r="E249" s="169"/>
      <c r="F249" s="9" t="s">
        <v>10</v>
      </c>
      <c r="G249" s="22">
        <v>219617</v>
      </c>
      <c r="I249" s="169"/>
      <c r="J249" s="9" t="s">
        <v>10</v>
      </c>
      <c r="K249" s="22">
        <v>154258</v>
      </c>
      <c r="M249" s="169"/>
      <c r="N249" s="9" t="s">
        <v>10</v>
      </c>
      <c r="O249" s="99">
        <v>315579</v>
      </c>
    </row>
    <row r="250" spans="1:15" x14ac:dyDescent="0.25">
      <c r="A250" s="169"/>
      <c r="B250" s="9" t="s">
        <v>11</v>
      </c>
      <c r="C250" s="22">
        <v>0.03</v>
      </c>
      <c r="E250" s="169"/>
      <c r="F250" s="9" t="s">
        <v>11</v>
      </c>
      <c r="G250" s="22"/>
      <c r="I250" s="169"/>
      <c r="J250" s="9" t="s">
        <v>11</v>
      </c>
      <c r="K250" s="22"/>
      <c r="M250" s="169"/>
      <c r="N250" s="9" t="s">
        <v>11</v>
      </c>
      <c r="O250" s="99"/>
    </row>
    <row r="251" spans="1:15" x14ac:dyDescent="0.25">
      <c r="A251" s="169"/>
      <c r="B251" s="9" t="s">
        <v>49</v>
      </c>
      <c r="C251" s="22">
        <v>86621</v>
      </c>
      <c r="E251" s="169"/>
      <c r="F251" s="9" t="s">
        <v>49</v>
      </c>
      <c r="G251" s="22">
        <v>81145</v>
      </c>
      <c r="I251" s="169"/>
      <c r="J251" s="9" t="s">
        <v>49</v>
      </c>
      <c r="K251" s="22">
        <v>61223</v>
      </c>
      <c r="M251" s="169"/>
      <c r="N251" s="9" t="s">
        <v>49</v>
      </c>
      <c r="O251" s="22">
        <v>189101</v>
      </c>
    </row>
    <row r="252" spans="1:15" x14ac:dyDescent="0.25">
      <c r="A252" s="169"/>
      <c r="B252" s="9" t="s">
        <v>44</v>
      </c>
      <c r="C252" s="90">
        <v>484469</v>
      </c>
      <c r="E252" s="169"/>
      <c r="F252" s="9" t="s">
        <v>44</v>
      </c>
      <c r="G252" s="22">
        <v>635138</v>
      </c>
      <c r="I252" s="169"/>
      <c r="J252" s="9" t="s">
        <v>44</v>
      </c>
      <c r="K252" s="22">
        <v>429793</v>
      </c>
      <c r="M252" s="169"/>
      <c r="N252" s="9" t="s">
        <v>44</v>
      </c>
      <c r="O252" s="22">
        <v>746197</v>
      </c>
    </row>
    <row r="253" spans="1:15" x14ac:dyDescent="0.25">
      <c r="A253" s="170"/>
      <c r="B253" s="9" t="s">
        <v>47</v>
      </c>
      <c r="C253" s="22">
        <v>1083.9100000000001</v>
      </c>
      <c r="E253" s="170"/>
      <c r="F253" s="9" t="s">
        <v>47</v>
      </c>
      <c r="G253" s="22"/>
      <c r="I253" s="170"/>
      <c r="J253" s="9" t="s">
        <v>47</v>
      </c>
      <c r="K253" s="22"/>
      <c r="M253" s="170"/>
      <c r="N253" s="9" t="s">
        <v>47</v>
      </c>
      <c r="O253" s="22"/>
    </row>
    <row r="254" spans="1:15" x14ac:dyDescent="0.25">
      <c r="B254" s="103" t="s">
        <v>424</v>
      </c>
      <c r="C254" s="90"/>
      <c r="F254" s="103" t="s">
        <v>424</v>
      </c>
      <c r="G254" s="90">
        <v>1155.1500000000001</v>
      </c>
      <c r="J254" s="103" t="s">
        <v>424</v>
      </c>
      <c r="K254" s="90">
        <v>854.93</v>
      </c>
      <c r="N254" s="103" t="s">
        <v>424</v>
      </c>
      <c r="O254" s="90">
        <v>1644.2</v>
      </c>
    </row>
    <row r="255" spans="1:15" ht="15.75" thickBot="1" x14ac:dyDescent="0.3"/>
    <row r="256" spans="1:15" x14ac:dyDescent="0.25">
      <c r="B256" s="57" t="s">
        <v>175</v>
      </c>
      <c r="C256" s="58"/>
      <c r="F256" s="66" t="s">
        <v>439</v>
      </c>
    </row>
    <row r="257" spans="1:15" x14ac:dyDescent="0.25">
      <c r="B257" s="60" t="s">
        <v>441</v>
      </c>
      <c r="C257" s="61"/>
      <c r="E257" s="13" t="s">
        <v>7</v>
      </c>
      <c r="F257" s="13" t="s">
        <v>0</v>
      </c>
      <c r="G257" s="13" t="s">
        <v>164</v>
      </c>
    </row>
    <row r="258" spans="1:15" x14ac:dyDescent="0.25">
      <c r="A258" s="62" t="s">
        <v>7</v>
      </c>
      <c r="B258" s="12" t="s">
        <v>0</v>
      </c>
      <c r="C258" s="63" t="s">
        <v>164</v>
      </c>
      <c r="E258" s="108" t="s">
        <v>439</v>
      </c>
      <c r="F258" s="9" t="s">
        <v>6</v>
      </c>
      <c r="G258" s="22">
        <v>533610</v>
      </c>
    </row>
    <row r="259" spans="1:15" x14ac:dyDescent="0.25">
      <c r="A259" s="100"/>
      <c r="B259" s="54" t="s">
        <v>6</v>
      </c>
      <c r="C259" s="68">
        <f>+C246+G246+K246+O246+G258</f>
        <v>2280600</v>
      </c>
      <c r="E259" s="109"/>
      <c r="F259" s="9" t="s">
        <v>41</v>
      </c>
      <c r="G259" s="22">
        <v>341236</v>
      </c>
    </row>
    <row r="260" spans="1:15" x14ac:dyDescent="0.25">
      <c r="A260" s="101"/>
      <c r="B260" s="54" t="s">
        <v>9</v>
      </c>
      <c r="C260" s="68">
        <f t="shared" ref="C260:C267" si="7">+C247+G247+K247+O247+G259</f>
        <v>1581479</v>
      </c>
      <c r="E260" s="109"/>
      <c r="F260" s="9" t="s">
        <v>24</v>
      </c>
      <c r="G260" s="22"/>
    </row>
    <row r="261" spans="1:15" x14ac:dyDescent="0.25">
      <c r="A261" s="101"/>
      <c r="B261" s="54" t="s">
        <v>24</v>
      </c>
      <c r="C261" s="68">
        <f t="shared" si="7"/>
        <v>0</v>
      </c>
      <c r="E261" s="109"/>
      <c r="F261" s="9" t="s">
        <v>10</v>
      </c>
      <c r="G261" s="99">
        <v>268358</v>
      </c>
    </row>
    <row r="262" spans="1:15" x14ac:dyDescent="0.25">
      <c r="A262" s="101" t="s">
        <v>440</v>
      </c>
      <c r="B262" s="54" t="s">
        <v>10</v>
      </c>
      <c r="C262" s="68">
        <f t="shared" si="7"/>
        <v>1144795</v>
      </c>
      <c r="E262" s="109"/>
      <c r="F262" s="9" t="s">
        <v>11</v>
      </c>
      <c r="G262" s="99"/>
    </row>
    <row r="263" spans="1:15" x14ac:dyDescent="0.25">
      <c r="A263" s="101"/>
      <c r="B263" s="54" t="s">
        <v>12</v>
      </c>
      <c r="C263" s="68">
        <f t="shared" si="7"/>
        <v>0.03</v>
      </c>
      <c r="E263" s="109"/>
      <c r="F263" s="9" t="s">
        <v>49</v>
      </c>
      <c r="G263" s="22">
        <v>80200</v>
      </c>
    </row>
    <row r="264" spans="1:15" x14ac:dyDescent="0.25">
      <c r="A264" s="101"/>
      <c r="B264" s="55" t="s">
        <v>14</v>
      </c>
      <c r="C264" s="68">
        <f t="shared" si="7"/>
        <v>498290</v>
      </c>
      <c r="E264" s="109"/>
      <c r="F264" s="9" t="s">
        <v>44</v>
      </c>
      <c r="G264" s="22">
        <v>727122</v>
      </c>
    </row>
    <row r="265" spans="1:15" x14ac:dyDescent="0.25">
      <c r="A265" s="101"/>
      <c r="B265" s="104" t="s">
        <v>15</v>
      </c>
      <c r="C265" s="68">
        <f t="shared" si="7"/>
        <v>3022719</v>
      </c>
      <c r="E265" s="110"/>
      <c r="F265" s="9" t="s">
        <v>47</v>
      </c>
      <c r="G265" s="22">
        <v>9431</v>
      </c>
    </row>
    <row r="266" spans="1:15" ht="15.75" thickBot="1" x14ac:dyDescent="0.3">
      <c r="A266" s="102"/>
      <c r="B266" s="54" t="s">
        <v>13</v>
      </c>
      <c r="C266" s="68">
        <f t="shared" si="7"/>
        <v>10514.91</v>
      </c>
      <c r="F266" s="103" t="s">
        <v>424</v>
      </c>
      <c r="G266" s="90">
        <v>1458.96</v>
      </c>
    </row>
    <row r="267" spans="1:15" x14ac:dyDescent="0.25">
      <c r="B267" s="54" t="s">
        <v>424</v>
      </c>
      <c r="C267" s="68">
        <f t="shared" si="7"/>
        <v>5113.24</v>
      </c>
    </row>
    <row r="269" spans="1:15" s="16" customFormat="1" x14ac:dyDescent="0.25"/>
    <row r="271" spans="1:15" x14ac:dyDescent="0.25">
      <c r="B271" s="66" t="s">
        <v>501</v>
      </c>
      <c r="F271" s="66" t="s">
        <v>503</v>
      </c>
      <c r="J271" s="66" t="s">
        <v>504</v>
      </c>
      <c r="N271" s="66" t="s">
        <v>505</v>
      </c>
    </row>
    <row r="272" spans="1:15" x14ac:dyDescent="0.25">
      <c r="A272" s="13" t="s">
        <v>7</v>
      </c>
      <c r="B272" s="13" t="s">
        <v>0</v>
      </c>
      <c r="C272" s="13" t="s">
        <v>164</v>
      </c>
      <c r="E272" s="13" t="s">
        <v>7</v>
      </c>
      <c r="F272" s="13" t="s">
        <v>0</v>
      </c>
      <c r="G272" s="13" t="s">
        <v>164</v>
      </c>
      <c r="I272" s="13" t="s">
        <v>7</v>
      </c>
      <c r="J272" s="13" t="s">
        <v>0</v>
      </c>
      <c r="K272" s="13" t="s">
        <v>164</v>
      </c>
      <c r="M272" s="13" t="s">
        <v>7</v>
      </c>
      <c r="N272" s="13" t="s">
        <v>0</v>
      </c>
      <c r="O272" s="117" t="s">
        <v>164</v>
      </c>
    </row>
    <row r="273" spans="1:15" x14ac:dyDescent="0.25">
      <c r="A273" s="168" t="s">
        <v>502</v>
      </c>
      <c r="B273" s="9" t="s">
        <v>6</v>
      </c>
      <c r="C273" s="22">
        <v>598603</v>
      </c>
      <c r="E273" s="168" t="s">
        <v>503</v>
      </c>
      <c r="F273" s="9" t="s">
        <v>6</v>
      </c>
      <c r="G273" s="22">
        <v>507682</v>
      </c>
      <c r="I273" s="168" t="s">
        <v>504</v>
      </c>
      <c r="J273" s="9" t="s">
        <v>6</v>
      </c>
      <c r="K273" s="22">
        <v>234532</v>
      </c>
      <c r="M273" s="168" t="s">
        <v>505</v>
      </c>
      <c r="N273" s="9" t="s">
        <v>6</v>
      </c>
      <c r="O273" s="22">
        <v>714517</v>
      </c>
    </row>
    <row r="274" spans="1:15" x14ac:dyDescent="0.25">
      <c r="A274" s="169"/>
      <c r="B274" s="9" t="s">
        <v>41</v>
      </c>
      <c r="C274" s="22">
        <v>376649</v>
      </c>
      <c r="E274" s="169"/>
      <c r="F274" s="9" t="s">
        <v>41</v>
      </c>
      <c r="G274" s="22">
        <v>335346</v>
      </c>
      <c r="I274" s="169"/>
      <c r="J274" s="9" t="s">
        <v>41</v>
      </c>
      <c r="K274" s="22">
        <v>160548</v>
      </c>
      <c r="M274" s="169"/>
      <c r="N274" s="9" t="s">
        <v>41</v>
      </c>
      <c r="O274" s="22">
        <v>483504</v>
      </c>
    </row>
    <row r="275" spans="1:15" x14ac:dyDescent="0.25">
      <c r="A275" s="169"/>
      <c r="B275" s="9" t="s">
        <v>24</v>
      </c>
      <c r="C275" s="22"/>
      <c r="E275" s="169"/>
      <c r="F275" s="9" t="s">
        <v>24</v>
      </c>
      <c r="G275" s="22"/>
      <c r="I275" s="169"/>
      <c r="J275" s="9" t="s">
        <v>24</v>
      </c>
      <c r="K275" s="22"/>
      <c r="M275" s="169"/>
      <c r="N275" s="9" t="s">
        <v>24</v>
      </c>
      <c r="O275" s="22"/>
    </row>
    <row r="276" spans="1:15" x14ac:dyDescent="0.25">
      <c r="A276" s="169"/>
      <c r="B276" s="9" t="s">
        <v>10</v>
      </c>
      <c r="C276" s="22">
        <v>292479</v>
      </c>
      <c r="E276" s="169"/>
      <c r="F276" s="9" t="s">
        <v>10</v>
      </c>
      <c r="G276" s="22">
        <v>245470</v>
      </c>
      <c r="I276" s="169"/>
      <c r="J276" s="9" t="s">
        <v>10</v>
      </c>
      <c r="K276" s="22">
        <v>117226</v>
      </c>
      <c r="M276" s="169"/>
      <c r="N276" s="9" t="s">
        <v>10</v>
      </c>
      <c r="O276" s="22">
        <v>355852</v>
      </c>
    </row>
    <row r="277" spans="1:15" x14ac:dyDescent="0.25">
      <c r="A277" s="169"/>
      <c r="B277" s="9" t="s">
        <v>11</v>
      </c>
      <c r="C277" s="22"/>
      <c r="E277" s="169"/>
      <c r="F277" s="9" t="s">
        <v>11</v>
      </c>
      <c r="G277" s="22">
        <v>0.11</v>
      </c>
      <c r="I277" s="169"/>
      <c r="J277" s="9" t="s">
        <v>11</v>
      </c>
      <c r="K277" s="22"/>
      <c r="M277" s="169"/>
      <c r="N277" s="9" t="s">
        <v>11</v>
      </c>
      <c r="O277" s="22"/>
    </row>
    <row r="278" spans="1:15" x14ac:dyDescent="0.25">
      <c r="A278" s="169"/>
      <c r="B278" s="9" t="s">
        <v>49</v>
      </c>
      <c r="C278" s="22">
        <v>57436</v>
      </c>
      <c r="E278" s="169"/>
      <c r="F278" s="9" t="s">
        <v>49</v>
      </c>
      <c r="G278" s="22">
        <v>34494</v>
      </c>
      <c r="I278" s="169"/>
      <c r="J278" s="9" t="s">
        <v>49</v>
      </c>
      <c r="K278" s="22">
        <v>64885</v>
      </c>
      <c r="M278" s="169"/>
      <c r="N278" s="9" t="s">
        <v>49</v>
      </c>
      <c r="O278" s="22">
        <v>173467</v>
      </c>
    </row>
    <row r="279" spans="1:15" x14ac:dyDescent="0.25">
      <c r="A279" s="169"/>
      <c r="B279" s="9" t="s">
        <v>44</v>
      </c>
      <c r="C279" s="90">
        <v>866802</v>
      </c>
      <c r="E279" s="169"/>
      <c r="F279" s="9" t="s">
        <v>44</v>
      </c>
      <c r="G279" s="22">
        <v>816470</v>
      </c>
      <c r="I279" s="169"/>
      <c r="J279" s="9" t="s">
        <v>44</v>
      </c>
      <c r="K279" s="22">
        <v>292080</v>
      </c>
      <c r="M279" s="169"/>
      <c r="N279" s="9" t="s">
        <v>44</v>
      </c>
      <c r="O279" s="22">
        <v>902202</v>
      </c>
    </row>
    <row r="280" spans="1:15" x14ac:dyDescent="0.25">
      <c r="A280" s="170"/>
      <c r="B280" s="9" t="s">
        <v>47</v>
      </c>
      <c r="C280" s="22">
        <v>20436</v>
      </c>
      <c r="E280" s="170"/>
      <c r="F280" s="9" t="s">
        <v>47</v>
      </c>
      <c r="G280" s="22">
        <v>2996</v>
      </c>
      <c r="I280" s="170"/>
      <c r="J280" s="9" t="s">
        <v>47</v>
      </c>
      <c r="K280" s="22"/>
      <c r="M280" s="170"/>
      <c r="N280" s="9" t="s">
        <v>47</v>
      </c>
      <c r="O280" s="22"/>
    </row>
    <row r="281" spans="1:15" x14ac:dyDescent="0.25">
      <c r="B281" s="103" t="s">
        <v>424</v>
      </c>
      <c r="C281" s="90">
        <v>1550.8</v>
      </c>
      <c r="F281" s="103" t="s">
        <v>424</v>
      </c>
      <c r="G281" s="90">
        <v>1298.48</v>
      </c>
      <c r="J281" s="103" t="s">
        <v>424</v>
      </c>
      <c r="K281" s="90">
        <v>650.89</v>
      </c>
      <c r="N281" s="103" t="s">
        <v>424</v>
      </c>
      <c r="O281" s="22">
        <v>2027.47</v>
      </c>
    </row>
    <row r="282" spans="1:15" ht="15.75" thickBot="1" x14ac:dyDescent="0.3"/>
    <row r="283" spans="1:15" x14ac:dyDescent="0.25">
      <c r="B283" s="57" t="s">
        <v>175</v>
      </c>
      <c r="C283" s="58"/>
      <c r="F283" s="66" t="s">
        <v>439</v>
      </c>
    </row>
    <row r="284" spans="1:15" x14ac:dyDescent="0.25">
      <c r="B284" s="60" t="s">
        <v>506</v>
      </c>
      <c r="C284" s="61"/>
      <c r="E284" s="13" t="s">
        <v>7</v>
      </c>
      <c r="F284" s="13" t="s">
        <v>0</v>
      </c>
      <c r="G284" s="13" t="s">
        <v>164</v>
      </c>
    </row>
    <row r="285" spans="1:15" x14ac:dyDescent="0.25">
      <c r="A285" s="62" t="s">
        <v>7</v>
      </c>
      <c r="B285" s="12" t="s">
        <v>0</v>
      </c>
      <c r="C285" s="63" t="s">
        <v>164</v>
      </c>
      <c r="E285" s="111"/>
      <c r="F285" s="9" t="s">
        <v>6</v>
      </c>
      <c r="G285" s="22"/>
    </row>
    <row r="286" spans="1:15" x14ac:dyDescent="0.25">
      <c r="A286" s="114"/>
      <c r="B286" s="54" t="s">
        <v>6</v>
      </c>
      <c r="C286" s="68">
        <f>+C273+G273+K273+O273+G285</f>
        <v>2055334</v>
      </c>
      <c r="E286" s="112"/>
      <c r="F286" s="9" t="s">
        <v>41</v>
      </c>
      <c r="G286" s="22"/>
    </row>
    <row r="287" spans="1:15" x14ac:dyDescent="0.25">
      <c r="A287" s="115"/>
      <c r="B287" s="54" t="s">
        <v>9</v>
      </c>
      <c r="C287" s="68">
        <f t="shared" ref="C287:C294" si="8">+C274+G274+K274+O274+G286</f>
        <v>1356047</v>
      </c>
      <c r="E287" s="112"/>
      <c r="F287" s="9" t="s">
        <v>24</v>
      </c>
      <c r="G287" s="22"/>
    </row>
    <row r="288" spans="1:15" x14ac:dyDescent="0.25">
      <c r="A288" s="115"/>
      <c r="B288" s="54" t="s">
        <v>24</v>
      </c>
      <c r="C288" s="68">
        <f t="shared" si="8"/>
        <v>0</v>
      </c>
      <c r="E288" s="112"/>
      <c r="F288" s="9" t="s">
        <v>10</v>
      </c>
      <c r="G288" s="99"/>
    </row>
    <row r="289" spans="1:15" x14ac:dyDescent="0.25">
      <c r="A289" s="115" t="s">
        <v>506</v>
      </c>
      <c r="B289" s="54" t="s">
        <v>10</v>
      </c>
      <c r="C289" s="68">
        <f>+C276+G276+K276+O276+G288</f>
        <v>1011027</v>
      </c>
      <c r="E289" s="112"/>
      <c r="F289" s="9" t="s">
        <v>11</v>
      </c>
      <c r="G289" s="99"/>
    </row>
    <row r="290" spans="1:15" x14ac:dyDescent="0.25">
      <c r="A290" s="115"/>
      <c r="B290" s="54" t="s">
        <v>12</v>
      </c>
      <c r="C290" s="68">
        <f t="shared" si="8"/>
        <v>0.11</v>
      </c>
      <c r="E290" s="112"/>
      <c r="F290" s="9" t="s">
        <v>49</v>
      </c>
      <c r="G290" s="22"/>
    </row>
    <row r="291" spans="1:15" x14ac:dyDescent="0.25">
      <c r="A291" s="115"/>
      <c r="B291" s="55" t="s">
        <v>14</v>
      </c>
      <c r="C291" s="68">
        <f t="shared" si="8"/>
        <v>330282</v>
      </c>
      <c r="E291" s="112"/>
      <c r="F291" s="9" t="s">
        <v>44</v>
      </c>
      <c r="G291" s="22"/>
    </row>
    <row r="292" spans="1:15" x14ac:dyDescent="0.25">
      <c r="A292" s="115"/>
      <c r="B292" s="104" t="s">
        <v>15</v>
      </c>
      <c r="C292" s="68">
        <f t="shared" si="8"/>
        <v>2877554</v>
      </c>
      <c r="E292" s="113"/>
      <c r="F292" s="9" t="s">
        <v>47</v>
      </c>
      <c r="G292" s="22"/>
    </row>
    <row r="293" spans="1:15" ht="15.75" thickBot="1" x14ac:dyDescent="0.3">
      <c r="A293" s="116"/>
      <c r="B293" s="54" t="s">
        <v>13</v>
      </c>
      <c r="C293" s="68">
        <f t="shared" si="8"/>
        <v>23432</v>
      </c>
      <c r="F293" s="103" t="s">
        <v>424</v>
      </c>
      <c r="G293" s="90"/>
    </row>
    <row r="294" spans="1:15" x14ac:dyDescent="0.25">
      <c r="B294" s="54" t="s">
        <v>424</v>
      </c>
      <c r="C294" s="68">
        <f t="shared" si="8"/>
        <v>5527.6399999999994</v>
      </c>
    </row>
    <row r="296" spans="1:15" s="16" customFormat="1" x14ac:dyDescent="0.25"/>
    <row r="298" spans="1:15" x14ac:dyDescent="0.25">
      <c r="B298" s="66" t="s">
        <v>528</v>
      </c>
      <c r="F298" s="66" t="s">
        <v>530</v>
      </c>
      <c r="J298" s="66" t="s">
        <v>531</v>
      </c>
      <c r="N298" s="66" t="s">
        <v>575</v>
      </c>
    </row>
    <row r="299" spans="1:15" x14ac:dyDescent="0.25">
      <c r="A299" s="13" t="s">
        <v>7</v>
      </c>
      <c r="B299" s="13" t="s">
        <v>0</v>
      </c>
      <c r="C299" s="13" t="s">
        <v>164</v>
      </c>
      <c r="E299" s="13" t="s">
        <v>7</v>
      </c>
      <c r="F299" s="13" t="s">
        <v>0</v>
      </c>
      <c r="G299" s="13" t="s">
        <v>164</v>
      </c>
      <c r="I299" s="13" t="s">
        <v>7</v>
      </c>
      <c r="J299" s="13" t="s">
        <v>0</v>
      </c>
      <c r="K299" s="13" t="s">
        <v>164</v>
      </c>
      <c r="M299" s="13" t="s">
        <v>7</v>
      </c>
      <c r="N299" s="13" t="s">
        <v>0</v>
      </c>
      <c r="O299" s="117" t="s">
        <v>164</v>
      </c>
    </row>
    <row r="300" spans="1:15" x14ac:dyDescent="0.25">
      <c r="A300" s="168" t="s">
        <v>529</v>
      </c>
      <c r="B300" s="9" t="s">
        <v>6</v>
      </c>
      <c r="C300" s="22">
        <v>221156</v>
      </c>
      <c r="E300" s="168" t="s">
        <v>530</v>
      </c>
      <c r="F300" s="9" t="s">
        <v>6</v>
      </c>
      <c r="G300" s="22">
        <v>767556</v>
      </c>
      <c r="I300" s="168" t="s">
        <v>531</v>
      </c>
      <c r="J300" s="9" t="s">
        <v>6</v>
      </c>
      <c r="K300" s="22">
        <v>443258</v>
      </c>
      <c r="M300" s="168" t="s">
        <v>532</v>
      </c>
      <c r="N300" s="9" t="s">
        <v>6</v>
      </c>
      <c r="O300" s="22">
        <v>548169</v>
      </c>
    </row>
    <row r="301" spans="1:15" x14ac:dyDescent="0.25">
      <c r="A301" s="169"/>
      <c r="B301" s="9" t="s">
        <v>41</v>
      </c>
      <c r="C301" s="22">
        <v>141647</v>
      </c>
      <c r="E301" s="169"/>
      <c r="F301" s="9" t="s">
        <v>41</v>
      </c>
      <c r="G301" s="22">
        <v>512367</v>
      </c>
      <c r="I301" s="169"/>
      <c r="J301" s="9" t="s">
        <v>41</v>
      </c>
      <c r="K301" s="22">
        <v>287424</v>
      </c>
      <c r="M301" s="169"/>
      <c r="N301" s="9" t="s">
        <v>41</v>
      </c>
      <c r="O301" s="22">
        <v>367095</v>
      </c>
    </row>
    <row r="302" spans="1:15" x14ac:dyDescent="0.25">
      <c r="A302" s="169"/>
      <c r="B302" s="9" t="s">
        <v>24</v>
      </c>
      <c r="C302" s="22"/>
      <c r="E302" s="169"/>
      <c r="F302" s="9" t="s">
        <v>24</v>
      </c>
      <c r="G302" s="22"/>
      <c r="I302" s="169"/>
      <c r="J302" s="9" t="s">
        <v>24</v>
      </c>
      <c r="K302" s="22"/>
      <c r="M302" s="169"/>
      <c r="N302" s="9" t="s">
        <v>24</v>
      </c>
      <c r="O302" s="22"/>
    </row>
    <row r="303" spans="1:15" x14ac:dyDescent="0.25">
      <c r="A303" s="169"/>
      <c r="B303" s="9" t="s">
        <v>10</v>
      </c>
      <c r="C303" s="22">
        <v>106797</v>
      </c>
      <c r="E303" s="169"/>
      <c r="F303" s="9" t="s">
        <v>10</v>
      </c>
      <c r="G303" s="22">
        <v>376941</v>
      </c>
      <c r="I303" s="169"/>
      <c r="J303" s="9" t="s">
        <v>10</v>
      </c>
      <c r="K303" s="22">
        <v>214299</v>
      </c>
      <c r="M303" s="169"/>
      <c r="N303" s="9" t="s">
        <v>10</v>
      </c>
      <c r="O303" s="22">
        <v>270689</v>
      </c>
    </row>
    <row r="304" spans="1:15" x14ac:dyDescent="0.25">
      <c r="A304" s="169"/>
      <c r="B304" s="9" t="s">
        <v>11</v>
      </c>
      <c r="C304" s="22"/>
      <c r="E304" s="169"/>
      <c r="F304" s="9" t="s">
        <v>11</v>
      </c>
      <c r="G304" s="22">
        <v>2.76</v>
      </c>
      <c r="I304" s="169"/>
      <c r="J304" s="9" t="s">
        <v>11</v>
      </c>
      <c r="K304" s="22"/>
      <c r="M304" s="169"/>
      <c r="N304" s="9" t="s">
        <v>11</v>
      </c>
      <c r="O304" s="22"/>
    </row>
    <row r="305" spans="1:15" x14ac:dyDescent="0.25">
      <c r="A305" s="169"/>
      <c r="B305" s="9" t="s">
        <v>49</v>
      </c>
      <c r="C305" s="22">
        <v>30273</v>
      </c>
      <c r="E305" s="169"/>
      <c r="F305" s="9" t="s">
        <v>49</v>
      </c>
      <c r="G305" s="22">
        <v>153524</v>
      </c>
      <c r="I305" s="169"/>
      <c r="J305" s="9" t="s">
        <v>49</v>
      </c>
      <c r="K305" s="22">
        <v>48786</v>
      </c>
      <c r="M305" s="169"/>
      <c r="N305" s="9" t="s">
        <v>49</v>
      </c>
      <c r="O305" s="22">
        <v>116389</v>
      </c>
    </row>
    <row r="306" spans="1:15" x14ac:dyDescent="0.25">
      <c r="A306" s="169"/>
      <c r="B306" s="9" t="s">
        <v>44</v>
      </c>
      <c r="C306" s="90">
        <v>289205</v>
      </c>
      <c r="E306" s="169"/>
      <c r="F306" s="9" t="s">
        <v>44</v>
      </c>
      <c r="G306" s="22">
        <v>1024824</v>
      </c>
      <c r="I306" s="169"/>
      <c r="J306" s="9" t="s">
        <v>44</v>
      </c>
      <c r="K306" s="22">
        <v>611029</v>
      </c>
      <c r="M306" s="169"/>
      <c r="N306" s="9" t="s">
        <v>44</v>
      </c>
      <c r="O306" s="22">
        <v>599842</v>
      </c>
    </row>
    <row r="307" spans="1:15" x14ac:dyDescent="0.25">
      <c r="A307" s="170"/>
      <c r="B307" s="9" t="s">
        <v>47</v>
      </c>
      <c r="C307" s="22"/>
      <c r="E307" s="170"/>
      <c r="F307" s="9" t="s">
        <v>47</v>
      </c>
      <c r="G307" s="22"/>
      <c r="I307" s="170"/>
      <c r="J307" s="9" t="s">
        <v>47</v>
      </c>
      <c r="K307" s="22"/>
      <c r="M307" s="170"/>
      <c r="N307" s="9" t="s">
        <v>47</v>
      </c>
      <c r="O307" s="22">
        <v>16287</v>
      </c>
    </row>
    <row r="308" spans="1:15" x14ac:dyDescent="0.25">
      <c r="B308" s="103" t="s">
        <v>424</v>
      </c>
      <c r="C308" s="90">
        <v>569.49</v>
      </c>
      <c r="F308" s="103" t="s">
        <v>424</v>
      </c>
      <c r="G308" s="90">
        <v>2025.76</v>
      </c>
      <c r="J308" s="103" t="s">
        <v>424</v>
      </c>
      <c r="K308" s="90">
        <v>1143.83</v>
      </c>
      <c r="N308" s="103" t="s">
        <v>424</v>
      </c>
      <c r="O308" s="22">
        <v>1502.21</v>
      </c>
    </row>
    <row r="309" spans="1:15" ht="15.75" thickBot="1" x14ac:dyDescent="0.3"/>
    <row r="310" spans="1:15" x14ac:dyDescent="0.25">
      <c r="B310" s="57" t="s">
        <v>175</v>
      </c>
      <c r="C310" s="58"/>
      <c r="F310" s="66" t="s">
        <v>581</v>
      </c>
    </row>
    <row r="311" spans="1:15" x14ac:dyDescent="0.25">
      <c r="B311" s="60" t="s">
        <v>533</v>
      </c>
      <c r="C311" s="61"/>
      <c r="E311" s="13" t="s">
        <v>7</v>
      </c>
      <c r="F311" s="13" t="s">
        <v>0</v>
      </c>
      <c r="G311" s="13" t="s">
        <v>164</v>
      </c>
    </row>
    <row r="312" spans="1:15" x14ac:dyDescent="0.25">
      <c r="A312" s="62" t="s">
        <v>7</v>
      </c>
      <c r="B312" s="12" t="s">
        <v>0</v>
      </c>
      <c r="C312" s="63" t="s">
        <v>164</v>
      </c>
      <c r="E312" s="118"/>
      <c r="F312" s="9" t="s">
        <v>6</v>
      </c>
      <c r="G312" s="22">
        <v>165027</v>
      </c>
    </row>
    <row r="313" spans="1:15" x14ac:dyDescent="0.25">
      <c r="A313" s="121"/>
      <c r="B313" s="54" t="s">
        <v>6</v>
      </c>
      <c r="C313" s="68">
        <f>+C300+G300+K300+O300+G312</f>
        <v>2145166</v>
      </c>
      <c r="E313" s="119"/>
      <c r="F313" s="9" t="s">
        <v>41</v>
      </c>
      <c r="G313" s="22">
        <v>108641</v>
      </c>
    </row>
    <row r="314" spans="1:15" x14ac:dyDescent="0.25">
      <c r="A314" s="122"/>
      <c r="B314" s="54" t="s">
        <v>9</v>
      </c>
      <c r="C314" s="68">
        <f t="shared" ref="C314:C315" si="9">+C301+G301+K301+O301+G313</f>
        <v>1417174</v>
      </c>
      <c r="E314" s="119"/>
      <c r="F314" s="9" t="s">
        <v>24</v>
      </c>
      <c r="G314" s="22"/>
    </row>
    <row r="315" spans="1:15" x14ac:dyDescent="0.25">
      <c r="A315" s="122"/>
      <c r="B315" s="54" t="s">
        <v>24</v>
      </c>
      <c r="C315" s="68">
        <f t="shared" si="9"/>
        <v>0</v>
      </c>
      <c r="E315" s="119" t="s">
        <v>581</v>
      </c>
      <c r="F315" s="9" t="s">
        <v>10</v>
      </c>
      <c r="G315" s="99">
        <v>75897</v>
      </c>
    </row>
    <row r="316" spans="1:15" x14ac:dyDescent="0.25">
      <c r="A316" s="122" t="s">
        <v>533</v>
      </c>
      <c r="B316" s="54" t="s">
        <v>10</v>
      </c>
      <c r="C316" s="68">
        <f>+C303+G303+K303+O303+G315</f>
        <v>1044623</v>
      </c>
      <c r="E316" s="119"/>
      <c r="F316" s="9" t="s">
        <v>11</v>
      </c>
      <c r="G316" s="99"/>
    </row>
    <row r="317" spans="1:15" x14ac:dyDescent="0.25">
      <c r="A317" s="122"/>
      <c r="B317" s="54" t="s">
        <v>12</v>
      </c>
      <c r="C317" s="68">
        <f t="shared" ref="C317:C321" si="10">+C304+G304+K304+O304+G316</f>
        <v>2.76</v>
      </c>
      <c r="E317" s="119"/>
      <c r="F317" s="9" t="s">
        <v>49</v>
      </c>
      <c r="G317" s="22">
        <v>40824</v>
      </c>
    </row>
    <row r="318" spans="1:15" x14ac:dyDescent="0.25">
      <c r="A318" s="122"/>
      <c r="B318" s="55" t="s">
        <v>14</v>
      </c>
      <c r="C318" s="68">
        <f t="shared" si="10"/>
        <v>389796</v>
      </c>
      <c r="E318" s="119"/>
      <c r="F318" s="9" t="s">
        <v>44</v>
      </c>
      <c r="G318" s="22">
        <v>190110</v>
      </c>
    </row>
    <row r="319" spans="1:15" x14ac:dyDescent="0.25">
      <c r="A319" s="122"/>
      <c r="B319" s="104" t="s">
        <v>15</v>
      </c>
      <c r="C319" s="68">
        <f t="shared" si="10"/>
        <v>2715010</v>
      </c>
      <c r="E319" s="120"/>
      <c r="F319" s="9" t="s">
        <v>47</v>
      </c>
      <c r="G319" s="22"/>
    </row>
    <row r="320" spans="1:15" ht="15.75" thickBot="1" x14ac:dyDescent="0.3">
      <c r="A320" s="123"/>
      <c r="B320" s="54" t="s">
        <v>13</v>
      </c>
      <c r="C320" s="68">
        <f t="shared" si="10"/>
        <v>16287</v>
      </c>
      <c r="F320" s="103" t="s">
        <v>424</v>
      </c>
      <c r="G320" s="90">
        <v>428.36</v>
      </c>
    </row>
    <row r="321" spans="1:15" x14ac:dyDescent="0.25">
      <c r="B321" s="54" t="s">
        <v>424</v>
      </c>
      <c r="C321" s="68">
        <f t="shared" si="10"/>
        <v>5669.65</v>
      </c>
    </row>
    <row r="323" spans="1:15" s="16" customFormat="1" x14ac:dyDescent="0.25"/>
    <row r="325" spans="1:15" x14ac:dyDescent="0.25">
      <c r="B325" s="66" t="s">
        <v>576</v>
      </c>
      <c r="F325" s="66" t="s">
        <v>577</v>
      </c>
      <c r="J325" s="66" t="s">
        <v>578</v>
      </c>
      <c r="N325" s="66" t="s">
        <v>579</v>
      </c>
    </row>
    <row r="326" spans="1:15" x14ac:dyDescent="0.25">
      <c r="A326" s="13" t="s">
        <v>7</v>
      </c>
      <c r="B326" s="13" t="s">
        <v>0</v>
      </c>
      <c r="C326" s="13" t="s">
        <v>164</v>
      </c>
      <c r="E326" s="13" t="s">
        <v>7</v>
      </c>
      <c r="F326" s="13" t="s">
        <v>0</v>
      </c>
      <c r="G326" s="13" t="s">
        <v>164</v>
      </c>
      <c r="I326" s="13" t="s">
        <v>7</v>
      </c>
      <c r="J326" s="13" t="s">
        <v>0</v>
      </c>
      <c r="K326" s="13" t="s">
        <v>164</v>
      </c>
      <c r="M326" s="13" t="s">
        <v>7</v>
      </c>
      <c r="N326" s="13" t="s">
        <v>0</v>
      </c>
      <c r="O326" s="117" t="s">
        <v>164</v>
      </c>
    </row>
    <row r="327" spans="1:15" x14ac:dyDescent="0.25">
      <c r="A327" s="168" t="s">
        <v>576</v>
      </c>
      <c r="B327" s="9" t="s">
        <v>6</v>
      </c>
      <c r="C327" s="22">
        <v>486808</v>
      </c>
      <c r="E327" s="168" t="s">
        <v>577</v>
      </c>
      <c r="F327" s="9" t="s">
        <v>6</v>
      </c>
      <c r="G327" s="22">
        <v>524907</v>
      </c>
      <c r="I327" s="168" t="s">
        <v>578</v>
      </c>
      <c r="J327" s="9" t="s">
        <v>6</v>
      </c>
      <c r="K327" s="22">
        <v>436446</v>
      </c>
      <c r="M327" s="168" t="s">
        <v>532</v>
      </c>
      <c r="N327" s="9" t="s">
        <v>6</v>
      </c>
      <c r="O327" s="130">
        <v>393117</v>
      </c>
    </row>
    <row r="328" spans="1:15" x14ac:dyDescent="0.25">
      <c r="A328" s="169"/>
      <c r="B328" s="9" t="s">
        <v>41</v>
      </c>
      <c r="C328" s="22">
        <v>323611</v>
      </c>
      <c r="E328" s="169"/>
      <c r="F328" s="9" t="s">
        <v>41</v>
      </c>
      <c r="G328" s="22">
        <v>350697</v>
      </c>
      <c r="I328" s="169"/>
      <c r="J328" s="9" t="s">
        <v>41</v>
      </c>
      <c r="K328" s="22">
        <v>288810</v>
      </c>
      <c r="M328" s="169"/>
      <c r="N328" s="9" t="s">
        <v>41</v>
      </c>
      <c r="O328" s="131">
        <v>260110</v>
      </c>
    </row>
    <row r="329" spans="1:15" x14ac:dyDescent="0.25">
      <c r="A329" s="169"/>
      <c r="B329" s="9" t="s">
        <v>24</v>
      </c>
      <c r="C329" s="22"/>
      <c r="E329" s="169"/>
      <c r="F329" s="9" t="s">
        <v>24</v>
      </c>
      <c r="G329" s="22"/>
      <c r="I329" s="169"/>
      <c r="J329" s="9" t="s">
        <v>24</v>
      </c>
      <c r="K329" s="22"/>
      <c r="M329" s="169"/>
      <c r="N329" s="9" t="s">
        <v>24</v>
      </c>
      <c r="O329" s="90"/>
    </row>
    <row r="330" spans="1:15" x14ac:dyDescent="0.25">
      <c r="A330" s="169"/>
      <c r="B330" s="9" t="s">
        <v>10</v>
      </c>
      <c r="C330" s="22">
        <v>232788</v>
      </c>
      <c r="E330" s="169"/>
      <c r="F330" s="9" t="s">
        <v>10</v>
      </c>
      <c r="G330" s="22">
        <v>258580</v>
      </c>
      <c r="I330" s="169"/>
      <c r="J330" s="9" t="s">
        <v>10</v>
      </c>
      <c r="K330" s="22">
        <v>214982</v>
      </c>
      <c r="M330" s="169"/>
      <c r="N330" s="9" t="s">
        <v>10</v>
      </c>
      <c r="O330" s="131">
        <v>193188</v>
      </c>
    </row>
    <row r="331" spans="1:15" x14ac:dyDescent="0.25">
      <c r="A331" s="169"/>
      <c r="B331" s="9" t="s">
        <v>11</v>
      </c>
      <c r="C331" s="22"/>
      <c r="E331" s="169"/>
      <c r="F331" s="9" t="s">
        <v>11</v>
      </c>
      <c r="G331" s="22"/>
      <c r="I331" s="169"/>
      <c r="J331" s="9" t="s">
        <v>11</v>
      </c>
      <c r="K331" s="22"/>
      <c r="M331" s="169"/>
      <c r="N331" s="9" t="s">
        <v>11</v>
      </c>
      <c r="O331" s="90"/>
    </row>
    <row r="332" spans="1:15" x14ac:dyDescent="0.25">
      <c r="A332" s="169"/>
      <c r="B332" s="9" t="s">
        <v>49</v>
      </c>
      <c r="C332" s="22">
        <v>150273</v>
      </c>
      <c r="E332" s="169"/>
      <c r="F332" s="9" t="s">
        <v>49</v>
      </c>
      <c r="G332" s="22">
        <v>172025</v>
      </c>
      <c r="I332" s="169"/>
      <c r="J332" s="9" t="s">
        <v>49</v>
      </c>
      <c r="K332" s="22">
        <v>132304</v>
      </c>
      <c r="M332" s="169"/>
      <c r="N332" s="9" t="s">
        <v>49</v>
      </c>
      <c r="O332" s="131">
        <v>71745</v>
      </c>
    </row>
    <row r="333" spans="1:15" x14ac:dyDescent="0.25">
      <c r="A333" s="169"/>
      <c r="B333" s="9" t="s">
        <v>44</v>
      </c>
      <c r="C333" s="90">
        <v>510421</v>
      </c>
      <c r="E333" s="169"/>
      <c r="F333" s="9" t="s">
        <v>44</v>
      </c>
      <c r="G333" s="22">
        <v>544789</v>
      </c>
      <c r="I333" s="169"/>
      <c r="J333" s="9" t="s">
        <v>44</v>
      </c>
      <c r="K333" s="22">
        <v>504172</v>
      </c>
      <c r="M333" s="169"/>
      <c r="N333" s="9" t="s">
        <v>44</v>
      </c>
      <c r="O333" s="131">
        <v>536680</v>
      </c>
    </row>
    <row r="334" spans="1:15" x14ac:dyDescent="0.25">
      <c r="A334" s="170"/>
      <c r="B334" s="9" t="s">
        <v>47</v>
      </c>
      <c r="C334" s="22"/>
      <c r="E334" s="170"/>
      <c r="F334" s="9" t="s">
        <v>47</v>
      </c>
      <c r="G334" s="22"/>
      <c r="I334" s="170"/>
      <c r="J334" s="9" t="s">
        <v>47</v>
      </c>
      <c r="K334" s="22"/>
      <c r="M334" s="170"/>
      <c r="N334" s="9" t="s">
        <v>47</v>
      </c>
      <c r="O334" s="131">
        <v>4147</v>
      </c>
    </row>
    <row r="335" spans="1:15" x14ac:dyDescent="0.25">
      <c r="B335" s="103" t="s">
        <v>424</v>
      </c>
      <c r="C335" s="90">
        <v>1275.93</v>
      </c>
      <c r="F335" s="103" t="s">
        <v>424</v>
      </c>
      <c r="G335" s="90">
        <v>1408.3</v>
      </c>
      <c r="J335" s="103" t="s">
        <v>424</v>
      </c>
      <c r="K335" s="90">
        <v>1158.79</v>
      </c>
      <c r="N335" s="103" t="s">
        <v>424</v>
      </c>
      <c r="O335" s="132">
        <v>932.96</v>
      </c>
    </row>
    <row r="336" spans="1:15" ht="15.75" thickBot="1" x14ac:dyDescent="0.3"/>
    <row r="337" spans="1:14" x14ac:dyDescent="0.25">
      <c r="B337" s="57" t="s">
        <v>175</v>
      </c>
      <c r="C337" s="58"/>
      <c r="F337" s="66" t="s">
        <v>580</v>
      </c>
    </row>
    <row r="338" spans="1:14" x14ac:dyDescent="0.25">
      <c r="B338" s="60" t="s">
        <v>582</v>
      </c>
      <c r="C338" s="61"/>
      <c r="E338" s="13" t="s">
        <v>7</v>
      </c>
      <c r="F338" s="13" t="s">
        <v>0</v>
      </c>
      <c r="G338" s="13" t="s">
        <v>164</v>
      </c>
    </row>
    <row r="339" spans="1:14" x14ac:dyDescent="0.25">
      <c r="A339" s="62" t="s">
        <v>7</v>
      </c>
      <c r="B339" s="12" t="s">
        <v>0</v>
      </c>
      <c r="C339" s="63" t="s">
        <v>164</v>
      </c>
      <c r="E339" s="127"/>
      <c r="F339" s="9" t="s">
        <v>6</v>
      </c>
      <c r="G339" s="22">
        <v>357811</v>
      </c>
    </row>
    <row r="340" spans="1:14" x14ac:dyDescent="0.25">
      <c r="A340" s="124"/>
      <c r="B340" s="54" t="s">
        <v>6</v>
      </c>
      <c r="C340" s="68">
        <f>+C327+G327+K327+O327+G339</f>
        <v>2199089</v>
      </c>
      <c r="E340" s="128"/>
      <c r="F340" s="9" t="s">
        <v>41</v>
      </c>
      <c r="G340" s="22">
        <v>233024</v>
      </c>
      <c r="I340" s="85"/>
    </row>
    <row r="341" spans="1:14" x14ac:dyDescent="0.25">
      <c r="A341" s="125"/>
      <c r="B341" s="54" t="s">
        <v>9</v>
      </c>
      <c r="C341" s="68">
        <f t="shared" ref="C341:C342" si="11">+C328+G328+K328+O328+G340</f>
        <v>1456252</v>
      </c>
      <c r="E341" s="128"/>
      <c r="F341" s="9" t="s">
        <v>24</v>
      </c>
      <c r="G341" s="22"/>
    </row>
    <row r="342" spans="1:14" x14ac:dyDescent="0.25">
      <c r="A342" s="125"/>
      <c r="B342" s="54" t="s">
        <v>24</v>
      </c>
      <c r="C342" s="68">
        <f t="shared" si="11"/>
        <v>0</v>
      </c>
      <c r="E342" s="128"/>
      <c r="F342" s="9" t="s">
        <v>10</v>
      </c>
      <c r="G342" s="99">
        <v>166297</v>
      </c>
    </row>
    <row r="343" spans="1:14" x14ac:dyDescent="0.25">
      <c r="A343" s="125" t="s">
        <v>582</v>
      </c>
      <c r="B343" s="54" t="s">
        <v>10</v>
      </c>
      <c r="C343" s="68">
        <f>+C330+G330+K330+O330+G342</f>
        <v>1065835</v>
      </c>
      <c r="E343" s="128"/>
      <c r="F343" s="9" t="s">
        <v>11</v>
      </c>
      <c r="G343" s="99"/>
    </row>
    <row r="344" spans="1:14" x14ac:dyDescent="0.25">
      <c r="A344" s="125"/>
      <c r="B344" s="54" t="s">
        <v>12</v>
      </c>
      <c r="C344" s="68">
        <f t="shared" ref="C344:C348" si="12">+C331+G331+K331+O331+G343</f>
        <v>0</v>
      </c>
      <c r="E344" s="128"/>
      <c r="F344" s="9" t="s">
        <v>49</v>
      </c>
      <c r="G344" s="22">
        <v>53894</v>
      </c>
    </row>
    <row r="345" spans="1:14" x14ac:dyDescent="0.25">
      <c r="A345" s="125"/>
      <c r="B345" s="55" t="s">
        <v>14</v>
      </c>
      <c r="C345" s="68">
        <f t="shared" si="12"/>
        <v>580241</v>
      </c>
      <c r="E345" s="128"/>
      <c r="F345" s="9" t="s">
        <v>44</v>
      </c>
      <c r="G345" s="22">
        <v>424183</v>
      </c>
    </row>
    <row r="346" spans="1:14" x14ac:dyDescent="0.25">
      <c r="A346" s="125"/>
      <c r="B346" s="104" t="s">
        <v>15</v>
      </c>
      <c r="C346" s="68">
        <f t="shared" si="12"/>
        <v>2520245</v>
      </c>
      <c r="E346" s="129"/>
      <c r="F346" s="9" t="s">
        <v>47</v>
      </c>
      <c r="G346" s="22">
        <v>2623</v>
      </c>
    </row>
    <row r="347" spans="1:14" ht="15.75" thickBot="1" x14ac:dyDescent="0.3">
      <c r="A347" s="126"/>
      <c r="B347" s="54" t="s">
        <v>13</v>
      </c>
      <c r="C347" s="68">
        <f t="shared" si="12"/>
        <v>6770</v>
      </c>
      <c r="F347" s="103" t="s">
        <v>424</v>
      </c>
      <c r="G347" s="90">
        <v>918.22</v>
      </c>
    </row>
    <row r="348" spans="1:14" x14ac:dyDescent="0.25">
      <c r="B348" s="54" t="s">
        <v>424</v>
      </c>
      <c r="C348" s="68">
        <f t="shared" si="12"/>
        <v>5694.2</v>
      </c>
    </row>
    <row r="350" spans="1:14" s="16" customFormat="1" x14ac:dyDescent="0.25"/>
    <row r="352" spans="1:14" x14ac:dyDescent="0.25">
      <c r="B352" s="66" t="s">
        <v>628</v>
      </c>
      <c r="F352" s="66" t="s">
        <v>629</v>
      </c>
      <c r="J352" s="66" t="s">
        <v>630</v>
      </c>
      <c r="N352" s="66" t="s">
        <v>631</v>
      </c>
    </row>
    <row r="353" spans="1:15" x14ac:dyDescent="0.25">
      <c r="A353" s="13" t="s">
        <v>7</v>
      </c>
      <c r="B353" s="13" t="s">
        <v>0</v>
      </c>
      <c r="C353" s="13" t="s">
        <v>164</v>
      </c>
      <c r="E353" s="13" t="s">
        <v>7</v>
      </c>
      <c r="F353" s="13" t="s">
        <v>0</v>
      </c>
      <c r="G353" s="13" t="s">
        <v>164</v>
      </c>
      <c r="I353" s="13" t="s">
        <v>7</v>
      </c>
      <c r="J353" s="13" t="s">
        <v>0</v>
      </c>
      <c r="K353" s="13" t="s">
        <v>164</v>
      </c>
      <c r="M353" s="13" t="s">
        <v>7</v>
      </c>
      <c r="N353" s="13" t="s">
        <v>0</v>
      </c>
      <c r="O353" s="117" t="s">
        <v>164</v>
      </c>
    </row>
    <row r="354" spans="1:15" x14ac:dyDescent="0.25">
      <c r="A354" s="168" t="s">
        <v>628</v>
      </c>
      <c r="B354" s="9" t="s">
        <v>6</v>
      </c>
      <c r="C354" s="22">
        <v>391898</v>
      </c>
      <c r="E354" s="168" t="s">
        <v>629</v>
      </c>
      <c r="F354" s="9" t="s">
        <v>6</v>
      </c>
      <c r="G354" s="22">
        <v>772950</v>
      </c>
      <c r="I354" s="168" t="s">
        <v>630</v>
      </c>
      <c r="J354" s="9" t="s">
        <v>6</v>
      </c>
      <c r="K354" s="22">
        <v>619970</v>
      </c>
      <c r="M354" s="168" t="s">
        <v>631</v>
      </c>
      <c r="N354" s="9" t="s">
        <v>6</v>
      </c>
      <c r="O354" s="130">
        <v>606716</v>
      </c>
    </row>
    <row r="355" spans="1:15" x14ac:dyDescent="0.25">
      <c r="A355" s="169"/>
      <c r="B355" s="9" t="s">
        <v>41</v>
      </c>
      <c r="C355" s="22">
        <v>258469</v>
      </c>
      <c r="E355" s="169"/>
      <c r="F355" s="9" t="s">
        <v>41</v>
      </c>
      <c r="G355" s="22">
        <v>504503</v>
      </c>
      <c r="I355" s="169"/>
      <c r="J355" s="9" t="s">
        <v>41</v>
      </c>
      <c r="K355" s="22">
        <v>422068</v>
      </c>
      <c r="M355" s="169"/>
      <c r="N355" s="9" t="s">
        <v>41</v>
      </c>
      <c r="O355" s="131">
        <v>401315</v>
      </c>
    </row>
    <row r="356" spans="1:15" x14ac:dyDescent="0.25">
      <c r="A356" s="169"/>
      <c r="B356" s="9" t="s">
        <v>24</v>
      </c>
      <c r="C356" s="22"/>
      <c r="E356" s="169"/>
      <c r="F356" s="9" t="s">
        <v>24</v>
      </c>
      <c r="G356" s="22"/>
      <c r="I356" s="169"/>
      <c r="J356" s="9" t="s">
        <v>24</v>
      </c>
      <c r="K356" s="22"/>
      <c r="M356" s="169"/>
      <c r="N356" s="9" t="s">
        <v>24</v>
      </c>
      <c r="O356" s="90"/>
    </row>
    <row r="357" spans="1:15" x14ac:dyDescent="0.25">
      <c r="A357" s="169"/>
      <c r="B357" s="9" t="s">
        <v>10</v>
      </c>
      <c r="C357" s="22">
        <v>183682</v>
      </c>
      <c r="E357" s="169"/>
      <c r="F357" s="9" t="s">
        <v>10</v>
      </c>
      <c r="G357" s="22">
        <v>365591</v>
      </c>
      <c r="I357" s="169"/>
      <c r="J357" s="9" t="s">
        <v>10</v>
      </c>
      <c r="K357" s="22">
        <v>300464</v>
      </c>
      <c r="M357" s="169"/>
      <c r="N357" s="9" t="s">
        <v>10</v>
      </c>
      <c r="O357" s="131">
        <v>285225</v>
      </c>
    </row>
    <row r="358" spans="1:15" x14ac:dyDescent="0.25">
      <c r="A358" s="169"/>
      <c r="B358" s="9" t="s">
        <v>11</v>
      </c>
      <c r="C358" s="22"/>
      <c r="E358" s="169"/>
      <c r="F358" s="9" t="s">
        <v>11</v>
      </c>
      <c r="G358" s="22"/>
      <c r="I358" s="169"/>
      <c r="J358" s="9" t="s">
        <v>11</v>
      </c>
      <c r="K358" s="22"/>
      <c r="M358" s="169"/>
      <c r="N358" s="9" t="s">
        <v>11</v>
      </c>
      <c r="O358" s="90"/>
    </row>
    <row r="359" spans="1:15" x14ac:dyDescent="0.25">
      <c r="A359" s="169"/>
      <c r="B359" s="9" t="s">
        <v>49</v>
      </c>
      <c r="C359" s="22">
        <v>89311</v>
      </c>
      <c r="E359" s="169"/>
      <c r="F359" s="9" t="s">
        <v>49</v>
      </c>
      <c r="G359" s="22">
        <v>195278</v>
      </c>
      <c r="I359" s="169"/>
      <c r="J359" s="9" t="s">
        <v>49</v>
      </c>
      <c r="K359" s="22">
        <v>179727</v>
      </c>
      <c r="M359" s="169"/>
      <c r="N359" s="9" t="s">
        <v>49</v>
      </c>
      <c r="O359" s="131">
        <v>57937</v>
      </c>
    </row>
    <row r="360" spans="1:15" x14ac:dyDescent="0.25">
      <c r="A360" s="169"/>
      <c r="B360" s="9" t="s">
        <v>44</v>
      </c>
      <c r="C360" s="90">
        <v>442021</v>
      </c>
      <c r="E360" s="169"/>
      <c r="F360" s="9" t="s">
        <v>44</v>
      </c>
      <c r="G360" s="22">
        <v>879504</v>
      </c>
      <c r="I360" s="169"/>
      <c r="J360" s="9" t="s">
        <v>44</v>
      </c>
      <c r="K360" s="22">
        <v>682508</v>
      </c>
      <c r="M360" s="169"/>
      <c r="N360" s="9" t="s">
        <v>44</v>
      </c>
      <c r="O360" s="131">
        <v>809907</v>
      </c>
    </row>
    <row r="361" spans="1:15" x14ac:dyDescent="0.25">
      <c r="A361" s="170"/>
      <c r="B361" s="9" t="s">
        <v>47</v>
      </c>
      <c r="C361" s="22"/>
      <c r="E361" s="170"/>
      <c r="F361" s="9" t="s">
        <v>47</v>
      </c>
      <c r="G361" s="22"/>
      <c r="I361" s="170"/>
      <c r="J361" s="9" t="s">
        <v>47</v>
      </c>
      <c r="K361" s="22"/>
      <c r="M361" s="170"/>
      <c r="N361" s="9" t="s">
        <v>47</v>
      </c>
      <c r="O361" s="131"/>
    </row>
    <row r="362" spans="1:15" x14ac:dyDescent="0.25">
      <c r="B362" s="103" t="s">
        <v>424</v>
      </c>
      <c r="C362" s="90">
        <v>1123.83</v>
      </c>
      <c r="F362" s="103" t="s">
        <v>424</v>
      </c>
      <c r="G362" s="90">
        <v>2216.67</v>
      </c>
      <c r="J362" s="103" t="s">
        <v>424</v>
      </c>
      <c r="K362" s="90">
        <v>1496.35</v>
      </c>
      <c r="N362" s="103" t="s">
        <v>424</v>
      </c>
      <c r="O362" s="132">
        <v>1776.82</v>
      </c>
    </row>
    <row r="363" spans="1:15" ht="15.75" thickBot="1" x14ac:dyDescent="0.3"/>
    <row r="364" spans="1:15" x14ac:dyDescent="0.25">
      <c r="B364" s="57" t="s">
        <v>175</v>
      </c>
      <c r="C364" s="58"/>
      <c r="F364" s="66"/>
    </row>
    <row r="365" spans="1:15" x14ac:dyDescent="0.25">
      <c r="B365" s="60" t="s">
        <v>632</v>
      </c>
      <c r="C365" s="61"/>
      <c r="E365" s="13" t="s">
        <v>7</v>
      </c>
      <c r="F365" s="13" t="s">
        <v>0</v>
      </c>
      <c r="G365" s="13" t="s">
        <v>164</v>
      </c>
    </row>
    <row r="366" spans="1:15" x14ac:dyDescent="0.25">
      <c r="A366" s="62" t="s">
        <v>7</v>
      </c>
      <c r="B366" s="12" t="s">
        <v>0</v>
      </c>
      <c r="C366" s="63" t="s">
        <v>164</v>
      </c>
      <c r="E366" s="133"/>
      <c r="F366" s="9" t="s">
        <v>6</v>
      </c>
      <c r="G366" s="22"/>
    </row>
    <row r="367" spans="1:15" x14ac:dyDescent="0.25">
      <c r="A367" s="136"/>
      <c r="B367" s="54" t="s">
        <v>6</v>
      </c>
      <c r="C367" s="68">
        <f>+C354+G354+K354+O354+G366</f>
        <v>2391534</v>
      </c>
      <c r="E367" s="134"/>
      <c r="F367" s="9" t="s">
        <v>41</v>
      </c>
      <c r="G367" s="22"/>
      <c r="I367" s="85"/>
    </row>
    <row r="368" spans="1:15" x14ac:dyDescent="0.25">
      <c r="A368" s="137"/>
      <c r="B368" s="54" t="s">
        <v>9</v>
      </c>
      <c r="C368" s="68">
        <f t="shared" ref="C368:C369" si="13">+C355+G355+K355+O355+G367</f>
        <v>1586355</v>
      </c>
      <c r="E368" s="134"/>
      <c r="F368" s="9" t="s">
        <v>24</v>
      </c>
      <c r="G368" s="22"/>
    </row>
    <row r="369" spans="1:16" x14ac:dyDescent="0.25">
      <c r="A369" s="137"/>
      <c r="B369" s="54" t="s">
        <v>24</v>
      </c>
      <c r="C369" s="68">
        <f t="shared" si="13"/>
        <v>0</v>
      </c>
      <c r="E369" s="134"/>
      <c r="F369" s="9" t="s">
        <v>10</v>
      </c>
      <c r="G369" s="99"/>
    </row>
    <row r="370" spans="1:16" x14ac:dyDescent="0.25">
      <c r="A370" s="137" t="s">
        <v>632</v>
      </c>
      <c r="B370" s="54" t="s">
        <v>10</v>
      </c>
      <c r="C370" s="68">
        <f>+C357+G357+K357+O357+G369</f>
        <v>1134962</v>
      </c>
      <c r="E370" s="134"/>
      <c r="F370" s="9" t="s">
        <v>11</v>
      </c>
      <c r="G370" s="99"/>
    </row>
    <row r="371" spans="1:16" x14ac:dyDescent="0.25">
      <c r="A371" s="137"/>
      <c r="B371" s="54" t="s">
        <v>12</v>
      </c>
      <c r="C371" s="68">
        <f t="shared" ref="C371:C375" si="14">+C358+G358+K358+O358+G370</f>
        <v>0</v>
      </c>
      <c r="E371" s="134"/>
      <c r="F371" s="9" t="s">
        <v>49</v>
      </c>
      <c r="G371" s="22"/>
    </row>
    <row r="372" spans="1:16" x14ac:dyDescent="0.25">
      <c r="A372" s="137"/>
      <c r="B372" s="55" t="s">
        <v>14</v>
      </c>
      <c r="C372" s="68">
        <f t="shared" si="14"/>
        <v>522253</v>
      </c>
      <c r="E372" s="134"/>
      <c r="F372" s="9" t="s">
        <v>44</v>
      </c>
      <c r="G372" s="22"/>
    </row>
    <row r="373" spans="1:16" x14ac:dyDescent="0.25">
      <c r="A373" s="137"/>
      <c r="B373" s="104" t="s">
        <v>15</v>
      </c>
      <c r="C373" s="68">
        <f t="shared" si="14"/>
        <v>2813940</v>
      </c>
      <c r="E373" s="135"/>
      <c r="F373" s="9" t="s">
        <v>47</v>
      </c>
      <c r="G373" s="22"/>
    </row>
    <row r="374" spans="1:16" ht="15.75" thickBot="1" x14ac:dyDescent="0.3">
      <c r="A374" s="138"/>
      <c r="B374" s="54" t="s">
        <v>13</v>
      </c>
      <c r="C374" s="68">
        <f t="shared" si="14"/>
        <v>0</v>
      </c>
      <c r="F374" s="103" t="s">
        <v>424</v>
      </c>
      <c r="G374" s="90"/>
    </row>
    <row r="375" spans="1:16" x14ac:dyDescent="0.25">
      <c r="B375" s="54" t="s">
        <v>424</v>
      </c>
      <c r="C375" s="68">
        <f t="shared" si="14"/>
        <v>6613.67</v>
      </c>
    </row>
    <row r="377" spans="1:16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</row>
    <row r="379" spans="1:16" x14ac:dyDescent="0.25">
      <c r="B379" s="66"/>
      <c r="F379" s="66"/>
      <c r="J379" s="66"/>
      <c r="N379" s="66"/>
    </row>
    <row r="380" spans="1:16" x14ac:dyDescent="0.25">
      <c r="A380" s="13" t="s">
        <v>7</v>
      </c>
      <c r="B380" s="13" t="s">
        <v>0</v>
      </c>
      <c r="C380" s="13" t="s">
        <v>164</v>
      </c>
      <c r="E380" s="13" t="s">
        <v>7</v>
      </c>
      <c r="F380" s="13" t="s">
        <v>0</v>
      </c>
      <c r="G380" s="13" t="s">
        <v>164</v>
      </c>
      <c r="I380" s="13" t="s">
        <v>7</v>
      </c>
      <c r="J380" s="13" t="s">
        <v>0</v>
      </c>
      <c r="K380" s="13" t="s">
        <v>164</v>
      </c>
      <c r="M380" s="13" t="s">
        <v>7</v>
      </c>
      <c r="N380" s="13" t="s">
        <v>0</v>
      </c>
      <c r="O380" s="117" t="s">
        <v>164</v>
      </c>
    </row>
    <row r="381" spans="1:16" x14ac:dyDescent="0.25">
      <c r="A381" s="168" t="s">
        <v>650</v>
      </c>
      <c r="B381" s="9" t="s">
        <v>6</v>
      </c>
      <c r="C381" s="22">
        <v>518266</v>
      </c>
      <c r="E381" s="168" t="s">
        <v>651</v>
      </c>
      <c r="F381" s="9" t="s">
        <v>6</v>
      </c>
      <c r="G381" s="22">
        <v>417079</v>
      </c>
      <c r="I381" s="168" t="s">
        <v>652</v>
      </c>
      <c r="J381" s="9" t="s">
        <v>6</v>
      </c>
      <c r="K381" s="22">
        <v>634537</v>
      </c>
      <c r="M381" s="168" t="s">
        <v>653</v>
      </c>
      <c r="N381" s="9" t="s">
        <v>6</v>
      </c>
      <c r="O381" s="130">
        <v>692880</v>
      </c>
    </row>
    <row r="382" spans="1:16" x14ac:dyDescent="0.25">
      <c r="A382" s="169"/>
      <c r="B382" s="9" t="s">
        <v>41</v>
      </c>
      <c r="C382" s="22">
        <v>348815</v>
      </c>
      <c r="E382" s="169"/>
      <c r="F382" s="9" t="s">
        <v>41</v>
      </c>
      <c r="G382" s="22">
        <v>282470</v>
      </c>
      <c r="I382" s="169"/>
      <c r="J382" s="9" t="s">
        <v>41</v>
      </c>
      <c r="K382" s="22">
        <v>428083</v>
      </c>
      <c r="M382" s="169"/>
      <c r="N382" s="9" t="s">
        <v>41</v>
      </c>
      <c r="O382" s="131">
        <v>466390</v>
      </c>
    </row>
    <row r="383" spans="1:16" x14ac:dyDescent="0.25">
      <c r="A383" s="169"/>
      <c r="B383" s="9" t="s">
        <v>24</v>
      </c>
      <c r="C383" s="22"/>
      <c r="E383" s="169"/>
      <c r="F383" s="9" t="s">
        <v>24</v>
      </c>
      <c r="G383" s="22"/>
      <c r="I383" s="169"/>
      <c r="J383" s="9" t="s">
        <v>24</v>
      </c>
      <c r="K383" s="22"/>
      <c r="M383" s="169"/>
      <c r="N383" s="9" t="s">
        <v>24</v>
      </c>
      <c r="O383" s="90"/>
    </row>
    <row r="384" spans="1:16" x14ac:dyDescent="0.25">
      <c r="A384" s="169"/>
      <c r="B384" s="9" t="s">
        <v>10</v>
      </c>
      <c r="C384" s="22">
        <v>243465</v>
      </c>
      <c r="E384" s="169"/>
      <c r="F384" s="9" t="s">
        <v>10</v>
      </c>
      <c r="G384" s="22">
        <v>211156</v>
      </c>
      <c r="I384" s="169"/>
      <c r="J384" s="9" t="s">
        <v>10</v>
      </c>
      <c r="K384" s="22">
        <v>335532</v>
      </c>
      <c r="M384" s="169"/>
      <c r="N384" s="9" t="s">
        <v>10</v>
      </c>
      <c r="O384" s="131">
        <v>373014</v>
      </c>
    </row>
    <row r="385" spans="1:15" x14ac:dyDescent="0.25">
      <c r="A385" s="169"/>
      <c r="B385" s="9" t="s">
        <v>11</v>
      </c>
      <c r="C385" s="22"/>
      <c r="E385" s="169"/>
      <c r="F385" s="9" t="s">
        <v>11</v>
      </c>
      <c r="G385" s="22"/>
      <c r="I385" s="169"/>
      <c r="J385" s="9" t="s">
        <v>11</v>
      </c>
      <c r="K385" s="22"/>
      <c r="M385" s="169"/>
      <c r="N385" s="9" t="s">
        <v>11</v>
      </c>
      <c r="O385" s="90"/>
    </row>
    <row r="386" spans="1:15" x14ac:dyDescent="0.25">
      <c r="A386" s="169"/>
      <c r="B386" s="9" t="s">
        <v>49</v>
      </c>
      <c r="C386" s="22">
        <v>58360</v>
      </c>
      <c r="E386" s="169"/>
      <c r="F386" s="9" t="s">
        <v>49</v>
      </c>
      <c r="G386" s="22">
        <v>77191</v>
      </c>
      <c r="I386" s="169"/>
      <c r="J386" s="9" t="s">
        <v>49</v>
      </c>
      <c r="K386" s="22">
        <v>136970</v>
      </c>
      <c r="M386" s="169"/>
      <c r="N386" s="9" t="s">
        <v>49</v>
      </c>
      <c r="O386" s="131">
        <v>100110</v>
      </c>
    </row>
    <row r="387" spans="1:15" x14ac:dyDescent="0.25">
      <c r="A387" s="169"/>
      <c r="B387" s="9" t="s">
        <v>44</v>
      </c>
      <c r="C387" s="90">
        <v>684309</v>
      </c>
      <c r="E387" s="169"/>
      <c r="F387" s="9" t="s">
        <v>44</v>
      </c>
      <c r="G387" s="22">
        <v>494291</v>
      </c>
      <c r="I387" s="169"/>
      <c r="J387" s="9" t="s">
        <v>44</v>
      </c>
      <c r="K387" s="22">
        <v>657866</v>
      </c>
      <c r="M387" s="169"/>
      <c r="N387" s="9" t="s">
        <v>44</v>
      </c>
      <c r="O387" s="131">
        <v>746985</v>
      </c>
    </row>
    <row r="388" spans="1:15" x14ac:dyDescent="0.25">
      <c r="A388" s="170"/>
      <c r="B388" s="9" t="s">
        <v>47</v>
      </c>
      <c r="C388" s="22"/>
      <c r="E388" s="170"/>
      <c r="F388" s="9" t="s">
        <v>47</v>
      </c>
      <c r="G388" s="22">
        <v>72560</v>
      </c>
      <c r="I388" s="170"/>
      <c r="J388" s="9" t="s">
        <v>47</v>
      </c>
      <c r="K388" s="22">
        <v>186138</v>
      </c>
      <c r="M388" s="170"/>
      <c r="N388" s="9" t="s">
        <v>47</v>
      </c>
      <c r="O388" s="131">
        <v>344850</v>
      </c>
    </row>
    <row r="389" spans="1:15" x14ac:dyDescent="0.25">
      <c r="B389" s="103" t="s">
        <v>424</v>
      </c>
      <c r="C389" s="90">
        <v>1800.61</v>
      </c>
      <c r="F389" s="103" t="s">
        <v>424</v>
      </c>
      <c r="G389" s="90">
        <v>1250.1099999999999</v>
      </c>
      <c r="J389" s="103" t="s">
        <v>424</v>
      </c>
      <c r="K389" s="90">
        <v>1820.32</v>
      </c>
      <c r="N389" s="103" t="s">
        <v>424</v>
      </c>
      <c r="O389" s="132">
        <v>1951.28</v>
      </c>
    </row>
    <row r="390" spans="1:15" ht="15.75" thickBot="1" x14ac:dyDescent="0.3"/>
    <row r="391" spans="1:15" x14ac:dyDescent="0.25">
      <c r="B391" s="57" t="s">
        <v>175</v>
      </c>
      <c r="C391" s="58"/>
      <c r="F391" s="66"/>
    </row>
    <row r="392" spans="1:15" x14ac:dyDescent="0.25">
      <c r="B392" s="60"/>
      <c r="C392" s="61"/>
      <c r="E392" s="13" t="s">
        <v>7</v>
      </c>
      <c r="F392" s="13" t="s">
        <v>0</v>
      </c>
      <c r="G392" s="13" t="s">
        <v>164</v>
      </c>
    </row>
    <row r="393" spans="1:15" x14ac:dyDescent="0.25">
      <c r="A393" s="62" t="s">
        <v>7</v>
      </c>
      <c r="B393" s="12" t="s">
        <v>0</v>
      </c>
      <c r="C393" s="63" t="s">
        <v>164</v>
      </c>
      <c r="E393" s="139"/>
      <c r="F393" s="9" t="s">
        <v>6</v>
      </c>
      <c r="G393" s="22"/>
    </row>
    <row r="394" spans="1:15" x14ac:dyDescent="0.25">
      <c r="A394" s="142"/>
      <c r="B394" s="54" t="s">
        <v>6</v>
      </c>
      <c r="C394" s="68">
        <f>+C381+G381+K381+O381+G393</f>
        <v>2262762</v>
      </c>
      <c r="E394" s="140"/>
      <c r="F394" s="9" t="s">
        <v>41</v>
      </c>
      <c r="G394" s="22"/>
      <c r="I394" s="85"/>
    </row>
    <row r="395" spans="1:15" x14ac:dyDescent="0.25">
      <c r="A395" s="143"/>
      <c r="B395" s="54" t="s">
        <v>9</v>
      </c>
      <c r="C395" s="68">
        <f t="shared" ref="C395:C396" si="15">+C382+G382+K382+O382+G394</f>
        <v>1525758</v>
      </c>
      <c r="E395" s="140"/>
      <c r="F395" s="9" t="s">
        <v>24</v>
      </c>
      <c r="G395" s="22"/>
    </row>
    <row r="396" spans="1:15" x14ac:dyDescent="0.25">
      <c r="A396" s="143"/>
      <c r="B396" s="54" t="s">
        <v>24</v>
      </c>
      <c r="C396" s="68">
        <f t="shared" si="15"/>
        <v>0</v>
      </c>
      <c r="E396" s="140"/>
      <c r="F396" s="9" t="s">
        <v>10</v>
      </c>
      <c r="G396" s="99"/>
    </row>
    <row r="397" spans="1:15" x14ac:dyDescent="0.25">
      <c r="A397" s="143" t="s">
        <v>654</v>
      </c>
      <c r="B397" s="54" t="s">
        <v>10</v>
      </c>
      <c r="C397" s="68">
        <f>+C384+G384+K384+O384+G396</f>
        <v>1163167</v>
      </c>
      <c r="E397" s="140"/>
      <c r="F397" s="9" t="s">
        <v>11</v>
      </c>
      <c r="G397" s="99"/>
    </row>
    <row r="398" spans="1:15" x14ac:dyDescent="0.25">
      <c r="A398" s="143"/>
      <c r="B398" s="54" t="s">
        <v>12</v>
      </c>
      <c r="C398" s="68">
        <f t="shared" ref="C398:C402" si="16">+C385+G385+K385+O385+G397</f>
        <v>0</v>
      </c>
      <c r="E398" s="140"/>
      <c r="F398" s="9" t="s">
        <v>49</v>
      </c>
      <c r="G398" s="22"/>
    </row>
    <row r="399" spans="1:15" x14ac:dyDescent="0.25">
      <c r="A399" s="143"/>
      <c r="B399" s="55" t="s">
        <v>14</v>
      </c>
      <c r="C399" s="68">
        <f t="shared" si="16"/>
        <v>372631</v>
      </c>
      <c r="E399" s="140"/>
      <c r="F399" s="9" t="s">
        <v>44</v>
      </c>
      <c r="G399" s="22"/>
    </row>
    <row r="400" spans="1:15" x14ac:dyDescent="0.25">
      <c r="A400" s="143"/>
      <c r="B400" s="104" t="s">
        <v>15</v>
      </c>
      <c r="C400" s="68">
        <f t="shared" si="16"/>
        <v>2583451</v>
      </c>
      <c r="E400" s="141"/>
      <c r="F400" s="9" t="s">
        <v>47</v>
      </c>
      <c r="G400" s="22"/>
    </row>
    <row r="401" spans="1:7" ht="15.75" thickBot="1" x14ac:dyDescent="0.3">
      <c r="A401" s="144"/>
      <c r="B401" s="54" t="s">
        <v>13</v>
      </c>
      <c r="C401" s="68">
        <f t="shared" si="16"/>
        <v>603548</v>
      </c>
      <c r="F401" s="103" t="s">
        <v>424</v>
      </c>
      <c r="G401" s="90"/>
    </row>
    <row r="402" spans="1:7" x14ac:dyDescent="0.25">
      <c r="B402" s="54" t="s">
        <v>424</v>
      </c>
      <c r="C402" s="68">
        <f t="shared" si="16"/>
        <v>6822.32</v>
      </c>
    </row>
  </sheetData>
  <mergeCells count="68">
    <mergeCell ref="A381:A388"/>
    <mergeCell ref="E381:E388"/>
    <mergeCell ref="I381:I388"/>
    <mergeCell ref="M381:M388"/>
    <mergeCell ref="A300:A307"/>
    <mergeCell ref="E300:E307"/>
    <mergeCell ref="I300:I307"/>
    <mergeCell ref="M300:M307"/>
    <mergeCell ref="A354:A361"/>
    <mergeCell ref="E354:E361"/>
    <mergeCell ref="I354:I361"/>
    <mergeCell ref="M354:M361"/>
    <mergeCell ref="A327:A334"/>
    <mergeCell ref="E327:E334"/>
    <mergeCell ref="I327:I334"/>
    <mergeCell ref="M327:M334"/>
    <mergeCell ref="A273:A280"/>
    <mergeCell ref="E273:E280"/>
    <mergeCell ref="I273:I280"/>
    <mergeCell ref="M273:M280"/>
    <mergeCell ref="M167:M174"/>
    <mergeCell ref="E193:E200"/>
    <mergeCell ref="I193:I200"/>
    <mergeCell ref="M193:M200"/>
    <mergeCell ref="A193:A200"/>
    <mergeCell ref="A246:A253"/>
    <mergeCell ref="E246:E253"/>
    <mergeCell ref="I246:I253"/>
    <mergeCell ref="M246:M253"/>
    <mergeCell ref="A219:A226"/>
    <mergeCell ref="E219:E226"/>
    <mergeCell ref="I219:I226"/>
    <mergeCell ref="A53:A60"/>
    <mergeCell ref="A41:A48"/>
    <mergeCell ref="I17:I24"/>
    <mergeCell ref="E65:E72"/>
    <mergeCell ref="I65:I72"/>
    <mergeCell ref="M17:M24"/>
    <mergeCell ref="E41:E48"/>
    <mergeCell ref="I41:I48"/>
    <mergeCell ref="M41:M48"/>
    <mergeCell ref="A5:A12"/>
    <mergeCell ref="E5:E12"/>
    <mergeCell ref="A17:A24"/>
    <mergeCell ref="E17:E24"/>
    <mergeCell ref="A29:A36"/>
    <mergeCell ref="E29:E36"/>
    <mergeCell ref="M65:M72"/>
    <mergeCell ref="A77:A84"/>
    <mergeCell ref="A65:A72"/>
    <mergeCell ref="A90:A97"/>
    <mergeCell ref="E90:E97"/>
    <mergeCell ref="I90:I97"/>
    <mergeCell ref="M90:M97"/>
    <mergeCell ref="M219:M226"/>
    <mergeCell ref="A167:A174"/>
    <mergeCell ref="E167:E174"/>
    <mergeCell ref="I167:I174"/>
    <mergeCell ref="A102:A109"/>
    <mergeCell ref="A138:A145"/>
    <mergeCell ref="E138:E145"/>
    <mergeCell ref="I138:I145"/>
    <mergeCell ref="M138:M145"/>
    <mergeCell ref="A114:A121"/>
    <mergeCell ref="E114:E121"/>
    <mergeCell ref="I114:I121"/>
    <mergeCell ref="M114:M121"/>
    <mergeCell ref="A126:A1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03"/>
  <sheetViews>
    <sheetView topLeftCell="A61" workbookViewId="0">
      <selection activeCell="B82" sqref="B82"/>
    </sheetView>
  </sheetViews>
  <sheetFormatPr baseColWidth="10" defaultRowHeight="15" x14ac:dyDescent="0.25"/>
  <cols>
    <col min="1" max="1" width="24.42578125" customWidth="1"/>
    <col min="2" max="2" width="22.140625" bestFit="1" customWidth="1"/>
    <col min="3" max="3" width="23.140625" customWidth="1"/>
    <col min="4" max="4" width="15" bestFit="1" customWidth="1"/>
    <col min="5" max="6" width="14.5703125" bestFit="1" customWidth="1"/>
    <col min="7" max="7" width="2.7109375" customWidth="1"/>
    <col min="8" max="8" width="14.28515625" customWidth="1"/>
    <col min="9" max="9" width="32.42578125" bestFit="1" customWidth="1"/>
    <col min="11" max="11" width="24.42578125" customWidth="1"/>
    <col min="12" max="12" width="22.140625" bestFit="1" customWidth="1"/>
    <col min="13" max="13" width="13.5703125" customWidth="1"/>
    <col min="14" max="14" width="3.28515625" customWidth="1"/>
    <col min="15" max="15" width="14.28515625" customWidth="1"/>
    <col min="16" max="16" width="27" bestFit="1" customWidth="1"/>
    <col min="18" max="18" width="24.42578125" customWidth="1"/>
    <col min="19" max="19" width="22.140625" bestFit="1" customWidth="1"/>
    <col min="20" max="20" width="14.85546875" bestFit="1" customWidth="1"/>
  </cols>
  <sheetData>
    <row r="1" spans="1:20" x14ac:dyDescent="0.25">
      <c r="C1" s="43" t="s">
        <v>54</v>
      </c>
      <c r="K1" s="43" t="s">
        <v>54</v>
      </c>
      <c r="P1" s="43" t="s">
        <v>54</v>
      </c>
    </row>
    <row r="3" spans="1:20" x14ac:dyDescent="0.25">
      <c r="A3" s="166" t="s">
        <v>30</v>
      </c>
      <c r="B3" s="166"/>
      <c r="C3" s="166"/>
      <c r="D3" s="166"/>
      <c r="E3" s="166"/>
      <c r="F3" s="166"/>
      <c r="H3" s="166" t="s">
        <v>31</v>
      </c>
      <c r="I3" s="166"/>
      <c r="J3" s="166"/>
      <c r="K3" s="166"/>
      <c r="L3" s="166"/>
      <c r="M3" s="166"/>
      <c r="O3" s="167" t="s">
        <v>27</v>
      </c>
      <c r="P3" s="167"/>
      <c r="Q3" s="167"/>
      <c r="R3" s="167"/>
      <c r="S3" s="167"/>
      <c r="T3" s="167"/>
    </row>
    <row r="4" spans="1:20" s="20" customFormat="1" x14ac:dyDescent="0.25">
      <c r="A4" s="25"/>
      <c r="B4" s="25"/>
      <c r="C4" s="25"/>
      <c r="D4" s="25"/>
      <c r="E4" s="25"/>
      <c r="F4" s="25"/>
      <c r="H4" s="25"/>
      <c r="I4" s="25"/>
      <c r="J4" s="25"/>
      <c r="K4" s="25"/>
      <c r="L4" s="25"/>
      <c r="M4" s="25"/>
      <c r="O4" s="26"/>
      <c r="P4" s="26"/>
      <c r="Q4" s="26"/>
      <c r="R4" s="26"/>
      <c r="S4" s="26"/>
      <c r="T4" s="26"/>
    </row>
    <row r="5" spans="1:20" ht="30" x14ac:dyDescent="0.25">
      <c r="A5" s="27" t="s">
        <v>32</v>
      </c>
      <c r="B5" s="28" t="s">
        <v>33</v>
      </c>
      <c r="C5" s="29" t="s">
        <v>34</v>
      </c>
      <c r="D5" s="28" t="s">
        <v>35</v>
      </c>
      <c r="E5" s="28" t="s">
        <v>31</v>
      </c>
      <c r="F5" s="30" t="s">
        <v>36</v>
      </c>
      <c r="H5" s="31" t="s">
        <v>37</v>
      </c>
      <c r="I5" s="31" t="s">
        <v>51</v>
      </c>
      <c r="J5" s="28" t="s">
        <v>7</v>
      </c>
      <c r="K5" s="29" t="s">
        <v>32</v>
      </c>
      <c r="L5" s="28" t="s">
        <v>38</v>
      </c>
      <c r="M5" s="30" t="s">
        <v>39</v>
      </c>
      <c r="O5" s="31" t="s">
        <v>37</v>
      </c>
      <c r="P5" s="31" t="s">
        <v>51</v>
      </c>
      <c r="Q5" s="28" t="s">
        <v>7</v>
      </c>
      <c r="R5" s="29" t="s">
        <v>32</v>
      </c>
      <c r="S5" s="28" t="s">
        <v>38</v>
      </c>
      <c r="T5" s="30" t="s">
        <v>39</v>
      </c>
    </row>
    <row r="6" spans="1:20" x14ac:dyDescent="0.25">
      <c r="A6" s="32" t="s">
        <v>40</v>
      </c>
      <c r="B6" s="9" t="s">
        <v>41</v>
      </c>
      <c r="C6" s="22">
        <v>4860</v>
      </c>
      <c r="D6" s="22">
        <f>SUMIF(Tabla9[CODIGO DEL PRODUCTO],Tabla7[[#This Row],[CODIGO DEL PRODUCTO]],Tabla9[CANTIDAD KG])/1000</f>
        <v>3692.96</v>
      </c>
      <c r="E6" s="22">
        <f>SUMIF(Tabla8[CODIGO DEL PRODUCTO],Tabla7[[#This Row],[CODIGO DEL PRODUCTO]],Tabla8[CANTIDAD KG])/1000</f>
        <v>4422.7290000000003</v>
      </c>
      <c r="F6" s="33">
        <f>Tabla7[[#This Row],[EXISTENCIAS INICIALES]]+Tabla7[[#This Row],[ENTRADAS]]-Tabla7[[#This Row],[SALIDAS]]</f>
        <v>4130.2309999999989</v>
      </c>
      <c r="H6" s="34"/>
      <c r="I6" s="34" t="s">
        <v>53</v>
      </c>
      <c r="J6" s="35">
        <v>45558</v>
      </c>
      <c r="K6" s="36" t="s">
        <v>42</v>
      </c>
      <c r="L6" s="36" t="str">
        <f>VLOOKUP(Tabla8[[#This Row],[CODIGO DEL PRODUCTO]],Tabla7[],2,FALSE)</f>
        <v>ARENA FINA</v>
      </c>
      <c r="M6" s="37">
        <v>332039</v>
      </c>
      <c r="O6" s="34">
        <v>124899</v>
      </c>
      <c r="P6" s="34" t="s">
        <v>78</v>
      </c>
      <c r="Q6" s="35">
        <v>45558</v>
      </c>
      <c r="R6" s="36" t="s">
        <v>43</v>
      </c>
      <c r="S6" s="36" t="str">
        <f>VLOOKUP(Tabla9[[#This Row],[CODIGO DEL PRODUCTO]],Tabla7[],2,FALSE)</f>
        <v>PIEDRA 6-20</v>
      </c>
      <c r="T6" s="37">
        <v>35180</v>
      </c>
    </row>
    <row r="7" spans="1:20" x14ac:dyDescent="0.25">
      <c r="A7" s="32" t="s">
        <v>43</v>
      </c>
      <c r="B7" s="9" t="s">
        <v>44</v>
      </c>
      <c r="C7" s="22">
        <v>8512</v>
      </c>
      <c r="D7" s="22">
        <f>SUMIF(Tabla9[CODIGO DEL PRODUCTO],Tabla7[[#This Row],[CODIGO DEL PRODUCTO]],Tabla9[CANTIDAD KG])/1000</f>
        <v>8093.2139999999999</v>
      </c>
      <c r="E7" s="22">
        <f>SUMIF(Tabla8[CODIGO DEL PRODUCTO],Tabla7[[#This Row],[CODIGO DEL PRODUCTO]],Tabla8[CANTIDAD KG])/1000</f>
        <v>10133.543</v>
      </c>
      <c r="F7" s="33">
        <f>Tabla7[[#This Row],[EXISTENCIAS INICIALES]]+Tabla7[[#This Row],[ENTRADAS]]-Tabla7[[#This Row],[SALIDAS]]</f>
        <v>6471.6710000000003</v>
      </c>
      <c r="H7" s="34"/>
      <c r="I7" s="34" t="s">
        <v>53</v>
      </c>
      <c r="J7" s="35">
        <v>45558</v>
      </c>
      <c r="K7" s="36" t="s">
        <v>40</v>
      </c>
      <c r="L7" s="36" t="str">
        <f>VLOOKUP(Tabla8[[#This Row],[CODIGO DEL PRODUCTO]],Tabla7[],2,FALSE)</f>
        <v>PIEDRA 0-6</v>
      </c>
      <c r="M7" s="37">
        <v>208776</v>
      </c>
      <c r="O7" s="34">
        <v>2577539</v>
      </c>
      <c r="P7" s="34" t="s">
        <v>77</v>
      </c>
      <c r="Q7" s="35">
        <v>45558</v>
      </c>
      <c r="R7" s="36" t="s">
        <v>45</v>
      </c>
      <c r="S7" s="36" t="str">
        <f>VLOOKUP(Tabla9[[#This Row],[CODIGO DEL PRODUCTO]],Tabla7[],2,FALSE)</f>
        <v>CPF 40 AVELLANEDA</v>
      </c>
      <c r="T7" s="37">
        <v>32280</v>
      </c>
    </row>
    <row r="8" spans="1:20" x14ac:dyDescent="0.25">
      <c r="A8" s="32" t="s">
        <v>46</v>
      </c>
      <c r="B8" s="9" t="s">
        <v>47</v>
      </c>
      <c r="C8" s="22">
        <v>9450</v>
      </c>
      <c r="D8" s="22">
        <f>SUMIF(Tabla9[CODIGO DEL PRODUCTO],Tabla7[[#This Row],[CODIGO DEL PRODUCTO]],Tabla9[CANTIDAD KG])/1000</f>
        <v>805.22</v>
      </c>
      <c r="E8" s="22">
        <f>SUMIF(Tabla8[CODIGO DEL PRODUCTO],Tabla7[[#This Row],[CODIGO DEL PRODUCTO]],Tabla8[CANTIDAD KG])/1000</f>
        <v>1366.672</v>
      </c>
      <c r="F8" s="33">
        <f>Tabla7[[#This Row],[EXISTENCIAS INICIALES]]+Tabla7[[#This Row],[ENTRADAS]]-Tabla7[[#This Row],[SALIDAS]]</f>
        <v>8888.5479999999989</v>
      </c>
      <c r="H8" s="34"/>
      <c r="I8" s="34" t="s">
        <v>53</v>
      </c>
      <c r="J8" s="35"/>
      <c r="K8" s="36" t="s">
        <v>24</v>
      </c>
      <c r="L8" s="36" t="str">
        <f>VLOOKUP(Tabla8[[#This Row],[CODIGO DEL PRODUCTO]],Tabla7[],2,FALSE)</f>
        <v>ARS</v>
      </c>
      <c r="M8" s="37">
        <v>9114</v>
      </c>
      <c r="O8" s="34">
        <v>2578165</v>
      </c>
      <c r="P8" s="34" t="s">
        <v>77</v>
      </c>
      <c r="Q8" s="35">
        <v>45559</v>
      </c>
      <c r="R8" s="36" t="s">
        <v>45</v>
      </c>
      <c r="S8" s="36" t="str">
        <f>VLOOKUP(Tabla9[[#This Row],[CODIGO DEL PRODUCTO]],Tabla7[],2,FALSE)</f>
        <v>CPF 40 AVELLANEDA</v>
      </c>
      <c r="T8" s="37">
        <v>32220</v>
      </c>
    </row>
    <row r="9" spans="1:20" x14ac:dyDescent="0.25">
      <c r="A9" s="32" t="s">
        <v>48</v>
      </c>
      <c r="B9" s="9" t="s">
        <v>49</v>
      </c>
      <c r="C9" s="22">
        <v>3740</v>
      </c>
      <c r="D9" s="22">
        <f>SUMIF(Tabla9[CODIGO DEL PRODUCTO],Tabla7[[#This Row],[CODIGO DEL PRODUCTO]],Tabla9[CANTIDAD KG])/1000</f>
        <v>807.02</v>
      </c>
      <c r="E9" s="22">
        <f>SUMIF(Tabla8[CODIGO DEL PRODUCTO],Tabla7[[#This Row],[CODIGO DEL PRODUCTO]],Tabla8[CANTIDAD KG])/1000</f>
        <v>1860.048</v>
      </c>
      <c r="F9" s="33">
        <f>Tabla7[[#This Row],[EXISTENCIAS INICIALES]]+Tabla7[[#This Row],[ENTRADAS]]-Tabla7[[#This Row],[SALIDAS]]</f>
        <v>2686.9720000000007</v>
      </c>
      <c r="H9" s="34"/>
      <c r="I9" s="34" t="s">
        <v>53</v>
      </c>
      <c r="J9" s="35">
        <v>45558</v>
      </c>
      <c r="K9" s="36" t="s">
        <v>45</v>
      </c>
      <c r="L9" s="36" t="str">
        <f>VLOOKUP(Tabla8[[#This Row],[CODIGO DEL PRODUCTO]],Tabla7[],2,FALSE)</f>
        <v>CPF 40 AVELLANEDA</v>
      </c>
      <c r="M9" s="37">
        <v>177824</v>
      </c>
      <c r="O9" s="34">
        <v>2577798</v>
      </c>
      <c r="P9" s="34" t="s">
        <v>77</v>
      </c>
      <c r="Q9" s="35">
        <v>45560</v>
      </c>
      <c r="R9" s="36" t="s">
        <v>45</v>
      </c>
      <c r="S9" s="36" t="str">
        <f>VLOOKUP(Tabla9[[#This Row],[CODIGO DEL PRODUCTO]],Tabla7[],2,FALSE)</f>
        <v>CPF 40 AVELLANEDA</v>
      </c>
      <c r="T9" s="37">
        <v>32380</v>
      </c>
    </row>
    <row r="10" spans="1:20" x14ac:dyDescent="0.25">
      <c r="A10" s="32" t="s">
        <v>42</v>
      </c>
      <c r="B10" s="9" t="s">
        <v>6</v>
      </c>
      <c r="C10" s="22">
        <v>5600</v>
      </c>
      <c r="D10" s="22">
        <f>SUMIF(Tabla9[CODIGO DEL PRODUCTO],Tabla7[[#This Row],[CODIGO DEL PRODUCTO]],Tabla9[CANTIDAD KG])/1000</f>
        <v>7046.56</v>
      </c>
      <c r="E10" s="22">
        <f>SUMIF(Tabla8[CODIGO DEL PRODUCTO],Tabla7[[#This Row],[CODIGO DEL PRODUCTO]],Tabla8[CANTIDAD KG])/1000</f>
        <v>6674.027</v>
      </c>
      <c r="F10" s="33">
        <f>Tabla7[[#This Row],[EXISTENCIAS INICIALES]]+Tabla7[[#This Row],[ENTRADAS]]-Tabla7[[#This Row],[SALIDAS]]</f>
        <v>5972.5330000000013</v>
      </c>
      <c r="H10" s="34"/>
      <c r="I10" s="34" t="s">
        <v>53</v>
      </c>
      <c r="J10" s="35">
        <v>45558</v>
      </c>
      <c r="K10" s="36" t="s">
        <v>50</v>
      </c>
      <c r="L10" s="36" t="str">
        <f>VLOOKUP(Tabla8[[#This Row],[CODIGO DEL PRODUCTO]],Tabla7[],2,FALSE)</f>
        <v>MIRA SET 453 (ADITIVO)</v>
      </c>
      <c r="M10" s="37">
        <v>1019.82</v>
      </c>
      <c r="O10" s="34">
        <v>2578500</v>
      </c>
      <c r="P10" s="34" t="s">
        <v>77</v>
      </c>
      <c r="Q10" s="35">
        <v>45561</v>
      </c>
      <c r="R10" s="36" t="s">
        <v>45</v>
      </c>
      <c r="S10" s="36" t="str">
        <f>VLOOKUP(Tabla9[[#This Row],[CODIGO DEL PRODUCTO]],Tabla7[],2,FALSE)</f>
        <v>CPF 40 AVELLANEDA</v>
      </c>
      <c r="T10" s="37">
        <v>32120</v>
      </c>
    </row>
    <row r="11" spans="1:20" x14ac:dyDescent="0.25">
      <c r="A11" s="32" t="s">
        <v>45</v>
      </c>
      <c r="B11" s="9" t="s">
        <v>10</v>
      </c>
      <c r="C11" s="22"/>
      <c r="D11" s="22">
        <f>SUMIF(Tabla9[CODIGO DEL PRODUCTO],Tabla7[[#This Row],[CODIGO DEL PRODUCTO]],Tabla9[CANTIDAD KG])/1000</f>
        <v>3555.53</v>
      </c>
      <c r="E11" s="22">
        <f>SUMIF(Tabla8[CODIGO DEL PRODUCTO],Tabla7[[#This Row],[CODIGO DEL PRODUCTO]],Tabla8[CANTIDAD KG])/1000</f>
        <v>3397.259</v>
      </c>
      <c r="F11" s="33">
        <f>Tabla7[[#This Row],[EXISTENCIAS INICIALES]]+Tabla7[[#This Row],[ENTRADAS]]-Tabla7[[#This Row],[SALIDAS]]</f>
        <v>158.27100000000019</v>
      </c>
      <c r="H11" s="34"/>
      <c r="I11" s="34" t="s">
        <v>53</v>
      </c>
      <c r="J11" s="35">
        <v>45558</v>
      </c>
      <c r="K11" s="36" t="s">
        <v>48</v>
      </c>
      <c r="L11" s="36" t="str">
        <f>VLOOKUP(Tabla8[[#This Row],[CODIGO DEL PRODUCTO]],Tabla7[],2,FALSE)</f>
        <v>PIEDRA 6-12</v>
      </c>
      <c r="M11" s="37">
        <v>43973</v>
      </c>
      <c r="O11" s="34" t="s">
        <v>82</v>
      </c>
      <c r="P11" s="34" t="s">
        <v>77</v>
      </c>
      <c r="Q11" s="35">
        <v>45562</v>
      </c>
      <c r="R11" s="36" t="s">
        <v>45</v>
      </c>
      <c r="S11" s="36" t="str">
        <f>VLOOKUP(Tabla9[[#This Row],[CODIGO DEL PRODUCTO]],Tabla7[],2,FALSE)</f>
        <v>CPF 40 AVELLANEDA</v>
      </c>
      <c r="T11" s="37">
        <v>32200</v>
      </c>
    </row>
    <row r="12" spans="1:20" x14ac:dyDescent="0.25">
      <c r="A12" s="32" t="s">
        <v>50</v>
      </c>
      <c r="B12" s="9" t="s">
        <v>12</v>
      </c>
      <c r="C12" s="22"/>
      <c r="D12" s="22">
        <f>SUMIF(Tabla9[CODIGO DEL PRODUCTO],Tabla7[[#This Row],[CODIGO DEL PRODUCTO]],Tabla9[CANTIDAD KG])/1000</f>
        <v>21.9</v>
      </c>
      <c r="E12" s="22">
        <f>SUMIF(Tabla8[CODIGO DEL PRODUCTO],Tabla7[[#This Row],[CODIGO DEL PRODUCTO]],Tabla8[CANTIDAD KG])/1000</f>
        <v>19.713429999999999</v>
      </c>
      <c r="F12" s="33">
        <f>Tabla7[[#This Row],[EXISTENCIAS INICIALES]]+Tabla7[[#This Row],[ENTRADAS]]-Tabla7[[#This Row],[SALIDAS]]</f>
        <v>2.1865699999999997</v>
      </c>
      <c r="H12" s="34"/>
      <c r="I12" s="34" t="s">
        <v>53</v>
      </c>
      <c r="J12" s="35">
        <v>45558</v>
      </c>
      <c r="K12" s="36" t="s">
        <v>46</v>
      </c>
      <c r="L12" s="36" t="str">
        <f>VLOOKUP(Tabla8[[#This Row],[CODIGO DEL PRODUCTO]],Tabla7[],2,FALSE)</f>
        <v>PIEDRA 10-30</v>
      </c>
      <c r="M12" s="37">
        <v>54676</v>
      </c>
      <c r="O12" s="34"/>
      <c r="P12" s="34" t="s">
        <v>77</v>
      </c>
      <c r="Q12" s="35">
        <v>45565</v>
      </c>
      <c r="R12" s="36" t="s">
        <v>45</v>
      </c>
      <c r="S12" s="36" t="str">
        <f>VLOOKUP(Tabla9[[#This Row],[CODIGO DEL PRODUCTO]],Tabla7[],2,FALSE)</f>
        <v>CPF 40 AVELLANEDA</v>
      </c>
      <c r="T12" s="37">
        <v>32540</v>
      </c>
    </row>
    <row r="13" spans="1:20" x14ac:dyDescent="0.25">
      <c r="A13" s="34" t="s">
        <v>24</v>
      </c>
      <c r="B13" s="24" t="s">
        <v>24</v>
      </c>
      <c r="C13" s="24"/>
      <c r="D13" s="22">
        <f>SUMIF(Tabla9[CODIGO DEL PRODUCTO],Tabla7[[#This Row],[CODIGO DEL PRODUCTO]],Tabla9[CANTIDAD KG])/1000</f>
        <v>0</v>
      </c>
      <c r="E13" s="22">
        <f>SUMIF(Tabla8[CODIGO DEL PRODUCTO],Tabla7[[#This Row],[CODIGO DEL PRODUCTO]],Tabla8[CANTIDAD KG])/1000</f>
        <v>48.747</v>
      </c>
      <c r="F13" s="38">
        <f>Tabla7[[#This Row],[EXISTENCIAS INICIALES]]+Tabla7[[#This Row],[ENTRADAS]]-Tabla7[[#This Row],[SALIDAS]]</f>
        <v>-48.747</v>
      </c>
      <c r="H13" s="34"/>
      <c r="I13" s="34" t="s">
        <v>53</v>
      </c>
      <c r="J13" s="35">
        <v>45558</v>
      </c>
      <c r="K13" s="36" t="s">
        <v>43</v>
      </c>
      <c r="L13" s="36" t="str">
        <f>VLOOKUP(Tabla8[[#This Row],[CODIGO DEL PRODUCTO]],Tabla7[],2,FALSE)</f>
        <v>PIEDRA 6-20</v>
      </c>
      <c r="M13" s="37">
        <v>484061</v>
      </c>
      <c r="O13" s="34"/>
      <c r="P13" s="34" t="s">
        <v>77</v>
      </c>
      <c r="Q13" s="35">
        <v>45567</v>
      </c>
      <c r="R13" s="36" t="s">
        <v>45</v>
      </c>
      <c r="S13" s="36" t="str">
        <f>VLOOKUP(Tabla9[[#This Row],[CODIGO DEL PRODUCTO]],Tabla7[],2,FALSE)</f>
        <v>CPF 40 AVELLANEDA</v>
      </c>
      <c r="T13" s="37">
        <v>32400</v>
      </c>
    </row>
    <row r="14" spans="1:20" x14ac:dyDescent="0.25">
      <c r="A14" s="32" t="s">
        <v>227</v>
      </c>
      <c r="B14" s="9" t="s">
        <v>225</v>
      </c>
      <c r="C14" s="9"/>
      <c r="D14" s="22">
        <f>SUMIF(Tabla9[CODIGO DEL PRODUCTO],Tabla7[[#This Row],[CODIGO DEL PRODUCTO]],Tabla9[CANTIDAD KG])/1000</f>
        <v>0.2</v>
      </c>
      <c r="E14" s="22">
        <f>SUMIF(Tabla8[CODIGO DEL PRODUCTO],Tabla7[[#This Row],[CODIGO DEL PRODUCTO]],Tabla8[CANTIDAD KG])/1000</f>
        <v>0</v>
      </c>
      <c r="F14" s="33">
        <f>Tabla7[[#This Row],[EXISTENCIAS INICIALES]]+Tabla7[[#This Row],[ENTRADAS]]-Tabla7[[#This Row],[SALIDAS]]</f>
        <v>0.2</v>
      </c>
      <c r="H14" s="34">
        <v>10139</v>
      </c>
      <c r="I14" s="34" t="s">
        <v>80</v>
      </c>
      <c r="J14" s="35">
        <v>45558</v>
      </c>
      <c r="K14" s="36" t="s">
        <v>42</v>
      </c>
      <c r="L14" s="36" t="str">
        <f>VLOOKUP(Tabla8[[#This Row],[CODIGO DEL PRODUCTO]],Tabla7[],2,FALSE)</f>
        <v>ARENA FINA</v>
      </c>
      <c r="M14" s="37">
        <v>10680</v>
      </c>
      <c r="O14" s="34">
        <v>22329</v>
      </c>
      <c r="P14" s="34" t="s">
        <v>79</v>
      </c>
      <c r="Q14" s="35">
        <v>45558</v>
      </c>
      <c r="R14" s="36" t="s">
        <v>42</v>
      </c>
      <c r="S14" s="36" t="str">
        <f>VLOOKUP(Tabla9[[#This Row],[CODIGO DEL PRODUCTO]],Tabla7[],2,FALSE)</f>
        <v>ARENA FINA</v>
      </c>
      <c r="T14" s="37">
        <v>35660</v>
      </c>
    </row>
    <row r="15" spans="1:20" x14ac:dyDescent="0.25">
      <c r="A15" s="34" t="s">
        <v>228</v>
      </c>
      <c r="B15" s="24" t="s">
        <v>226</v>
      </c>
      <c r="C15" s="24"/>
      <c r="D15" s="70">
        <f>SUMIF(Tabla9[CODIGO DEL PRODUCTO],Tabla7[[#This Row],[CODIGO DEL PRODUCTO]],Tabla9[CANTIDAD KG])/1000</f>
        <v>0.44</v>
      </c>
      <c r="E15" s="70">
        <f>SUMIF(Tabla8[CODIGO DEL PRODUCTO],Tabla7[[#This Row],[CODIGO DEL PRODUCTO]],Tabla8[CANTIDAD KG])/1000</f>
        <v>0</v>
      </c>
      <c r="F15" s="71">
        <f>Tabla7[[#This Row],[EXISTENCIAS INICIALES]]+Tabla7[[#This Row],[ENTRADAS]]-Tabla7[[#This Row],[SALIDAS]]</f>
        <v>0.44</v>
      </c>
      <c r="H15" s="34">
        <v>19256</v>
      </c>
      <c r="I15" s="34" t="s">
        <v>81</v>
      </c>
      <c r="J15" s="35">
        <v>45559</v>
      </c>
      <c r="K15" s="36" t="s">
        <v>42</v>
      </c>
      <c r="L15" s="36" t="str">
        <f>VLOOKUP(Tabla8[[#This Row],[CODIGO DEL PRODUCTO]],Tabla7[],2,FALSE)</f>
        <v>ARENA FINA</v>
      </c>
      <c r="M15" s="37">
        <v>24200</v>
      </c>
      <c r="O15" s="34">
        <v>35360</v>
      </c>
      <c r="P15" s="34" t="s">
        <v>61</v>
      </c>
      <c r="Q15" s="35">
        <v>45562</v>
      </c>
      <c r="R15" s="36" t="s">
        <v>50</v>
      </c>
      <c r="S15" s="36" t="str">
        <f>VLOOKUP(Tabla9[[#This Row],[CODIGO DEL PRODUCTO]],Tabla7[],2,FALSE)</f>
        <v>MIRA SET 453 (ADITIVO)</v>
      </c>
      <c r="T15" s="37">
        <v>3620</v>
      </c>
    </row>
    <row r="16" spans="1:20" x14ac:dyDescent="0.25">
      <c r="A16" s="34"/>
      <c r="B16" s="24"/>
      <c r="C16" s="24"/>
      <c r="D16" s="70">
        <f>SUMIF(Tabla9[CODIGO DEL PRODUCTO],Tabla7[[#This Row],[CODIGO DEL PRODUCTO]],Tabla9[CANTIDAD KG])/1000</f>
        <v>0</v>
      </c>
      <c r="E16" s="70">
        <f>SUMIF(Tabla8[CODIGO DEL PRODUCTO],Tabla7[[#This Row],[CODIGO DEL PRODUCTO]],Tabla8[CANTIDAD KG])/1000</f>
        <v>0</v>
      </c>
      <c r="F16" s="71">
        <f>Tabla7[[#This Row],[EXISTENCIAS INICIALES]]+Tabla7[[#This Row],[ENTRADAS]]-Tabla7[[#This Row],[SALIDAS]]</f>
        <v>0</v>
      </c>
      <c r="H16" s="34">
        <v>10149</v>
      </c>
      <c r="I16" s="34"/>
      <c r="J16" s="35">
        <v>45561</v>
      </c>
      <c r="K16" s="36" t="s">
        <v>42</v>
      </c>
      <c r="L16" s="36" t="str">
        <f>VLOOKUP(Tabla8[[#This Row],[CODIGO DEL PRODUCTO]],Tabla7[],2,FALSE)</f>
        <v>ARENA FINA</v>
      </c>
      <c r="M16" s="37">
        <v>4120</v>
      </c>
      <c r="O16" s="34"/>
      <c r="P16" s="34" t="s">
        <v>77</v>
      </c>
      <c r="Q16" s="35">
        <v>45568</v>
      </c>
      <c r="R16" s="36" t="s">
        <v>45</v>
      </c>
      <c r="S16" s="36" t="str">
        <f>VLOOKUP(Tabla9[[#This Row],[CODIGO DEL PRODUCTO]],Tabla7[],2,FALSE)</f>
        <v>CPF 40 AVELLANEDA</v>
      </c>
      <c r="T16" s="37">
        <v>32280</v>
      </c>
    </row>
    <row r="17" spans="1:20" x14ac:dyDescent="0.25">
      <c r="A17" s="9"/>
      <c r="B17" s="9"/>
      <c r="C17" s="9"/>
      <c r="D17" s="9"/>
      <c r="E17" s="9"/>
      <c r="F17" s="9"/>
      <c r="H17" s="34">
        <v>19265</v>
      </c>
      <c r="I17" s="34" t="s">
        <v>66</v>
      </c>
      <c r="J17" s="35">
        <v>45569</v>
      </c>
      <c r="K17" s="36" t="s">
        <v>43</v>
      </c>
      <c r="L17" s="39" t="str">
        <f>VLOOKUP(Tabla8[[#This Row],[CODIGO DEL PRODUCTO]],Tabla7[],2,FALSE)</f>
        <v>PIEDRA 6-20</v>
      </c>
      <c r="M17" s="37">
        <v>33520</v>
      </c>
      <c r="O17" s="34">
        <v>2580262</v>
      </c>
      <c r="P17" s="34" t="s">
        <v>77</v>
      </c>
      <c r="Q17" s="35">
        <v>45569</v>
      </c>
      <c r="R17" s="36" t="s">
        <v>45</v>
      </c>
      <c r="S17" s="36" t="str">
        <f>VLOOKUP(Tabla9[[#This Row],[CODIGO DEL PRODUCTO]],Tabla7[],2,FALSE)</f>
        <v>CPF 40 AVELLANEDA</v>
      </c>
      <c r="T17" s="37">
        <v>31720</v>
      </c>
    </row>
    <row r="18" spans="1:20" x14ac:dyDescent="0.25">
      <c r="A18" s="9"/>
      <c r="B18" s="9"/>
      <c r="C18" s="9"/>
      <c r="D18" s="9"/>
      <c r="E18" s="9"/>
      <c r="F18" s="9"/>
      <c r="H18" s="34">
        <v>19267</v>
      </c>
      <c r="I18" s="34" t="s">
        <v>66</v>
      </c>
      <c r="J18" s="35">
        <v>45569</v>
      </c>
      <c r="K18" s="36" t="s">
        <v>43</v>
      </c>
      <c r="L18" s="39" t="str">
        <f>VLOOKUP(Tabla8[[#This Row],[CODIGO DEL PRODUCTO]],Tabla7[],2,FALSE)</f>
        <v>PIEDRA 6-20</v>
      </c>
      <c r="M18" s="37">
        <v>34600</v>
      </c>
      <c r="O18" s="34">
        <v>125703</v>
      </c>
      <c r="P18" s="34" t="s">
        <v>52</v>
      </c>
      <c r="Q18" s="35">
        <v>45572</v>
      </c>
      <c r="R18" s="36" t="s">
        <v>46</v>
      </c>
      <c r="S18" s="36" t="str">
        <f>VLOOKUP(Tabla9[[#This Row],[CODIGO DEL PRODUCTO]],Tabla7[],2,FALSE)</f>
        <v>PIEDRA 10-30</v>
      </c>
      <c r="T18" s="37">
        <v>35500</v>
      </c>
    </row>
    <row r="19" spans="1:20" x14ac:dyDescent="0.25">
      <c r="A19" s="9"/>
      <c r="B19" s="9"/>
      <c r="C19" s="9"/>
      <c r="D19" s="9"/>
      <c r="E19" s="9"/>
      <c r="F19" s="46"/>
      <c r="H19" s="34">
        <v>19268</v>
      </c>
      <c r="I19" s="34" t="s">
        <v>66</v>
      </c>
      <c r="J19" s="35">
        <v>45569</v>
      </c>
      <c r="K19" s="36" t="s">
        <v>43</v>
      </c>
      <c r="L19" s="39" t="str">
        <f>VLOOKUP(Tabla8[[#This Row],[CODIGO DEL PRODUCTO]],Tabla7[],2,FALSE)</f>
        <v>PIEDRA 6-20</v>
      </c>
      <c r="M19" s="37">
        <v>34000</v>
      </c>
      <c r="O19" s="34">
        <v>2580557</v>
      </c>
      <c r="P19" s="34" t="s">
        <v>77</v>
      </c>
      <c r="Q19" s="35">
        <v>45572</v>
      </c>
      <c r="R19" s="36" t="s">
        <v>45</v>
      </c>
      <c r="S19" s="36" t="str">
        <f>VLOOKUP(Tabla9[[#This Row],[CODIGO DEL PRODUCTO]],Tabla7[],2,FALSE)</f>
        <v>CPF 40 AVELLANEDA</v>
      </c>
      <c r="T19" s="37">
        <v>32240</v>
      </c>
    </row>
    <row r="20" spans="1:20" x14ac:dyDescent="0.25">
      <c r="A20" s="9"/>
      <c r="B20" s="9"/>
      <c r="C20" s="9"/>
      <c r="D20" s="9"/>
      <c r="E20" s="9"/>
      <c r="F20" s="9"/>
      <c r="H20" s="34">
        <v>19269</v>
      </c>
      <c r="I20" s="34" t="s">
        <v>66</v>
      </c>
      <c r="J20" s="35">
        <v>45572</v>
      </c>
      <c r="K20" s="36" t="s">
        <v>43</v>
      </c>
      <c r="L20" s="39" t="str">
        <f>VLOOKUP(Tabla8[[#This Row],[CODIGO DEL PRODUCTO]],Tabla7[],2,FALSE)</f>
        <v>PIEDRA 6-20</v>
      </c>
      <c r="M20" s="37">
        <v>32820</v>
      </c>
      <c r="O20" s="34">
        <v>2581043</v>
      </c>
      <c r="P20" s="34" t="s">
        <v>77</v>
      </c>
      <c r="Q20" s="35">
        <v>45573</v>
      </c>
      <c r="R20" s="36" t="s">
        <v>45</v>
      </c>
      <c r="S20" s="36" t="str">
        <f>VLOOKUP(Tabla9[[#This Row],[CODIGO DEL PRODUCTO]],Tabla7[],2,FALSE)</f>
        <v>CPF 40 AVELLANEDA</v>
      </c>
      <c r="T20" s="37">
        <v>32120</v>
      </c>
    </row>
    <row r="21" spans="1:20" x14ac:dyDescent="0.25">
      <c r="A21" s="9"/>
      <c r="B21" s="9"/>
      <c r="C21" s="9"/>
      <c r="D21" s="9"/>
      <c r="E21" s="9"/>
      <c r="F21" s="9"/>
      <c r="H21" s="34">
        <v>19270</v>
      </c>
      <c r="I21" s="34" t="s">
        <v>66</v>
      </c>
      <c r="J21" s="35">
        <v>45572</v>
      </c>
      <c r="K21" s="36" t="s">
        <v>43</v>
      </c>
      <c r="L21" s="39" t="str">
        <f>VLOOKUP(Tabla8[[#This Row],[CODIGO DEL PRODUCTO]],Tabla7[],2,FALSE)</f>
        <v>PIEDRA 6-20</v>
      </c>
      <c r="M21" s="37">
        <v>31580</v>
      </c>
      <c r="O21" s="34">
        <v>35409</v>
      </c>
      <c r="P21" s="34" t="s">
        <v>61</v>
      </c>
      <c r="Q21" s="35">
        <v>45574</v>
      </c>
      <c r="R21" s="36" t="s">
        <v>50</v>
      </c>
      <c r="S21" s="36" t="str">
        <f>VLOOKUP(Tabla9[[#This Row],[CODIGO DEL PRODUCTO]],Tabla7[],2,FALSE)</f>
        <v>MIRA SET 453 (ADITIVO)</v>
      </c>
      <c r="T21" s="37">
        <v>3140</v>
      </c>
    </row>
    <row r="22" spans="1:20" x14ac:dyDescent="0.25">
      <c r="A22" s="9"/>
      <c r="B22" s="9"/>
      <c r="C22" s="9"/>
      <c r="D22" s="9"/>
      <c r="E22" s="9"/>
      <c r="F22" s="9"/>
      <c r="H22" s="34">
        <v>19271</v>
      </c>
      <c r="I22" s="34" t="s">
        <v>66</v>
      </c>
      <c r="J22" s="35">
        <v>45572</v>
      </c>
      <c r="K22" s="36" t="s">
        <v>43</v>
      </c>
      <c r="L22" s="39" t="str">
        <f>VLOOKUP(Tabla8[[#This Row],[CODIGO DEL PRODUCTO]],Tabla7[],2,FALSE)</f>
        <v>PIEDRA 6-20</v>
      </c>
      <c r="M22" s="37">
        <v>31380</v>
      </c>
      <c r="O22" s="34">
        <v>2581337</v>
      </c>
      <c r="P22" s="34" t="s">
        <v>77</v>
      </c>
      <c r="Q22" s="35">
        <v>45574</v>
      </c>
      <c r="R22" s="36" t="s">
        <v>45</v>
      </c>
      <c r="S22" s="36" t="str">
        <f>VLOOKUP(Tabla9[[#This Row],[CODIGO DEL PRODUCTO]],Tabla7[],2,FALSE)</f>
        <v>CPF 40 AVELLANEDA</v>
      </c>
      <c r="T22" s="37">
        <v>32280</v>
      </c>
    </row>
    <row r="23" spans="1:20" x14ac:dyDescent="0.25">
      <c r="A23" s="9"/>
      <c r="B23" s="9"/>
      <c r="C23" s="9"/>
      <c r="D23" s="9"/>
      <c r="E23" s="9"/>
      <c r="F23" s="9"/>
      <c r="H23" s="34"/>
      <c r="I23" s="34" t="s">
        <v>53</v>
      </c>
      <c r="J23" s="35">
        <v>45566</v>
      </c>
      <c r="K23" s="36" t="s">
        <v>42</v>
      </c>
      <c r="L23" s="39" t="str">
        <f>VLOOKUP(Tabla8[[#This Row],[CODIGO DEL PRODUCTO]],Tabla7[],2,FALSE)</f>
        <v>ARENA FINA</v>
      </c>
      <c r="M23" s="37">
        <v>304286</v>
      </c>
      <c r="O23" s="34">
        <v>98441</v>
      </c>
      <c r="P23" s="34" t="s">
        <v>63</v>
      </c>
      <c r="Q23" s="35">
        <v>45575</v>
      </c>
      <c r="R23" s="36" t="s">
        <v>42</v>
      </c>
      <c r="S23" s="36" t="str">
        <f>VLOOKUP(Tabla9[[#This Row],[CODIGO DEL PRODUCTO]],Tabla7[],2,FALSE)</f>
        <v>ARENA FINA</v>
      </c>
      <c r="T23" s="37">
        <v>34900</v>
      </c>
    </row>
    <row r="24" spans="1:20" x14ac:dyDescent="0.25">
      <c r="A24" s="9"/>
      <c r="B24" s="9"/>
      <c r="C24" s="9"/>
      <c r="D24" s="9"/>
      <c r="E24" s="9"/>
      <c r="F24" s="9"/>
      <c r="H24" s="34"/>
      <c r="I24" s="34" t="s">
        <v>53</v>
      </c>
      <c r="J24" s="36"/>
      <c r="K24" s="36" t="s">
        <v>40</v>
      </c>
      <c r="L24" s="39" t="str">
        <f>VLOOKUP(Tabla8[[#This Row],[CODIGO DEL PRODUCTO]],Tabla7[],2,FALSE)</f>
        <v>PIEDRA 0-6</v>
      </c>
      <c r="M24" s="37">
        <v>196484</v>
      </c>
      <c r="O24" s="34">
        <v>22955</v>
      </c>
      <c r="P24" s="34" t="s">
        <v>64</v>
      </c>
      <c r="Q24" s="35">
        <v>45575</v>
      </c>
      <c r="R24" s="36" t="s">
        <v>42</v>
      </c>
      <c r="S24" s="36" t="str">
        <f>VLOOKUP(Tabla9[[#This Row],[CODIGO DEL PRODUCTO]],Tabla7[],2,FALSE)</f>
        <v>ARENA FINA</v>
      </c>
      <c r="T24" s="37">
        <v>36920</v>
      </c>
    </row>
    <row r="25" spans="1:20" x14ac:dyDescent="0.25">
      <c r="A25" s="9"/>
      <c r="B25" s="9"/>
      <c r="C25" s="9"/>
      <c r="D25" s="9"/>
      <c r="E25" s="9"/>
      <c r="F25" s="9"/>
      <c r="H25" s="34"/>
      <c r="I25" s="32" t="s">
        <v>53</v>
      </c>
      <c r="J25" s="35">
        <v>45567</v>
      </c>
      <c r="K25" s="36" t="s">
        <v>24</v>
      </c>
      <c r="L25" s="41" t="str">
        <f>VLOOKUP(Tabla8[[#This Row],[CODIGO DEL PRODUCTO]],Tabla7[],2,FALSE)</f>
        <v>ARS</v>
      </c>
      <c r="M25" s="37">
        <v>11951</v>
      </c>
      <c r="O25" s="34">
        <v>22978</v>
      </c>
      <c r="P25" s="34" t="s">
        <v>64</v>
      </c>
      <c r="Q25" s="35">
        <v>45575</v>
      </c>
      <c r="R25" s="36" t="s">
        <v>42</v>
      </c>
      <c r="S25" s="36" t="str">
        <f>VLOOKUP(Tabla9[[#This Row],[CODIGO DEL PRODUCTO]],Tabla7[],2,FALSE)</f>
        <v>ARENA FINA</v>
      </c>
      <c r="T25" s="37">
        <v>36480</v>
      </c>
    </row>
    <row r="26" spans="1:20" x14ac:dyDescent="0.25">
      <c r="A26" s="9"/>
      <c r="B26" s="9"/>
      <c r="C26" s="9"/>
      <c r="D26" s="9"/>
      <c r="E26" s="9"/>
      <c r="F26" s="9"/>
      <c r="H26" s="34"/>
      <c r="I26" s="32" t="s">
        <v>53</v>
      </c>
      <c r="J26" s="35">
        <v>45566</v>
      </c>
      <c r="K26" s="36" t="s">
        <v>45</v>
      </c>
      <c r="L26" s="41" t="str">
        <f>VLOOKUP(Tabla8[[#This Row],[CODIGO DEL PRODUCTO]],Tabla7[],2,FALSE)</f>
        <v>CPF 40 AVELLANEDA</v>
      </c>
      <c r="M26" s="37">
        <v>50137</v>
      </c>
      <c r="O26" s="34">
        <v>2581654</v>
      </c>
      <c r="P26" s="34" t="s">
        <v>65</v>
      </c>
      <c r="Q26" s="35">
        <v>45575</v>
      </c>
      <c r="R26" s="36" t="s">
        <v>45</v>
      </c>
      <c r="S26" s="36" t="str">
        <f>VLOOKUP(Tabla9[[#This Row],[CODIGO DEL PRODUCTO]],Tabla7[],2,FALSE)</f>
        <v>CPF 40 AVELLANEDA</v>
      </c>
      <c r="T26" s="37">
        <v>32220</v>
      </c>
    </row>
    <row r="27" spans="1:20" x14ac:dyDescent="0.25">
      <c r="A27" s="9"/>
      <c r="B27" s="9"/>
      <c r="C27" s="9"/>
      <c r="D27" s="9"/>
      <c r="E27" s="9"/>
      <c r="F27" s="9"/>
      <c r="H27" s="34"/>
      <c r="I27" s="32" t="s">
        <v>53</v>
      </c>
      <c r="J27" s="35">
        <v>45568</v>
      </c>
      <c r="K27" s="36" t="s">
        <v>45</v>
      </c>
      <c r="L27" s="41" t="str">
        <f>VLOOKUP(Tabla8[[#This Row],[CODIGO DEL PRODUCTO]],Tabla7[],2,FALSE)</f>
        <v>CPF 40 AVELLANEDA</v>
      </c>
      <c r="M27" s="37">
        <v>102732</v>
      </c>
      <c r="O27" s="34">
        <v>23029</v>
      </c>
      <c r="P27" s="34" t="s">
        <v>68</v>
      </c>
      <c r="Q27" s="35">
        <v>45576</v>
      </c>
      <c r="R27" s="36" t="s">
        <v>42</v>
      </c>
      <c r="S27" s="36" t="str">
        <f>VLOOKUP(Tabla9[[#This Row],[CODIGO DEL PRODUCTO]],Tabla7[],2,FALSE)</f>
        <v>ARENA FINA</v>
      </c>
      <c r="T27" s="37">
        <v>33060</v>
      </c>
    </row>
    <row r="28" spans="1:20" x14ac:dyDescent="0.25">
      <c r="A28" s="9"/>
      <c r="B28" s="9"/>
      <c r="C28" s="9"/>
      <c r="D28" s="9"/>
      <c r="E28" s="9"/>
      <c r="F28" s="9"/>
      <c r="H28" s="34"/>
      <c r="I28" s="32" t="s">
        <v>53</v>
      </c>
      <c r="J28" s="35">
        <v>45566</v>
      </c>
      <c r="K28" s="36" t="s">
        <v>50</v>
      </c>
      <c r="L28" s="41" t="str">
        <f>VLOOKUP(Tabla8[[#This Row],[CODIGO DEL PRODUCTO]],Tabla7[],2,FALSE)</f>
        <v>MIRA SET 453 (ADITIVO)</v>
      </c>
      <c r="M28" s="37">
        <v>909.15</v>
      </c>
      <c r="O28" s="34">
        <v>23030</v>
      </c>
      <c r="P28" s="34" t="s">
        <v>69</v>
      </c>
      <c r="Q28" s="35">
        <v>45576</v>
      </c>
      <c r="R28" s="36" t="s">
        <v>42</v>
      </c>
      <c r="S28" s="36" t="str">
        <f>VLOOKUP(Tabla9[[#This Row],[CODIGO DEL PRODUCTO]],Tabla7[],2,FALSE)</f>
        <v>ARENA FINA</v>
      </c>
      <c r="T28" s="37">
        <v>33840</v>
      </c>
    </row>
    <row r="29" spans="1:20" x14ac:dyDescent="0.25">
      <c r="A29" s="9"/>
      <c r="B29" s="9"/>
      <c r="C29" s="9"/>
      <c r="D29" s="9"/>
      <c r="E29" s="9"/>
      <c r="F29" s="9"/>
      <c r="H29" s="34"/>
      <c r="I29" s="32" t="s">
        <v>53</v>
      </c>
      <c r="J29" s="35">
        <v>45569</v>
      </c>
      <c r="K29" s="36" t="s">
        <v>48</v>
      </c>
      <c r="L29" s="41" t="str">
        <f>VLOOKUP(Tabla8[[#This Row],[CODIGO DEL PRODUCTO]],Tabla7[],2,FALSE)</f>
        <v>PIEDRA 6-12</v>
      </c>
      <c r="M29" s="37">
        <v>110368</v>
      </c>
      <c r="O29" s="34">
        <v>23031</v>
      </c>
      <c r="P29" s="34" t="s">
        <v>70</v>
      </c>
      <c r="Q29" s="35">
        <v>45576</v>
      </c>
      <c r="R29" s="36" t="s">
        <v>42</v>
      </c>
      <c r="S29" s="36" t="str">
        <f>VLOOKUP(Tabla9[[#This Row],[CODIGO DEL PRODUCTO]],Tabla7[],2,FALSE)</f>
        <v>ARENA FINA</v>
      </c>
      <c r="T29" s="37">
        <v>35780</v>
      </c>
    </row>
    <row r="30" spans="1:20" x14ac:dyDescent="0.25">
      <c r="A30" s="9"/>
      <c r="B30" s="9"/>
      <c r="C30" s="9"/>
      <c r="D30" s="9"/>
      <c r="E30" s="9"/>
      <c r="F30" s="9"/>
      <c r="H30" s="34"/>
      <c r="I30" s="32" t="s">
        <v>53</v>
      </c>
      <c r="J30" s="35">
        <v>45566</v>
      </c>
      <c r="K30" s="36" t="s">
        <v>46</v>
      </c>
      <c r="L30" s="41" t="str">
        <f>VLOOKUP(Tabla8[[#This Row],[CODIGO DEL PRODUCTO]],Tabla7[],2,FALSE)</f>
        <v>PIEDRA 10-30</v>
      </c>
      <c r="M30" s="37">
        <v>49535</v>
      </c>
      <c r="O30" s="34">
        <v>23032</v>
      </c>
      <c r="P30" s="34" t="s">
        <v>71</v>
      </c>
      <c r="Q30" s="35">
        <v>45576</v>
      </c>
      <c r="R30" s="36" t="s">
        <v>42</v>
      </c>
      <c r="S30" s="36" t="str">
        <f>VLOOKUP(Tabla9[[#This Row],[CODIGO DEL PRODUCTO]],Tabla7[],2,FALSE)</f>
        <v>ARENA FINA</v>
      </c>
      <c r="T30" s="37">
        <v>35740</v>
      </c>
    </row>
    <row r="31" spans="1:20" x14ac:dyDescent="0.25">
      <c r="A31" s="9"/>
      <c r="B31" s="9"/>
      <c r="C31" s="9"/>
      <c r="D31" s="9"/>
      <c r="E31" s="9"/>
      <c r="F31" s="9"/>
      <c r="H31" s="34"/>
      <c r="I31" s="32" t="s">
        <v>53</v>
      </c>
      <c r="J31" s="35">
        <v>45570</v>
      </c>
      <c r="K31" s="36" t="s">
        <v>43</v>
      </c>
      <c r="L31" s="41" t="str">
        <f>VLOOKUP(Tabla8[[#This Row],[CODIGO DEL PRODUCTO]],Tabla7[],2,FALSE)</f>
        <v>PIEDRA 6-20</v>
      </c>
      <c r="M31" s="37">
        <v>319272</v>
      </c>
      <c r="O31" s="34">
        <v>23033</v>
      </c>
      <c r="P31" s="34" t="s">
        <v>72</v>
      </c>
      <c r="Q31" s="35">
        <v>45576</v>
      </c>
      <c r="R31" s="36" t="s">
        <v>42</v>
      </c>
      <c r="S31" s="36" t="str">
        <f>VLOOKUP(Tabla9[[#This Row],[CODIGO DEL PRODUCTO]],Tabla7[],2,FALSE)</f>
        <v>ARENA FINA</v>
      </c>
      <c r="T31" s="37">
        <v>33920</v>
      </c>
    </row>
    <row r="32" spans="1:20" x14ac:dyDescent="0.25">
      <c r="A32" s="9"/>
      <c r="B32" s="9"/>
      <c r="C32" s="9"/>
      <c r="D32" s="9"/>
      <c r="E32" s="9"/>
      <c r="F32" s="9"/>
      <c r="H32" s="34">
        <v>19273</v>
      </c>
      <c r="I32" s="32" t="s">
        <v>66</v>
      </c>
      <c r="J32" s="35">
        <v>45573</v>
      </c>
      <c r="K32" s="36" t="s">
        <v>43</v>
      </c>
      <c r="L32" s="41" t="str">
        <f>VLOOKUP(Tabla8[[#This Row],[CODIGO DEL PRODUCTO]],Tabla7[],2,FALSE)</f>
        <v>PIEDRA 6-20</v>
      </c>
      <c r="M32" s="37">
        <v>33160</v>
      </c>
      <c r="O32" s="34">
        <v>2582019</v>
      </c>
      <c r="P32" s="34" t="s">
        <v>65</v>
      </c>
      <c r="Q32" s="35">
        <v>45576</v>
      </c>
      <c r="R32" s="36" t="s">
        <v>45</v>
      </c>
      <c r="S32" s="36" t="str">
        <f>VLOOKUP(Tabla9[[#This Row],[CODIGO DEL PRODUCTO]],Tabla7[],2,FALSE)</f>
        <v>CPF 40 AVELLANEDA</v>
      </c>
      <c r="T32" s="37">
        <v>32320</v>
      </c>
    </row>
    <row r="33" spans="1:20" x14ac:dyDescent="0.25">
      <c r="A33" s="9"/>
      <c r="B33" s="9"/>
      <c r="C33" s="9"/>
      <c r="D33" s="9"/>
      <c r="E33" s="9"/>
      <c r="F33" s="9"/>
      <c r="H33" s="34">
        <v>19274</v>
      </c>
      <c r="I33" s="32" t="s">
        <v>66</v>
      </c>
      <c r="J33" s="35">
        <v>45573</v>
      </c>
      <c r="K33" s="36" t="s">
        <v>43</v>
      </c>
      <c r="L33" s="41" t="str">
        <f>VLOOKUP(Tabla8[[#This Row],[CODIGO DEL PRODUCTO]],Tabla7[],2,FALSE)</f>
        <v>PIEDRA 6-20</v>
      </c>
      <c r="M33" s="37">
        <v>31920</v>
      </c>
      <c r="O33" s="34">
        <v>2582284</v>
      </c>
      <c r="P33" s="34" t="s">
        <v>65</v>
      </c>
      <c r="Q33" s="35">
        <v>45579</v>
      </c>
      <c r="R33" s="36" t="s">
        <v>45</v>
      </c>
      <c r="S33" s="36" t="str">
        <f>VLOOKUP(Tabla9[[#This Row],[CODIGO DEL PRODUCTO]],Tabla7[],2,FALSE)</f>
        <v>CPF 40 AVELLANEDA</v>
      </c>
      <c r="T33" s="37">
        <v>32440</v>
      </c>
    </row>
    <row r="34" spans="1:20" x14ac:dyDescent="0.25">
      <c r="A34" s="9"/>
      <c r="B34" s="9"/>
      <c r="C34" s="9"/>
      <c r="D34" s="9"/>
      <c r="E34" s="9"/>
      <c r="F34" s="9"/>
      <c r="H34" s="34">
        <v>19275</v>
      </c>
      <c r="I34" s="32" t="s">
        <v>66</v>
      </c>
      <c r="J34" s="35">
        <v>45573</v>
      </c>
      <c r="K34" s="36" t="s">
        <v>43</v>
      </c>
      <c r="L34" s="41" t="str">
        <f>VLOOKUP(Tabla8[[#This Row],[CODIGO DEL PRODUCTO]],Tabla7[],2,FALSE)</f>
        <v>PIEDRA 6-20</v>
      </c>
      <c r="M34" s="37">
        <v>32360</v>
      </c>
      <c r="O34" s="34">
        <v>23107</v>
      </c>
      <c r="P34" s="34" t="s">
        <v>64</v>
      </c>
      <c r="Q34" s="35">
        <v>45580</v>
      </c>
      <c r="R34" s="36" t="s">
        <v>42</v>
      </c>
      <c r="S34" s="36" t="str">
        <f>VLOOKUP(Tabla9[[#This Row],[CODIGO DEL PRODUCTO]],Tabla7[],2,FALSE)</f>
        <v>ARENA FINA</v>
      </c>
      <c r="T34" s="37">
        <v>37440</v>
      </c>
    </row>
    <row r="35" spans="1:20" x14ac:dyDescent="0.25">
      <c r="A35" s="9"/>
      <c r="B35" s="9"/>
      <c r="C35" s="9"/>
      <c r="D35" s="9"/>
      <c r="E35" s="9"/>
      <c r="F35" s="9"/>
      <c r="H35" s="34">
        <v>19276</v>
      </c>
      <c r="I35" s="32" t="s">
        <v>66</v>
      </c>
      <c r="J35" s="35">
        <v>45573</v>
      </c>
      <c r="K35" s="36" t="s">
        <v>43</v>
      </c>
      <c r="L35" s="41" t="str">
        <f>VLOOKUP(Tabla8[[#This Row],[CODIGO DEL PRODUCTO]],Tabla7[],2,FALSE)</f>
        <v>PIEDRA 6-20</v>
      </c>
      <c r="M35" s="37">
        <v>32140</v>
      </c>
      <c r="O35" s="34">
        <v>23127</v>
      </c>
      <c r="P35" s="34" t="s">
        <v>64</v>
      </c>
      <c r="Q35" s="35">
        <v>45580</v>
      </c>
      <c r="R35" s="36" t="s">
        <v>42</v>
      </c>
      <c r="S35" s="36" t="str">
        <f>VLOOKUP(Tabla9[[#This Row],[CODIGO DEL PRODUCTO]],Tabla7[],2,FALSE)</f>
        <v>ARENA FINA</v>
      </c>
      <c r="T35" s="37">
        <v>32440</v>
      </c>
    </row>
    <row r="36" spans="1:20" x14ac:dyDescent="0.25">
      <c r="A36" s="9"/>
      <c r="B36" s="9"/>
      <c r="C36" s="9"/>
      <c r="D36" s="9"/>
      <c r="E36" s="9"/>
      <c r="F36" s="9"/>
      <c r="H36" s="34">
        <v>19277</v>
      </c>
      <c r="I36" s="32" t="s">
        <v>66</v>
      </c>
      <c r="J36" s="35">
        <v>45573</v>
      </c>
      <c r="K36" s="36" t="s">
        <v>43</v>
      </c>
      <c r="L36" s="41" t="str">
        <f>VLOOKUP(Tabla8[[#This Row],[CODIGO DEL PRODUCTO]],Tabla7[],2,FALSE)</f>
        <v>PIEDRA 6-20</v>
      </c>
      <c r="M36" s="37">
        <v>32940</v>
      </c>
      <c r="O36" s="34">
        <v>2582419</v>
      </c>
      <c r="P36" s="34" t="s">
        <v>65</v>
      </c>
      <c r="Q36" s="35">
        <v>45580</v>
      </c>
      <c r="R36" s="36" t="s">
        <v>45</v>
      </c>
      <c r="S36" s="36" t="str">
        <f>VLOOKUP(Tabla9[[#This Row],[CODIGO DEL PRODUCTO]],Tabla7[],2,FALSE)</f>
        <v>CPF 40 AVELLANEDA</v>
      </c>
      <c r="T36" s="37">
        <v>32020</v>
      </c>
    </row>
    <row r="37" spans="1:20" x14ac:dyDescent="0.25">
      <c r="A37" s="9"/>
      <c r="B37" s="9"/>
      <c r="C37" s="9"/>
      <c r="D37" s="9"/>
      <c r="E37" s="9"/>
      <c r="F37" s="9"/>
      <c r="H37" s="34">
        <v>19278</v>
      </c>
      <c r="I37" s="32" t="s">
        <v>66</v>
      </c>
      <c r="J37" s="35">
        <v>45573</v>
      </c>
      <c r="K37" s="36" t="s">
        <v>43</v>
      </c>
      <c r="L37" s="41" t="str">
        <f>VLOOKUP(Tabla8[[#This Row],[CODIGO DEL PRODUCTO]],Tabla7[],2,FALSE)</f>
        <v>PIEDRA 6-20</v>
      </c>
      <c r="M37" s="37">
        <v>34720</v>
      </c>
      <c r="O37" s="34">
        <v>23165</v>
      </c>
      <c r="P37" s="34" t="s">
        <v>64</v>
      </c>
      <c r="Q37" s="35">
        <v>45581</v>
      </c>
      <c r="R37" s="36" t="s">
        <v>42</v>
      </c>
      <c r="S37" s="36" t="str">
        <f>VLOOKUP(Tabla9[[#This Row],[CODIGO DEL PRODUCTO]],Tabla7[],2,FALSE)</f>
        <v>ARENA FINA</v>
      </c>
      <c r="T37" s="37">
        <v>36160</v>
      </c>
    </row>
    <row r="38" spans="1:20" x14ac:dyDescent="0.25">
      <c r="A38" s="9"/>
      <c r="B38" s="9"/>
      <c r="C38" s="9"/>
      <c r="D38" s="9"/>
      <c r="E38" s="9"/>
      <c r="F38" s="9"/>
      <c r="H38" s="34">
        <v>6223</v>
      </c>
      <c r="I38" s="32" t="s">
        <v>55</v>
      </c>
      <c r="J38" s="35">
        <v>45573</v>
      </c>
      <c r="K38" s="36" t="s">
        <v>42</v>
      </c>
      <c r="L38" s="41" t="str">
        <f>VLOOKUP(Tabla8[[#This Row],[CODIGO DEL PRODUCTO]],Tabla7[],2,FALSE)</f>
        <v>ARENA FINA</v>
      </c>
      <c r="M38" s="37">
        <v>4000</v>
      </c>
      <c r="O38" s="34">
        <v>23191</v>
      </c>
      <c r="P38" s="34" t="s">
        <v>64</v>
      </c>
      <c r="Q38" s="35">
        <v>45581</v>
      </c>
      <c r="R38" s="36" t="s">
        <v>42</v>
      </c>
      <c r="S38" s="36" t="str">
        <f>VLOOKUP(Tabla9[[#This Row],[CODIGO DEL PRODUCTO]],Tabla7[],2,FALSE)</f>
        <v>ARENA FINA</v>
      </c>
      <c r="T38" s="37">
        <v>36500</v>
      </c>
    </row>
    <row r="39" spans="1:20" x14ac:dyDescent="0.25">
      <c r="A39" s="9"/>
      <c r="B39" s="9"/>
      <c r="C39" s="9"/>
      <c r="D39" s="9"/>
      <c r="E39" s="9"/>
      <c r="F39" s="9"/>
      <c r="H39" s="34">
        <v>6042</v>
      </c>
      <c r="I39" s="32" t="s">
        <v>56</v>
      </c>
      <c r="J39" s="35">
        <v>45562</v>
      </c>
      <c r="K39" s="36" t="s">
        <v>42</v>
      </c>
      <c r="L39" s="41" t="str">
        <f>VLOOKUP(Tabla8[[#This Row],[CODIGO DEL PRODUCTO]],Tabla7[],2,FALSE)</f>
        <v>ARENA FINA</v>
      </c>
      <c r="M39" s="37">
        <v>3000</v>
      </c>
      <c r="O39" s="34">
        <v>23227</v>
      </c>
      <c r="P39" s="34" t="s">
        <v>64</v>
      </c>
      <c r="Q39" s="35">
        <v>45582</v>
      </c>
      <c r="R39" s="36" t="s">
        <v>42</v>
      </c>
      <c r="S39" s="36" t="str">
        <f>VLOOKUP(Tabla9[[#This Row],[CODIGO DEL PRODUCTO]],Tabla7[],2,FALSE)</f>
        <v>ARENA FINA</v>
      </c>
      <c r="T39" s="37">
        <v>35060</v>
      </c>
    </row>
    <row r="40" spans="1:20" x14ac:dyDescent="0.25">
      <c r="A40" s="9"/>
      <c r="B40" s="9"/>
      <c r="C40" s="9"/>
      <c r="D40" s="9"/>
      <c r="E40" s="9"/>
      <c r="F40" s="9"/>
      <c r="H40" s="34">
        <v>6043</v>
      </c>
      <c r="I40" s="32" t="s">
        <v>55</v>
      </c>
      <c r="J40" s="35">
        <v>45562</v>
      </c>
      <c r="K40" s="36" t="s">
        <v>42</v>
      </c>
      <c r="L40" s="41" t="str">
        <f>VLOOKUP(Tabla8[[#This Row],[CODIGO DEL PRODUCTO]],Tabla7[],2,FALSE)</f>
        <v>ARENA FINA</v>
      </c>
      <c r="M40" s="37">
        <v>5000</v>
      </c>
      <c r="O40" s="34">
        <v>23244</v>
      </c>
      <c r="P40" s="34" t="s">
        <v>84</v>
      </c>
      <c r="Q40" s="35">
        <v>45582</v>
      </c>
      <c r="R40" s="36" t="s">
        <v>42</v>
      </c>
      <c r="S40" s="36" t="str">
        <f>VLOOKUP(Tabla9[[#This Row],[CODIGO DEL PRODUCTO]],Tabla7[],2,FALSE)</f>
        <v>ARENA FINA</v>
      </c>
      <c r="T40" s="37">
        <v>32740</v>
      </c>
    </row>
    <row r="41" spans="1:20" x14ac:dyDescent="0.25">
      <c r="A41" s="9"/>
      <c r="B41" s="9"/>
      <c r="C41" s="9"/>
      <c r="D41" s="9"/>
      <c r="E41" s="9"/>
      <c r="F41" s="9"/>
      <c r="H41" s="34">
        <v>6149</v>
      </c>
      <c r="I41" s="32" t="s">
        <v>57</v>
      </c>
      <c r="J41" s="35">
        <v>45569</v>
      </c>
      <c r="K41" s="36" t="s">
        <v>42</v>
      </c>
      <c r="L41" s="41" t="str">
        <f>VLOOKUP(Tabla8[[#This Row],[CODIGO DEL PRODUCTO]],Tabla7[],2,FALSE)</f>
        <v>ARENA FINA</v>
      </c>
      <c r="M41" s="37">
        <v>2000</v>
      </c>
      <c r="O41" s="34">
        <v>23252</v>
      </c>
      <c r="P41" s="34" t="s">
        <v>64</v>
      </c>
      <c r="Q41" s="35">
        <v>45582</v>
      </c>
      <c r="R41" s="36" t="s">
        <v>42</v>
      </c>
      <c r="S41" s="36" t="str">
        <f>VLOOKUP(Tabla9[[#This Row],[CODIGO DEL PRODUCTO]],Tabla7[],2,FALSE)</f>
        <v>ARENA FINA</v>
      </c>
      <c r="T41" s="37">
        <v>38060</v>
      </c>
    </row>
    <row r="42" spans="1:20" x14ac:dyDescent="0.25">
      <c r="A42" s="9"/>
      <c r="B42" s="9"/>
      <c r="C42" s="9"/>
      <c r="D42" s="9"/>
      <c r="E42" s="9"/>
      <c r="F42" s="9"/>
      <c r="H42" s="34">
        <v>6150</v>
      </c>
      <c r="I42" s="32" t="s">
        <v>57</v>
      </c>
      <c r="J42" s="35">
        <v>45569</v>
      </c>
      <c r="K42" s="36" t="s">
        <v>42</v>
      </c>
      <c r="L42" s="41" t="str">
        <f>VLOOKUP(Tabla8[[#This Row],[CODIGO DEL PRODUCTO]],Tabla7[],2,FALSE)</f>
        <v>ARENA FINA</v>
      </c>
      <c r="M42" s="37">
        <v>6000</v>
      </c>
      <c r="O42" s="34">
        <v>23258</v>
      </c>
      <c r="P42" s="34" t="s">
        <v>85</v>
      </c>
      <c r="Q42" s="35">
        <v>45582</v>
      </c>
      <c r="R42" s="36" t="s">
        <v>42</v>
      </c>
      <c r="S42" s="36" t="str">
        <f>VLOOKUP(Tabla9[[#This Row],[CODIGO DEL PRODUCTO]],Tabla7[],2,FALSE)</f>
        <v>ARENA FINA</v>
      </c>
      <c r="T42" s="37">
        <v>34180</v>
      </c>
    </row>
    <row r="43" spans="1:20" x14ac:dyDescent="0.25">
      <c r="A43" s="9"/>
      <c r="B43" s="9"/>
      <c r="C43" s="9"/>
      <c r="D43" s="9"/>
      <c r="E43" s="9"/>
      <c r="F43" s="9"/>
      <c r="H43" s="34">
        <v>6186</v>
      </c>
      <c r="I43" s="32" t="s">
        <v>58</v>
      </c>
      <c r="J43" s="35">
        <v>45572</v>
      </c>
      <c r="K43" s="36" t="s">
        <v>43</v>
      </c>
      <c r="L43" s="41" t="str">
        <f>VLOOKUP(Tabla8[[#This Row],[CODIGO DEL PRODUCTO]],Tabla7[],2,FALSE)</f>
        <v>PIEDRA 6-20</v>
      </c>
      <c r="M43" s="37">
        <v>2000</v>
      </c>
      <c r="O43" s="34">
        <v>98492</v>
      </c>
      <c r="P43" s="34" t="s">
        <v>63</v>
      </c>
      <c r="Q43" s="35">
        <v>45582</v>
      </c>
      <c r="R43" s="36" t="s">
        <v>42</v>
      </c>
      <c r="S43" s="36" t="str">
        <f>VLOOKUP(Tabla9[[#This Row],[CODIGO DEL PRODUCTO]],Tabla7[],2,FALSE)</f>
        <v>ARENA FINA</v>
      </c>
      <c r="T43" s="37">
        <v>34100</v>
      </c>
    </row>
    <row r="44" spans="1:20" x14ac:dyDescent="0.25">
      <c r="H44" s="34">
        <v>19279</v>
      </c>
      <c r="I44" s="40" t="s">
        <v>66</v>
      </c>
      <c r="J44" s="35">
        <v>45574</v>
      </c>
      <c r="K44" s="36" t="s">
        <v>43</v>
      </c>
      <c r="L44" s="42" t="str">
        <f>VLOOKUP(Tabla8[[#This Row],[CODIGO DEL PRODUCTO]],Tabla7[],2,FALSE)</f>
        <v>PIEDRA 6-20</v>
      </c>
      <c r="M44" s="37">
        <v>34480</v>
      </c>
      <c r="O44" s="34">
        <v>2583105</v>
      </c>
      <c r="P44" s="34" t="s">
        <v>65</v>
      </c>
      <c r="Q44" s="35">
        <v>45582</v>
      </c>
      <c r="R44" s="36" t="s">
        <v>45</v>
      </c>
      <c r="S44" s="36" t="str">
        <f>VLOOKUP(Tabla9[[#This Row],[CODIGO DEL PRODUCTO]],Tabla7[],2,FALSE)</f>
        <v>CPF 40 AVELLANEDA</v>
      </c>
      <c r="T44" s="37">
        <v>32380</v>
      </c>
    </row>
    <row r="45" spans="1:20" x14ac:dyDescent="0.25">
      <c r="H45" s="34">
        <v>19280</v>
      </c>
      <c r="I45" s="40" t="s">
        <v>66</v>
      </c>
      <c r="J45" s="35">
        <v>45574</v>
      </c>
      <c r="K45" s="36" t="s">
        <v>43</v>
      </c>
      <c r="L45" s="42" t="str">
        <f>VLOOKUP(Tabla8[[#This Row],[CODIGO DEL PRODUCTO]],Tabla7[],2,FALSE)</f>
        <v>PIEDRA 6-20</v>
      </c>
      <c r="M45" s="37">
        <v>32540</v>
      </c>
      <c r="O45" s="34">
        <v>98509</v>
      </c>
      <c r="P45" s="34" t="s">
        <v>63</v>
      </c>
      <c r="Q45" s="35">
        <v>45583</v>
      </c>
      <c r="R45" s="36" t="s">
        <v>42</v>
      </c>
      <c r="S45" s="36" t="str">
        <f>VLOOKUP(Tabla9[[#This Row],[CODIGO DEL PRODUCTO]],Tabla7[],2,FALSE)</f>
        <v>ARENA FINA</v>
      </c>
      <c r="T45" s="37">
        <v>34460</v>
      </c>
    </row>
    <row r="46" spans="1:20" x14ac:dyDescent="0.25">
      <c r="H46" s="34">
        <v>19281</v>
      </c>
      <c r="I46" s="34" t="s">
        <v>66</v>
      </c>
      <c r="J46" s="35">
        <v>45574</v>
      </c>
      <c r="K46" s="36" t="s">
        <v>43</v>
      </c>
      <c r="L46" s="39" t="str">
        <f>VLOOKUP(Tabla8[[#This Row],[CODIGO DEL PRODUCTO]],Tabla7[],2,FALSE)</f>
        <v>PIEDRA 6-20</v>
      </c>
      <c r="M46" s="37">
        <v>33040</v>
      </c>
      <c r="O46" s="34">
        <v>23292</v>
      </c>
      <c r="P46" s="34" t="s">
        <v>64</v>
      </c>
      <c r="Q46" s="35">
        <v>45583</v>
      </c>
      <c r="R46" s="36" t="s">
        <v>42</v>
      </c>
      <c r="S46" s="36" t="str">
        <f>VLOOKUP(Tabla9[[#This Row],[CODIGO DEL PRODUCTO]],Tabla7[],2,FALSE)</f>
        <v>ARENA FINA</v>
      </c>
      <c r="T46" s="37">
        <v>38520</v>
      </c>
    </row>
    <row r="47" spans="1:20" x14ac:dyDescent="0.25">
      <c r="H47" s="34">
        <v>6235</v>
      </c>
      <c r="I47" s="44" t="s">
        <v>62</v>
      </c>
      <c r="J47" s="35">
        <v>45574</v>
      </c>
      <c r="K47" s="36" t="s">
        <v>42</v>
      </c>
      <c r="L47" s="39" t="str">
        <f>VLOOKUP(Tabla8[[#This Row],[CODIGO DEL PRODUCTO]],Tabla7[],2,FALSE)</f>
        <v>ARENA FINA</v>
      </c>
      <c r="M47" s="37">
        <v>1000</v>
      </c>
      <c r="O47" s="34">
        <v>23303</v>
      </c>
      <c r="P47" s="34" t="s">
        <v>86</v>
      </c>
      <c r="Q47" s="35">
        <v>45583</v>
      </c>
      <c r="R47" s="36" t="s">
        <v>42</v>
      </c>
      <c r="S47" s="36" t="str">
        <f>VLOOKUP(Tabla9[[#This Row],[CODIGO DEL PRODUCTO]],Tabla7[],2,FALSE)</f>
        <v>ARENA FINA</v>
      </c>
      <c r="T47" s="37">
        <v>34000</v>
      </c>
    </row>
    <row r="48" spans="1:20" x14ac:dyDescent="0.25">
      <c r="H48" s="34"/>
      <c r="I48" s="34"/>
      <c r="J48" s="35">
        <v>45574</v>
      </c>
      <c r="K48" s="36" t="s">
        <v>43</v>
      </c>
      <c r="L48" s="39" t="str">
        <f>VLOOKUP(Tabla8[[#This Row],[CODIGO DEL PRODUCTO]],Tabla7[],2,FALSE)</f>
        <v>PIEDRA 6-20</v>
      </c>
      <c r="M48" s="37">
        <v>4000</v>
      </c>
      <c r="O48" s="34">
        <v>23304</v>
      </c>
      <c r="P48" s="34" t="s">
        <v>64</v>
      </c>
      <c r="Q48" s="35">
        <v>45583</v>
      </c>
      <c r="R48" s="36" t="s">
        <v>42</v>
      </c>
      <c r="S48" s="36" t="str">
        <f>VLOOKUP(Tabla9[[#This Row],[CODIGO DEL PRODUCTO]],Tabla7[],2,FALSE)</f>
        <v>ARENA FINA</v>
      </c>
      <c r="T48" s="37">
        <v>34900</v>
      </c>
    </row>
    <row r="49" spans="8:20" x14ac:dyDescent="0.25">
      <c r="H49" s="34">
        <v>19283</v>
      </c>
      <c r="I49" s="34" t="s">
        <v>66</v>
      </c>
      <c r="J49" s="35">
        <v>45575</v>
      </c>
      <c r="K49" s="36" t="s">
        <v>43</v>
      </c>
      <c r="L49" s="39" t="str">
        <f>VLOOKUP(Tabla8[[#This Row],[CODIGO DEL PRODUCTO]],Tabla7[],2,FALSE)</f>
        <v>PIEDRA 6-20</v>
      </c>
      <c r="M49" s="37">
        <v>32280</v>
      </c>
      <c r="O49" s="34">
        <v>23308</v>
      </c>
      <c r="P49" s="34" t="s">
        <v>87</v>
      </c>
      <c r="Q49" s="35">
        <v>45583</v>
      </c>
      <c r="R49" s="36" t="s">
        <v>42</v>
      </c>
      <c r="S49" s="36" t="str">
        <f>VLOOKUP(Tabla9[[#This Row],[CODIGO DEL PRODUCTO]],Tabla7[],2,FALSE)</f>
        <v>ARENA FINA</v>
      </c>
      <c r="T49" s="37">
        <v>36060</v>
      </c>
    </row>
    <row r="50" spans="8:20" x14ac:dyDescent="0.25">
      <c r="H50" s="34">
        <v>19284</v>
      </c>
      <c r="I50" s="34" t="s">
        <v>66</v>
      </c>
      <c r="J50" s="35">
        <v>45575</v>
      </c>
      <c r="K50" s="36" t="s">
        <v>43</v>
      </c>
      <c r="L50" s="39" t="str">
        <f>VLOOKUP(Tabla8[[#This Row],[CODIGO DEL PRODUCTO]],Tabla7[],2,FALSE)</f>
        <v>PIEDRA 6-20</v>
      </c>
      <c r="M50" s="37">
        <v>31340</v>
      </c>
      <c r="O50" s="34">
        <v>23319</v>
      </c>
      <c r="P50" s="34" t="s">
        <v>87</v>
      </c>
      <c r="Q50" s="35">
        <v>45584</v>
      </c>
      <c r="R50" s="36" t="s">
        <v>42</v>
      </c>
      <c r="S50" s="36" t="str">
        <f>VLOOKUP(Tabla9[[#This Row],[CODIGO DEL PRODUCTO]],Tabla7[],2,FALSE)</f>
        <v>ARENA FINA</v>
      </c>
      <c r="T50" s="37">
        <v>35660</v>
      </c>
    </row>
    <row r="51" spans="8:20" x14ac:dyDescent="0.25">
      <c r="H51" s="34">
        <v>19285</v>
      </c>
      <c r="I51" s="34" t="s">
        <v>66</v>
      </c>
      <c r="J51" s="35">
        <v>45575</v>
      </c>
      <c r="K51" s="36" t="s">
        <v>43</v>
      </c>
      <c r="L51" s="39" t="str">
        <f>VLOOKUP(Tabla8[[#This Row],[CODIGO DEL PRODUCTO]],Tabla7[],2,FALSE)</f>
        <v>PIEDRA 6-20</v>
      </c>
      <c r="M51" s="37">
        <v>32980</v>
      </c>
      <c r="O51" s="34">
        <v>23341</v>
      </c>
      <c r="P51" s="34" t="s">
        <v>87</v>
      </c>
      <c r="Q51" s="35">
        <v>45584</v>
      </c>
      <c r="R51" s="36" t="s">
        <v>42</v>
      </c>
      <c r="S51" s="36" t="str">
        <f>VLOOKUP(Tabla9[[#This Row],[CODIGO DEL PRODUCTO]],Tabla7[],2,FALSE)</f>
        <v>ARENA FINA</v>
      </c>
      <c r="T51" s="37">
        <v>36160</v>
      </c>
    </row>
    <row r="52" spans="8:20" x14ac:dyDescent="0.25">
      <c r="H52" s="34">
        <v>19286</v>
      </c>
      <c r="I52" s="34" t="s">
        <v>66</v>
      </c>
      <c r="J52" s="35">
        <v>45575</v>
      </c>
      <c r="K52" s="36" t="s">
        <v>43</v>
      </c>
      <c r="L52" s="39" t="str">
        <f>VLOOKUP(Tabla8[[#This Row],[CODIGO DEL PRODUCTO]],Tabla7[],2,FALSE)</f>
        <v>PIEDRA 6-20</v>
      </c>
      <c r="M52" s="37">
        <v>31660</v>
      </c>
      <c r="O52" s="34">
        <v>2583365</v>
      </c>
      <c r="P52" s="34" t="s">
        <v>65</v>
      </c>
      <c r="Q52" s="35">
        <v>45583</v>
      </c>
      <c r="R52" s="36" t="s">
        <v>45</v>
      </c>
      <c r="S52" s="36" t="str">
        <f>VLOOKUP(Tabla9[[#This Row],[CODIGO DEL PRODUCTO]],Tabla7[],2,FALSE)</f>
        <v>CPF 40 AVELLANEDA</v>
      </c>
      <c r="T52" s="37">
        <v>32360</v>
      </c>
    </row>
    <row r="53" spans="8:20" x14ac:dyDescent="0.25">
      <c r="H53" s="34">
        <v>6266</v>
      </c>
      <c r="I53" s="34" t="s">
        <v>67</v>
      </c>
      <c r="J53" s="35">
        <v>45575</v>
      </c>
      <c r="K53" s="36" t="s">
        <v>42</v>
      </c>
      <c r="L53" s="39" t="str">
        <f>VLOOKUP(Tabla8[[#This Row],[CODIGO DEL PRODUCTO]],Tabla7[],2,FALSE)</f>
        <v>ARENA FINA</v>
      </c>
      <c r="M53" s="37">
        <v>2000</v>
      </c>
      <c r="O53" s="34">
        <v>2583686</v>
      </c>
      <c r="P53" s="34" t="s">
        <v>65</v>
      </c>
      <c r="Q53" s="35">
        <v>45583</v>
      </c>
      <c r="R53" s="36" t="s">
        <v>45</v>
      </c>
      <c r="S53" s="36" t="str">
        <f>VLOOKUP(Tabla9[[#This Row],[CODIGO DEL PRODUCTO]],Tabla7[],2,FALSE)</f>
        <v>CPF 40 AVELLANEDA</v>
      </c>
      <c r="T53" s="37">
        <v>32520</v>
      </c>
    </row>
    <row r="54" spans="8:20" x14ac:dyDescent="0.25">
      <c r="H54" s="34"/>
      <c r="I54" s="34"/>
      <c r="J54" s="35">
        <v>45575</v>
      </c>
      <c r="K54" s="36" t="s">
        <v>42</v>
      </c>
      <c r="L54" s="39" t="str">
        <f>VLOOKUP(Tabla8[[#This Row],[CODIGO DEL PRODUCTO]],Tabla7[],2,FALSE)</f>
        <v>ARENA FINA</v>
      </c>
      <c r="M54" s="37">
        <v>2000</v>
      </c>
      <c r="O54" s="34">
        <v>2583843</v>
      </c>
      <c r="P54" s="34" t="s">
        <v>65</v>
      </c>
      <c r="Q54" s="35">
        <v>45584</v>
      </c>
      <c r="R54" s="36" t="s">
        <v>45</v>
      </c>
      <c r="S54" s="36" t="str">
        <f>VLOOKUP(Tabla9[[#This Row],[CODIGO DEL PRODUCTO]],Tabla7[],2,FALSE)</f>
        <v>CPF 40 AVELLANEDA</v>
      </c>
      <c r="T54" s="37">
        <v>32180</v>
      </c>
    </row>
    <row r="55" spans="8:20" x14ac:dyDescent="0.25">
      <c r="H55" s="34">
        <v>19287</v>
      </c>
      <c r="I55" s="34" t="s">
        <v>66</v>
      </c>
      <c r="J55" s="35">
        <v>45576</v>
      </c>
      <c r="K55" s="36" t="s">
        <v>43</v>
      </c>
      <c r="L55" s="39" t="str">
        <f>VLOOKUP(Tabla8[[#This Row],[CODIGO DEL PRODUCTO]],Tabla7[],2,FALSE)</f>
        <v>PIEDRA 6-20</v>
      </c>
      <c r="M55" s="37">
        <v>32560</v>
      </c>
      <c r="O55" s="34">
        <v>98535</v>
      </c>
      <c r="P55" s="34" t="s">
        <v>63</v>
      </c>
      <c r="Q55" s="35">
        <v>45586</v>
      </c>
      <c r="R55" s="36" t="s">
        <v>42</v>
      </c>
      <c r="S55" s="36" t="str">
        <f>VLOOKUP(Tabla9[[#This Row],[CODIGO DEL PRODUCTO]],Tabla7[],2,FALSE)</f>
        <v>ARENA FINA</v>
      </c>
      <c r="T55" s="37">
        <v>34540</v>
      </c>
    </row>
    <row r="56" spans="8:20" x14ac:dyDescent="0.25">
      <c r="H56" s="34">
        <v>19289</v>
      </c>
      <c r="I56" s="34" t="s">
        <v>66</v>
      </c>
      <c r="J56" s="35">
        <v>45576</v>
      </c>
      <c r="K56" s="36" t="s">
        <v>43</v>
      </c>
      <c r="L56" s="39" t="str">
        <f>VLOOKUP(Tabla8[[#This Row],[CODIGO DEL PRODUCTO]],Tabla7[],2,FALSE)</f>
        <v>PIEDRA 6-20</v>
      </c>
      <c r="M56" s="37">
        <v>33580</v>
      </c>
      <c r="O56" s="34">
        <v>98539</v>
      </c>
      <c r="P56" s="34" t="s">
        <v>63</v>
      </c>
      <c r="Q56" s="35">
        <v>45586</v>
      </c>
      <c r="R56" s="36" t="s">
        <v>42</v>
      </c>
      <c r="S56" s="36" t="str">
        <f>VLOOKUP(Tabla9[[#This Row],[CODIGO DEL PRODUCTO]],Tabla7[],2,FALSE)</f>
        <v>ARENA FINA</v>
      </c>
      <c r="T56" s="37">
        <v>35360</v>
      </c>
    </row>
    <row r="57" spans="8:20" x14ac:dyDescent="0.25">
      <c r="H57" s="34">
        <v>19290</v>
      </c>
      <c r="I57" s="34" t="s">
        <v>66</v>
      </c>
      <c r="J57" s="35">
        <v>45576</v>
      </c>
      <c r="K57" s="36" t="s">
        <v>43</v>
      </c>
      <c r="L57" s="39" t="str">
        <f>VLOOKUP(Tabla8[[#This Row],[CODIGO DEL PRODUCTO]],Tabla7[],2,FALSE)</f>
        <v>PIEDRA 6-20</v>
      </c>
      <c r="M57" s="37">
        <v>33060</v>
      </c>
      <c r="O57" s="34">
        <v>23356</v>
      </c>
      <c r="P57" s="34" t="s">
        <v>64</v>
      </c>
      <c r="Q57" s="35">
        <v>45586</v>
      </c>
      <c r="R57" s="36" t="s">
        <v>42</v>
      </c>
      <c r="S57" s="36" t="str">
        <f>VLOOKUP(Tabla9[[#This Row],[CODIGO DEL PRODUCTO]],Tabla7[],2,FALSE)</f>
        <v>ARENA FINA</v>
      </c>
      <c r="T57" s="37">
        <v>35800</v>
      </c>
    </row>
    <row r="58" spans="8:20" x14ac:dyDescent="0.25">
      <c r="H58" s="34">
        <v>19292</v>
      </c>
      <c r="I58" s="34" t="s">
        <v>66</v>
      </c>
      <c r="J58" s="35">
        <v>45576</v>
      </c>
      <c r="K58" s="36" t="s">
        <v>43</v>
      </c>
      <c r="L58" s="39" t="str">
        <f>VLOOKUP(Tabla8[[#This Row],[CODIGO DEL PRODUCTO]],Tabla7[],2,FALSE)</f>
        <v>PIEDRA 6-20</v>
      </c>
      <c r="M58" s="37">
        <v>32220</v>
      </c>
      <c r="O58" s="34">
        <v>23371</v>
      </c>
      <c r="P58" s="34" t="s">
        <v>64</v>
      </c>
      <c r="Q58" s="35">
        <v>45586</v>
      </c>
      <c r="R58" s="36" t="s">
        <v>42</v>
      </c>
      <c r="S58" s="36" t="str">
        <f>VLOOKUP(Tabla9[[#This Row],[CODIGO DEL PRODUCTO]],Tabla7[],2,FALSE)</f>
        <v>ARENA FINA</v>
      </c>
      <c r="T58" s="37">
        <v>36180</v>
      </c>
    </row>
    <row r="59" spans="8:20" x14ac:dyDescent="0.25">
      <c r="H59" s="34">
        <v>19291</v>
      </c>
      <c r="I59" s="34" t="s">
        <v>66</v>
      </c>
      <c r="J59" s="35">
        <v>45576</v>
      </c>
      <c r="K59" s="36" t="s">
        <v>43</v>
      </c>
      <c r="L59" s="39" t="str">
        <f>VLOOKUP(Tabla8[[#This Row],[CODIGO DEL PRODUCTO]],Tabla7[],2,FALSE)</f>
        <v>PIEDRA 6-20</v>
      </c>
      <c r="M59" s="37">
        <v>33180</v>
      </c>
      <c r="O59" s="34">
        <v>94122</v>
      </c>
      <c r="P59" s="34" t="s">
        <v>115</v>
      </c>
      <c r="Q59" s="35">
        <v>45586</v>
      </c>
      <c r="R59" s="36" t="s">
        <v>48</v>
      </c>
      <c r="S59" s="36" t="str">
        <f>VLOOKUP(Tabla9[[#This Row],[CODIGO DEL PRODUCTO]],Tabla7[],2,FALSE)</f>
        <v>PIEDRA 6-12</v>
      </c>
      <c r="T59" s="37">
        <v>35660</v>
      </c>
    </row>
    <row r="60" spans="8:20" x14ac:dyDescent="0.25">
      <c r="H60" s="34">
        <v>6292</v>
      </c>
      <c r="I60" s="34" t="s">
        <v>55</v>
      </c>
      <c r="J60" s="35">
        <v>45579</v>
      </c>
      <c r="K60" s="36" t="s">
        <v>42</v>
      </c>
      <c r="L60" s="39" t="str">
        <f>VLOOKUP(Tabla8[[#This Row],[CODIGO DEL PRODUCTO]],Tabla7[],2,FALSE)</f>
        <v>ARENA FINA</v>
      </c>
      <c r="M60" s="37">
        <v>5000</v>
      </c>
      <c r="O60" s="34">
        <v>126432</v>
      </c>
      <c r="P60" s="34" t="s">
        <v>116</v>
      </c>
      <c r="Q60" s="35">
        <v>45586</v>
      </c>
      <c r="R60" s="36" t="s">
        <v>43</v>
      </c>
      <c r="S60" s="36" t="str">
        <f>VLOOKUP(Tabla9[[#This Row],[CODIGO DEL PRODUCTO]],Tabla7[],2,FALSE)</f>
        <v>PIEDRA 6-20</v>
      </c>
      <c r="T60" s="37">
        <v>34840</v>
      </c>
    </row>
    <row r="61" spans="8:20" x14ac:dyDescent="0.25">
      <c r="H61" s="34">
        <v>6306</v>
      </c>
      <c r="I61" s="34" t="s">
        <v>73</v>
      </c>
      <c r="J61" s="35">
        <v>45579</v>
      </c>
      <c r="K61" s="36" t="s">
        <v>43</v>
      </c>
      <c r="L61" s="39" t="str">
        <f>VLOOKUP(Tabla8[[#This Row],[CODIGO DEL PRODUCTO]],Tabla7[],2,FALSE)</f>
        <v>PIEDRA 6-20</v>
      </c>
      <c r="M61" s="37">
        <v>2000</v>
      </c>
      <c r="O61" s="34">
        <v>126441</v>
      </c>
      <c r="P61" s="34" t="s">
        <v>117</v>
      </c>
      <c r="Q61" s="35">
        <v>45586</v>
      </c>
      <c r="R61" s="36" t="s">
        <v>43</v>
      </c>
      <c r="S61" s="36" t="str">
        <f>VLOOKUP(Tabla9[[#This Row],[CODIGO DEL PRODUCTO]],Tabla7[],2,FALSE)</f>
        <v>PIEDRA 6-20</v>
      </c>
      <c r="T61" s="37">
        <v>34520</v>
      </c>
    </row>
    <row r="62" spans="8:20" x14ac:dyDescent="0.25">
      <c r="H62" s="34">
        <v>6301</v>
      </c>
      <c r="I62" s="34" t="s">
        <v>58</v>
      </c>
      <c r="J62" s="35">
        <v>45579</v>
      </c>
      <c r="K62" s="36" t="s">
        <v>43</v>
      </c>
      <c r="L62" s="39" t="str">
        <f>VLOOKUP(Tabla8[[#This Row],[CODIGO DEL PRODUCTO]],Tabla7[],2,FALSE)</f>
        <v>PIEDRA 6-20</v>
      </c>
      <c r="M62" s="37">
        <v>1000</v>
      </c>
      <c r="O62" s="34">
        <v>126473</v>
      </c>
      <c r="P62" s="34" t="s">
        <v>118</v>
      </c>
      <c r="Q62" s="35">
        <v>45586</v>
      </c>
      <c r="R62" s="36" t="s">
        <v>43</v>
      </c>
      <c r="S62" s="36" t="str">
        <f>VLOOKUP(Tabla9[[#This Row],[CODIGO DEL PRODUCTO]],Tabla7[],2,FALSE)</f>
        <v>PIEDRA 6-20</v>
      </c>
      <c r="T62" s="37">
        <v>36300</v>
      </c>
    </row>
    <row r="63" spans="8:20" x14ac:dyDescent="0.25">
      <c r="H63" s="34"/>
      <c r="I63" s="34" t="s">
        <v>53</v>
      </c>
      <c r="J63" s="35">
        <v>45572</v>
      </c>
      <c r="K63" s="36" t="s">
        <v>42</v>
      </c>
      <c r="L63" s="39" t="str">
        <f>VLOOKUP(Tabla8[[#This Row],[CODIGO DEL PRODUCTO]],Tabla7[],2,FALSE)</f>
        <v>ARENA FINA</v>
      </c>
      <c r="M63" s="37">
        <v>344601</v>
      </c>
      <c r="O63" s="34">
        <v>126477</v>
      </c>
      <c r="P63" s="34" t="s">
        <v>119</v>
      </c>
      <c r="Q63" s="35">
        <v>45586</v>
      </c>
      <c r="R63" s="36" t="s">
        <v>43</v>
      </c>
      <c r="S63" s="36" t="str">
        <f>VLOOKUP(Tabla9[[#This Row],[CODIGO DEL PRODUCTO]],Tabla7[],2,FALSE)</f>
        <v>PIEDRA 6-20</v>
      </c>
      <c r="T63" s="37">
        <v>36300</v>
      </c>
    </row>
    <row r="64" spans="8:20" x14ac:dyDescent="0.25">
      <c r="H64" s="34"/>
      <c r="I64" s="34" t="s">
        <v>53</v>
      </c>
      <c r="J64" s="36"/>
      <c r="K64" s="36" t="s">
        <v>40</v>
      </c>
      <c r="L64" s="39" t="str">
        <f>VLOOKUP(Tabla8[[#This Row],[CODIGO DEL PRODUCTO]],Tabla7[],2,FALSE)</f>
        <v>PIEDRA 0-6</v>
      </c>
      <c r="M64" s="37">
        <v>219332</v>
      </c>
      <c r="O64" s="34">
        <v>126478</v>
      </c>
      <c r="P64" s="34" t="s">
        <v>120</v>
      </c>
      <c r="Q64" s="35">
        <v>45586</v>
      </c>
      <c r="R64" s="36" t="s">
        <v>43</v>
      </c>
      <c r="S64" s="36" t="str">
        <f>VLOOKUP(Tabla9[[#This Row],[CODIGO DEL PRODUCTO]],Tabla7[],2,FALSE)</f>
        <v>PIEDRA 6-20</v>
      </c>
      <c r="T64" s="37">
        <v>36380</v>
      </c>
    </row>
    <row r="65" spans="5:20" x14ac:dyDescent="0.25">
      <c r="H65" s="34"/>
      <c r="I65" s="34" t="s">
        <v>53</v>
      </c>
      <c r="J65" s="35">
        <v>45573</v>
      </c>
      <c r="K65" s="36" t="s">
        <v>45</v>
      </c>
      <c r="L65" s="39" t="str">
        <f>VLOOKUP(Tabla8[[#This Row],[CODIGO DEL PRODUCTO]],Tabla7[],2,FALSE)</f>
        <v>CPF 40 AVELLANEDA</v>
      </c>
      <c r="M65" s="37">
        <v>182232</v>
      </c>
      <c r="O65" s="34">
        <v>2584136</v>
      </c>
      <c r="P65" s="34" t="s">
        <v>77</v>
      </c>
      <c r="Q65" s="35">
        <v>45586</v>
      </c>
      <c r="R65" s="36" t="s">
        <v>45</v>
      </c>
      <c r="S65" s="36" t="str">
        <f>VLOOKUP(Tabla9[[#This Row],[CODIGO DEL PRODUCTO]],Tabla7[],2,FALSE)</f>
        <v>CPF 40 AVELLANEDA</v>
      </c>
      <c r="T65" s="37">
        <v>32300</v>
      </c>
    </row>
    <row r="66" spans="5:20" x14ac:dyDescent="0.25">
      <c r="H66" s="34"/>
      <c r="I66" s="34" t="s">
        <v>53</v>
      </c>
      <c r="J66" s="35">
        <v>45572</v>
      </c>
      <c r="K66" s="36" t="s">
        <v>50</v>
      </c>
      <c r="L66" s="39" t="str">
        <f>VLOOKUP(Tabla8[[#This Row],[CODIGO DEL PRODUCTO]],Tabla7[],2,FALSE)</f>
        <v>MIRA SET 453 (ADITIVO)</v>
      </c>
      <c r="M66" s="37">
        <v>983.42</v>
      </c>
      <c r="O66" s="34">
        <v>98546</v>
      </c>
      <c r="P66" s="34" t="s">
        <v>63</v>
      </c>
      <c r="Q66" s="35">
        <v>45587</v>
      </c>
      <c r="R66" s="36" t="s">
        <v>42</v>
      </c>
      <c r="S66" s="36" t="str">
        <f>VLOOKUP(Tabla9[[#This Row],[CODIGO DEL PRODUCTO]],Tabla7[],2,FALSE)</f>
        <v>ARENA FINA</v>
      </c>
      <c r="T66" s="37">
        <v>35500</v>
      </c>
    </row>
    <row r="67" spans="5:20" x14ac:dyDescent="0.25">
      <c r="H67" s="34"/>
      <c r="I67" s="34" t="s">
        <v>53</v>
      </c>
      <c r="J67" s="35">
        <v>45574</v>
      </c>
      <c r="K67" s="36" t="s">
        <v>48</v>
      </c>
      <c r="L67" s="39" t="str">
        <f>VLOOKUP(Tabla8[[#This Row],[CODIGO DEL PRODUCTO]],Tabla7[],2,FALSE)</f>
        <v>PIEDRA 6-12</v>
      </c>
      <c r="M67" s="37">
        <v>130648</v>
      </c>
      <c r="O67" s="34">
        <v>98552</v>
      </c>
      <c r="P67" s="34" t="s">
        <v>63</v>
      </c>
      <c r="Q67" s="35">
        <v>45587</v>
      </c>
      <c r="R67" s="36" t="s">
        <v>42</v>
      </c>
      <c r="S67" s="36" t="str">
        <f>VLOOKUP(Tabla9[[#This Row],[CODIGO DEL PRODUCTO]],Tabla7[],2,FALSE)</f>
        <v>ARENA FINA</v>
      </c>
      <c r="T67" s="37">
        <v>34960</v>
      </c>
    </row>
    <row r="68" spans="5:20" x14ac:dyDescent="0.25">
      <c r="H68" s="34"/>
      <c r="I68" s="34" t="s">
        <v>53</v>
      </c>
      <c r="J68" s="35">
        <v>45575</v>
      </c>
      <c r="K68" s="36" t="s">
        <v>46</v>
      </c>
      <c r="L68" s="39" t="str">
        <f>VLOOKUP(Tabla8[[#This Row],[CODIGO DEL PRODUCTO]],Tabla7[],2,FALSE)</f>
        <v>PIEDRA 10-30</v>
      </c>
      <c r="M68" s="37">
        <v>91007</v>
      </c>
      <c r="O68" s="34">
        <v>98559</v>
      </c>
      <c r="P68" s="34" t="s">
        <v>63</v>
      </c>
      <c r="Q68" s="35">
        <v>45587</v>
      </c>
      <c r="R68" s="36" t="s">
        <v>42</v>
      </c>
      <c r="S68" s="36" t="str">
        <f>VLOOKUP(Tabla9[[#This Row],[CODIGO DEL PRODUCTO]],Tabla7[],2,FALSE)</f>
        <v>ARENA FINA</v>
      </c>
      <c r="T68" s="37">
        <v>34380</v>
      </c>
    </row>
    <row r="69" spans="5:20" x14ac:dyDescent="0.25">
      <c r="H69" s="34"/>
      <c r="I69" s="34" t="s">
        <v>53</v>
      </c>
      <c r="J69" s="35">
        <v>45576</v>
      </c>
      <c r="K69" s="36" t="s">
        <v>43</v>
      </c>
      <c r="L69" s="39" t="str">
        <f>VLOOKUP(Tabla8[[#This Row],[CODIGO DEL PRODUCTO]],Tabla7[],2,FALSE)</f>
        <v>PIEDRA 6-20</v>
      </c>
      <c r="M69" s="37">
        <v>314079</v>
      </c>
      <c r="O69" s="34">
        <v>23395</v>
      </c>
      <c r="P69" s="34" t="s">
        <v>64</v>
      </c>
      <c r="Q69" s="35">
        <v>45587</v>
      </c>
      <c r="R69" s="36" t="s">
        <v>42</v>
      </c>
      <c r="S69" s="36" t="str">
        <f>VLOOKUP(Tabla9[[#This Row],[CODIGO DEL PRODUCTO]],Tabla7[],2,FALSE)</f>
        <v>ARENA FINA</v>
      </c>
      <c r="T69" s="37">
        <v>34180</v>
      </c>
    </row>
    <row r="70" spans="5:20" x14ac:dyDescent="0.25">
      <c r="H70" s="34">
        <v>6324</v>
      </c>
      <c r="I70" s="34" t="s">
        <v>74</v>
      </c>
      <c r="J70" s="35">
        <v>45581</v>
      </c>
      <c r="K70" s="36" t="s">
        <v>42</v>
      </c>
      <c r="L70" s="39" t="str">
        <f>VLOOKUP(Tabla8[[#This Row],[CODIGO DEL PRODUCTO]],Tabla7[],2,FALSE)</f>
        <v>ARENA FINA</v>
      </c>
      <c r="M70" s="37">
        <v>4000</v>
      </c>
      <c r="O70" s="34">
        <v>23402</v>
      </c>
      <c r="P70" s="34" t="s">
        <v>87</v>
      </c>
      <c r="Q70" s="35">
        <v>45587</v>
      </c>
      <c r="R70" s="36" t="s">
        <v>42</v>
      </c>
      <c r="S70" s="36" t="str">
        <f>VLOOKUP(Tabla9[[#This Row],[CODIGO DEL PRODUCTO]],Tabla7[],2,FALSE)</f>
        <v>ARENA FINA</v>
      </c>
      <c r="T70" s="37">
        <v>35760</v>
      </c>
    </row>
    <row r="71" spans="5:20" x14ac:dyDescent="0.25">
      <c r="H71" s="34">
        <v>19295</v>
      </c>
      <c r="I71" s="34" t="s">
        <v>66</v>
      </c>
      <c r="J71" s="35">
        <v>45581</v>
      </c>
      <c r="K71" s="36" t="s">
        <v>43</v>
      </c>
      <c r="L71" s="39" t="str">
        <f>VLOOKUP(Tabla8[[#This Row],[CODIGO DEL PRODUCTO]],Tabla7[],2,FALSE)</f>
        <v>PIEDRA 6-20</v>
      </c>
      <c r="M71" s="37">
        <v>32760</v>
      </c>
      <c r="O71" s="34">
        <v>23413</v>
      </c>
      <c r="P71" s="34" t="s">
        <v>87</v>
      </c>
      <c r="Q71" s="35">
        <v>45587</v>
      </c>
      <c r="R71" s="36" t="s">
        <v>42</v>
      </c>
      <c r="S71" s="36" t="str">
        <f>VLOOKUP(Tabla9[[#This Row],[CODIGO DEL PRODUCTO]],Tabla7[],2,FALSE)</f>
        <v>ARENA FINA</v>
      </c>
      <c r="T71" s="37">
        <v>35900</v>
      </c>
    </row>
    <row r="72" spans="5:20" x14ac:dyDescent="0.25">
      <c r="H72" s="34">
        <v>19296</v>
      </c>
      <c r="I72" s="34" t="s">
        <v>66</v>
      </c>
      <c r="J72" s="35">
        <v>45581</v>
      </c>
      <c r="K72" s="36" t="s">
        <v>43</v>
      </c>
      <c r="L72" s="39" t="str">
        <f>VLOOKUP(Tabla8[[#This Row],[CODIGO DEL PRODUCTO]],Tabla7[],2,FALSE)</f>
        <v>PIEDRA 6-20</v>
      </c>
      <c r="M72" s="37">
        <v>32600</v>
      </c>
      <c r="O72" s="34">
        <v>23418</v>
      </c>
      <c r="P72" s="34" t="s">
        <v>64</v>
      </c>
      <c r="Q72" s="35">
        <v>45587</v>
      </c>
      <c r="R72" s="36" t="s">
        <v>42</v>
      </c>
      <c r="S72" s="36" t="str">
        <f>VLOOKUP(Tabla9[[#This Row],[CODIGO DEL PRODUCTO]],Tabla7[],2,FALSE)</f>
        <v>ARENA FINA</v>
      </c>
      <c r="T72" s="37">
        <v>36400</v>
      </c>
    </row>
    <row r="73" spans="5:20" x14ac:dyDescent="0.25">
      <c r="H73" s="34">
        <v>19297</v>
      </c>
      <c r="I73" s="34" t="s">
        <v>66</v>
      </c>
      <c r="J73" s="35">
        <v>45581</v>
      </c>
      <c r="K73" s="36" t="s">
        <v>43</v>
      </c>
      <c r="L73" s="39" t="str">
        <f>VLOOKUP(Tabla8[[#This Row],[CODIGO DEL PRODUCTO]],Tabla7[],2,FALSE)</f>
        <v>PIEDRA 6-20</v>
      </c>
      <c r="M73" s="37">
        <v>33080</v>
      </c>
      <c r="O73" s="34">
        <v>94140</v>
      </c>
      <c r="P73" s="34" t="s">
        <v>115</v>
      </c>
      <c r="Q73" s="35">
        <v>45587</v>
      </c>
      <c r="R73" s="36" t="s">
        <v>48</v>
      </c>
      <c r="S73" s="36" t="str">
        <f>VLOOKUP(Tabla9[[#This Row],[CODIGO DEL PRODUCTO]],Tabla7[],2,FALSE)</f>
        <v>PIEDRA 6-12</v>
      </c>
      <c r="T73" s="37">
        <v>35660</v>
      </c>
    </row>
    <row r="74" spans="5:20" x14ac:dyDescent="0.25">
      <c r="H74" s="34">
        <v>19298</v>
      </c>
      <c r="I74" s="34" t="s">
        <v>66</v>
      </c>
      <c r="J74" s="35">
        <v>45581</v>
      </c>
      <c r="K74" s="36" t="s">
        <v>43</v>
      </c>
      <c r="L74" s="39" t="str">
        <f>VLOOKUP(Tabla8[[#This Row],[CODIGO DEL PRODUCTO]],Tabla7[],2,FALSE)</f>
        <v>PIEDRA 6-20</v>
      </c>
      <c r="M74" s="37">
        <v>32140</v>
      </c>
      <c r="O74" s="34">
        <v>94153</v>
      </c>
      <c r="P74" s="34" t="s">
        <v>122</v>
      </c>
      <c r="Q74" s="35">
        <v>45587</v>
      </c>
      <c r="R74" s="36" t="s">
        <v>43</v>
      </c>
      <c r="S74" s="36" t="str">
        <f>VLOOKUP(Tabla9[[#This Row],[CODIGO DEL PRODUCTO]],Tabla7[],2,FALSE)</f>
        <v>PIEDRA 6-20</v>
      </c>
      <c r="T74" s="37">
        <v>35380</v>
      </c>
    </row>
    <row r="75" spans="5:20" x14ac:dyDescent="0.25">
      <c r="H75" s="34">
        <v>19299</v>
      </c>
      <c r="I75" s="34" t="s">
        <v>66</v>
      </c>
      <c r="J75" s="35">
        <v>45581</v>
      </c>
      <c r="K75" s="36" t="s">
        <v>43</v>
      </c>
      <c r="L75" s="39" t="str">
        <f>VLOOKUP(Tabla8[[#This Row],[CODIGO DEL PRODUCTO]],Tabla7[],2,FALSE)</f>
        <v>PIEDRA 6-20</v>
      </c>
      <c r="M75" s="37">
        <v>32360</v>
      </c>
      <c r="O75" s="34">
        <v>126536</v>
      </c>
      <c r="P75" s="34" t="s">
        <v>123</v>
      </c>
      <c r="Q75" s="35">
        <v>45587</v>
      </c>
      <c r="R75" s="36" t="s">
        <v>43</v>
      </c>
      <c r="S75" s="36" t="str">
        <f>VLOOKUP(Tabla9[[#This Row],[CODIGO DEL PRODUCTO]],Tabla7[],2,FALSE)</f>
        <v>PIEDRA 6-20</v>
      </c>
      <c r="T75" s="37">
        <v>35530</v>
      </c>
    </row>
    <row r="76" spans="5:20" x14ac:dyDescent="0.25">
      <c r="H76" s="34">
        <v>6348</v>
      </c>
      <c r="I76" s="34" t="s">
        <v>83</v>
      </c>
      <c r="J76" s="35">
        <v>45582</v>
      </c>
      <c r="K76" s="36" t="s">
        <v>43</v>
      </c>
      <c r="L76" s="39" t="str">
        <f>VLOOKUP(Tabla8[[#This Row],[CODIGO DEL PRODUCTO]],Tabla7[],2,FALSE)</f>
        <v>PIEDRA 6-20</v>
      </c>
      <c r="M76" s="37">
        <v>6000</v>
      </c>
      <c r="O76" s="34">
        <v>126538</v>
      </c>
      <c r="P76" s="34" t="s">
        <v>116</v>
      </c>
      <c r="Q76" s="35">
        <v>45587</v>
      </c>
      <c r="R76" s="36" t="s">
        <v>43</v>
      </c>
      <c r="S76" s="36" t="str">
        <f>VLOOKUP(Tabla9[[#This Row],[CODIGO DEL PRODUCTO]],Tabla7[],2,FALSE)</f>
        <v>PIEDRA 6-20</v>
      </c>
      <c r="T76" s="37">
        <v>35460</v>
      </c>
    </row>
    <row r="77" spans="5:20" x14ac:dyDescent="0.25">
      <c r="H77" s="34">
        <v>6350</v>
      </c>
      <c r="I77" s="34" t="s">
        <v>83</v>
      </c>
      <c r="J77" s="35">
        <v>45582</v>
      </c>
      <c r="K77" s="36" t="s">
        <v>42</v>
      </c>
      <c r="L77" s="39" t="str">
        <f>VLOOKUP(Tabla8[[#This Row],[CODIGO DEL PRODUCTO]],Tabla7[],2,FALSE)</f>
        <v>ARENA FINA</v>
      </c>
      <c r="M77" s="37">
        <v>8000</v>
      </c>
      <c r="O77" s="34">
        <v>2584415</v>
      </c>
      <c r="P77" s="34" t="s">
        <v>65</v>
      </c>
      <c r="Q77" s="35">
        <v>45587</v>
      </c>
      <c r="R77" s="36" t="s">
        <v>45</v>
      </c>
      <c r="S77" s="36" t="str">
        <f>VLOOKUP(Tabla9[[#This Row],[CODIGO DEL PRODUCTO]],Tabla7[],2,FALSE)</f>
        <v>CPF 40 AVELLANEDA</v>
      </c>
      <c r="T77" s="37">
        <v>32180</v>
      </c>
    </row>
    <row r="78" spans="5:20" x14ac:dyDescent="0.25">
      <c r="H78" s="34">
        <v>6336</v>
      </c>
      <c r="I78" s="34" t="s">
        <v>55</v>
      </c>
      <c r="J78" s="35">
        <v>45582</v>
      </c>
      <c r="K78" s="36" t="s">
        <v>42</v>
      </c>
      <c r="L78" s="39" t="str">
        <f>VLOOKUP(Tabla8[[#This Row],[CODIGO DEL PRODUCTO]],Tabla7[],2,FALSE)</f>
        <v>ARENA FINA</v>
      </c>
      <c r="M78" s="37">
        <v>5000</v>
      </c>
      <c r="O78" s="34">
        <v>98561</v>
      </c>
      <c r="P78" s="34" t="s">
        <v>63</v>
      </c>
      <c r="Q78" s="35">
        <v>45588</v>
      </c>
      <c r="R78" s="36" t="s">
        <v>42</v>
      </c>
      <c r="S78" s="36" t="str">
        <f>VLOOKUP(Tabla9[[#This Row],[CODIGO DEL PRODUCTO]],Tabla7[],2,FALSE)</f>
        <v>ARENA FINA</v>
      </c>
      <c r="T78" s="37">
        <v>35340</v>
      </c>
    </row>
    <row r="79" spans="5:20" x14ac:dyDescent="0.25">
      <c r="H79" s="34">
        <v>19300</v>
      </c>
      <c r="I79" s="34" t="s">
        <v>66</v>
      </c>
      <c r="J79" s="35">
        <v>45583</v>
      </c>
      <c r="K79" s="36" t="s">
        <v>43</v>
      </c>
      <c r="L79" s="39" t="str">
        <f>VLOOKUP(Tabla8[[#This Row],[CODIGO DEL PRODUCTO]],Tabla7[],2,FALSE)</f>
        <v>PIEDRA 6-20</v>
      </c>
      <c r="M79" s="37">
        <v>32820</v>
      </c>
      <c r="O79" s="34">
        <v>98567</v>
      </c>
      <c r="P79" s="34" t="s">
        <v>63</v>
      </c>
      <c r="Q79" s="35">
        <v>45588</v>
      </c>
      <c r="R79" s="36" t="s">
        <v>42</v>
      </c>
      <c r="S79" s="36" t="str">
        <f>VLOOKUP(Tabla9[[#This Row],[CODIGO DEL PRODUCTO]],Tabla7[],2,FALSE)</f>
        <v>ARENA FINA</v>
      </c>
      <c r="T79" s="37">
        <v>36520</v>
      </c>
    </row>
    <row r="80" spans="5:20" x14ac:dyDescent="0.25">
      <c r="E80" t="s">
        <v>124</v>
      </c>
      <c r="H80" s="34"/>
      <c r="I80" s="34" t="s">
        <v>53</v>
      </c>
      <c r="J80" s="35">
        <v>45579</v>
      </c>
      <c r="K80" s="36" t="s">
        <v>42</v>
      </c>
      <c r="L80" s="39" t="str">
        <f>VLOOKUP(Tabla8[[#This Row],[CODIGO DEL PRODUCTO]],Tabla7[],2,FALSE)</f>
        <v>ARENA FINA</v>
      </c>
      <c r="M80" s="37">
        <v>334398</v>
      </c>
      <c r="O80" s="34">
        <v>23458</v>
      </c>
      <c r="P80" s="34" t="s">
        <v>87</v>
      </c>
      <c r="Q80" s="35">
        <v>45588</v>
      </c>
      <c r="R80" s="36" t="s">
        <v>42</v>
      </c>
      <c r="S80" s="36" t="str">
        <f>VLOOKUP(Tabla9[[#This Row],[CODIGO DEL PRODUCTO]],Tabla7[],2,FALSE)</f>
        <v>ARENA FINA</v>
      </c>
      <c r="T80" s="37">
        <v>35180</v>
      </c>
    </row>
    <row r="81" spans="8:20" x14ac:dyDescent="0.25">
      <c r="H81" s="34"/>
      <c r="I81" s="34" t="s">
        <v>53</v>
      </c>
      <c r="J81" s="35">
        <v>45580</v>
      </c>
      <c r="K81" s="36" t="s">
        <v>40</v>
      </c>
      <c r="L81" s="39" t="str">
        <f>VLOOKUP(Tabla8[[#This Row],[CODIGO DEL PRODUCTO]],Tabla7[],2,FALSE)</f>
        <v>PIEDRA 0-6</v>
      </c>
      <c r="M81" s="37">
        <v>218654</v>
      </c>
      <c r="O81" s="34">
        <v>23461</v>
      </c>
      <c r="P81" s="34" t="s">
        <v>72</v>
      </c>
      <c r="Q81" s="35">
        <v>45588</v>
      </c>
      <c r="R81" s="36" t="s">
        <v>42</v>
      </c>
      <c r="S81" s="36" t="str">
        <f>VLOOKUP(Tabla9[[#This Row],[CODIGO DEL PRODUCTO]],Tabla7[],2,FALSE)</f>
        <v>ARENA FINA</v>
      </c>
      <c r="T81" s="37">
        <v>32820</v>
      </c>
    </row>
    <row r="82" spans="8:20" x14ac:dyDescent="0.25">
      <c r="H82" s="34"/>
      <c r="I82" s="34" t="s">
        <v>53</v>
      </c>
      <c r="J82" s="35">
        <v>45581</v>
      </c>
      <c r="K82" s="36" t="s">
        <v>45</v>
      </c>
      <c r="L82" s="39" t="str">
        <f>VLOOKUP(Tabla8[[#This Row],[CODIGO DEL PRODUCTO]],Tabla7[],2,FALSE)</f>
        <v>CPF 40 AVELLANEDA</v>
      </c>
      <c r="M82" s="37">
        <v>187956</v>
      </c>
      <c r="O82" s="34">
        <v>23462</v>
      </c>
      <c r="P82" s="34" t="s">
        <v>69</v>
      </c>
      <c r="Q82" s="35">
        <v>45588</v>
      </c>
      <c r="R82" s="36" t="s">
        <v>42</v>
      </c>
      <c r="S82" s="36" t="str">
        <f>VLOOKUP(Tabla9[[#This Row],[CODIGO DEL PRODUCTO]],Tabla7[],2,FALSE)</f>
        <v>ARENA FINA</v>
      </c>
      <c r="T82" s="37">
        <v>33520</v>
      </c>
    </row>
    <row r="83" spans="8:20" x14ac:dyDescent="0.25">
      <c r="H83" s="34"/>
      <c r="I83" s="34" t="s">
        <v>53</v>
      </c>
      <c r="J83" s="35">
        <v>45582</v>
      </c>
      <c r="K83" s="36" t="s">
        <v>50</v>
      </c>
      <c r="L83" s="39" t="str">
        <f>VLOOKUP(Tabla8[[#This Row],[CODIGO DEL PRODUCTO]],Tabla7[],2,FALSE)</f>
        <v>MIRA SET 453 (ADITIVO)</v>
      </c>
      <c r="M83" s="37">
        <v>1120.99</v>
      </c>
      <c r="O83" s="34">
        <v>23463</v>
      </c>
      <c r="P83" s="34" t="s">
        <v>68</v>
      </c>
      <c r="Q83" s="35">
        <v>45588</v>
      </c>
      <c r="R83" s="36" t="s">
        <v>42</v>
      </c>
      <c r="S83" s="36" t="str">
        <f>VLOOKUP(Tabla9[[#This Row],[CODIGO DEL PRODUCTO]],Tabla7[],2,FALSE)</f>
        <v>ARENA FINA</v>
      </c>
      <c r="T83" s="37">
        <v>32740</v>
      </c>
    </row>
    <row r="84" spans="8:20" x14ac:dyDescent="0.25">
      <c r="H84" s="34"/>
      <c r="I84" s="34" t="s">
        <v>53</v>
      </c>
      <c r="J84" s="35">
        <v>45583</v>
      </c>
      <c r="K84" s="36" t="s">
        <v>48</v>
      </c>
      <c r="L84" s="39" t="str">
        <f>VLOOKUP(Tabla8[[#This Row],[CODIGO DEL PRODUCTO]],Tabla7[],2,FALSE)</f>
        <v>PIEDRA 6-12</v>
      </c>
      <c r="M84" s="37">
        <v>127039</v>
      </c>
      <c r="O84" s="34">
        <v>23464</v>
      </c>
      <c r="P84" s="34" t="s">
        <v>70</v>
      </c>
      <c r="Q84" s="35">
        <v>45588</v>
      </c>
      <c r="R84" s="36" t="s">
        <v>42</v>
      </c>
      <c r="S84" s="36" t="str">
        <f>VLOOKUP(Tabla9[[#This Row],[CODIGO DEL PRODUCTO]],Tabla7[],2,FALSE)</f>
        <v>ARENA FINA</v>
      </c>
      <c r="T84" s="37">
        <v>33980</v>
      </c>
    </row>
    <row r="85" spans="8:20" x14ac:dyDescent="0.25">
      <c r="H85" s="34"/>
      <c r="I85" s="34" t="s">
        <v>53</v>
      </c>
      <c r="J85" s="35">
        <v>45584</v>
      </c>
      <c r="K85" s="36" t="s">
        <v>46</v>
      </c>
      <c r="L85" s="39" t="str">
        <f>VLOOKUP(Tabla8[[#This Row],[CODIGO DEL PRODUCTO]],Tabla7[],2,FALSE)</f>
        <v>PIEDRA 10-30</v>
      </c>
      <c r="M85" s="37">
        <v>88591</v>
      </c>
      <c r="O85" s="34">
        <v>23470</v>
      </c>
      <c r="P85" s="34" t="s">
        <v>125</v>
      </c>
      <c r="Q85" s="35">
        <v>45588</v>
      </c>
      <c r="R85" s="36" t="s">
        <v>42</v>
      </c>
      <c r="S85" s="36" t="str">
        <f>VLOOKUP(Tabla9[[#This Row],[CODIGO DEL PRODUCTO]],Tabla7[],2,FALSE)</f>
        <v>ARENA FINA</v>
      </c>
      <c r="T85" s="37">
        <v>32040</v>
      </c>
    </row>
    <row r="86" spans="8:20" x14ac:dyDescent="0.25">
      <c r="H86" s="34"/>
      <c r="I86" s="34" t="s">
        <v>53</v>
      </c>
      <c r="J86" s="35">
        <v>45584</v>
      </c>
      <c r="K86" s="36" t="s">
        <v>43</v>
      </c>
      <c r="L86" s="39" t="str">
        <f>VLOOKUP(Tabla8[[#This Row],[CODIGO DEL PRODUCTO]],Tabla7[],2,FALSE)</f>
        <v>PIEDRA 6-20</v>
      </c>
      <c r="M86" s="37">
        <v>331117</v>
      </c>
      <c r="O86" s="34">
        <v>126583</v>
      </c>
      <c r="P86" s="34" t="s">
        <v>118</v>
      </c>
      <c r="Q86" s="35">
        <v>45588</v>
      </c>
      <c r="R86" s="36" t="s">
        <v>40</v>
      </c>
      <c r="S86" s="36" t="str">
        <f>VLOOKUP(Tabla9[[#This Row],[CODIGO DEL PRODUCTO]],Tabla7[],2,FALSE)</f>
        <v>PIEDRA 0-6</v>
      </c>
      <c r="T86" s="37">
        <v>35600</v>
      </c>
    </row>
    <row r="87" spans="8:20" x14ac:dyDescent="0.25">
      <c r="H87" s="34">
        <v>6402</v>
      </c>
      <c r="I87" s="34" t="s">
        <v>112</v>
      </c>
      <c r="J87" s="35">
        <v>45586</v>
      </c>
      <c r="K87" s="36" t="s">
        <v>42</v>
      </c>
      <c r="L87" s="39" t="str">
        <f>VLOOKUP(Tabla8[[#This Row],[CODIGO DEL PRODUCTO]],Tabla7[],2,FALSE)</f>
        <v>ARENA FINA</v>
      </c>
      <c r="M87" s="37">
        <v>6400</v>
      </c>
      <c r="O87" s="34">
        <v>126587</v>
      </c>
      <c r="P87" s="34" t="s">
        <v>120</v>
      </c>
      <c r="Q87" s="35">
        <v>45588</v>
      </c>
      <c r="R87" s="36" t="s">
        <v>43</v>
      </c>
      <c r="S87" s="36" t="str">
        <f>VLOOKUP(Tabla9[[#This Row],[CODIGO DEL PRODUCTO]],Tabla7[],2,FALSE)</f>
        <v>PIEDRA 6-20</v>
      </c>
      <c r="T87" s="37">
        <v>36500</v>
      </c>
    </row>
    <row r="88" spans="8:20" x14ac:dyDescent="0.25">
      <c r="H88" s="34">
        <v>6403</v>
      </c>
      <c r="I88" s="34" t="s">
        <v>112</v>
      </c>
      <c r="J88" s="35">
        <v>45586</v>
      </c>
      <c r="K88" s="36" t="s">
        <v>42</v>
      </c>
      <c r="L88" s="39" t="str">
        <f>VLOOKUP(Tabla8[[#This Row],[CODIGO DEL PRODUCTO]],Tabla7[],2,FALSE)</f>
        <v>ARENA FINA</v>
      </c>
      <c r="M88" s="37">
        <v>7340</v>
      </c>
      <c r="O88" s="34">
        <v>126591</v>
      </c>
      <c r="P88" s="34" t="s">
        <v>119</v>
      </c>
      <c r="Q88" s="35">
        <v>45588</v>
      </c>
      <c r="R88" s="36" t="s">
        <v>43</v>
      </c>
      <c r="S88" s="36" t="str">
        <f>VLOOKUP(Tabla9[[#This Row],[CODIGO DEL PRODUCTO]],Tabla7[],2,FALSE)</f>
        <v>PIEDRA 6-20</v>
      </c>
      <c r="T88" s="37">
        <v>35820</v>
      </c>
    </row>
    <row r="89" spans="8:20" x14ac:dyDescent="0.25">
      <c r="H89" s="34">
        <v>6404</v>
      </c>
      <c r="I89" s="34" t="s">
        <v>112</v>
      </c>
      <c r="J89" s="35">
        <v>45586</v>
      </c>
      <c r="K89" s="36" t="s">
        <v>42</v>
      </c>
      <c r="L89" s="39" t="str">
        <f>VLOOKUP(Tabla8[[#This Row],[CODIGO DEL PRODUCTO]],Tabla7[],2,FALSE)</f>
        <v>ARENA FINA</v>
      </c>
      <c r="M89" s="37">
        <v>6560</v>
      </c>
      <c r="O89" s="34">
        <v>126596</v>
      </c>
      <c r="P89" s="34" t="s">
        <v>116</v>
      </c>
      <c r="Q89" s="35">
        <v>45588</v>
      </c>
      <c r="R89" s="36" t="s">
        <v>43</v>
      </c>
      <c r="S89" s="36" t="str">
        <f>VLOOKUP(Tabla9[[#This Row],[CODIGO DEL PRODUCTO]],Tabla7[],2,FALSE)</f>
        <v>PIEDRA 6-20</v>
      </c>
      <c r="T89" s="37">
        <v>35180</v>
      </c>
    </row>
    <row r="90" spans="8:20" x14ac:dyDescent="0.25">
      <c r="H90" s="34">
        <v>6419</v>
      </c>
      <c r="I90" s="34" t="s">
        <v>113</v>
      </c>
      <c r="J90" s="35">
        <v>45586</v>
      </c>
      <c r="K90" s="36" t="s">
        <v>43</v>
      </c>
      <c r="L90" s="39" t="str">
        <f>VLOOKUP(Tabla8[[#This Row],[CODIGO DEL PRODUCTO]],Tabla7[],2,FALSE)</f>
        <v>PIEDRA 6-20</v>
      </c>
      <c r="M90" s="37">
        <v>8580</v>
      </c>
      <c r="O90" s="34">
        <v>2584728</v>
      </c>
      <c r="P90" s="34" t="s">
        <v>77</v>
      </c>
      <c r="Q90" s="35">
        <v>45588</v>
      </c>
      <c r="R90" s="36" t="s">
        <v>45</v>
      </c>
      <c r="S90" s="36" t="str">
        <f>VLOOKUP(Tabla9[[#This Row],[CODIGO DEL PRODUCTO]],Tabla7[],2,FALSE)</f>
        <v>CPF 40 AVELLANEDA</v>
      </c>
      <c r="T90" s="37">
        <v>32260</v>
      </c>
    </row>
    <row r="91" spans="8:20" ht="30" x14ac:dyDescent="0.25">
      <c r="H91" s="47">
        <v>6434</v>
      </c>
      <c r="I91" s="48" t="s">
        <v>114</v>
      </c>
      <c r="J91" s="53">
        <v>45586</v>
      </c>
      <c r="K91" s="49" t="s">
        <v>42</v>
      </c>
      <c r="L91" s="50" t="str">
        <f>VLOOKUP(Tabla8[[#This Row],[CODIGO DEL PRODUCTO]],Tabla7[],2,FALSE)</f>
        <v>ARENA FINA</v>
      </c>
      <c r="M91" s="51">
        <v>9440</v>
      </c>
      <c r="O91" s="47">
        <v>94172</v>
      </c>
      <c r="P91" s="47" t="s">
        <v>115</v>
      </c>
      <c r="Q91" s="52">
        <v>45588</v>
      </c>
      <c r="R91" s="49" t="s">
        <v>48</v>
      </c>
      <c r="S91" s="49" t="str">
        <f>VLOOKUP(Tabla9[[#This Row],[CODIGO DEL PRODUCTO]],Tabla7[],2,FALSE)</f>
        <v>PIEDRA 6-12</v>
      </c>
      <c r="T91" s="51">
        <v>35200</v>
      </c>
    </row>
    <row r="92" spans="8:20" x14ac:dyDescent="0.25">
      <c r="H92" s="34">
        <v>6463</v>
      </c>
      <c r="I92" s="34" t="s">
        <v>121</v>
      </c>
      <c r="J92" s="35">
        <v>45587</v>
      </c>
      <c r="K92" s="36" t="s">
        <v>42</v>
      </c>
      <c r="L92" s="39" t="str">
        <f>VLOOKUP(Tabla8[[#This Row],[CODIGO DEL PRODUCTO]],Tabla7[],2,FALSE)</f>
        <v>ARENA FINA</v>
      </c>
      <c r="M92" s="37">
        <v>4000</v>
      </c>
      <c r="O92" s="34">
        <v>94177</v>
      </c>
      <c r="P92" s="34" t="s">
        <v>126</v>
      </c>
      <c r="Q92" s="35">
        <v>45588</v>
      </c>
      <c r="R92" s="36" t="s">
        <v>43</v>
      </c>
      <c r="S92" s="36" t="str">
        <f>VLOOKUP(Tabla9[[#This Row],[CODIGO DEL PRODUCTO]],Tabla7[],2,FALSE)</f>
        <v>PIEDRA 6-20</v>
      </c>
      <c r="T92" s="37">
        <v>34840</v>
      </c>
    </row>
    <row r="93" spans="8:20" x14ac:dyDescent="0.25">
      <c r="H93" s="34">
        <v>6475</v>
      </c>
      <c r="I93" s="34" t="s">
        <v>67</v>
      </c>
      <c r="J93" s="35">
        <v>45588</v>
      </c>
      <c r="K93" s="36" t="s">
        <v>42</v>
      </c>
      <c r="L93" s="39" t="str">
        <f>VLOOKUP(Tabla8[[#This Row],[CODIGO DEL PRODUCTO]],Tabla7[],2,FALSE)</f>
        <v>ARENA FINA</v>
      </c>
      <c r="M93" s="37">
        <v>1000</v>
      </c>
      <c r="O93" s="34">
        <v>98578</v>
      </c>
      <c r="P93" s="34" t="s">
        <v>63</v>
      </c>
      <c r="Q93" s="35">
        <v>45589</v>
      </c>
      <c r="R93" s="36" t="s">
        <v>42</v>
      </c>
      <c r="S93" s="36" t="str">
        <f>VLOOKUP(Tabla9[[#This Row],[CODIGO DEL PRODUCTO]],Tabla7[],2,FALSE)</f>
        <v>ARENA FINA</v>
      </c>
      <c r="T93" s="37">
        <v>34660</v>
      </c>
    </row>
    <row r="94" spans="8:20" x14ac:dyDescent="0.25">
      <c r="H94" s="34">
        <v>19454</v>
      </c>
      <c r="I94" s="34" t="s">
        <v>66</v>
      </c>
      <c r="J94" s="35">
        <v>45588</v>
      </c>
      <c r="K94" s="36" t="s">
        <v>43</v>
      </c>
      <c r="L94" s="39" t="str">
        <f>VLOOKUP(Tabla8[[#This Row],[CODIGO DEL PRODUCTO]],Tabla7[],2,FALSE)</f>
        <v>PIEDRA 6-20</v>
      </c>
      <c r="M94" s="37">
        <v>32560</v>
      </c>
      <c r="O94" s="34">
        <v>23490</v>
      </c>
      <c r="P94" s="34" t="s">
        <v>68</v>
      </c>
      <c r="Q94" s="35">
        <v>45589</v>
      </c>
      <c r="R94" s="36" t="s">
        <v>42</v>
      </c>
      <c r="S94" s="36" t="str">
        <f>VLOOKUP(Tabla9[[#This Row],[CODIGO DEL PRODUCTO]],Tabla7[],2,FALSE)</f>
        <v>ARENA FINA</v>
      </c>
      <c r="T94" s="37">
        <v>32720</v>
      </c>
    </row>
    <row r="95" spans="8:20" x14ac:dyDescent="0.25">
      <c r="H95" s="34">
        <v>19157</v>
      </c>
      <c r="I95" s="34" t="s">
        <v>66</v>
      </c>
      <c r="J95" s="35">
        <v>45588</v>
      </c>
      <c r="K95" s="36" t="s">
        <v>43</v>
      </c>
      <c r="L95" s="39" t="str">
        <f>VLOOKUP(Tabla8[[#This Row],[CODIGO DEL PRODUCTO]],Tabla7[],2,FALSE)</f>
        <v>PIEDRA 6-20</v>
      </c>
      <c r="M95" s="37">
        <v>31580</v>
      </c>
      <c r="O95" s="34">
        <v>23491</v>
      </c>
      <c r="P95" s="34" t="s">
        <v>127</v>
      </c>
      <c r="Q95" s="35">
        <v>45589</v>
      </c>
      <c r="R95" s="36" t="s">
        <v>42</v>
      </c>
      <c r="S95" s="36" t="str">
        <f>VLOOKUP(Tabla9[[#This Row],[CODIGO DEL PRODUCTO]],Tabla7[],2,FALSE)</f>
        <v>ARENA FINA</v>
      </c>
      <c r="T95" s="37">
        <v>36640</v>
      </c>
    </row>
    <row r="96" spans="8:20" x14ac:dyDescent="0.25">
      <c r="H96" s="34">
        <v>19159</v>
      </c>
      <c r="I96" s="34" t="s">
        <v>66</v>
      </c>
      <c r="J96" s="35">
        <v>45588</v>
      </c>
      <c r="K96" s="36" t="s">
        <v>43</v>
      </c>
      <c r="L96" s="39" t="str">
        <f>VLOOKUP(Tabla8[[#This Row],[CODIGO DEL PRODUCTO]],Tabla7[],2,FALSE)</f>
        <v>PIEDRA 6-20</v>
      </c>
      <c r="M96" s="37">
        <v>30980</v>
      </c>
      <c r="O96" s="34">
        <v>23492</v>
      </c>
      <c r="P96" s="34" t="s">
        <v>70</v>
      </c>
      <c r="Q96" s="35">
        <v>45589</v>
      </c>
      <c r="R96" s="36" t="s">
        <v>42</v>
      </c>
      <c r="S96" s="36" t="str">
        <f>VLOOKUP(Tabla9[[#This Row],[CODIGO DEL PRODUCTO]],Tabla7[],2,FALSE)</f>
        <v>ARENA FINA</v>
      </c>
      <c r="T96" s="37">
        <v>36100</v>
      </c>
    </row>
    <row r="97" spans="8:20" x14ac:dyDescent="0.25">
      <c r="H97" s="34">
        <v>19160</v>
      </c>
      <c r="I97" s="34" t="s">
        <v>66</v>
      </c>
      <c r="J97" s="35">
        <v>45589</v>
      </c>
      <c r="K97" s="36" t="s">
        <v>43</v>
      </c>
      <c r="L97" s="39" t="str">
        <f>VLOOKUP(Tabla8[[#This Row],[CODIGO DEL PRODUCTO]],Tabla7[],2,FALSE)</f>
        <v>PIEDRA 6-20</v>
      </c>
      <c r="M97" s="37">
        <v>30580</v>
      </c>
      <c r="O97" s="34">
        <v>23493</v>
      </c>
      <c r="P97" s="34" t="s">
        <v>72</v>
      </c>
      <c r="Q97" s="35">
        <v>45589</v>
      </c>
      <c r="R97" s="36" t="s">
        <v>42</v>
      </c>
      <c r="S97" s="36" t="str">
        <f>VLOOKUP(Tabla9[[#This Row],[CODIGO DEL PRODUCTO]],Tabla7[],2,FALSE)</f>
        <v>ARENA FINA</v>
      </c>
      <c r="T97" s="37">
        <v>34660</v>
      </c>
    </row>
    <row r="98" spans="8:20" x14ac:dyDescent="0.25">
      <c r="H98" s="34">
        <v>19161</v>
      </c>
      <c r="I98" s="34" t="s">
        <v>66</v>
      </c>
      <c r="J98" s="35">
        <v>45589</v>
      </c>
      <c r="K98" s="36" t="s">
        <v>43</v>
      </c>
      <c r="L98" s="39" t="str">
        <f>VLOOKUP(Tabla8[[#This Row],[CODIGO DEL PRODUCTO]],Tabla7[],2,FALSE)</f>
        <v>PIEDRA 6-20</v>
      </c>
      <c r="M98" s="37">
        <v>31180</v>
      </c>
      <c r="O98" s="34">
        <v>23495</v>
      </c>
      <c r="P98" s="34" t="s">
        <v>69</v>
      </c>
      <c r="Q98" s="35">
        <v>45589</v>
      </c>
      <c r="R98" s="36" t="s">
        <v>42</v>
      </c>
      <c r="S98" s="36" t="str">
        <f>VLOOKUP(Tabla9[[#This Row],[CODIGO DEL PRODUCTO]],Tabla7[],2,FALSE)</f>
        <v>ARENA FINA</v>
      </c>
      <c r="T98" s="37">
        <v>32160</v>
      </c>
    </row>
    <row r="99" spans="8:20" x14ac:dyDescent="0.25">
      <c r="H99" s="34"/>
      <c r="I99" s="34" t="s">
        <v>53</v>
      </c>
      <c r="J99" s="35">
        <v>45586</v>
      </c>
      <c r="K99" s="36" t="s">
        <v>42</v>
      </c>
      <c r="L99" s="39" t="str">
        <f>VLOOKUP(Tabla8[[#This Row],[CODIGO DEL PRODUCTO]],Tabla7[],2,FALSE)</f>
        <v>ARENA FINA</v>
      </c>
      <c r="M99" s="37">
        <v>205349</v>
      </c>
      <c r="O99" s="34">
        <v>94194</v>
      </c>
      <c r="P99" s="34" t="s">
        <v>128</v>
      </c>
      <c r="Q99" s="35">
        <v>45589</v>
      </c>
      <c r="R99" s="36" t="s">
        <v>42</v>
      </c>
      <c r="S99" s="36" t="str">
        <f>VLOOKUP(Tabla9[[#This Row],[CODIGO DEL PRODUCTO]],Tabla7[],2,FALSE)</f>
        <v>ARENA FINA</v>
      </c>
      <c r="T99" s="37">
        <v>35040</v>
      </c>
    </row>
    <row r="100" spans="8:20" x14ac:dyDescent="0.25">
      <c r="H100" s="34"/>
      <c r="I100" s="34" t="s">
        <v>53</v>
      </c>
      <c r="J100" s="35">
        <v>45587</v>
      </c>
      <c r="K100" s="36" t="s">
        <v>40</v>
      </c>
      <c r="L100" s="39" t="str">
        <f>VLOOKUP(Tabla8[[#This Row],[CODIGO DEL PRODUCTO]],Tabla7[],2,FALSE)</f>
        <v>PIEDRA 0-6</v>
      </c>
      <c r="M100" s="37">
        <v>122957</v>
      </c>
      <c r="O100" s="34">
        <v>126620</v>
      </c>
      <c r="P100" s="34" t="s">
        <v>129</v>
      </c>
      <c r="Q100" s="35">
        <v>45589</v>
      </c>
      <c r="R100" s="36" t="s">
        <v>43</v>
      </c>
      <c r="S100" s="36" t="str">
        <f>VLOOKUP(Tabla9[[#This Row],[CODIGO DEL PRODUCTO]],Tabla7[],2,FALSE)</f>
        <v>PIEDRA 6-20</v>
      </c>
      <c r="T100" s="37">
        <v>35160</v>
      </c>
    </row>
    <row r="101" spans="8:20" x14ac:dyDescent="0.25">
      <c r="H101" s="34"/>
      <c r="I101" s="34" t="s">
        <v>53</v>
      </c>
      <c r="J101" s="35">
        <v>45588</v>
      </c>
      <c r="K101" s="36" t="s">
        <v>45</v>
      </c>
      <c r="L101" s="39" t="str">
        <f>VLOOKUP(Tabla8[[#This Row],[CODIGO DEL PRODUCTO]],Tabla7[],2,FALSE)</f>
        <v>CPF 40 AVELLANEDA</v>
      </c>
      <c r="M101" s="37">
        <v>104499</v>
      </c>
      <c r="O101" s="34">
        <v>126623</v>
      </c>
      <c r="P101" s="34" t="s">
        <v>120</v>
      </c>
      <c r="Q101" s="35">
        <v>45589</v>
      </c>
      <c r="R101" s="36" t="s">
        <v>43</v>
      </c>
      <c r="S101" s="36" t="str">
        <f>VLOOKUP(Tabla9[[#This Row],[CODIGO DEL PRODUCTO]],Tabla7[],2,FALSE)</f>
        <v>PIEDRA 6-20</v>
      </c>
      <c r="T101" s="37">
        <v>36140</v>
      </c>
    </row>
    <row r="102" spans="8:20" x14ac:dyDescent="0.25">
      <c r="H102" s="34"/>
      <c r="I102" s="34" t="s">
        <v>53</v>
      </c>
      <c r="J102" s="35">
        <v>45589</v>
      </c>
      <c r="K102" s="36" t="s">
        <v>50</v>
      </c>
      <c r="L102" s="39" t="str">
        <f>VLOOKUP(Tabla8[[#This Row],[CODIGO DEL PRODUCTO]],Tabla7[],2,FALSE)</f>
        <v>MIRA SET 453 (ADITIVO)</v>
      </c>
      <c r="M102" s="37">
        <v>609.87</v>
      </c>
      <c r="O102" s="34">
        <v>126627</v>
      </c>
      <c r="P102" s="34" t="s">
        <v>116</v>
      </c>
      <c r="Q102" s="35">
        <v>45589</v>
      </c>
      <c r="R102" s="36" t="s">
        <v>43</v>
      </c>
      <c r="S102" s="36" t="str">
        <f>VLOOKUP(Tabla9[[#This Row],[CODIGO DEL PRODUCTO]],Tabla7[],2,FALSE)</f>
        <v>PIEDRA 6-20</v>
      </c>
      <c r="T102" s="37">
        <v>35440</v>
      </c>
    </row>
    <row r="103" spans="8:20" x14ac:dyDescent="0.25">
      <c r="H103" s="34"/>
      <c r="I103" s="34" t="s">
        <v>53</v>
      </c>
      <c r="J103" s="35">
        <v>45590</v>
      </c>
      <c r="K103" s="36" t="s">
        <v>48</v>
      </c>
      <c r="L103" s="39" t="str">
        <f>VLOOKUP(Tabla8[[#This Row],[CODIGO DEL PRODUCTO]],Tabla7[],2,FALSE)</f>
        <v>PIEDRA 6-12</v>
      </c>
      <c r="M103" s="37">
        <v>12035</v>
      </c>
      <c r="O103" s="34">
        <v>126628</v>
      </c>
      <c r="P103" s="34" t="s">
        <v>123</v>
      </c>
      <c r="Q103" s="35">
        <v>45589</v>
      </c>
      <c r="R103" s="36" t="s">
        <v>43</v>
      </c>
      <c r="S103" s="36" t="str">
        <f>VLOOKUP(Tabla9[[#This Row],[CODIGO DEL PRODUCTO]],Tabla7[],2,FALSE)</f>
        <v>PIEDRA 6-20</v>
      </c>
      <c r="T103" s="37">
        <v>34950</v>
      </c>
    </row>
    <row r="104" spans="8:20" x14ac:dyDescent="0.25">
      <c r="H104" s="34"/>
      <c r="I104" s="34" t="s">
        <v>53</v>
      </c>
      <c r="J104" s="35">
        <v>45591</v>
      </c>
      <c r="K104" s="36" t="s">
        <v>46</v>
      </c>
      <c r="L104" s="39" t="str">
        <f>VLOOKUP(Tabla8[[#This Row],[CODIGO DEL PRODUCTO]],Tabla7[],2,FALSE)</f>
        <v>PIEDRA 10-30</v>
      </c>
      <c r="M104" s="37">
        <v>50795</v>
      </c>
      <c r="O104" s="34">
        <v>126629</v>
      </c>
      <c r="P104" s="34" t="s">
        <v>119</v>
      </c>
      <c r="Q104" s="35">
        <v>45589</v>
      </c>
      <c r="R104" s="36" t="s">
        <v>40</v>
      </c>
      <c r="S104" s="36" t="str">
        <f>VLOOKUP(Tabla9[[#This Row],[CODIGO DEL PRODUCTO]],Tabla7[],2,FALSE)</f>
        <v>PIEDRA 0-6</v>
      </c>
      <c r="T104" s="37">
        <v>34140</v>
      </c>
    </row>
    <row r="105" spans="8:20" x14ac:dyDescent="0.25">
      <c r="H105" s="34"/>
      <c r="I105" s="34" t="s">
        <v>53</v>
      </c>
      <c r="J105" s="35">
        <v>45591</v>
      </c>
      <c r="K105" s="36" t="s">
        <v>43</v>
      </c>
      <c r="L105" s="39" t="str">
        <f>VLOOKUP(Tabla8[[#This Row],[CODIGO DEL PRODUCTO]],Tabla7[],2,FALSE)</f>
        <v>PIEDRA 6-20</v>
      </c>
      <c r="M105" s="37">
        <v>301229</v>
      </c>
      <c r="O105" s="34">
        <v>2585021</v>
      </c>
      <c r="P105" s="34" t="s">
        <v>65</v>
      </c>
      <c r="Q105" s="35">
        <v>45589</v>
      </c>
      <c r="R105" s="36" t="s">
        <v>45</v>
      </c>
      <c r="S105" s="36" t="str">
        <f>VLOOKUP(Tabla9[[#This Row],[CODIGO DEL PRODUCTO]],Tabla7[],2,FALSE)</f>
        <v>CPF 40 AVELLANEDA</v>
      </c>
      <c r="T105" s="37">
        <v>32420</v>
      </c>
    </row>
    <row r="106" spans="8:20" x14ac:dyDescent="0.25">
      <c r="H106" s="34">
        <v>19162</v>
      </c>
      <c r="I106" s="34" t="s">
        <v>66</v>
      </c>
      <c r="J106" s="35">
        <v>45590</v>
      </c>
      <c r="K106" s="36" t="s">
        <v>43</v>
      </c>
      <c r="L106" s="39" t="str">
        <f>VLOOKUP(Tabla8[[#This Row],[CODIGO DEL PRODUCTO]],Tabla7[],2,FALSE)</f>
        <v>PIEDRA 6-20</v>
      </c>
      <c r="M106" s="37">
        <v>35340</v>
      </c>
      <c r="O106" s="34">
        <v>23504</v>
      </c>
      <c r="P106" s="34" t="s">
        <v>68</v>
      </c>
      <c r="Q106" s="35">
        <v>45590</v>
      </c>
      <c r="R106" s="36" t="s">
        <v>42</v>
      </c>
      <c r="S106" s="36" t="str">
        <f>VLOOKUP(Tabla9[[#This Row],[CODIGO DEL PRODUCTO]],Tabla7[],2,FALSE)</f>
        <v>ARENA FINA</v>
      </c>
      <c r="T106" s="37">
        <v>35400</v>
      </c>
    </row>
    <row r="107" spans="8:20" x14ac:dyDescent="0.25">
      <c r="H107" s="34">
        <v>19163</v>
      </c>
      <c r="I107" s="34" t="s">
        <v>66</v>
      </c>
      <c r="J107" s="35">
        <v>45590</v>
      </c>
      <c r="K107" s="36" t="s">
        <v>43</v>
      </c>
      <c r="L107" s="39" t="str">
        <f>VLOOKUP(Tabla8[[#This Row],[CODIGO DEL PRODUCTO]],Tabla7[],2,FALSE)</f>
        <v>PIEDRA 6-20</v>
      </c>
      <c r="M107" s="37">
        <v>33180</v>
      </c>
      <c r="O107" s="34">
        <v>23506</v>
      </c>
      <c r="P107" s="34" t="s">
        <v>127</v>
      </c>
      <c r="Q107" s="35">
        <v>45590</v>
      </c>
      <c r="R107" s="36" t="s">
        <v>42</v>
      </c>
      <c r="S107" s="36" t="str">
        <f>VLOOKUP(Tabla9[[#This Row],[CODIGO DEL PRODUCTO]],Tabla7[],2,FALSE)</f>
        <v>ARENA FINA</v>
      </c>
      <c r="T107" s="37">
        <v>35340</v>
      </c>
    </row>
    <row r="108" spans="8:20" x14ac:dyDescent="0.25">
      <c r="H108" s="34">
        <v>19164</v>
      </c>
      <c r="I108" s="34" t="s">
        <v>66</v>
      </c>
      <c r="J108" s="35">
        <v>45590</v>
      </c>
      <c r="K108" s="36" t="s">
        <v>43</v>
      </c>
      <c r="L108" s="39" t="str">
        <f>VLOOKUP(Tabla8[[#This Row],[CODIGO DEL PRODUCTO]],Tabla7[],2,FALSE)</f>
        <v>PIEDRA 6-20</v>
      </c>
      <c r="M108" s="37">
        <v>33100</v>
      </c>
      <c r="O108" s="34">
        <v>23507</v>
      </c>
      <c r="P108" s="34" t="s">
        <v>70</v>
      </c>
      <c r="Q108" s="35">
        <v>45590</v>
      </c>
      <c r="R108" s="36" t="s">
        <v>42</v>
      </c>
      <c r="S108" s="36" t="str">
        <f>VLOOKUP(Tabla9[[#This Row],[CODIGO DEL PRODUCTO]],Tabla7[],2,FALSE)</f>
        <v>ARENA FINA</v>
      </c>
      <c r="T108" s="37">
        <v>36160</v>
      </c>
    </row>
    <row r="109" spans="8:20" x14ac:dyDescent="0.25">
      <c r="H109" s="34">
        <v>19165</v>
      </c>
      <c r="I109" s="34" t="s">
        <v>66</v>
      </c>
      <c r="J109" s="35">
        <v>45590</v>
      </c>
      <c r="K109" s="36" t="s">
        <v>43</v>
      </c>
      <c r="L109" s="39" t="str">
        <f>VLOOKUP(Tabla8[[#This Row],[CODIGO DEL PRODUCTO]],Tabla7[],2,FALSE)</f>
        <v>PIEDRA 6-20</v>
      </c>
      <c r="M109" s="37">
        <v>34560</v>
      </c>
      <c r="O109" s="34">
        <v>23508</v>
      </c>
      <c r="P109" s="34" t="s">
        <v>69</v>
      </c>
      <c r="Q109" s="35">
        <v>45590</v>
      </c>
      <c r="R109" s="36" t="s">
        <v>42</v>
      </c>
      <c r="S109" s="36" t="str">
        <f>VLOOKUP(Tabla9[[#This Row],[CODIGO DEL PRODUCTO]],Tabla7[],2,FALSE)</f>
        <v>ARENA FINA</v>
      </c>
      <c r="T109" s="37">
        <v>34320</v>
      </c>
    </row>
    <row r="110" spans="8:20" x14ac:dyDescent="0.25">
      <c r="H110" s="34">
        <v>6520</v>
      </c>
      <c r="I110" s="34" t="s">
        <v>67</v>
      </c>
      <c r="J110" s="35">
        <v>45593</v>
      </c>
      <c r="K110" s="36" t="s">
        <v>42</v>
      </c>
      <c r="L110" s="39" t="str">
        <f>VLOOKUP(Tabla8[[#This Row],[CODIGO DEL PRODUCTO]],Tabla7[],2,FALSE)</f>
        <v>ARENA FINA</v>
      </c>
      <c r="M110" s="37">
        <v>2000</v>
      </c>
      <c r="O110" s="34">
        <v>23511</v>
      </c>
      <c r="P110" s="34" t="s">
        <v>71</v>
      </c>
      <c r="Q110" s="35">
        <v>45590</v>
      </c>
      <c r="R110" s="36" t="s">
        <v>42</v>
      </c>
      <c r="S110" s="36" t="str">
        <f>VLOOKUP(Tabla9[[#This Row],[CODIGO DEL PRODUCTO]],Tabla7[],2,FALSE)</f>
        <v>ARENA FINA</v>
      </c>
      <c r="T110" s="37">
        <v>35480</v>
      </c>
    </row>
    <row r="111" spans="8:20" x14ac:dyDescent="0.25">
      <c r="H111" s="34">
        <v>6531</v>
      </c>
      <c r="I111" s="34" t="s">
        <v>136</v>
      </c>
      <c r="J111" s="35">
        <v>45593</v>
      </c>
      <c r="K111" s="36" t="s">
        <v>43</v>
      </c>
      <c r="L111" s="39" t="str">
        <f>VLOOKUP(Tabla8[[#This Row],[CODIGO DEL PRODUCTO]],Tabla7[],2,FALSE)</f>
        <v>PIEDRA 6-20</v>
      </c>
      <c r="M111" s="37">
        <v>4000</v>
      </c>
      <c r="O111" s="34">
        <v>23512</v>
      </c>
      <c r="P111" s="34" t="s">
        <v>64</v>
      </c>
      <c r="Q111" s="35">
        <v>45590</v>
      </c>
      <c r="R111" s="36" t="s">
        <v>42</v>
      </c>
      <c r="S111" s="36" t="str">
        <f>VLOOKUP(Tabla9[[#This Row],[CODIGO DEL PRODUCTO]],Tabla7[],2,FALSE)</f>
        <v>ARENA FINA</v>
      </c>
      <c r="T111" s="37">
        <v>37340</v>
      </c>
    </row>
    <row r="112" spans="8:20" x14ac:dyDescent="0.25">
      <c r="H112" s="34">
        <v>6534</v>
      </c>
      <c r="I112" s="34" t="s">
        <v>137</v>
      </c>
      <c r="J112" s="35">
        <v>45593</v>
      </c>
      <c r="K112" s="36" t="s">
        <v>42</v>
      </c>
      <c r="L112" s="39" t="str">
        <f>VLOOKUP(Tabla8[[#This Row],[CODIGO DEL PRODUCTO]],Tabla7[],2,FALSE)</f>
        <v>ARENA FINA</v>
      </c>
      <c r="M112" s="37">
        <v>4000</v>
      </c>
      <c r="O112" s="34">
        <v>23514</v>
      </c>
      <c r="P112" s="34" t="s">
        <v>72</v>
      </c>
      <c r="Q112" s="35">
        <v>45590</v>
      </c>
      <c r="R112" s="36" t="s">
        <v>42</v>
      </c>
      <c r="S112" s="36" t="str">
        <f>VLOOKUP(Tabla9[[#This Row],[CODIGO DEL PRODUCTO]],Tabla7[],2,FALSE)</f>
        <v>ARENA FINA</v>
      </c>
      <c r="T112" s="37">
        <v>34300</v>
      </c>
    </row>
    <row r="113" spans="8:20" x14ac:dyDescent="0.25">
      <c r="H113" s="34">
        <v>6541</v>
      </c>
      <c r="I113" s="34" t="s">
        <v>67</v>
      </c>
      <c r="J113" s="35">
        <v>45594</v>
      </c>
      <c r="K113" s="36" t="s">
        <v>42</v>
      </c>
      <c r="L113" s="39" t="str">
        <f>VLOOKUP(Tabla8[[#This Row],[CODIGO DEL PRODUCTO]],Tabla7[],2,FALSE)</f>
        <v>ARENA FINA</v>
      </c>
      <c r="M113" s="37">
        <v>2000</v>
      </c>
      <c r="O113" s="34">
        <v>23518</v>
      </c>
      <c r="P113" s="34" t="s">
        <v>68</v>
      </c>
      <c r="Q113" s="35">
        <v>45590</v>
      </c>
      <c r="R113" s="36" t="s">
        <v>42</v>
      </c>
      <c r="S113" s="36" t="str">
        <f>VLOOKUP(Tabla9[[#This Row],[CODIGO DEL PRODUCTO]],Tabla7[],2,FALSE)</f>
        <v>ARENA FINA</v>
      </c>
      <c r="T113" s="37">
        <v>33400</v>
      </c>
    </row>
    <row r="114" spans="8:20" x14ac:dyDescent="0.25">
      <c r="H114" s="34">
        <v>6551</v>
      </c>
      <c r="I114" s="34" t="s">
        <v>67</v>
      </c>
      <c r="J114" s="35">
        <v>45594</v>
      </c>
      <c r="K114" s="36" t="s">
        <v>42</v>
      </c>
      <c r="L114" s="39" t="str">
        <f>VLOOKUP(Tabla8[[#This Row],[CODIGO DEL PRODUCTO]],Tabla7[],2,FALSE)</f>
        <v>ARENA FINA</v>
      </c>
      <c r="M114" s="37">
        <v>2000</v>
      </c>
      <c r="O114" s="34">
        <v>23520</v>
      </c>
      <c r="P114" s="34" t="s">
        <v>69</v>
      </c>
      <c r="Q114" s="35">
        <v>45590</v>
      </c>
      <c r="R114" s="36" t="s">
        <v>42</v>
      </c>
      <c r="S114" s="36" t="str">
        <f>VLOOKUP(Tabla9[[#This Row],[CODIGO DEL PRODUCTO]],Tabla7[],2,FALSE)</f>
        <v>ARENA FINA</v>
      </c>
      <c r="T114" s="37">
        <v>32000</v>
      </c>
    </row>
    <row r="115" spans="8:20" x14ac:dyDescent="0.25">
      <c r="H115" s="34">
        <v>6555</v>
      </c>
      <c r="I115" s="34" t="s">
        <v>143</v>
      </c>
      <c r="J115" s="35">
        <v>45594</v>
      </c>
      <c r="K115" s="36" t="s">
        <v>43</v>
      </c>
      <c r="L115" s="39" t="str">
        <f>VLOOKUP(Tabla8[[#This Row],[CODIGO DEL PRODUCTO]],Tabla7[],2,FALSE)</f>
        <v>PIEDRA 6-20</v>
      </c>
      <c r="M115" s="37">
        <v>4000</v>
      </c>
      <c r="O115" s="34">
        <v>23523</v>
      </c>
      <c r="P115" s="34" t="s">
        <v>64</v>
      </c>
      <c r="Q115" s="35">
        <v>45590</v>
      </c>
      <c r="R115" s="36" t="s">
        <v>42</v>
      </c>
      <c r="S115" s="36" t="str">
        <f>VLOOKUP(Tabla9[[#This Row],[CODIGO DEL PRODUCTO]],Tabla7[],2,FALSE)</f>
        <v>ARENA FINA</v>
      </c>
      <c r="T115" s="37">
        <v>34900</v>
      </c>
    </row>
    <row r="116" spans="8:20" x14ac:dyDescent="0.25">
      <c r="H116" s="34">
        <v>6581</v>
      </c>
      <c r="I116" s="34" t="s">
        <v>136</v>
      </c>
      <c r="J116" s="35">
        <v>45595</v>
      </c>
      <c r="K116" s="36" t="s">
        <v>43</v>
      </c>
      <c r="L116" s="39" t="str">
        <f>VLOOKUP(Tabla8[[#This Row],[CODIGO DEL PRODUCTO]],Tabla7[],2,FALSE)</f>
        <v>PIEDRA 6-20</v>
      </c>
      <c r="M116" s="37">
        <v>3000</v>
      </c>
      <c r="O116" s="34">
        <v>23521</v>
      </c>
      <c r="P116" s="34" t="s">
        <v>127</v>
      </c>
      <c r="Q116" s="35">
        <v>45590</v>
      </c>
      <c r="R116" s="36" t="s">
        <v>42</v>
      </c>
      <c r="S116" s="36" t="str">
        <f>VLOOKUP(Tabla9[[#This Row],[CODIGO DEL PRODUCTO]],Tabla7[],2,FALSE)</f>
        <v>ARENA FINA</v>
      </c>
      <c r="T116" s="37">
        <v>32360</v>
      </c>
    </row>
    <row r="117" spans="8:20" x14ac:dyDescent="0.25">
      <c r="H117" s="34">
        <v>6586</v>
      </c>
      <c r="I117" s="34" t="s">
        <v>67</v>
      </c>
      <c r="J117" s="35">
        <v>45595</v>
      </c>
      <c r="K117" s="36" t="s">
        <v>42</v>
      </c>
      <c r="L117" s="39" t="str">
        <f>VLOOKUP(Tabla8[[#This Row],[CODIGO DEL PRODUCTO]],Tabla7[],2,FALSE)</f>
        <v>ARENA FINA</v>
      </c>
      <c r="M117" s="37">
        <v>4000</v>
      </c>
      <c r="O117" s="34">
        <v>23522</v>
      </c>
      <c r="P117" s="34" t="s">
        <v>70</v>
      </c>
      <c r="Q117" s="35">
        <v>45590</v>
      </c>
      <c r="R117" s="36" t="s">
        <v>42</v>
      </c>
      <c r="S117" s="36" t="str">
        <f>VLOOKUP(Tabla9[[#This Row],[CODIGO DEL PRODUCTO]],Tabla7[],2,FALSE)</f>
        <v>ARENA FINA</v>
      </c>
      <c r="T117" s="37">
        <v>31840</v>
      </c>
    </row>
    <row r="118" spans="8:20" x14ac:dyDescent="0.25">
      <c r="H118" s="34"/>
      <c r="I118" s="34"/>
      <c r="J118" s="35">
        <v>45595</v>
      </c>
      <c r="K118" s="36" t="s">
        <v>43</v>
      </c>
      <c r="L118" s="39" t="str">
        <f>VLOOKUP(Tabla8[[#This Row],[CODIGO DEL PRODUCTO]],Tabla7[],2,FALSE)</f>
        <v>PIEDRA 6-20</v>
      </c>
      <c r="M118" s="37">
        <v>1000</v>
      </c>
      <c r="O118" s="34">
        <v>23525</v>
      </c>
      <c r="P118" s="34" t="s">
        <v>71</v>
      </c>
      <c r="Q118" s="35">
        <v>45590</v>
      </c>
      <c r="R118" s="36" t="s">
        <v>42</v>
      </c>
      <c r="S118" s="36" t="str">
        <f>VLOOKUP(Tabla9[[#This Row],[CODIGO DEL PRODUCTO]],Tabla7[],2,FALSE)</f>
        <v>ARENA FINA</v>
      </c>
      <c r="T118" s="37">
        <v>33060</v>
      </c>
    </row>
    <row r="119" spans="8:20" x14ac:dyDescent="0.25">
      <c r="H119" s="34">
        <v>6628</v>
      </c>
      <c r="I119" s="34" t="s">
        <v>147</v>
      </c>
      <c r="J119" s="35">
        <v>45596</v>
      </c>
      <c r="K119" s="36" t="s">
        <v>42</v>
      </c>
      <c r="L119" s="39" t="str">
        <f>VLOOKUP(Tabla8[[#This Row],[CODIGO DEL PRODUCTO]],Tabla7[],2,FALSE)</f>
        <v>ARENA FINA</v>
      </c>
      <c r="M119" s="37">
        <v>10240</v>
      </c>
      <c r="O119" s="34">
        <v>94226</v>
      </c>
      <c r="P119" s="34" t="s">
        <v>115</v>
      </c>
      <c r="Q119" s="35">
        <v>45590</v>
      </c>
      <c r="R119" s="36" t="s">
        <v>48</v>
      </c>
      <c r="S119" s="36" t="str">
        <f>VLOOKUP(Tabla9[[#This Row],[CODIGO DEL PRODUCTO]],Tabla7[],2,FALSE)</f>
        <v>PIEDRA 6-12</v>
      </c>
      <c r="T119" s="37">
        <v>35080</v>
      </c>
    </row>
    <row r="120" spans="8:20" x14ac:dyDescent="0.25">
      <c r="H120" s="34">
        <v>19168</v>
      </c>
      <c r="I120" s="34" t="s">
        <v>66</v>
      </c>
      <c r="J120" s="35">
        <v>45596</v>
      </c>
      <c r="K120" s="36" t="s">
        <v>43</v>
      </c>
      <c r="L120" s="39" t="str">
        <f>VLOOKUP(Tabla8[[#This Row],[CODIGO DEL PRODUCTO]],Tabla7[],2,FALSE)</f>
        <v>PIEDRA 6-20</v>
      </c>
      <c r="M120" s="37">
        <v>37080</v>
      </c>
      <c r="O120" s="34">
        <v>126642</v>
      </c>
      <c r="P120" s="34" t="s">
        <v>118</v>
      </c>
      <c r="Q120" s="35">
        <v>45590</v>
      </c>
      <c r="R120" s="36" t="s">
        <v>43</v>
      </c>
      <c r="S120" s="36" t="str">
        <f>VLOOKUP(Tabla9[[#This Row],[CODIGO DEL PRODUCTO]],Tabla7[],2,FALSE)</f>
        <v>PIEDRA 6-20</v>
      </c>
      <c r="T120" s="37">
        <v>34900</v>
      </c>
    </row>
    <row r="121" spans="8:20" x14ac:dyDescent="0.25">
      <c r="H121" s="34">
        <v>19170</v>
      </c>
      <c r="I121" s="34" t="s">
        <v>148</v>
      </c>
      <c r="J121" s="35">
        <v>45596</v>
      </c>
      <c r="K121" s="36" t="s">
        <v>43</v>
      </c>
      <c r="L121" s="39" t="str">
        <f>VLOOKUP(Tabla8[[#This Row],[CODIGO DEL PRODUCTO]],Tabla7[],2,FALSE)</f>
        <v>PIEDRA 6-20</v>
      </c>
      <c r="M121" s="37">
        <v>37400</v>
      </c>
      <c r="O121" s="34">
        <v>126650</v>
      </c>
      <c r="P121" s="34" t="s">
        <v>120</v>
      </c>
      <c r="Q121" s="35">
        <v>45590</v>
      </c>
      <c r="R121" s="36" t="s">
        <v>43</v>
      </c>
      <c r="S121" s="36" t="str">
        <f>VLOOKUP(Tabla9[[#This Row],[CODIGO DEL PRODUCTO]],Tabla7[],2,FALSE)</f>
        <v>PIEDRA 6-20</v>
      </c>
      <c r="T121" s="37">
        <v>35960</v>
      </c>
    </row>
    <row r="122" spans="8:20" x14ac:dyDescent="0.25">
      <c r="H122" s="34">
        <v>19172</v>
      </c>
      <c r="I122" s="34" t="s">
        <v>66</v>
      </c>
      <c r="J122" s="35">
        <v>45596</v>
      </c>
      <c r="K122" s="36" t="s">
        <v>43</v>
      </c>
      <c r="L122" s="39" t="str">
        <f>VLOOKUP(Tabla8[[#This Row],[CODIGO DEL PRODUCTO]],Tabla7[],2,FALSE)</f>
        <v>PIEDRA 6-20</v>
      </c>
      <c r="M122" s="37">
        <v>33360</v>
      </c>
      <c r="O122" s="34">
        <v>126657</v>
      </c>
      <c r="P122" s="34" t="s">
        <v>119</v>
      </c>
      <c r="Q122" s="35">
        <v>45590</v>
      </c>
      <c r="R122" s="36" t="s">
        <v>40</v>
      </c>
      <c r="S122" s="36" t="str">
        <f>VLOOKUP(Tabla9[[#This Row],[CODIGO DEL PRODUCTO]],Tabla7[],2,FALSE)</f>
        <v>PIEDRA 0-6</v>
      </c>
      <c r="T122" s="37">
        <v>35060</v>
      </c>
    </row>
    <row r="123" spans="8:20" x14ac:dyDescent="0.25">
      <c r="H123" s="34">
        <v>19173</v>
      </c>
      <c r="I123" s="34" t="s">
        <v>66</v>
      </c>
      <c r="J123" s="35">
        <v>45596</v>
      </c>
      <c r="K123" s="36" t="s">
        <v>43</v>
      </c>
      <c r="L123" s="39" t="str">
        <f>VLOOKUP(Tabla8[[#This Row],[CODIGO DEL PRODUCTO]],Tabla7[],2,FALSE)</f>
        <v>PIEDRA 6-20</v>
      </c>
      <c r="M123" s="37">
        <v>33680</v>
      </c>
      <c r="O123" s="34">
        <v>126667</v>
      </c>
      <c r="P123" s="34" t="s">
        <v>116</v>
      </c>
      <c r="Q123" s="35">
        <v>45590</v>
      </c>
      <c r="R123" s="36" t="s">
        <v>43</v>
      </c>
      <c r="S123" s="36" t="str">
        <f>VLOOKUP(Tabla9[[#This Row],[CODIGO DEL PRODUCTO]],Tabla7[],2,FALSE)</f>
        <v>PIEDRA 6-20</v>
      </c>
      <c r="T123" s="37">
        <v>36060</v>
      </c>
    </row>
    <row r="124" spans="8:20" x14ac:dyDescent="0.25">
      <c r="H124" s="34"/>
      <c r="I124" s="34" t="s">
        <v>53</v>
      </c>
      <c r="J124" s="35">
        <v>45593</v>
      </c>
      <c r="K124" s="36" t="s">
        <v>42</v>
      </c>
      <c r="L124" s="39" t="str">
        <f>VLOOKUP(Tabla8[[#This Row],[CODIGO DEL PRODUCTO]],Tabla7[],2,FALSE)</f>
        <v>ARENA FINA</v>
      </c>
      <c r="M124" s="37">
        <v>283907</v>
      </c>
      <c r="O124" s="34">
        <v>126668</v>
      </c>
      <c r="P124" s="34" t="s">
        <v>123</v>
      </c>
      <c r="Q124" s="35">
        <v>45590</v>
      </c>
      <c r="R124" s="36" t="s">
        <v>43</v>
      </c>
      <c r="S124" s="36" t="str">
        <f>VLOOKUP(Tabla9[[#This Row],[CODIGO DEL PRODUCTO]],Tabla7[],2,FALSE)</f>
        <v>PIEDRA 6-20</v>
      </c>
      <c r="T124" s="37">
        <v>34760</v>
      </c>
    </row>
    <row r="125" spans="8:20" x14ac:dyDescent="0.25">
      <c r="H125" s="34"/>
      <c r="I125" s="34" t="s">
        <v>53</v>
      </c>
      <c r="J125" s="35">
        <v>45593</v>
      </c>
      <c r="K125" s="36" t="s">
        <v>40</v>
      </c>
      <c r="L125" s="39" t="str">
        <f>VLOOKUP(Tabla8[[#This Row],[CODIGO DEL PRODUCTO]],Tabla7[],2,FALSE)</f>
        <v>PIEDRA 0-6</v>
      </c>
      <c r="M125" s="37">
        <v>183071</v>
      </c>
      <c r="O125" s="34">
        <v>126676</v>
      </c>
      <c r="P125" s="34" t="s">
        <v>132</v>
      </c>
      <c r="Q125" s="35">
        <v>45590</v>
      </c>
      <c r="R125" s="36" t="s">
        <v>43</v>
      </c>
      <c r="S125" s="36" t="str">
        <f>VLOOKUP(Tabla9[[#This Row],[CODIGO DEL PRODUCTO]],Tabla7[],2,FALSE)</f>
        <v>PIEDRA 6-20</v>
      </c>
      <c r="T125" s="37">
        <v>36220</v>
      </c>
    </row>
    <row r="126" spans="8:20" x14ac:dyDescent="0.25">
      <c r="H126" s="34"/>
      <c r="I126" s="34" t="s">
        <v>53</v>
      </c>
      <c r="J126" s="35">
        <v>45594</v>
      </c>
      <c r="K126" s="36" t="s">
        <v>24</v>
      </c>
      <c r="L126" s="39" t="str">
        <f>VLOOKUP(Tabla8[[#This Row],[CODIGO DEL PRODUCTO]],Tabla7[],2,FALSE)</f>
        <v>ARS</v>
      </c>
      <c r="M126" s="37">
        <v>15171</v>
      </c>
      <c r="O126" s="34">
        <v>126694</v>
      </c>
      <c r="P126" s="34" t="s">
        <v>118</v>
      </c>
      <c r="Q126" s="35">
        <v>45590</v>
      </c>
      <c r="R126" s="36" t="s">
        <v>43</v>
      </c>
      <c r="S126" s="36" t="str">
        <f>VLOOKUP(Tabla9[[#This Row],[CODIGO DEL PRODUCTO]],Tabla7[],2,FALSE)</f>
        <v>PIEDRA 6-20</v>
      </c>
      <c r="T126" s="37">
        <v>35080</v>
      </c>
    </row>
    <row r="127" spans="8:20" x14ac:dyDescent="0.25">
      <c r="H127" s="34"/>
      <c r="I127" s="34" t="s">
        <v>53</v>
      </c>
      <c r="J127" s="35">
        <v>45594</v>
      </c>
      <c r="K127" s="36" t="s">
        <v>45</v>
      </c>
      <c r="L127" s="39" t="str">
        <f>VLOOKUP(Tabla8[[#This Row],[CODIGO DEL PRODUCTO]],Tabla7[],2,FALSE)</f>
        <v>CPF 40 AVELLANEDA</v>
      </c>
      <c r="M127" s="37">
        <v>137094</v>
      </c>
      <c r="O127" s="34">
        <v>126697</v>
      </c>
      <c r="P127" s="34" t="s">
        <v>123</v>
      </c>
      <c r="Q127" s="35">
        <v>45590</v>
      </c>
      <c r="R127" s="36" t="s">
        <v>43</v>
      </c>
      <c r="S127" s="36" t="str">
        <f>VLOOKUP(Tabla9[[#This Row],[CODIGO DEL PRODUCTO]],Tabla7[],2,FALSE)</f>
        <v>PIEDRA 6-20</v>
      </c>
      <c r="T127" s="37">
        <v>34900</v>
      </c>
    </row>
    <row r="128" spans="8:20" x14ac:dyDescent="0.25">
      <c r="H128" s="34"/>
      <c r="I128" s="34" t="s">
        <v>53</v>
      </c>
      <c r="J128" s="35">
        <v>45595</v>
      </c>
      <c r="K128" s="36" t="s">
        <v>50</v>
      </c>
      <c r="L128" s="39" t="str">
        <f>VLOOKUP(Tabla8[[#This Row],[CODIGO DEL PRODUCTO]],Tabla7[],2,FALSE)</f>
        <v>MIRA SET 453 (ADITIVO)</v>
      </c>
      <c r="M128" s="37">
        <v>823.45</v>
      </c>
      <c r="O128" s="34">
        <v>126703</v>
      </c>
      <c r="P128" s="34" t="s">
        <v>133</v>
      </c>
      <c r="Q128" s="35">
        <v>45590</v>
      </c>
      <c r="R128" s="36" t="s">
        <v>43</v>
      </c>
      <c r="S128" s="36" t="str">
        <f>VLOOKUP(Tabla9[[#This Row],[CODIGO DEL PRODUCTO]],Tabla7[],2,FALSE)</f>
        <v>PIEDRA 6-20</v>
      </c>
      <c r="T128" s="37">
        <v>34840</v>
      </c>
    </row>
    <row r="129" spans="8:20" x14ac:dyDescent="0.25">
      <c r="H129" s="34"/>
      <c r="I129" s="34" t="s">
        <v>53</v>
      </c>
      <c r="J129" s="35">
        <v>45595</v>
      </c>
      <c r="K129" s="36" t="s">
        <v>48</v>
      </c>
      <c r="L129" s="39" t="str">
        <f>VLOOKUP(Tabla8[[#This Row],[CODIGO DEL PRODUCTO]],Tabla7[],2,FALSE)</f>
        <v>PIEDRA 6-12</v>
      </c>
      <c r="M129" s="37">
        <v>128956</v>
      </c>
      <c r="O129" s="34">
        <v>2585298</v>
      </c>
      <c r="P129" s="34" t="s">
        <v>65</v>
      </c>
      <c r="Q129" s="35">
        <v>45590</v>
      </c>
      <c r="R129" s="36" t="s">
        <v>45</v>
      </c>
      <c r="S129" s="36" t="str">
        <f>VLOOKUP(Tabla9[[#This Row],[CODIGO DEL PRODUCTO]],Tabla7[],2,FALSE)</f>
        <v>CPF 40 AVELLANEDA</v>
      </c>
      <c r="T129" s="37">
        <v>32300</v>
      </c>
    </row>
    <row r="130" spans="8:20" x14ac:dyDescent="0.25">
      <c r="H130" s="34"/>
      <c r="I130" s="34" t="s">
        <v>53</v>
      </c>
      <c r="J130" s="35">
        <v>45596</v>
      </c>
      <c r="K130" s="36" t="s">
        <v>46</v>
      </c>
      <c r="L130" s="39" t="str">
        <f>VLOOKUP(Tabla8[[#This Row],[CODIGO DEL PRODUCTO]],Tabla7[],2,FALSE)</f>
        <v>PIEDRA 10-30</v>
      </c>
      <c r="M130" s="37">
        <v>63603</v>
      </c>
      <c r="O130" s="34">
        <v>23547</v>
      </c>
      <c r="P130" s="34" t="s">
        <v>69</v>
      </c>
      <c r="Q130" s="35">
        <v>45591</v>
      </c>
      <c r="R130" s="36" t="s">
        <v>42</v>
      </c>
      <c r="S130" s="36" t="str">
        <f>VLOOKUP(Tabla9[[#This Row],[CODIGO DEL PRODUCTO]],Tabla7[],2,FALSE)</f>
        <v>ARENA FINA</v>
      </c>
      <c r="T130" s="37">
        <v>33700</v>
      </c>
    </row>
    <row r="131" spans="8:20" x14ac:dyDescent="0.25">
      <c r="H131" s="34"/>
      <c r="I131" s="34" t="s">
        <v>53</v>
      </c>
      <c r="J131" s="35">
        <v>45596</v>
      </c>
      <c r="K131" s="36" t="s">
        <v>43</v>
      </c>
      <c r="L131" s="39" t="str">
        <f>VLOOKUP(Tabla8[[#This Row],[CODIGO DEL PRODUCTO]],Tabla7[],2,FALSE)</f>
        <v>PIEDRA 6-20</v>
      </c>
      <c r="M131" s="37">
        <v>228207</v>
      </c>
      <c r="O131" s="34">
        <v>23548</v>
      </c>
      <c r="P131" s="34" t="s">
        <v>70</v>
      </c>
      <c r="Q131" s="35">
        <v>45591</v>
      </c>
      <c r="R131" s="36" t="s">
        <v>42</v>
      </c>
      <c r="S131" s="36" t="str">
        <f>VLOOKUP(Tabla9[[#This Row],[CODIGO DEL PRODUCTO]],Tabla7[],2,FALSE)</f>
        <v>ARENA FINA</v>
      </c>
      <c r="T131" s="37">
        <v>35540</v>
      </c>
    </row>
    <row r="132" spans="8:20" x14ac:dyDescent="0.25">
      <c r="H132" s="34">
        <v>19174</v>
      </c>
      <c r="I132" s="34" t="s">
        <v>66</v>
      </c>
      <c r="J132" s="35">
        <v>45597</v>
      </c>
      <c r="K132" s="36" t="s">
        <v>43</v>
      </c>
      <c r="L132" s="39" t="str">
        <f>VLOOKUP(Tabla8[[#This Row],[CODIGO DEL PRODUCTO]],Tabla7[],2,FALSE)</f>
        <v>PIEDRA 6-20</v>
      </c>
      <c r="M132" s="37">
        <v>33360</v>
      </c>
      <c r="O132" s="34">
        <v>23549</v>
      </c>
      <c r="P132" s="34" t="s">
        <v>72</v>
      </c>
      <c r="Q132" s="35">
        <v>45591</v>
      </c>
      <c r="R132" s="36" t="s">
        <v>42</v>
      </c>
      <c r="S132" s="36" t="str">
        <f>VLOOKUP(Tabla9[[#This Row],[CODIGO DEL PRODUCTO]],Tabla7[],2,FALSE)</f>
        <v>ARENA FINA</v>
      </c>
      <c r="T132" s="37">
        <v>32780</v>
      </c>
    </row>
    <row r="133" spans="8:20" x14ac:dyDescent="0.25">
      <c r="H133" s="34">
        <v>19176</v>
      </c>
      <c r="I133" s="34" t="s">
        <v>66</v>
      </c>
      <c r="J133" s="35">
        <v>45597</v>
      </c>
      <c r="K133" s="36" t="s">
        <v>43</v>
      </c>
      <c r="L133" s="39" t="str">
        <f>VLOOKUP(Tabla8[[#This Row],[CODIGO DEL PRODUCTO]],Tabla7[],2,FALSE)</f>
        <v>PIEDRA 6-20</v>
      </c>
      <c r="M133" s="37">
        <v>34060</v>
      </c>
      <c r="O133" s="34">
        <v>126684</v>
      </c>
      <c r="P133" s="34" t="s">
        <v>119</v>
      </c>
      <c r="Q133" s="35">
        <v>45591</v>
      </c>
      <c r="R133" s="36" t="s">
        <v>43</v>
      </c>
      <c r="S133" s="36" t="str">
        <f>VLOOKUP(Tabla9[[#This Row],[CODIGO DEL PRODUCTO]],Tabla7[],2,FALSE)</f>
        <v>PIEDRA 6-20</v>
      </c>
      <c r="T133" s="37">
        <v>35580</v>
      </c>
    </row>
    <row r="134" spans="8:20" x14ac:dyDescent="0.25">
      <c r="H134" s="34">
        <v>19177</v>
      </c>
      <c r="I134" s="34" t="s">
        <v>66</v>
      </c>
      <c r="J134" s="35">
        <v>45597</v>
      </c>
      <c r="K134" s="36" t="s">
        <v>43</v>
      </c>
      <c r="L134" s="39" t="str">
        <f>VLOOKUP(Tabla8[[#This Row],[CODIGO DEL PRODUCTO]],Tabla7[],2,FALSE)</f>
        <v>PIEDRA 6-20</v>
      </c>
      <c r="M134" s="37">
        <v>33940</v>
      </c>
      <c r="O134" s="34">
        <v>126708</v>
      </c>
      <c r="P134" s="34" t="s">
        <v>134</v>
      </c>
      <c r="Q134" s="35">
        <v>45591</v>
      </c>
      <c r="R134" s="36" t="s">
        <v>43</v>
      </c>
      <c r="S134" s="36" t="str">
        <f>VLOOKUP(Tabla9[[#This Row],[CODIGO DEL PRODUCTO]],Tabla7[],2,FALSE)</f>
        <v>PIEDRA 6-20</v>
      </c>
      <c r="T134" s="37">
        <v>35100</v>
      </c>
    </row>
    <row r="135" spans="8:20" x14ac:dyDescent="0.25">
      <c r="H135" s="34">
        <v>19178</v>
      </c>
      <c r="I135" s="34" t="s">
        <v>66</v>
      </c>
      <c r="J135" s="35">
        <v>45597</v>
      </c>
      <c r="K135" s="36" t="s">
        <v>43</v>
      </c>
      <c r="L135" s="39" t="str">
        <f>VLOOKUP(Tabla8[[#This Row],[CODIGO DEL PRODUCTO]],Tabla7[],2,FALSE)</f>
        <v>PIEDRA 6-20</v>
      </c>
      <c r="M135" s="37">
        <v>33720</v>
      </c>
      <c r="O135" s="34">
        <v>126711</v>
      </c>
      <c r="P135" s="34" t="s">
        <v>116</v>
      </c>
      <c r="Q135" s="35">
        <v>45591</v>
      </c>
      <c r="R135" s="36" t="s">
        <v>43</v>
      </c>
      <c r="S135" s="36" t="str">
        <f>VLOOKUP(Tabla9[[#This Row],[CODIGO DEL PRODUCTO]],Tabla7[],2,FALSE)</f>
        <v>PIEDRA 6-20</v>
      </c>
      <c r="T135" s="37">
        <v>35080</v>
      </c>
    </row>
    <row r="136" spans="8:20" x14ac:dyDescent="0.25">
      <c r="H136" s="34">
        <v>19179</v>
      </c>
      <c r="I136" s="34" t="s">
        <v>66</v>
      </c>
      <c r="J136" s="35">
        <v>45597</v>
      </c>
      <c r="K136" s="36" t="s">
        <v>43</v>
      </c>
      <c r="L136" s="39" t="str">
        <f>VLOOKUP(Tabla8[[#This Row],[CODIGO DEL PRODUCTO]],Tabla7[],2,FALSE)</f>
        <v>PIEDRA 6-20</v>
      </c>
      <c r="M136" s="37">
        <v>33480</v>
      </c>
      <c r="O136" s="34">
        <v>126716</v>
      </c>
      <c r="P136" s="34" t="s">
        <v>135</v>
      </c>
      <c r="Q136" s="35">
        <v>45591</v>
      </c>
      <c r="R136" s="36" t="s">
        <v>43</v>
      </c>
      <c r="S136" s="36" t="str">
        <f>VLOOKUP(Tabla9[[#This Row],[CODIGO DEL PRODUCTO]],Tabla7[],2,FALSE)</f>
        <v>PIEDRA 6-20</v>
      </c>
      <c r="T136" s="37">
        <v>34980</v>
      </c>
    </row>
    <row r="137" spans="8:20" x14ac:dyDescent="0.25">
      <c r="H137" s="34">
        <v>19180</v>
      </c>
      <c r="I137" s="34" t="s">
        <v>66</v>
      </c>
      <c r="J137" s="35">
        <v>45597</v>
      </c>
      <c r="K137" s="36" t="s">
        <v>43</v>
      </c>
      <c r="L137" s="39" t="str">
        <f>VLOOKUP(Tabla8[[#This Row],[CODIGO DEL PRODUCTO]],Tabla7[],2,FALSE)</f>
        <v>PIEDRA 6-20</v>
      </c>
      <c r="M137" s="37">
        <v>33300</v>
      </c>
      <c r="O137" s="34">
        <v>2585415</v>
      </c>
      <c r="P137" s="34" t="s">
        <v>65</v>
      </c>
      <c r="Q137" s="35">
        <v>45591</v>
      </c>
      <c r="R137" s="36" t="s">
        <v>45</v>
      </c>
      <c r="S137" s="36" t="str">
        <f>VLOOKUP(Tabla9[[#This Row],[CODIGO DEL PRODUCTO]],Tabla7[],2,FALSE)</f>
        <v>CPF 40 AVELLANEDA</v>
      </c>
      <c r="T137" s="37">
        <v>32300</v>
      </c>
    </row>
    <row r="138" spans="8:20" x14ac:dyDescent="0.25">
      <c r="H138" s="34">
        <v>19181</v>
      </c>
      <c r="I138" s="34" t="s">
        <v>66</v>
      </c>
      <c r="J138" s="35">
        <v>45597</v>
      </c>
      <c r="K138" s="36" t="s">
        <v>43</v>
      </c>
      <c r="L138" s="39" t="str">
        <f>VLOOKUP(Tabla8[[#This Row],[CODIGO DEL PRODUCTO]],Tabla7[],2,FALSE)</f>
        <v>PIEDRA 6-20</v>
      </c>
      <c r="M138" s="37">
        <v>33680</v>
      </c>
      <c r="O138" s="34">
        <v>23565</v>
      </c>
      <c r="P138" s="34" t="s">
        <v>64</v>
      </c>
      <c r="Q138" s="35">
        <v>45593</v>
      </c>
      <c r="R138" s="36" t="s">
        <v>42</v>
      </c>
      <c r="S138" s="36" t="str">
        <f>VLOOKUP(Tabla9[[#This Row],[CODIGO DEL PRODUCTO]],Tabla7[],2,FALSE)</f>
        <v>ARENA FINA</v>
      </c>
      <c r="T138" s="37">
        <v>35760</v>
      </c>
    </row>
    <row r="139" spans="8:20" x14ac:dyDescent="0.25">
      <c r="H139" s="34">
        <v>6648</v>
      </c>
      <c r="I139" s="34" t="s">
        <v>152</v>
      </c>
      <c r="J139" s="35">
        <v>45597</v>
      </c>
      <c r="K139" s="36" t="s">
        <v>42</v>
      </c>
      <c r="L139" s="39" t="str">
        <f>VLOOKUP(Tabla8[[#This Row],[CODIGO DEL PRODUCTO]],Tabla7[],2,FALSE)</f>
        <v>ARENA FINA</v>
      </c>
      <c r="M139" s="37">
        <v>6200</v>
      </c>
      <c r="O139" s="34">
        <v>23587</v>
      </c>
      <c r="P139" s="34" t="s">
        <v>64</v>
      </c>
      <c r="Q139" s="35">
        <v>45593</v>
      </c>
      <c r="R139" s="36" t="s">
        <v>42</v>
      </c>
      <c r="S139" s="36" t="str">
        <f>VLOOKUP(Tabla9[[#This Row],[CODIGO DEL PRODUCTO]],Tabla7[],2,FALSE)</f>
        <v>ARENA FINA</v>
      </c>
      <c r="T139" s="37">
        <v>35860</v>
      </c>
    </row>
    <row r="140" spans="8:20" x14ac:dyDescent="0.25">
      <c r="H140" s="34">
        <v>6653</v>
      </c>
      <c r="I140" s="34" t="s">
        <v>153</v>
      </c>
      <c r="J140" s="35">
        <v>45597</v>
      </c>
      <c r="K140" s="36" t="s">
        <v>43</v>
      </c>
      <c r="L140" s="39" t="str">
        <f>VLOOKUP(Tabla8[[#This Row],[CODIGO DEL PRODUCTO]],Tabla7[],2,FALSE)</f>
        <v>PIEDRA 6-20</v>
      </c>
      <c r="M140" s="37">
        <v>9300</v>
      </c>
      <c r="O140" s="34">
        <v>94267</v>
      </c>
      <c r="P140" s="34" t="s">
        <v>138</v>
      </c>
      <c r="Q140" s="35">
        <v>45593</v>
      </c>
      <c r="R140" s="36" t="s">
        <v>43</v>
      </c>
      <c r="S140" s="36" t="str">
        <f>VLOOKUP(Tabla9[[#This Row],[CODIGO DEL PRODUCTO]],Tabla7[],2,FALSE)</f>
        <v>PIEDRA 6-20</v>
      </c>
      <c r="T140" s="37">
        <v>34520</v>
      </c>
    </row>
    <row r="141" spans="8:20" x14ac:dyDescent="0.25">
      <c r="H141" s="34">
        <v>6656</v>
      </c>
      <c r="I141" s="34" t="s">
        <v>154</v>
      </c>
      <c r="J141" s="35">
        <v>45597</v>
      </c>
      <c r="K141" s="36" t="s">
        <v>42</v>
      </c>
      <c r="L141" s="39" t="str">
        <f>VLOOKUP(Tabla8[[#This Row],[CODIGO DEL PRODUCTO]],Tabla7[],2,FALSE)</f>
        <v>ARENA FINA</v>
      </c>
      <c r="M141" s="37">
        <v>10320</v>
      </c>
      <c r="O141" s="34">
        <v>126714</v>
      </c>
      <c r="P141" s="34" t="s">
        <v>139</v>
      </c>
      <c r="Q141" s="35">
        <v>45593</v>
      </c>
      <c r="R141" s="36" t="s">
        <v>43</v>
      </c>
      <c r="S141" s="36" t="str">
        <f>VLOOKUP(Tabla9[[#This Row],[CODIGO DEL PRODUCTO]],Tabla7[],2,FALSE)</f>
        <v>PIEDRA 6-20</v>
      </c>
      <c r="T141" s="37">
        <v>35000</v>
      </c>
    </row>
    <row r="142" spans="8:20" x14ac:dyDescent="0.25">
      <c r="H142" s="34">
        <v>19183</v>
      </c>
      <c r="I142" s="34" t="s">
        <v>66</v>
      </c>
      <c r="J142" s="35">
        <v>45600</v>
      </c>
      <c r="K142" s="36" t="s">
        <v>43</v>
      </c>
      <c r="L142" s="39" t="str">
        <f>VLOOKUP(Tabla8[[#This Row],[CODIGO DEL PRODUCTO]],Tabla7[],2,FALSE)</f>
        <v>PIEDRA 6-20</v>
      </c>
      <c r="M142" s="37">
        <v>34120</v>
      </c>
      <c r="O142" s="34">
        <v>126715</v>
      </c>
      <c r="P142" s="34" t="s">
        <v>140</v>
      </c>
      <c r="Q142" s="35">
        <v>45593</v>
      </c>
      <c r="R142" s="36" t="s">
        <v>43</v>
      </c>
      <c r="S142" s="36" t="str">
        <f>VLOOKUP(Tabla9[[#This Row],[CODIGO DEL PRODUCTO]],Tabla7[],2,FALSE)</f>
        <v>PIEDRA 6-20</v>
      </c>
      <c r="T142" s="37">
        <v>33680</v>
      </c>
    </row>
    <row r="143" spans="8:20" x14ac:dyDescent="0.25">
      <c r="H143" s="34">
        <v>19182</v>
      </c>
      <c r="I143" s="34" t="s">
        <v>66</v>
      </c>
      <c r="J143" s="35">
        <v>45600</v>
      </c>
      <c r="K143" s="36" t="s">
        <v>43</v>
      </c>
      <c r="L143" s="39" t="str">
        <f>VLOOKUP(Tabla8[[#This Row],[CODIGO DEL PRODUCTO]],Tabla7[],2,FALSE)</f>
        <v>PIEDRA 6-20</v>
      </c>
      <c r="M143" s="37">
        <v>33200</v>
      </c>
      <c r="O143" s="34">
        <v>126749</v>
      </c>
      <c r="P143" s="34" t="s">
        <v>141</v>
      </c>
      <c r="Q143" s="35">
        <v>45593</v>
      </c>
      <c r="R143" s="36" t="s">
        <v>40</v>
      </c>
      <c r="S143" s="36" t="str">
        <f>VLOOKUP(Tabla9[[#This Row],[CODIGO DEL PRODUCTO]],Tabla7[],2,FALSE)</f>
        <v>PIEDRA 0-6</v>
      </c>
      <c r="T143" s="37">
        <v>35620</v>
      </c>
    </row>
    <row r="144" spans="8:20" x14ac:dyDescent="0.25">
      <c r="H144" s="34">
        <v>19184</v>
      </c>
      <c r="I144" s="34" t="s">
        <v>66</v>
      </c>
      <c r="J144" s="35">
        <v>45600</v>
      </c>
      <c r="K144" s="36" t="s">
        <v>43</v>
      </c>
      <c r="L144" s="39" t="str">
        <f>VLOOKUP(Tabla8[[#This Row],[CODIGO DEL PRODUCTO]],Tabla7[],2,FALSE)</f>
        <v>PIEDRA 6-20</v>
      </c>
      <c r="M144" s="37">
        <v>34360</v>
      </c>
      <c r="O144" s="34">
        <v>126754</v>
      </c>
      <c r="P144" s="34" t="s">
        <v>118</v>
      </c>
      <c r="Q144" s="35">
        <v>45593</v>
      </c>
      <c r="R144" s="36" t="s">
        <v>43</v>
      </c>
      <c r="S144" s="36" t="str">
        <f>VLOOKUP(Tabla9[[#This Row],[CODIGO DEL PRODUCTO]],Tabla7[],2,FALSE)</f>
        <v>PIEDRA 6-20</v>
      </c>
      <c r="T144" s="37">
        <v>35060</v>
      </c>
    </row>
    <row r="145" spans="8:20" x14ac:dyDescent="0.25">
      <c r="H145" s="34">
        <v>19185</v>
      </c>
      <c r="I145" s="34" t="s">
        <v>66</v>
      </c>
      <c r="J145" s="35">
        <v>45601</v>
      </c>
      <c r="K145" s="36" t="s">
        <v>43</v>
      </c>
      <c r="L145" s="39" t="str">
        <f>VLOOKUP(Tabla8[[#This Row],[CODIGO DEL PRODUCTO]],Tabla7[],2,FALSE)</f>
        <v>PIEDRA 6-20</v>
      </c>
      <c r="M145" s="37">
        <v>32960</v>
      </c>
      <c r="O145" s="34">
        <v>126755</v>
      </c>
      <c r="P145" s="34" t="s">
        <v>123</v>
      </c>
      <c r="Q145" s="35">
        <v>45593</v>
      </c>
      <c r="R145" s="36" t="s">
        <v>43</v>
      </c>
      <c r="S145" s="36" t="str">
        <f>VLOOKUP(Tabla9[[#This Row],[CODIGO DEL PRODUCTO]],Tabla7[],2,FALSE)</f>
        <v>PIEDRA 6-20</v>
      </c>
      <c r="T145" s="37">
        <v>35440</v>
      </c>
    </row>
    <row r="146" spans="8:20" x14ac:dyDescent="0.25">
      <c r="H146" s="34">
        <v>19187</v>
      </c>
      <c r="I146" s="34" t="s">
        <v>66</v>
      </c>
      <c r="J146" s="35">
        <v>45601</v>
      </c>
      <c r="K146" s="36" t="s">
        <v>43</v>
      </c>
      <c r="L146" s="39" t="str">
        <f>VLOOKUP(Tabla8[[#This Row],[CODIGO DEL PRODUCTO]],Tabla7[],2,FALSE)</f>
        <v>PIEDRA 6-20</v>
      </c>
      <c r="M146" s="37">
        <v>33860</v>
      </c>
      <c r="O146" s="34">
        <v>126756</v>
      </c>
      <c r="P146" s="34" t="s">
        <v>116</v>
      </c>
      <c r="Q146" s="35">
        <v>45593</v>
      </c>
      <c r="R146" s="36" t="s">
        <v>43</v>
      </c>
      <c r="S146" s="36" t="str">
        <f>VLOOKUP(Tabla9[[#This Row],[CODIGO DEL PRODUCTO]],Tabla7[],2,FALSE)</f>
        <v>PIEDRA 6-20</v>
      </c>
      <c r="T146" s="37">
        <v>35240</v>
      </c>
    </row>
    <row r="147" spans="8:20" x14ac:dyDescent="0.25">
      <c r="H147" s="34">
        <v>6693</v>
      </c>
      <c r="I147" s="34" t="s">
        <v>157</v>
      </c>
      <c r="J147" s="35">
        <v>45601</v>
      </c>
      <c r="K147" s="36" t="s">
        <v>42</v>
      </c>
      <c r="L147" s="39" t="str">
        <f>VLOOKUP(Tabla8[[#This Row],[CODIGO DEL PRODUCTO]],Tabla7[],2,FALSE)</f>
        <v>ARENA FINA</v>
      </c>
      <c r="M147" s="37">
        <v>2000</v>
      </c>
      <c r="O147" s="34">
        <v>126758</v>
      </c>
      <c r="P147" s="34" t="s">
        <v>119</v>
      </c>
      <c r="Q147" s="35">
        <v>45593</v>
      </c>
      <c r="R147" s="36" t="s">
        <v>43</v>
      </c>
      <c r="S147" s="36" t="str">
        <f>VLOOKUP(Tabla9[[#This Row],[CODIGO DEL PRODUCTO]],Tabla7[],2,FALSE)</f>
        <v>PIEDRA 6-20</v>
      </c>
      <c r="T147" s="37">
        <v>35320</v>
      </c>
    </row>
    <row r="148" spans="8:20" x14ac:dyDescent="0.25">
      <c r="H148" s="34">
        <v>6694</v>
      </c>
      <c r="I148" s="34" t="s">
        <v>158</v>
      </c>
      <c r="J148" s="35">
        <v>45602</v>
      </c>
      <c r="K148" s="36" t="s">
        <v>42</v>
      </c>
      <c r="L148" s="39" t="str">
        <f>VLOOKUP(Tabla8[[#This Row],[CODIGO DEL PRODUCTO]],Tabla7[],2,FALSE)</f>
        <v>ARENA FINA</v>
      </c>
      <c r="M148" s="37">
        <v>6000</v>
      </c>
      <c r="O148" s="34">
        <v>126761</v>
      </c>
      <c r="P148" s="34" t="s">
        <v>120</v>
      </c>
      <c r="Q148" s="35">
        <v>45593</v>
      </c>
      <c r="R148" s="36" t="s">
        <v>43</v>
      </c>
      <c r="S148" s="36" t="str">
        <f>VLOOKUP(Tabla9[[#This Row],[CODIGO DEL PRODUCTO]],Tabla7[],2,FALSE)</f>
        <v>PIEDRA 6-20</v>
      </c>
      <c r="T148" s="37">
        <v>36360</v>
      </c>
    </row>
    <row r="149" spans="8:20" x14ac:dyDescent="0.25">
      <c r="H149" s="34">
        <v>19188</v>
      </c>
      <c r="I149" s="34" t="s">
        <v>66</v>
      </c>
      <c r="J149" s="35">
        <v>45602</v>
      </c>
      <c r="K149" s="36" t="s">
        <v>43</v>
      </c>
      <c r="L149" s="39" t="str">
        <f>VLOOKUP(Tabla8[[#This Row],[CODIGO DEL PRODUCTO]],Tabla7[],2,FALSE)</f>
        <v>PIEDRA 6-20</v>
      </c>
      <c r="M149" s="37">
        <v>32660</v>
      </c>
      <c r="O149" s="34">
        <v>126764</v>
      </c>
      <c r="P149" s="34" t="s">
        <v>135</v>
      </c>
      <c r="Q149" s="35">
        <v>45593</v>
      </c>
      <c r="R149" s="36" t="s">
        <v>43</v>
      </c>
      <c r="S149" s="36" t="str">
        <f>VLOOKUP(Tabla9[[#This Row],[CODIGO DEL PRODUCTO]],Tabla7[],2,FALSE)</f>
        <v>PIEDRA 6-20</v>
      </c>
      <c r="T149" s="37">
        <v>35460</v>
      </c>
    </row>
    <row r="150" spans="8:20" x14ac:dyDescent="0.25">
      <c r="H150" s="34">
        <v>6703</v>
      </c>
      <c r="I150" s="34" t="s">
        <v>159</v>
      </c>
      <c r="J150" s="35">
        <v>45603</v>
      </c>
      <c r="K150" s="36" t="s">
        <v>42</v>
      </c>
      <c r="L150" s="39" t="str">
        <f>VLOOKUP(Tabla8[[#This Row],[CODIGO DEL PRODUCTO]],Tabla7[],2,FALSE)</f>
        <v>ARENA FINA</v>
      </c>
      <c r="M150" s="37">
        <v>2000</v>
      </c>
      <c r="O150" s="34">
        <v>126765</v>
      </c>
      <c r="P150" s="34" t="s">
        <v>142</v>
      </c>
      <c r="Q150" s="35">
        <v>45593</v>
      </c>
      <c r="R150" s="36" t="s">
        <v>43</v>
      </c>
      <c r="S150" s="36" t="str">
        <f>VLOOKUP(Tabla9[[#This Row],[CODIGO DEL PRODUCTO]],Tabla7[],2,FALSE)</f>
        <v>PIEDRA 6-20</v>
      </c>
      <c r="T150" s="37">
        <v>35080</v>
      </c>
    </row>
    <row r="151" spans="8:20" x14ac:dyDescent="0.25">
      <c r="H151" s="34">
        <v>19189</v>
      </c>
      <c r="I151" s="34" t="s">
        <v>66</v>
      </c>
      <c r="J151" s="35">
        <v>45603</v>
      </c>
      <c r="K151" s="36" t="s">
        <v>43</v>
      </c>
      <c r="L151" s="39" t="str">
        <f>VLOOKUP(Tabla8[[#This Row],[CODIGO DEL PRODUCTO]],Tabla7[],2,FALSE)</f>
        <v>PIEDRA 6-20</v>
      </c>
      <c r="M151" s="37">
        <v>33000</v>
      </c>
      <c r="O151" s="34">
        <v>2585715</v>
      </c>
      <c r="P151" s="34" t="s">
        <v>65</v>
      </c>
      <c r="Q151" s="35">
        <v>45593</v>
      </c>
      <c r="R151" s="36" t="s">
        <v>45</v>
      </c>
      <c r="S151" s="36" t="str">
        <f>VLOOKUP(Tabla9[[#This Row],[CODIGO DEL PRODUCTO]],Tabla7[],2,FALSE)</f>
        <v>CPF 40 AVELLANEDA</v>
      </c>
      <c r="T151" s="37">
        <v>32080</v>
      </c>
    </row>
    <row r="152" spans="8:20" x14ac:dyDescent="0.25">
      <c r="H152" s="34">
        <v>19190</v>
      </c>
      <c r="I152" s="34" t="s">
        <v>66</v>
      </c>
      <c r="J152" s="35">
        <v>45603</v>
      </c>
      <c r="K152" s="36" t="s">
        <v>43</v>
      </c>
      <c r="L152" s="39" t="str">
        <f>VLOOKUP(Tabla8[[#This Row],[CODIGO DEL PRODUCTO]],Tabla7[],2,FALSE)</f>
        <v>PIEDRA 6-20</v>
      </c>
      <c r="M152" s="37">
        <v>32900</v>
      </c>
      <c r="O152" s="34">
        <v>94283</v>
      </c>
      <c r="P152" s="34" t="s">
        <v>144</v>
      </c>
      <c r="Q152" s="35">
        <v>45594</v>
      </c>
      <c r="R152" s="36" t="s">
        <v>43</v>
      </c>
      <c r="S152" s="36" t="str">
        <f>VLOOKUP(Tabla9[[#This Row],[CODIGO DEL PRODUCTO]],Tabla7[],2,FALSE)</f>
        <v>PIEDRA 6-20</v>
      </c>
      <c r="T152" s="37">
        <v>34900</v>
      </c>
    </row>
    <row r="153" spans="8:20" x14ac:dyDescent="0.25">
      <c r="H153" s="34">
        <v>19191</v>
      </c>
      <c r="I153" s="34" t="s">
        <v>66</v>
      </c>
      <c r="J153" s="35">
        <v>45603</v>
      </c>
      <c r="K153" s="36" t="s">
        <v>43</v>
      </c>
      <c r="L153" s="39" t="str">
        <f>VLOOKUP(Tabla8[[#This Row],[CODIGO DEL PRODUCTO]],Tabla7[],2,FALSE)</f>
        <v>PIEDRA 6-20</v>
      </c>
      <c r="M153" s="37">
        <v>32900</v>
      </c>
      <c r="O153" s="34">
        <v>126774</v>
      </c>
      <c r="P153" s="34" t="s">
        <v>140</v>
      </c>
      <c r="Q153" s="35">
        <v>45594</v>
      </c>
      <c r="R153" s="36" t="s">
        <v>43</v>
      </c>
      <c r="S153" s="36" t="str">
        <f>VLOOKUP(Tabla9[[#This Row],[CODIGO DEL PRODUCTO]],Tabla7[],2,FALSE)</f>
        <v>PIEDRA 6-20</v>
      </c>
      <c r="T153" s="37">
        <v>33860</v>
      </c>
    </row>
    <row r="154" spans="8:20" x14ac:dyDescent="0.25">
      <c r="H154" s="34">
        <v>19192</v>
      </c>
      <c r="I154" s="34" t="s">
        <v>66</v>
      </c>
      <c r="J154" s="35">
        <v>45603</v>
      </c>
      <c r="K154" s="36" t="s">
        <v>43</v>
      </c>
      <c r="L154" s="39" t="str">
        <f>VLOOKUP(Tabla8[[#This Row],[CODIGO DEL PRODUCTO]],Tabla7[],2,FALSE)</f>
        <v>PIEDRA 6-20</v>
      </c>
      <c r="M154" s="37">
        <v>33160</v>
      </c>
      <c r="O154" s="34">
        <v>126786</v>
      </c>
      <c r="P154" s="34" t="s">
        <v>145</v>
      </c>
      <c r="Q154" s="35">
        <v>45594</v>
      </c>
      <c r="R154" s="36" t="s">
        <v>43</v>
      </c>
      <c r="S154" s="36" t="str">
        <f>VLOOKUP(Tabla9[[#This Row],[CODIGO DEL PRODUCTO]],Tabla7[],2,FALSE)</f>
        <v>PIEDRA 6-20</v>
      </c>
      <c r="T154" s="37">
        <v>35580</v>
      </c>
    </row>
    <row r="155" spans="8:20" x14ac:dyDescent="0.25">
      <c r="H155" s="34">
        <v>19193</v>
      </c>
      <c r="I155" s="34" t="s">
        <v>66</v>
      </c>
      <c r="J155" s="35">
        <v>45603</v>
      </c>
      <c r="K155" s="36" t="s">
        <v>43</v>
      </c>
      <c r="L155" s="39" t="str">
        <f>VLOOKUP(Tabla8[[#This Row],[CODIGO DEL PRODUCTO]],Tabla7[],2,FALSE)</f>
        <v>PIEDRA 6-20</v>
      </c>
      <c r="M155" s="37">
        <v>32040</v>
      </c>
      <c r="O155" s="34">
        <v>126794</v>
      </c>
      <c r="P155" s="34" t="s">
        <v>141</v>
      </c>
      <c r="Q155" s="35">
        <v>45594</v>
      </c>
      <c r="R155" s="36" t="s">
        <v>40</v>
      </c>
      <c r="S155" s="36" t="str">
        <f>VLOOKUP(Tabla9[[#This Row],[CODIGO DEL PRODUCTO]],Tabla7[],2,FALSE)</f>
        <v>PIEDRA 0-6</v>
      </c>
      <c r="T155" s="37">
        <v>35100</v>
      </c>
    </row>
    <row r="156" spans="8:20" x14ac:dyDescent="0.25">
      <c r="H156" s="34">
        <v>19194</v>
      </c>
      <c r="I156" s="34" t="s">
        <v>66</v>
      </c>
      <c r="J156" s="35">
        <v>45604</v>
      </c>
      <c r="K156" s="36" t="s">
        <v>43</v>
      </c>
      <c r="L156" s="39" t="str">
        <f>VLOOKUP(Tabla8[[#This Row],[CODIGO DEL PRODUCTO]],Tabla7[],2,FALSE)</f>
        <v>PIEDRA 6-20</v>
      </c>
      <c r="M156" s="37">
        <v>33000</v>
      </c>
      <c r="O156" s="34">
        <v>126809</v>
      </c>
      <c r="P156" s="34" t="s">
        <v>146</v>
      </c>
      <c r="Q156" s="35">
        <v>45594</v>
      </c>
      <c r="R156" s="36" t="s">
        <v>43</v>
      </c>
      <c r="S156" s="36" t="str">
        <f>VLOOKUP(Tabla9[[#This Row],[CODIGO DEL PRODUCTO]],Tabla7[],2,FALSE)</f>
        <v>PIEDRA 6-20</v>
      </c>
      <c r="T156" s="37">
        <v>36120</v>
      </c>
    </row>
    <row r="157" spans="8:20" x14ac:dyDescent="0.25">
      <c r="H157" s="34">
        <v>19195</v>
      </c>
      <c r="I157" s="34" t="s">
        <v>66</v>
      </c>
      <c r="J157" s="35">
        <v>45604</v>
      </c>
      <c r="K157" s="36" t="s">
        <v>43</v>
      </c>
      <c r="L157" s="39" t="str">
        <f>VLOOKUP(Tabla8[[#This Row],[CODIGO DEL PRODUCTO]],Tabla7[],2,FALSE)</f>
        <v>PIEDRA 6-20</v>
      </c>
      <c r="M157" s="37">
        <v>33020</v>
      </c>
      <c r="O157" s="34">
        <v>126819</v>
      </c>
      <c r="P157" s="34" t="s">
        <v>118</v>
      </c>
      <c r="Q157" s="35">
        <v>45594</v>
      </c>
      <c r="R157" s="36" t="s">
        <v>43</v>
      </c>
      <c r="S157" s="36" t="str">
        <f>VLOOKUP(Tabla9[[#This Row],[CODIGO DEL PRODUCTO]],Tabla7[],2,FALSE)</f>
        <v>PIEDRA 6-20</v>
      </c>
      <c r="T157" s="37">
        <v>34640</v>
      </c>
    </row>
    <row r="158" spans="8:20" x14ac:dyDescent="0.25">
      <c r="H158" s="34">
        <v>19196</v>
      </c>
      <c r="I158" s="34" t="s">
        <v>66</v>
      </c>
      <c r="J158" s="35">
        <v>45604</v>
      </c>
      <c r="K158" s="36" t="s">
        <v>43</v>
      </c>
      <c r="L158" s="39" t="str">
        <f>VLOOKUP(Tabla8[[#This Row],[CODIGO DEL PRODUCTO]],Tabla7[],2,FALSE)</f>
        <v>PIEDRA 6-20</v>
      </c>
      <c r="M158" s="37">
        <v>32660</v>
      </c>
      <c r="O158" s="34">
        <v>126841</v>
      </c>
      <c r="P158" s="34" t="s">
        <v>116</v>
      </c>
      <c r="Q158" s="35">
        <v>45594</v>
      </c>
      <c r="R158" s="36" t="s">
        <v>43</v>
      </c>
      <c r="S158" s="36" t="str">
        <f>VLOOKUP(Tabla9[[#This Row],[CODIGO DEL PRODUCTO]],Tabla7[],2,FALSE)</f>
        <v>PIEDRA 6-20</v>
      </c>
      <c r="T158" s="37">
        <v>35600</v>
      </c>
    </row>
    <row r="159" spans="8:20" x14ac:dyDescent="0.25">
      <c r="H159" s="34">
        <v>19197</v>
      </c>
      <c r="I159" s="34" t="s">
        <v>66</v>
      </c>
      <c r="J159" s="35">
        <v>45604</v>
      </c>
      <c r="K159" s="36" t="s">
        <v>43</v>
      </c>
      <c r="L159" s="39" t="str">
        <f>VLOOKUP(Tabla8[[#This Row],[CODIGO DEL PRODUCTO]],Tabla7[],2,FALSE)</f>
        <v>PIEDRA 6-20</v>
      </c>
      <c r="M159" s="37">
        <v>32660</v>
      </c>
      <c r="O159" s="34">
        <v>126831</v>
      </c>
      <c r="P159" s="34" t="s">
        <v>119</v>
      </c>
      <c r="Q159" s="35">
        <v>45594</v>
      </c>
      <c r="R159" s="36" t="s">
        <v>43</v>
      </c>
      <c r="S159" s="36" t="str">
        <f>VLOOKUP(Tabla9[[#This Row],[CODIGO DEL PRODUCTO]],Tabla7[],2,FALSE)</f>
        <v>PIEDRA 6-20</v>
      </c>
      <c r="T159" s="37">
        <v>35640</v>
      </c>
    </row>
    <row r="160" spans="8:20" x14ac:dyDescent="0.25">
      <c r="H160" s="34">
        <v>19199</v>
      </c>
      <c r="I160" s="34" t="s">
        <v>66</v>
      </c>
      <c r="J160" s="35">
        <v>45607</v>
      </c>
      <c r="K160" s="36" t="s">
        <v>43</v>
      </c>
      <c r="L160" s="39" t="str">
        <f>VLOOKUP(Tabla8[[#This Row],[CODIGO DEL PRODUCTO]],Tabla7[],2,FALSE)</f>
        <v>PIEDRA 6-20</v>
      </c>
      <c r="M160" s="37">
        <v>32520</v>
      </c>
      <c r="O160" s="34">
        <v>2586019</v>
      </c>
      <c r="P160" s="34" t="s">
        <v>65</v>
      </c>
      <c r="Q160" s="35">
        <v>45594</v>
      </c>
      <c r="R160" s="36" t="s">
        <v>45</v>
      </c>
      <c r="S160" s="36" t="str">
        <f>VLOOKUP(Tabla9[[#This Row],[CODIGO DEL PRODUCTO]],Tabla7[],2,FALSE)</f>
        <v>CPF 40 AVELLANEDA</v>
      </c>
      <c r="T160" s="37">
        <v>32280</v>
      </c>
    </row>
    <row r="161" spans="8:20" x14ac:dyDescent="0.25">
      <c r="H161" s="34">
        <v>19200</v>
      </c>
      <c r="I161" s="34" t="s">
        <v>66</v>
      </c>
      <c r="J161" s="35">
        <v>45607</v>
      </c>
      <c r="K161" s="36" t="s">
        <v>43</v>
      </c>
      <c r="L161" s="39" t="str">
        <f>VLOOKUP(Tabla8[[#This Row],[CODIGO DEL PRODUCTO]],Tabla7[],2,FALSE)</f>
        <v>PIEDRA 6-20</v>
      </c>
      <c r="M161" s="37">
        <v>31520</v>
      </c>
      <c r="O161" s="34">
        <v>23701</v>
      </c>
      <c r="P161" s="34" t="s">
        <v>64</v>
      </c>
      <c r="Q161" s="35">
        <v>45596</v>
      </c>
      <c r="R161" s="36" t="s">
        <v>42</v>
      </c>
      <c r="S161" s="36" t="str">
        <f>VLOOKUP(Tabla9[[#This Row],[CODIGO DEL PRODUCTO]],Tabla7[],2,FALSE)</f>
        <v>ARENA FINA</v>
      </c>
      <c r="T161" s="37">
        <v>35880</v>
      </c>
    </row>
    <row r="162" spans="8:20" x14ac:dyDescent="0.25">
      <c r="H162" s="34">
        <v>19201</v>
      </c>
      <c r="I162" s="34" t="s">
        <v>66</v>
      </c>
      <c r="J162" s="35">
        <v>45607</v>
      </c>
      <c r="K162" s="36" t="s">
        <v>43</v>
      </c>
      <c r="L162" s="39" t="str">
        <f>VLOOKUP(Tabla8[[#This Row],[CODIGO DEL PRODUCTO]],Tabla7[],2,FALSE)</f>
        <v>PIEDRA 6-20</v>
      </c>
      <c r="M162" s="37">
        <v>31840</v>
      </c>
      <c r="O162" s="34">
        <v>23713</v>
      </c>
      <c r="P162" s="34" t="s">
        <v>64</v>
      </c>
      <c r="Q162" s="35">
        <v>45596</v>
      </c>
      <c r="R162" s="36" t="s">
        <v>42</v>
      </c>
      <c r="S162" s="36" t="str">
        <f>VLOOKUP(Tabla9[[#This Row],[CODIGO DEL PRODUCTO]],Tabla7[],2,FALSE)</f>
        <v>ARENA FINA</v>
      </c>
      <c r="T162" s="37">
        <v>36480</v>
      </c>
    </row>
    <row r="163" spans="8:20" x14ac:dyDescent="0.25">
      <c r="H163" s="34">
        <v>19202</v>
      </c>
      <c r="I163" s="34" t="s">
        <v>66</v>
      </c>
      <c r="J163" s="35">
        <v>45608</v>
      </c>
      <c r="K163" s="36" t="s">
        <v>43</v>
      </c>
      <c r="L163" s="39" t="str">
        <f>VLOOKUP(Tabla8[[#This Row],[CODIGO DEL PRODUCTO]],Tabla7[],2,FALSE)</f>
        <v>PIEDRA 6-20</v>
      </c>
      <c r="M163" s="37">
        <v>30760</v>
      </c>
      <c r="O163" s="34">
        <v>23719</v>
      </c>
      <c r="P163" s="34" t="s">
        <v>149</v>
      </c>
      <c r="Q163" s="35">
        <v>45596</v>
      </c>
      <c r="R163" s="36" t="s">
        <v>42</v>
      </c>
      <c r="S163" s="36" t="str">
        <f>VLOOKUP(Tabla9[[#This Row],[CODIGO DEL PRODUCTO]],Tabla7[],2,FALSE)</f>
        <v>ARENA FINA</v>
      </c>
      <c r="T163" s="37">
        <v>36140</v>
      </c>
    </row>
    <row r="164" spans="8:20" x14ac:dyDescent="0.25">
      <c r="H164" s="34">
        <v>6807</v>
      </c>
      <c r="I164" s="34" t="s">
        <v>168</v>
      </c>
      <c r="J164" s="35">
        <v>45608</v>
      </c>
      <c r="K164" s="36" t="s">
        <v>42</v>
      </c>
      <c r="L164" s="39" t="str">
        <f>VLOOKUP(Tabla8[[#This Row],[CODIGO DEL PRODUCTO]],Tabla7[],2,FALSE)</f>
        <v>ARENA FINA</v>
      </c>
      <c r="M164" s="37">
        <v>2000</v>
      </c>
      <c r="O164" s="34">
        <v>94299</v>
      </c>
      <c r="P164" s="34" t="s">
        <v>150</v>
      </c>
      <c r="Q164" s="35">
        <v>45596</v>
      </c>
      <c r="R164" s="36" t="s">
        <v>40</v>
      </c>
      <c r="S164" s="36" t="str">
        <f>VLOOKUP(Tabla9[[#This Row],[CODIGO DEL PRODUCTO]],Tabla7[],2,FALSE)</f>
        <v>PIEDRA 0-6</v>
      </c>
      <c r="T164" s="37">
        <v>35980</v>
      </c>
    </row>
    <row r="165" spans="8:20" x14ac:dyDescent="0.25">
      <c r="H165" s="34"/>
      <c r="I165" s="34"/>
      <c r="J165" s="35">
        <v>45608</v>
      </c>
      <c r="K165" s="36" t="s">
        <v>43</v>
      </c>
      <c r="L165" s="39" t="str">
        <f>VLOOKUP(Tabla8[[#This Row],[CODIGO DEL PRODUCTO]],Tabla7[],2,FALSE)</f>
        <v>PIEDRA 6-20</v>
      </c>
      <c r="M165" s="37">
        <v>2000</v>
      </c>
      <c r="O165" s="34">
        <v>94300</v>
      </c>
      <c r="P165" s="34" t="s">
        <v>122</v>
      </c>
      <c r="Q165" s="35">
        <v>45596</v>
      </c>
      <c r="R165" s="36" t="s">
        <v>43</v>
      </c>
      <c r="S165" s="36" t="str">
        <f>VLOOKUP(Tabla9[[#This Row],[CODIGO DEL PRODUCTO]],Tabla7[],2,FALSE)</f>
        <v>PIEDRA 6-20</v>
      </c>
      <c r="T165" s="37">
        <v>36120</v>
      </c>
    </row>
    <row r="166" spans="8:20" x14ac:dyDescent="0.25">
      <c r="H166" s="34"/>
      <c r="I166" s="34" t="s">
        <v>53</v>
      </c>
      <c r="J166" s="35">
        <v>45597</v>
      </c>
      <c r="K166" s="36" t="s">
        <v>42</v>
      </c>
      <c r="L166" s="39" t="str">
        <f>VLOOKUP(Tabla8[[#This Row],[CODIGO DEL PRODUCTO]],Tabla7[],2,FALSE)</f>
        <v>ARENA FINA</v>
      </c>
      <c r="M166" s="37">
        <v>382471</v>
      </c>
      <c r="O166" s="34">
        <v>94322</v>
      </c>
      <c r="P166" s="34" t="s">
        <v>151</v>
      </c>
      <c r="Q166" s="35">
        <v>45596</v>
      </c>
      <c r="R166" s="36" t="s">
        <v>43</v>
      </c>
      <c r="S166" s="36" t="str">
        <f>VLOOKUP(Tabla9[[#This Row],[CODIGO DEL PRODUCTO]],Tabla7[],2,FALSE)</f>
        <v>PIEDRA 6-20</v>
      </c>
      <c r="T166" s="37">
        <v>35840</v>
      </c>
    </row>
    <row r="167" spans="8:20" x14ac:dyDescent="0.25">
      <c r="H167" s="34"/>
      <c r="I167" s="34" t="s">
        <v>53</v>
      </c>
      <c r="J167" s="35">
        <v>45598</v>
      </c>
      <c r="K167" s="36" t="s">
        <v>40</v>
      </c>
      <c r="L167" s="39" t="str">
        <f>VLOOKUP(Tabla8[[#This Row],[CODIGO DEL PRODUCTO]],Tabla7[],2,FALSE)</f>
        <v>PIEDRA 0-6</v>
      </c>
      <c r="M167" s="37">
        <v>301248</v>
      </c>
      <c r="O167" s="34">
        <v>94327</v>
      </c>
      <c r="P167" s="34" t="s">
        <v>144</v>
      </c>
      <c r="Q167" s="35">
        <v>45596</v>
      </c>
      <c r="R167" s="36" t="s">
        <v>43</v>
      </c>
      <c r="S167" s="36" t="str">
        <f>VLOOKUP(Tabla9[[#This Row],[CODIGO DEL PRODUCTO]],Tabla7[],2,FALSE)</f>
        <v>PIEDRA 6-20</v>
      </c>
      <c r="T167" s="37">
        <v>35320</v>
      </c>
    </row>
    <row r="168" spans="8:20" x14ac:dyDescent="0.25">
      <c r="H168" s="34"/>
      <c r="I168" s="34" t="s">
        <v>53</v>
      </c>
      <c r="J168" s="35">
        <v>45600</v>
      </c>
      <c r="K168" s="36" t="s">
        <v>45</v>
      </c>
      <c r="L168" s="39" t="str">
        <f>VLOOKUP(Tabla8[[#This Row],[CODIGO DEL PRODUCTO]],Tabla7[],2,FALSE)</f>
        <v>CPF 40 AVELLANEDA</v>
      </c>
      <c r="M168" s="37">
        <v>217193</v>
      </c>
      <c r="O168" s="34">
        <v>94336</v>
      </c>
      <c r="P168" s="34" t="s">
        <v>122</v>
      </c>
      <c r="Q168" s="35">
        <v>45596</v>
      </c>
      <c r="R168" s="36" t="s">
        <v>43</v>
      </c>
      <c r="S168" s="36" t="str">
        <f>VLOOKUP(Tabla9[[#This Row],[CODIGO DEL PRODUCTO]],Tabla7[],2,FALSE)</f>
        <v>PIEDRA 6-20</v>
      </c>
      <c r="T168" s="37">
        <v>35760</v>
      </c>
    </row>
    <row r="169" spans="8:20" x14ac:dyDescent="0.25">
      <c r="H169" s="34"/>
      <c r="I169" s="34" t="s">
        <v>53</v>
      </c>
      <c r="J169" s="35">
        <v>45601</v>
      </c>
      <c r="K169" s="36" t="s">
        <v>50</v>
      </c>
      <c r="L169" s="39" t="str">
        <f>VLOOKUP(Tabla8[[#This Row],[CODIGO DEL PRODUCTO]],Tabla7[],2,FALSE)</f>
        <v>MIRA SET 453 (ADITIVO)</v>
      </c>
      <c r="M169" s="37">
        <v>1274.17</v>
      </c>
      <c r="O169" s="34">
        <v>126891</v>
      </c>
      <c r="P169" s="34" t="s">
        <v>123</v>
      </c>
      <c r="Q169" s="35">
        <v>45596</v>
      </c>
      <c r="R169" s="36" t="s">
        <v>43</v>
      </c>
      <c r="S169" s="36" t="str">
        <f>VLOOKUP(Tabla9[[#This Row],[CODIGO DEL PRODUCTO]],Tabla7[],2,FALSE)</f>
        <v>PIEDRA 6-20</v>
      </c>
      <c r="T169" s="37">
        <v>34480</v>
      </c>
    </row>
    <row r="170" spans="8:20" x14ac:dyDescent="0.25">
      <c r="H170" s="34"/>
      <c r="I170" s="34" t="s">
        <v>53</v>
      </c>
      <c r="J170" s="35">
        <v>45602</v>
      </c>
      <c r="K170" s="36" t="s">
        <v>48</v>
      </c>
      <c r="L170" s="39" t="str">
        <f>VLOOKUP(Tabla8[[#This Row],[CODIGO DEL PRODUCTO]],Tabla7[],2,FALSE)</f>
        <v>PIEDRA 6-12</v>
      </c>
      <c r="M170" s="37">
        <v>77343</v>
      </c>
      <c r="O170" s="34">
        <v>126969</v>
      </c>
      <c r="P170" s="34" t="s">
        <v>116</v>
      </c>
      <c r="Q170" s="35">
        <v>45596</v>
      </c>
      <c r="R170" s="36" t="s">
        <v>43</v>
      </c>
      <c r="S170" s="36" t="str">
        <f>VLOOKUP(Tabla9[[#This Row],[CODIGO DEL PRODUCTO]],Tabla7[],2,FALSE)</f>
        <v>PIEDRA 6-20</v>
      </c>
      <c r="T170" s="37">
        <v>35320</v>
      </c>
    </row>
    <row r="171" spans="8:20" x14ac:dyDescent="0.25">
      <c r="H171" s="34"/>
      <c r="I171" s="34" t="s">
        <v>53</v>
      </c>
      <c r="J171" s="35">
        <v>45604</v>
      </c>
      <c r="K171" s="36" t="s">
        <v>46</v>
      </c>
      <c r="L171" s="39" t="str">
        <f>VLOOKUP(Tabla8[[#This Row],[CODIGO DEL PRODUCTO]],Tabla7[],2,FALSE)</f>
        <v>PIEDRA 10-30</v>
      </c>
      <c r="M171" s="37">
        <v>48215</v>
      </c>
      <c r="O171" s="34">
        <v>2586570</v>
      </c>
      <c r="P171" s="34" t="s">
        <v>65</v>
      </c>
      <c r="Q171" s="35">
        <v>45596</v>
      </c>
      <c r="R171" s="36" t="s">
        <v>45</v>
      </c>
      <c r="S171" s="36" t="str">
        <f>VLOOKUP(Tabla9[[#This Row],[CODIGO DEL PRODUCTO]],Tabla7[],2,FALSE)</f>
        <v>CPF 40 AVELLANEDA</v>
      </c>
      <c r="T171" s="37">
        <v>31860</v>
      </c>
    </row>
    <row r="172" spans="8:20" x14ac:dyDescent="0.25">
      <c r="H172" s="34"/>
      <c r="I172" s="34" t="s">
        <v>53</v>
      </c>
      <c r="J172" s="35">
        <v>45605</v>
      </c>
      <c r="K172" s="36" t="s">
        <v>43</v>
      </c>
      <c r="L172" s="39" t="str">
        <f>VLOOKUP(Tabla8[[#This Row],[CODIGO DEL PRODUCTO]],Tabla7[],2,FALSE)</f>
        <v>PIEDRA 6-20</v>
      </c>
      <c r="M172" s="37">
        <v>576477</v>
      </c>
      <c r="O172" s="34">
        <v>23747</v>
      </c>
      <c r="P172" s="34" t="s">
        <v>64</v>
      </c>
      <c r="Q172" s="35">
        <v>45597</v>
      </c>
      <c r="R172" s="36" t="s">
        <v>42</v>
      </c>
      <c r="S172" s="36" t="str">
        <f>VLOOKUP(Tabla9[[#This Row],[CODIGO DEL PRODUCTO]],Tabla7[],2,FALSE)</f>
        <v>ARENA FINA</v>
      </c>
      <c r="T172" s="37">
        <v>35800</v>
      </c>
    </row>
    <row r="173" spans="8:20" x14ac:dyDescent="0.25">
      <c r="H173" s="34">
        <v>6832</v>
      </c>
      <c r="I173" s="34" t="s">
        <v>169</v>
      </c>
      <c r="J173" s="35">
        <v>45609</v>
      </c>
      <c r="K173" s="36" t="s">
        <v>42</v>
      </c>
      <c r="L173" s="39" t="str">
        <f>VLOOKUP(Tabla8[[#This Row],[CODIGO DEL PRODUCTO]],Tabla7[],2,FALSE)</f>
        <v>ARENA FINA</v>
      </c>
      <c r="M173" s="37">
        <v>2000</v>
      </c>
      <c r="O173" s="34">
        <v>23759</v>
      </c>
      <c r="P173" s="34" t="s">
        <v>64</v>
      </c>
      <c r="Q173" s="35">
        <v>45597</v>
      </c>
      <c r="R173" s="36" t="s">
        <v>42</v>
      </c>
      <c r="S173" s="36" t="str">
        <f>VLOOKUP(Tabla9[[#This Row],[CODIGO DEL PRODUCTO]],Tabla7[],2,FALSE)</f>
        <v>ARENA FINA</v>
      </c>
      <c r="T173" s="37">
        <v>35280</v>
      </c>
    </row>
    <row r="174" spans="8:20" x14ac:dyDescent="0.25">
      <c r="H174" s="34"/>
      <c r="I174" s="34"/>
      <c r="J174" s="35">
        <v>45609</v>
      </c>
      <c r="K174" s="36" t="s">
        <v>43</v>
      </c>
      <c r="L174" s="39" t="str">
        <f>VLOOKUP(Tabla8[[#This Row],[CODIGO DEL PRODUCTO]],Tabla7[],2,FALSE)</f>
        <v>PIEDRA 6-20</v>
      </c>
      <c r="M174" s="37">
        <v>1000</v>
      </c>
      <c r="O174" s="34">
        <v>94343</v>
      </c>
      <c r="P174" s="34" t="s">
        <v>150</v>
      </c>
      <c r="Q174" s="35">
        <v>45597</v>
      </c>
      <c r="R174" s="36" t="s">
        <v>40</v>
      </c>
      <c r="S174" s="36" t="str">
        <f>VLOOKUP(Tabla9[[#This Row],[CODIGO DEL PRODUCTO]],Tabla7[],2,FALSE)</f>
        <v>PIEDRA 0-6</v>
      </c>
      <c r="T174" s="37">
        <v>35320</v>
      </c>
    </row>
    <row r="175" spans="8:20" x14ac:dyDescent="0.25">
      <c r="H175" s="34">
        <v>6816</v>
      </c>
      <c r="I175" s="34" t="s">
        <v>157</v>
      </c>
      <c r="J175" s="35">
        <v>45609</v>
      </c>
      <c r="K175" s="36" t="s">
        <v>42</v>
      </c>
      <c r="L175" s="39" t="str">
        <f>VLOOKUP(Tabla8[[#This Row],[CODIGO DEL PRODUCTO]],Tabla7[],2,FALSE)</f>
        <v>ARENA FINA</v>
      </c>
      <c r="M175" s="37">
        <v>4000</v>
      </c>
      <c r="O175" s="34">
        <v>94350</v>
      </c>
      <c r="P175" s="34" t="s">
        <v>122</v>
      </c>
      <c r="Q175" s="35">
        <v>45597</v>
      </c>
      <c r="R175" s="36" t="s">
        <v>43</v>
      </c>
      <c r="S175" s="36" t="str">
        <f>VLOOKUP(Tabla9[[#This Row],[CODIGO DEL PRODUCTO]],Tabla7[],2,FALSE)</f>
        <v>PIEDRA 6-20</v>
      </c>
      <c r="T175" s="37">
        <v>34600</v>
      </c>
    </row>
    <row r="176" spans="8:20" x14ac:dyDescent="0.25">
      <c r="H176" s="34">
        <v>6799</v>
      </c>
      <c r="I176" s="34" t="s">
        <v>67</v>
      </c>
      <c r="J176" s="35">
        <v>45609</v>
      </c>
      <c r="K176" s="36" t="s">
        <v>43</v>
      </c>
      <c r="L176" s="39" t="str">
        <f>VLOOKUP(Tabla8[[#This Row],[CODIGO DEL PRODUCTO]],Tabla7[],2,FALSE)</f>
        <v>PIEDRA 6-20</v>
      </c>
      <c r="M176" s="37">
        <v>2000</v>
      </c>
      <c r="O176" s="34">
        <v>94351</v>
      </c>
      <c r="P176" s="34" t="s">
        <v>144</v>
      </c>
      <c r="Q176" s="35">
        <v>45597</v>
      </c>
      <c r="R176" s="36" t="s">
        <v>43</v>
      </c>
      <c r="S176" s="36" t="str">
        <f>VLOOKUP(Tabla9[[#This Row],[CODIGO DEL PRODUCTO]],Tabla7[],2,FALSE)</f>
        <v>PIEDRA 6-20</v>
      </c>
      <c r="T176" s="37">
        <v>35360</v>
      </c>
    </row>
    <row r="177" spans="8:20" x14ac:dyDescent="0.25">
      <c r="H177" s="34"/>
      <c r="I177" s="34"/>
      <c r="J177" s="35">
        <v>45609</v>
      </c>
      <c r="K177" s="36" t="s">
        <v>42</v>
      </c>
      <c r="L177" s="39" t="str">
        <f>VLOOKUP(Tabla8[[#This Row],[CODIGO DEL PRODUCTO]],Tabla7[],2,FALSE)</f>
        <v>ARENA FINA</v>
      </c>
      <c r="M177" s="37">
        <v>4000</v>
      </c>
      <c r="O177" s="34">
        <v>94352</v>
      </c>
      <c r="P177" s="34" t="s">
        <v>151</v>
      </c>
      <c r="Q177" s="35">
        <v>45597</v>
      </c>
      <c r="R177" s="36" t="s">
        <v>43</v>
      </c>
      <c r="S177" s="36" t="str">
        <f>VLOOKUP(Tabla9[[#This Row],[CODIGO DEL PRODUCTO]],Tabla7[],2,FALSE)</f>
        <v>PIEDRA 6-20</v>
      </c>
      <c r="T177" s="37">
        <v>35060</v>
      </c>
    </row>
    <row r="178" spans="8:20" x14ac:dyDescent="0.25">
      <c r="H178" s="34">
        <v>6822</v>
      </c>
      <c r="I178" s="34" t="s">
        <v>170</v>
      </c>
      <c r="J178" s="35">
        <v>45609</v>
      </c>
      <c r="K178" s="36" t="s">
        <v>43</v>
      </c>
      <c r="L178" s="39" t="str">
        <f>VLOOKUP(Tabla8[[#This Row],[CODIGO DEL PRODUCTO]],Tabla7[],2,FALSE)</f>
        <v>PIEDRA 6-20</v>
      </c>
      <c r="M178" s="37">
        <v>2000</v>
      </c>
      <c r="O178" s="34">
        <v>127011</v>
      </c>
      <c r="P178" s="34" t="s">
        <v>119</v>
      </c>
      <c r="Q178" s="35">
        <v>45597</v>
      </c>
      <c r="R178" s="36" t="s">
        <v>46</v>
      </c>
      <c r="S178" s="36" t="str">
        <f>VLOOKUP(Tabla9[[#This Row],[CODIGO DEL PRODUCTO]],Tabla7[],2,FALSE)</f>
        <v>PIEDRA 10-30</v>
      </c>
      <c r="T178" s="37">
        <v>35380</v>
      </c>
    </row>
    <row r="179" spans="8:20" x14ac:dyDescent="0.25">
      <c r="H179" s="34"/>
      <c r="I179" s="34"/>
      <c r="J179" s="35">
        <v>45609</v>
      </c>
      <c r="K179" s="36" t="s">
        <v>42</v>
      </c>
      <c r="L179" s="39" t="str">
        <f>VLOOKUP(Tabla8[[#This Row],[CODIGO DEL PRODUCTO]],Tabla7[],2,FALSE)</f>
        <v>ARENA FINA</v>
      </c>
      <c r="M179" s="37">
        <v>2000</v>
      </c>
      <c r="O179" s="34">
        <v>127032</v>
      </c>
      <c r="P179" s="34" t="s">
        <v>120</v>
      </c>
      <c r="Q179" s="35">
        <v>45597</v>
      </c>
      <c r="R179" s="36" t="s">
        <v>43</v>
      </c>
      <c r="S179" s="36" t="str">
        <f>VLOOKUP(Tabla9[[#This Row],[CODIGO DEL PRODUCTO]],Tabla7[],2,FALSE)</f>
        <v>PIEDRA 6-20</v>
      </c>
      <c r="T179" s="37">
        <v>36400</v>
      </c>
    </row>
    <row r="180" spans="8:20" x14ac:dyDescent="0.25">
      <c r="H180" s="34">
        <v>19204</v>
      </c>
      <c r="I180" s="34" t="s">
        <v>66</v>
      </c>
      <c r="J180" s="35">
        <v>45609</v>
      </c>
      <c r="K180" s="36" t="s">
        <v>43</v>
      </c>
      <c r="L180" s="39" t="str">
        <f>VLOOKUP(Tabla8[[#This Row],[CODIGO DEL PRODUCTO]],Tabla7[],2,FALSE)</f>
        <v>PIEDRA 6-20</v>
      </c>
      <c r="M180" s="37">
        <v>30940</v>
      </c>
      <c r="O180" s="34">
        <v>127055</v>
      </c>
      <c r="P180" s="34" t="s">
        <v>123</v>
      </c>
      <c r="Q180" s="35">
        <v>45597</v>
      </c>
      <c r="R180" s="36" t="s">
        <v>43</v>
      </c>
      <c r="S180" s="36" t="str">
        <f>VLOOKUP(Tabla9[[#This Row],[CODIGO DEL PRODUCTO]],Tabla7[],2,FALSE)</f>
        <v>PIEDRA 6-20</v>
      </c>
      <c r="T180" s="37">
        <v>35440</v>
      </c>
    </row>
    <row r="181" spans="8:20" x14ac:dyDescent="0.25">
      <c r="H181" s="34">
        <v>19205</v>
      </c>
      <c r="I181" s="34" t="s">
        <v>66</v>
      </c>
      <c r="J181" s="35">
        <v>45609</v>
      </c>
      <c r="K181" s="36" t="s">
        <v>43</v>
      </c>
      <c r="L181" s="39" t="str">
        <f>VLOOKUP(Tabla8[[#This Row],[CODIGO DEL PRODUCTO]],Tabla7[],2,FALSE)</f>
        <v>PIEDRA 6-20</v>
      </c>
      <c r="M181" s="37">
        <v>31340</v>
      </c>
      <c r="O181" s="34">
        <v>127056</v>
      </c>
      <c r="P181" s="34" t="s">
        <v>118</v>
      </c>
      <c r="Q181" s="35">
        <v>45597</v>
      </c>
      <c r="R181" s="36" t="s">
        <v>43</v>
      </c>
      <c r="S181" s="36" t="str">
        <f>VLOOKUP(Tabla9[[#This Row],[CODIGO DEL PRODUCTO]],Tabla7[],2,FALSE)</f>
        <v>PIEDRA 6-20</v>
      </c>
      <c r="T181" s="37">
        <v>34940</v>
      </c>
    </row>
    <row r="182" spans="8:20" x14ac:dyDescent="0.25">
      <c r="H182" s="34">
        <v>6862</v>
      </c>
      <c r="I182" s="34" t="s">
        <v>171</v>
      </c>
      <c r="J182" s="35">
        <v>45610</v>
      </c>
      <c r="K182" s="36" t="s">
        <v>42</v>
      </c>
      <c r="L182" s="39" t="str">
        <f>VLOOKUP(Tabla8[[#This Row],[CODIGO DEL PRODUCTO]],Tabla7[],2,FALSE)</f>
        <v>ARENA FINA</v>
      </c>
      <c r="M182" s="37">
        <v>1000</v>
      </c>
      <c r="O182" s="34">
        <v>127057</v>
      </c>
      <c r="P182" s="34" t="s">
        <v>116</v>
      </c>
      <c r="Q182" s="35">
        <v>45597</v>
      </c>
      <c r="R182" s="36" t="s">
        <v>43</v>
      </c>
      <c r="S182" s="36" t="str">
        <f>VLOOKUP(Tabla9[[#This Row],[CODIGO DEL PRODUCTO]],Tabla7[],2,FALSE)</f>
        <v>PIEDRA 6-20</v>
      </c>
      <c r="T182" s="37">
        <v>34560</v>
      </c>
    </row>
    <row r="183" spans="8:20" x14ac:dyDescent="0.25">
      <c r="H183" s="34">
        <v>19208</v>
      </c>
      <c r="I183" s="34" t="s">
        <v>66</v>
      </c>
      <c r="J183" s="35">
        <v>45610</v>
      </c>
      <c r="K183" s="36" t="s">
        <v>43</v>
      </c>
      <c r="L183" s="39" t="str">
        <f>VLOOKUP(Tabla8[[#This Row],[CODIGO DEL PRODUCTO]],Tabla7[],2,FALSE)</f>
        <v>PIEDRA 6-20</v>
      </c>
      <c r="M183" s="37">
        <v>32520</v>
      </c>
      <c r="O183" s="34">
        <v>2586704</v>
      </c>
      <c r="P183" s="34" t="s">
        <v>65</v>
      </c>
      <c r="Q183" s="35">
        <v>45597</v>
      </c>
      <c r="R183" s="36" t="s">
        <v>45</v>
      </c>
      <c r="S183" s="36" t="str">
        <f>VLOOKUP(Tabla9[[#This Row],[CODIGO DEL PRODUCTO]],Tabla7[],2,FALSE)</f>
        <v>CPF 40 AVELLANEDA</v>
      </c>
      <c r="T183" s="37">
        <v>32480</v>
      </c>
    </row>
    <row r="184" spans="8:20" x14ac:dyDescent="0.25">
      <c r="H184" s="34">
        <v>19209</v>
      </c>
      <c r="I184" s="34" t="s">
        <v>66</v>
      </c>
      <c r="J184" s="35">
        <v>45610</v>
      </c>
      <c r="K184" s="36" t="s">
        <v>43</v>
      </c>
      <c r="L184" s="39" t="str">
        <f>VLOOKUP(Tabla8[[#This Row],[CODIGO DEL PRODUCTO]],Tabla7[],2,FALSE)</f>
        <v>PIEDRA 6-20</v>
      </c>
      <c r="M184" s="37">
        <v>32540</v>
      </c>
      <c r="O184" s="34">
        <v>94371</v>
      </c>
      <c r="P184" s="34" t="s">
        <v>150</v>
      </c>
      <c r="Q184" s="35">
        <v>45598</v>
      </c>
      <c r="R184" s="36" t="s">
        <v>40</v>
      </c>
      <c r="S184" s="36" t="str">
        <f>VLOOKUP(Tabla9[[#This Row],[CODIGO DEL PRODUCTO]],Tabla7[],2,FALSE)</f>
        <v>PIEDRA 0-6</v>
      </c>
      <c r="T184" s="37">
        <v>35160</v>
      </c>
    </row>
    <row r="185" spans="8:20" x14ac:dyDescent="0.25">
      <c r="H185" s="34">
        <v>19213</v>
      </c>
      <c r="I185" s="34" t="s">
        <v>66</v>
      </c>
      <c r="J185" s="35">
        <v>45615</v>
      </c>
      <c r="K185" s="36" t="s">
        <v>43</v>
      </c>
      <c r="L185" s="39" t="str">
        <f>VLOOKUP(Tabla8[[#This Row],[CODIGO DEL PRODUCTO]],Tabla7[],2,FALSE)</f>
        <v>PIEDRA 6-20</v>
      </c>
      <c r="M185" s="37">
        <v>32040</v>
      </c>
      <c r="O185" s="34">
        <v>127093</v>
      </c>
      <c r="P185" s="34" t="s">
        <v>140</v>
      </c>
      <c r="Q185" s="35">
        <v>45598</v>
      </c>
      <c r="R185" s="36" t="s">
        <v>43</v>
      </c>
      <c r="S185" s="36" t="str">
        <f>VLOOKUP(Tabla9[[#This Row],[CODIGO DEL PRODUCTO]],Tabla7[],2,FALSE)</f>
        <v>PIEDRA 6-20</v>
      </c>
      <c r="T185" s="37">
        <v>34220</v>
      </c>
    </row>
    <row r="186" spans="8:20" x14ac:dyDescent="0.25">
      <c r="H186" s="34">
        <v>19215</v>
      </c>
      <c r="I186" s="34" t="s">
        <v>66</v>
      </c>
      <c r="J186" s="35">
        <v>45615</v>
      </c>
      <c r="K186" s="36" t="s">
        <v>43</v>
      </c>
      <c r="L186" s="39" t="str">
        <f>VLOOKUP(Tabla8[[#This Row],[CODIGO DEL PRODUCTO]],Tabla7[],2,FALSE)</f>
        <v>PIEDRA 6-20</v>
      </c>
      <c r="M186" s="37">
        <v>31720</v>
      </c>
      <c r="O186" s="34">
        <v>127094</v>
      </c>
      <c r="P186" s="34" t="s">
        <v>123</v>
      </c>
      <c r="Q186" s="35">
        <v>45598</v>
      </c>
      <c r="R186" s="36" t="s">
        <v>43</v>
      </c>
      <c r="S186" s="36" t="str">
        <f>VLOOKUP(Tabla9[[#This Row],[CODIGO DEL PRODUCTO]],Tabla7[],2,FALSE)</f>
        <v>PIEDRA 6-20</v>
      </c>
      <c r="T186" s="37">
        <v>34160</v>
      </c>
    </row>
    <row r="187" spans="8:20" x14ac:dyDescent="0.25">
      <c r="H187" s="34">
        <v>19216</v>
      </c>
      <c r="I187" s="34" t="s">
        <v>66</v>
      </c>
      <c r="J187" s="35">
        <v>45615</v>
      </c>
      <c r="K187" s="36" t="s">
        <v>43</v>
      </c>
      <c r="L187" s="39" t="str">
        <f>VLOOKUP(Tabla8[[#This Row],[CODIGO DEL PRODUCTO]],Tabla7[],2,FALSE)</f>
        <v>PIEDRA 6-20</v>
      </c>
      <c r="M187" s="37">
        <v>31940</v>
      </c>
      <c r="O187" s="34">
        <v>127095</v>
      </c>
      <c r="P187" s="34" t="s">
        <v>116</v>
      </c>
      <c r="Q187" s="35">
        <v>45598</v>
      </c>
      <c r="R187" s="36" t="s">
        <v>43</v>
      </c>
      <c r="S187" s="36" t="str">
        <f>VLOOKUP(Tabla9[[#This Row],[CODIGO DEL PRODUCTO]],Tabla7[],2,FALSE)</f>
        <v>PIEDRA 6-20</v>
      </c>
      <c r="T187" s="37">
        <v>34320</v>
      </c>
    </row>
    <row r="188" spans="8:20" x14ac:dyDescent="0.25">
      <c r="H188" s="34">
        <v>6919</v>
      </c>
      <c r="I188" s="34" t="s">
        <v>176</v>
      </c>
      <c r="J188" s="35">
        <v>45615</v>
      </c>
      <c r="K188" s="36" t="s">
        <v>42</v>
      </c>
      <c r="L188" s="39" t="str">
        <f>VLOOKUP(Tabla8[[#This Row],[CODIGO DEL PRODUCTO]],Tabla7[],2,FALSE)</f>
        <v>ARENA FINA</v>
      </c>
      <c r="M188" s="37">
        <v>3000</v>
      </c>
      <c r="O188" s="34">
        <v>127096</v>
      </c>
      <c r="P188" s="34" t="s">
        <v>134</v>
      </c>
      <c r="Q188" s="35">
        <v>45598</v>
      </c>
      <c r="R188" s="36" t="s">
        <v>43</v>
      </c>
      <c r="S188" s="36" t="str">
        <f>VLOOKUP(Tabla9[[#This Row],[CODIGO DEL PRODUCTO]],Tabla7[],2,FALSE)</f>
        <v>PIEDRA 6-20</v>
      </c>
      <c r="T188" s="37">
        <v>34200</v>
      </c>
    </row>
    <row r="189" spans="8:20" x14ac:dyDescent="0.25">
      <c r="H189" s="34"/>
      <c r="I189" s="34" t="s">
        <v>53</v>
      </c>
      <c r="J189" s="35">
        <v>45607</v>
      </c>
      <c r="K189" s="36" t="s">
        <v>42</v>
      </c>
      <c r="L189" s="39" t="str">
        <f>VLOOKUP(Tabla8[[#This Row],[CODIGO DEL PRODUCTO]],Tabla7[],2,FALSE)</f>
        <v>ARENA FINA</v>
      </c>
      <c r="M189" s="37">
        <v>263670</v>
      </c>
      <c r="O189" s="34">
        <v>127099</v>
      </c>
      <c r="P189" s="34" t="s">
        <v>117</v>
      </c>
      <c r="Q189" s="35">
        <v>45598</v>
      </c>
      <c r="R189" s="36" t="s">
        <v>46</v>
      </c>
      <c r="S189" s="36" t="str">
        <f>VLOOKUP(Tabla9[[#This Row],[CODIGO DEL PRODUCTO]],Tabla7[],2,FALSE)</f>
        <v>PIEDRA 10-30</v>
      </c>
      <c r="T189" s="37">
        <v>35460</v>
      </c>
    </row>
    <row r="190" spans="8:20" x14ac:dyDescent="0.25">
      <c r="H190" s="34"/>
      <c r="I190" s="34" t="s">
        <v>53</v>
      </c>
      <c r="J190" s="35">
        <v>45608</v>
      </c>
      <c r="K190" s="36" t="s">
        <v>40</v>
      </c>
      <c r="L190" s="39" t="str">
        <f>VLOOKUP(Tabla8[[#This Row],[CODIGO DEL PRODUCTO]],Tabla7[],2,FALSE)</f>
        <v>PIEDRA 0-6</v>
      </c>
      <c r="M190" s="37">
        <v>217114</v>
      </c>
      <c r="O190" s="34">
        <v>127105</v>
      </c>
      <c r="P190" s="34" t="s">
        <v>132</v>
      </c>
      <c r="Q190" s="35">
        <v>45598</v>
      </c>
      <c r="R190" s="36" t="s">
        <v>43</v>
      </c>
      <c r="S190" s="36" t="str">
        <f>VLOOKUP(Tabla9[[#This Row],[CODIGO DEL PRODUCTO]],Tabla7[],2,FALSE)</f>
        <v>PIEDRA 6-20</v>
      </c>
      <c r="T190" s="37">
        <v>37180</v>
      </c>
    </row>
    <row r="191" spans="8:20" x14ac:dyDescent="0.25">
      <c r="H191" s="34"/>
      <c r="I191" s="34" t="s">
        <v>53</v>
      </c>
      <c r="J191" s="35">
        <v>45609</v>
      </c>
      <c r="K191" s="36" t="s">
        <v>45</v>
      </c>
      <c r="L191" s="39" t="str">
        <f>VLOOKUP(Tabla8[[#This Row],[CODIGO DEL PRODUCTO]],Tabla7[],2,FALSE)</f>
        <v>CPF 40 AVELLANEDA</v>
      </c>
      <c r="M191" s="37">
        <v>154195</v>
      </c>
      <c r="O191" s="34">
        <v>2587046</v>
      </c>
      <c r="P191" s="34" t="s">
        <v>65</v>
      </c>
      <c r="Q191" s="35">
        <v>45598</v>
      </c>
      <c r="R191" s="36" t="s">
        <v>45</v>
      </c>
      <c r="S191" s="36" t="str">
        <f>VLOOKUP(Tabla9[[#This Row],[CODIGO DEL PRODUCTO]],Tabla7[],2,FALSE)</f>
        <v>CPF 40 AVELLANEDA</v>
      </c>
      <c r="T191" s="37">
        <v>32480</v>
      </c>
    </row>
    <row r="192" spans="8:20" x14ac:dyDescent="0.25">
      <c r="H192" s="34"/>
      <c r="I192" s="34" t="s">
        <v>53</v>
      </c>
      <c r="J192" s="35">
        <v>45610</v>
      </c>
      <c r="K192" s="36" t="s">
        <v>50</v>
      </c>
      <c r="L192" s="39" t="str">
        <f>VLOOKUP(Tabla8[[#This Row],[CODIGO DEL PRODUCTO]],Tabla7[],2,FALSE)</f>
        <v>MIRA SET 453 (ADITIVO)</v>
      </c>
      <c r="M192" s="37">
        <v>875.29</v>
      </c>
      <c r="O192" s="34">
        <v>94386</v>
      </c>
      <c r="P192" s="34" t="s">
        <v>144</v>
      </c>
      <c r="Q192" s="35">
        <v>45600</v>
      </c>
      <c r="R192" s="36" t="s">
        <v>40</v>
      </c>
      <c r="S192" s="36" t="str">
        <f>VLOOKUP(Tabla9[[#This Row],[CODIGO DEL PRODUCTO]],Tabla7[],2,FALSE)</f>
        <v>PIEDRA 0-6</v>
      </c>
      <c r="T192" s="37">
        <v>34380</v>
      </c>
    </row>
    <row r="193" spans="8:20" x14ac:dyDescent="0.25">
      <c r="H193" s="34"/>
      <c r="I193" s="34" t="s">
        <v>53</v>
      </c>
      <c r="J193" s="35">
        <v>45611</v>
      </c>
      <c r="K193" s="36" t="s">
        <v>48</v>
      </c>
      <c r="L193" s="39" t="str">
        <f>VLOOKUP(Tabla8[[#This Row],[CODIGO DEL PRODUCTO]],Tabla7[],2,FALSE)</f>
        <v>PIEDRA 6-12</v>
      </c>
      <c r="M193" s="37">
        <v>132710</v>
      </c>
      <c r="O193" s="34">
        <v>94389</v>
      </c>
      <c r="P193" s="34" t="s">
        <v>138</v>
      </c>
      <c r="Q193" s="35">
        <v>45600</v>
      </c>
      <c r="R193" s="36" t="s">
        <v>43</v>
      </c>
      <c r="S193" s="36" t="str">
        <f>VLOOKUP(Tabla9[[#This Row],[CODIGO DEL PRODUCTO]],Tabla7[],2,FALSE)</f>
        <v>PIEDRA 6-20</v>
      </c>
      <c r="T193" s="37">
        <v>32620</v>
      </c>
    </row>
    <row r="194" spans="8:20" x14ac:dyDescent="0.25">
      <c r="H194" s="34"/>
      <c r="I194" s="34" t="s">
        <v>53</v>
      </c>
      <c r="J194" s="35">
        <v>45612</v>
      </c>
      <c r="K194" s="36" t="s">
        <v>46</v>
      </c>
      <c r="L194" s="39" t="str">
        <f>VLOOKUP(Tabla8[[#This Row],[CODIGO DEL PRODUCTO]],Tabla7[],2,FALSE)</f>
        <v>PIEDRA 10-30</v>
      </c>
      <c r="M194" s="37">
        <v>9702</v>
      </c>
      <c r="O194" s="34">
        <v>127146</v>
      </c>
      <c r="P194" s="34" t="s">
        <v>119</v>
      </c>
      <c r="Q194" s="35">
        <v>45600</v>
      </c>
      <c r="R194" s="36" t="s">
        <v>43</v>
      </c>
      <c r="S194" s="36" t="str">
        <f>VLOOKUP(Tabla9[[#This Row],[CODIGO DEL PRODUCTO]],Tabla7[],2,FALSE)</f>
        <v>PIEDRA 6-20</v>
      </c>
      <c r="T194" s="37">
        <v>35780</v>
      </c>
    </row>
    <row r="195" spans="8:20" x14ac:dyDescent="0.25">
      <c r="H195" s="34"/>
      <c r="I195" s="34" t="s">
        <v>53</v>
      </c>
      <c r="J195" s="35">
        <v>45612</v>
      </c>
      <c r="K195" s="36" t="s">
        <v>43</v>
      </c>
      <c r="L195" s="39" t="str">
        <f>VLOOKUP(Tabla8[[#This Row],[CODIGO DEL PRODUCTO]],Tabla7[],2,FALSE)</f>
        <v>PIEDRA 6-20</v>
      </c>
      <c r="M195" s="37">
        <v>293017</v>
      </c>
      <c r="O195" s="34">
        <v>127147</v>
      </c>
      <c r="P195" s="34" t="s">
        <v>118</v>
      </c>
      <c r="Q195" s="35">
        <v>45600</v>
      </c>
      <c r="R195" s="36" t="s">
        <v>43</v>
      </c>
      <c r="S195" s="36" t="str">
        <f>VLOOKUP(Tabla9[[#This Row],[CODIGO DEL PRODUCTO]],Tabla7[],2,FALSE)</f>
        <v>PIEDRA 6-20</v>
      </c>
      <c r="T195" s="37">
        <v>35200</v>
      </c>
    </row>
    <row r="196" spans="8:20" x14ac:dyDescent="0.25">
      <c r="H196" s="34">
        <v>6938</v>
      </c>
      <c r="I196" s="34" t="s">
        <v>179</v>
      </c>
      <c r="J196" s="35">
        <v>45616</v>
      </c>
      <c r="K196" s="36" t="s">
        <v>42</v>
      </c>
      <c r="L196" s="39" t="str">
        <f>VLOOKUP(Tabla8[[#This Row],[CODIGO DEL PRODUCTO]],Tabla7[],2,FALSE)</f>
        <v>ARENA FINA</v>
      </c>
      <c r="M196" s="37">
        <v>5000</v>
      </c>
      <c r="O196" s="34">
        <v>127148</v>
      </c>
      <c r="P196" s="34" t="s">
        <v>123</v>
      </c>
      <c r="Q196" s="35">
        <v>45600</v>
      </c>
      <c r="R196" s="36" t="s">
        <v>43</v>
      </c>
      <c r="S196" s="36" t="str">
        <f>VLOOKUP(Tabla9[[#This Row],[CODIGO DEL PRODUCTO]],Tabla7[],2,FALSE)</f>
        <v>PIEDRA 6-20</v>
      </c>
      <c r="T196" s="37">
        <v>34280</v>
      </c>
    </row>
    <row r="197" spans="8:20" x14ac:dyDescent="0.25">
      <c r="H197" s="34"/>
      <c r="I197" s="34"/>
      <c r="J197" s="35">
        <v>45616</v>
      </c>
      <c r="K197" s="36" t="s">
        <v>43</v>
      </c>
      <c r="L197" s="39" t="str">
        <f>VLOOKUP(Tabla8[[#This Row],[CODIGO DEL PRODUCTO]],Tabla7[],2,FALSE)</f>
        <v>PIEDRA 6-20</v>
      </c>
      <c r="M197" s="37">
        <v>1000</v>
      </c>
      <c r="O197" s="34">
        <v>127152</v>
      </c>
      <c r="P197" s="34" t="s">
        <v>120</v>
      </c>
      <c r="Q197" s="35">
        <v>45600</v>
      </c>
      <c r="R197" s="36" t="s">
        <v>43</v>
      </c>
      <c r="S197" s="36" t="str">
        <f>VLOOKUP(Tabla9[[#This Row],[CODIGO DEL PRODUCTO]],Tabla7[],2,FALSE)</f>
        <v>PIEDRA 6-20</v>
      </c>
      <c r="T197" s="37">
        <v>35660</v>
      </c>
    </row>
    <row r="198" spans="8:20" x14ac:dyDescent="0.25">
      <c r="H198" s="34">
        <v>6963</v>
      </c>
      <c r="I198" s="34" t="s">
        <v>180</v>
      </c>
      <c r="J198" s="35">
        <v>45617</v>
      </c>
      <c r="K198" s="36" t="s">
        <v>42</v>
      </c>
      <c r="L198" s="39" t="str">
        <f>VLOOKUP(Tabla8[[#This Row],[CODIGO DEL PRODUCTO]],Tabla7[],2,FALSE)</f>
        <v>ARENA FINA</v>
      </c>
      <c r="M198" s="37">
        <v>5140</v>
      </c>
      <c r="O198" s="34">
        <v>2587386</v>
      </c>
      <c r="P198" s="34" t="s">
        <v>65</v>
      </c>
      <c r="Q198" s="35">
        <v>45600</v>
      </c>
      <c r="R198" s="36" t="s">
        <v>45</v>
      </c>
      <c r="S198" s="36" t="str">
        <f>VLOOKUP(Tabla9[[#This Row],[CODIGO DEL PRODUCTO]],Tabla7[],2,FALSE)</f>
        <v>CPF 40 AVELLANEDA</v>
      </c>
      <c r="T198" s="37">
        <v>31980</v>
      </c>
    </row>
    <row r="199" spans="8:20" x14ac:dyDescent="0.25">
      <c r="H199" s="34">
        <v>6947</v>
      </c>
      <c r="I199" s="34" t="s">
        <v>181</v>
      </c>
      <c r="J199" s="35">
        <v>45616</v>
      </c>
      <c r="K199" s="36" t="s">
        <v>42</v>
      </c>
      <c r="L199" s="39" t="str">
        <f>VLOOKUP(Tabla8[[#This Row],[CODIGO DEL PRODUCTO]],Tabla7[],2,FALSE)</f>
        <v>ARENA FINA</v>
      </c>
      <c r="M199" s="37">
        <v>1000</v>
      </c>
      <c r="O199" s="34">
        <v>23833</v>
      </c>
      <c r="P199" s="34" t="s">
        <v>64</v>
      </c>
      <c r="Q199" s="35">
        <v>45601</v>
      </c>
      <c r="R199" s="36" t="s">
        <v>42</v>
      </c>
      <c r="S199" s="36" t="str">
        <f>VLOOKUP(Tabla9[[#This Row],[CODIGO DEL PRODUCTO]],Tabla7[],2,FALSE)</f>
        <v>ARENA FINA</v>
      </c>
      <c r="T199" s="37">
        <v>36240</v>
      </c>
    </row>
    <row r="200" spans="8:20" x14ac:dyDescent="0.25">
      <c r="H200" s="34">
        <v>6969</v>
      </c>
      <c r="I200" s="34" t="s">
        <v>182</v>
      </c>
      <c r="J200" s="35">
        <v>45617</v>
      </c>
      <c r="K200" s="36" t="s">
        <v>42</v>
      </c>
      <c r="L200" s="39" t="str">
        <f>VLOOKUP(Tabla8[[#This Row],[CODIGO DEL PRODUCTO]],Tabla7[],2,FALSE)</f>
        <v>ARENA FINA</v>
      </c>
      <c r="M200" s="37">
        <v>2000</v>
      </c>
      <c r="O200" s="34">
        <v>23849</v>
      </c>
      <c r="P200" s="34" t="s">
        <v>64</v>
      </c>
      <c r="Q200" s="35">
        <v>45601</v>
      </c>
      <c r="R200" s="36" t="s">
        <v>42</v>
      </c>
      <c r="S200" s="36" t="str">
        <f>VLOOKUP(Tabla9[[#This Row],[CODIGO DEL PRODUCTO]],Tabla7[],2,FALSE)</f>
        <v>ARENA FINA</v>
      </c>
      <c r="T200" s="37">
        <v>34960</v>
      </c>
    </row>
    <row r="201" spans="8:20" x14ac:dyDescent="0.25">
      <c r="H201" s="34"/>
      <c r="I201" s="34"/>
      <c r="J201" s="35">
        <v>45617</v>
      </c>
      <c r="K201" s="36" t="s">
        <v>43</v>
      </c>
      <c r="L201" s="39" t="str">
        <f>VLOOKUP(Tabla8[[#This Row],[CODIGO DEL PRODUCTO]],Tabla7[],2,FALSE)</f>
        <v>PIEDRA 6-20</v>
      </c>
      <c r="M201" s="37">
        <v>2000</v>
      </c>
      <c r="O201" s="34">
        <v>94395</v>
      </c>
      <c r="P201" s="34" t="s">
        <v>150</v>
      </c>
      <c r="Q201" s="35">
        <v>45601</v>
      </c>
      <c r="R201" s="36" t="s">
        <v>40</v>
      </c>
      <c r="S201" s="36" t="str">
        <f>VLOOKUP(Tabla9[[#This Row],[CODIGO DEL PRODUCTO]],Tabla7[],2,FALSE)</f>
        <v>PIEDRA 0-6</v>
      </c>
      <c r="T201" s="37">
        <v>34540</v>
      </c>
    </row>
    <row r="202" spans="8:20" x14ac:dyDescent="0.25">
      <c r="H202" s="34">
        <v>6970</v>
      </c>
      <c r="I202" s="34" t="s">
        <v>183</v>
      </c>
      <c r="J202" s="35">
        <v>45617</v>
      </c>
      <c r="K202" s="36" t="s">
        <v>42</v>
      </c>
      <c r="L202" s="39" t="str">
        <f>VLOOKUP(Tabla8[[#This Row],[CODIGO DEL PRODUCTO]],Tabla7[],2,FALSE)</f>
        <v>ARENA FINA</v>
      </c>
      <c r="M202" s="37">
        <v>4000</v>
      </c>
      <c r="O202" s="34">
        <v>94399</v>
      </c>
      <c r="P202" s="34" t="s">
        <v>155</v>
      </c>
      <c r="Q202" s="35">
        <v>45601</v>
      </c>
      <c r="R202" s="36" t="s">
        <v>43</v>
      </c>
      <c r="S202" s="36" t="str">
        <f>VLOOKUP(Tabla9[[#This Row],[CODIGO DEL PRODUCTO]],Tabla7[],2,FALSE)</f>
        <v>PIEDRA 6-20</v>
      </c>
      <c r="T202" s="37">
        <v>34420</v>
      </c>
    </row>
    <row r="203" spans="8:20" x14ac:dyDescent="0.25">
      <c r="H203" s="34">
        <v>6983</v>
      </c>
      <c r="I203" s="34" t="s">
        <v>184</v>
      </c>
      <c r="J203" s="35">
        <v>45618</v>
      </c>
      <c r="K203" s="36" t="s">
        <v>42</v>
      </c>
      <c r="L203" s="39" t="str">
        <f>VLOOKUP(Tabla8[[#This Row],[CODIGO DEL PRODUCTO]],Tabla7[],2,FALSE)</f>
        <v>ARENA FINA</v>
      </c>
      <c r="M203" s="37">
        <v>4000</v>
      </c>
      <c r="O203" s="34">
        <v>94400</v>
      </c>
      <c r="P203" s="34" t="s">
        <v>151</v>
      </c>
      <c r="Q203" s="35">
        <v>45601</v>
      </c>
      <c r="R203" s="36" t="s">
        <v>43</v>
      </c>
      <c r="S203" s="36" t="str">
        <f>VLOOKUP(Tabla9[[#This Row],[CODIGO DEL PRODUCTO]],Tabla7[],2,FALSE)</f>
        <v>PIEDRA 6-20</v>
      </c>
      <c r="T203" s="37">
        <v>33920</v>
      </c>
    </row>
    <row r="204" spans="8:20" x14ac:dyDescent="0.25">
      <c r="H204" s="34"/>
      <c r="I204" s="34"/>
      <c r="J204" s="35">
        <v>45618</v>
      </c>
      <c r="K204" s="36" t="s">
        <v>43</v>
      </c>
      <c r="L204" s="39" t="str">
        <f>VLOOKUP(Tabla8[[#This Row],[CODIGO DEL PRODUCTO]],Tabla7[],2,FALSE)</f>
        <v>PIEDRA 6-20</v>
      </c>
      <c r="M204" s="37">
        <v>1000</v>
      </c>
      <c r="O204" s="34">
        <v>94409</v>
      </c>
      <c r="P204" s="34" t="s">
        <v>144</v>
      </c>
      <c r="Q204" s="35">
        <v>45601</v>
      </c>
      <c r="R204" s="36" t="s">
        <v>40</v>
      </c>
      <c r="S204" s="36" t="str">
        <f>VLOOKUP(Tabla9[[#This Row],[CODIGO DEL PRODUCTO]],Tabla7[],2,FALSE)</f>
        <v>PIEDRA 0-6</v>
      </c>
      <c r="T204" s="37">
        <v>35560</v>
      </c>
    </row>
    <row r="205" spans="8:20" x14ac:dyDescent="0.25">
      <c r="H205" s="34"/>
      <c r="I205" s="34" t="s">
        <v>53</v>
      </c>
      <c r="J205" s="35">
        <v>45615</v>
      </c>
      <c r="K205" s="36" t="s">
        <v>42</v>
      </c>
      <c r="L205" s="39" t="str">
        <f>VLOOKUP(Tabla8[[#This Row],[CODIGO DEL PRODUCTO]],Tabla7[],2,FALSE)</f>
        <v>ARENA FINA</v>
      </c>
      <c r="M205" s="37">
        <v>144894</v>
      </c>
      <c r="O205" s="34">
        <v>94416</v>
      </c>
      <c r="P205" s="34" t="s">
        <v>138</v>
      </c>
      <c r="Q205" s="35">
        <v>45601</v>
      </c>
      <c r="R205" s="36" t="s">
        <v>43</v>
      </c>
      <c r="S205" s="36" t="str">
        <f>VLOOKUP(Tabla9[[#This Row],[CODIGO DEL PRODUCTO]],Tabla7[],2,FALSE)</f>
        <v>PIEDRA 6-20</v>
      </c>
      <c r="T205" s="37">
        <v>33220</v>
      </c>
    </row>
    <row r="206" spans="8:20" x14ac:dyDescent="0.25">
      <c r="H206" s="34"/>
      <c r="I206" s="34" t="s">
        <v>53</v>
      </c>
      <c r="J206" s="35">
        <v>45616</v>
      </c>
      <c r="K206" s="36" t="s">
        <v>40</v>
      </c>
      <c r="L206" s="39" t="str">
        <f>VLOOKUP(Tabla8[[#This Row],[CODIGO DEL PRODUCTO]],Tabla7[],2,FALSE)</f>
        <v>PIEDRA 0-6</v>
      </c>
      <c r="M206" s="37">
        <v>122736</v>
      </c>
      <c r="O206" s="34">
        <v>94419</v>
      </c>
      <c r="P206" s="34" t="s">
        <v>156</v>
      </c>
      <c r="Q206" s="35">
        <v>45601</v>
      </c>
      <c r="R206" s="36" t="s">
        <v>43</v>
      </c>
      <c r="S206" s="36" t="str">
        <f>VLOOKUP(Tabla9[[#This Row],[CODIGO DEL PRODUCTO]],Tabla7[],2,FALSE)</f>
        <v>PIEDRA 6-20</v>
      </c>
      <c r="T206" s="37">
        <v>35500</v>
      </c>
    </row>
    <row r="207" spans="8:20" x14ac:dyDescent="0.25">
      <c r="H207" s="34"/>
      <c r="I207" s="34" t="s">
        <v>53</v>
      </c>
      <c r="J207" s="35">
        <v>45617</v>
      </c>
      <c r="K207" s="36" t="s">
        <v>45</v>
      </c>
      <c r="L207" s="39" t="str">
        <f>VLOOKUP(Tabla8[[#This Row],[CODIGO DEL PRODUCTO]],Tabla7[],2,FALSE)</f>
        <v>CPF 40 AVELLANEDA</v>
      </c>
      <c r="M207" s="37">
        <v>86198</v>
      </c>
      <c r="O207" s="34">
        <v>127189</v>
      </c>
      <c r="P207" s="34" t="s">
        <v>116</v>
      </c>
      <c r="Q207" s="35">
        <v>45601</v>
      </c>
      <c r="R207" s="36" t="s">
        <v>43</v>
      </c>
      <c r="S207" s="36" t="str">
        <f>VLOOKUP(Tabla9[[#This Row],[CODIGO DEL PRODUCTO]],Tabla7[],2,FALSE)</f>
        <v>PIEDRA 6-20</v>
      </c>
      <c r="T207" s="37">
        <v>35220</v>
      </c>
    </row>
    <row r="208" spans="8:20" x14ac:dyDescent="0.25">
      <c r="H208" s="34"/>
      <c r="I208" s="34" t="s">
        <v>53</v>
      </c>
      <c r="J208" s="35">
        <v>45618</v>
      </c>
      <c r="K208" s="36" t="s">
        <v>50</v>
      </c>
      <c r="L208" s="39" t="str">
        <f>VLOOKUP(Tabla8[[#This Row],[CODIGO DEL PRODUCTO]],Tabla7[],2,FALSE)</f>
        <v>MIRA SET 453 (ADITIVO)</v>
      </c>
      <c r="M208" s="37">
        <v>506.45</v>
      </c>
      <c r="O208" s="34">
        <v>2587624</v>
      </c>
      <c r="P208" s="34" t="s">
        <v>65</v>
      </c>
      <c r="Q208" s="35">
        <v>45601</v>
      </c>
      <c r="R208" s="36" t="s">
        <v>45</v>
      </c>
      <c r="S208" s="36" t="str">
        <f>VLOOKUP(Tabla9[[#This Row],[CODIGO DEL PRODUCTO]],Tabla7[],2,FALSE)</f>
        <v>CPF 40 AVELLANEDA</v>
      </c>
      <c r="T208" s="37">
        <v>31860</v>
      </c>
    </row>
    <row r="209" spans="8:20" x14ac:dyDescent="0.25">
      <c r="H209" s="34"/>
      <c r="I209" s="34" t="s">
        <v>53</v>
      </c>
      <c r="J209" s="35">
        <v>45619</v>
      </c>
      <c r="K209" s="36" t="s">
        <v>48</v>
      </c>
      <c r="L209" s="39" t="str">
        <f>VLOOKUP(Tabla8[[#This Row],[CODIGO DEL PRODUCTO]],Tabla7[],2,FALSE)</f>
        <v>PIEDRA 6-12</v>
      </c>
      <c r="M209" s="37">
        <v>72152</v>
      </c>
      <c r="O209" s="34">
        <v>94421</v>
      </c>
      <c r="P209" s="34" t="s">
        <v>155</v>
      </c>
      <c r="Q209" s="35">
        <v>45602</v>
      </c>
      <c r="R209" s="36" t="s">
        <v>43</v>
      </c>
      <c r="S209" s="36" t="str">
        <f>VLOOKUP(Tabla9[[#This Row],[CODIGO DEL PRODUCTO]],Tabla7[],2,FALSE)</f>
        <v>PIEDRA 6-20</v>
      </c>
      <c r="T209" s="37">
        <v>34700</v>
      </c>
    </row>
    <row r="210" spans="8:20" x14ac:dyDescent="0.25">
      <c r="H210" s="34"/>
      <c r="I210" s="34" t="s">
        <v>53</v>
      </c>
      <c r="J210" s="35">
        <v>45619</v>
      </c>
      <c r="K210" s="36" t="s">
        <v>43</v>
      </c>
      <c r="L210" s="39" t="str">
        <f>VLOOKUP(Tabla8[[#This Row],[CODIGO DEL PRODUCTO]],Tabla7[],2,FALSE)</f>
        <v>PIEDRA 6-20</v>
      </c>
      <c r="M210" s="37">
        <v>170515</v>
      </c>
      <c r="O210" s="34">
        <v>94422</v>
      </c>
      <c r="P210" s="34" t="s">
        <v>150</v>
      </c>
      <c r="Q210" s="35">
        <v>45602</v>
      </c>
      <c r="R210" s="36" t="s">
        <v>40</v>
      </c>
      <c r="S210" s="36" t="str">
        <f>VLOOKUP(Tabla9[[#This Row],[CODIGO DEL PRODUCTO]],Tabla7[],2,FALSE)</f>
        <v>PIEDRA 0-6</v>
      </c>
      <c r="T210" s="37">
        <v>35040</v>
      </c>
    </row>
    <row r="211" spans="8:20" x14ac:dyDescent="0.25">
      <c r="H211" s="34">
        <v>19229</v>
      </c>
      <c r="I211" s="34" t="s">
        <v>185</v>
      </c>
      <c r="J211" s="35">
        <v>45618</v>
      </c>
      <c r="K211" s="36" t="s">
        <v>46</v>
      </c>
      <c r="L211" s="39" t="str">
        <f>VLOOKUP(Tabla8[[#This Row],[CODIGO DEL PRODUCTO]],Tabla7[],2,FALSE)</f>
        <v>PIEDRA 10-30</v>
      </c>
      <c r="M211" s="37">
        <v>32120</v>
      </c>
      <c r="O211" s="34">
        <v>94428</v>
      </c>
      <c r="P211" s="34" t="s">
        <v>151</v>
      </c>
      <c r="Q211" s="35">
        <v>45602</v>
      </c>
      <c r="R211" s="36" t="s">
        <v>43</v>
      </c>
      <c r="S211" s="36" t="str">
        <f>VLOOKUP(Tabla9[[#This Row],[CODIGO DEL PRODUCTO]],Tabla7[],2,FALSE)</f>
        <v>PIEDRA 6-20</v>
      </c>
      <c r="T211" s="37">
        <v>35080</v>
      </c>
    </row>
    <row r="212" spans="8:20" x14ac:dyDescent="0.25">
      <c r="H212" s="34">
        <v>19230</v>
      </c>
      <c r="I212" s="34" t="s">
        <v>66</v>
      </c>
      <c r="J212" s="35">
        <v>45618</v>
      </c>
      <c r="K212" s="36" t="s">
        <v>43</v>
      </c>
      <c r="L212" s="39" t="str">
        <f>VLOOKUP(Tabla8[[#This Row],[CODIGO DEL PRODUCTO]],Tabla7[],2,FALSE)</f>
        <v>PIEDRA 6-20</v>
      </c>
      <c r="M212" s="37">
        <v>33500</v>
      </c>
      <c r="O212" s="34">
        <v>94437</v>
      </c>
      <c r="P212" s="34" t="s">
        <v>138</v>
      </c>
      <c r="Q212" s="35">
        <v>45602</v>
      </c>
      <c r="R212" s="36" t="s">
        <v>43</v>
      </c>
      <c r="S212" s="36" t="str">
        <f>VLOOKUP(Tabla9[[#This Row],[CODIGO DEL PRODUCTO]],Tabla7[],2,FALSE)</f>
        <v>PIEDRA 6-20</v>
      </c>
      <c r="T212" s="37">
        <v>32880</v>
      </c>
    </row>
    <row r="213" spans="8:20" x14ac:dyDescent="0.25">
      <c r="H213" s="34">
        <v>19231</v>
      </c>
      <c r="I213" s="34" t="s">
        <v>185</v>
      </c>
      <c r="J213" s="35">
        <v>45618</v>
      </c>
      <c r="K213" s="36" t="s">
        <v>46</v>
      </c>
      <c r="L213" s="39" t="str">
        <f>VLOOKUP(Tabla8[[#This Row],[CODIGO DEL PRODUCTO]],Tabla7[],2,FALSE)</f>
        <v>PIEDRA 10-30</v>
      </c>
      <c r="M213" s="37">
        <v>37060</v>
      </c>
      <c r="O213" s="34">
        <v>94440</v>
      </c>
      <c r="P213" s="34" t="s">
        <v>144</v>
      </c>
      <c r="Q213" s="35">
        <v>45602</v>
      </c>
      <c r="R213" s="36" t="s">
        <v>40</v>
      </c>
      <c r="S213" s="36" t="str">
        <f>VLOOKUP(Tabla9[[#This Row],[CODIGO DEL PRODUCTO]],Tabla7[],2,FALSE)</f>
        <v>PIEDRA 0-6</v>
      </c>
      <c r="T213" s="37">
        <v>34760</v>
      </c>
    </row>
    <row r="214" spans="8:20" x14ac:dyDescent="0.25">
      <c r="H214" s="34">
        <v>19221</v>
      </c>
      <c r="I214" s="34" t="s">
        <v>185</v>
      </c>
      <c r="J214" s="35">
        <v>45618</v>
      </c>
      <c r="K214" s="36" t="s">
        <v>46</v>
      </c>
      <c r="L214" s="39" t="str">
        <f>VLOOKUP(Tabla8[[#This Row],[CODIGO DEL PRODUCTO]],Tabla7[],2,FALSE)</f>
        <v>PIEDRA 10-30</v>
      </c>
      <c r="M214" s="37">
        <v>37360</v>
      </c>
      <c r="O214" s="34">
        <v>127248</v>
      </c>
      <c r="P214" s="34" t="s">
        <v>123</v>
      </c>
      <c r="Q214" s="35">
        <v>45602</v>
      </c>
      <c r="R214" s="36" t="s">
        <v>43</v>
      </c>
      <c r="S214" s="36" t="str">
        <f>VLOOKUP(Tabla9[[#This Row],[CODIGO DEL PRODUCTO]],Tabla7[],2,FALSE)</f>
        <v>PIEDRA 6-20</v>
      </c>
      <c r="T214" s="37">
        <v>35140</v>
      </c>
    </row>
    <row r="215" spans="8:20" x14ac:dyDescent="0.25">
      <c r="H215" s="34">
        <v>19222</v>
      </c>
      <c r="I215" s="34" t="s">
        <v>185</v>
      </c>
      <c r="J215" s="35">
        <v>45618</v>
      </c>
      <c r="K215" s="36" t="s">
        <v>46</v>
      </c>
      <c r="L215" s="39" t="str">
        <f>VLOOKUP(Tabla8[[#This Row],[CODIGO DEL PRODUCTO]],Tabla7[],2,FALSE)</f>
        <v>PIEDRA 10-30</v>
      </c>
      <c r="M215" s="37">
        <v>38560</v>
      </c>
      <c r="O215" s="34">
        <v>2587941</v>
      </c>
      <c r="P215" s="34" t="s">
        <v>65</v>
      </c>
      <c r="Q215" s="35">
        <v>45602</v>
      </c>
      <c r="R215" s="36" t="s">
        <v>45</v>
      </c>
      <c r="S215" s="36" t="str">
        <f>VLOOKUP(Tabla9[[#This Row],[CODIGO DEL PRODUCTO]],Tabla7[],2,FALSE)</f>
        <v>CPF 40 AVELLANEDA</v>
      </c>
      <c r="T215" s="37">
        <v>32120</v>
      </c>
    </row>
    <row r="216" spans="8:20" x14ac:dyDescent="0.25">
      <c r="H216" s="34">
        <v>19223</v>
      </c>
      <c r="I216" s="34" t="s">
        <v>185</v>
      </c>
      <c r="J216" s="35">
        <v>45618</v>
      </c>
      <c r="K216" s="36" t="s">
        <v>46</v>
      </c>
      <c r="L216" s="39" t="str">
        <f>VLOOKUP(Tabla8[[#This Row],[CODIGO DEL PRODUCTO]],Tabla7[],2,FALSE)</f>
        <v>PIEDRA 10-30</v>
      </c>
      <c r="M216" s="37">
        <v>31540</v>
      </c>
      <c r="O216" s="34">
        <v>94444</v>
      </c>
      <c r="P216" s="34" t="s">
        <v>150</v>
      </c>
      <c r="Q216" s="35">
        <v>45603</v>
      </c>
      <c r="R216" s="36" t="s">
        <v>43</v>
      </c>
      <c r="S216" s="36" t="str">
        <f>VLOOKUP(Tabla9[[#This Row],[CODIGO DEL PRODUCTO]],Tabla7[],2,FALSE)</f>
        <v>PIEDRA 6-20</v>
      </c>
      <c r="T216" s="37">
        <v>35680</v>
      </c>
    </row>
    <row r="217" spans="8:20" x14ac:dyDescent="0.25">
      <c r="H217" s="34">
        <v>19225</v>
      </c>
      <c r="I217" s="34" t="s">
        <v>185</v>
      </c>
      <c r="J217" s="35">
        <v>45618</v>
      </c>
      <c r="K217" s="36" t="s">
        <v>46</v>
      </c>
      <c r="L217" s="39" t="str">
        <f>VLOOKUP(Tabla8[[#This Row],[CODIGO DEL PRODUCTO]],Tabla7[],2,FALSE)</f>
        <v>PIEDRA 10-30</v>
      </c>
      <c r="M217" s="37">
        <v>35460</v>
      </c>
      <c r="O217" s="34">
        <v>94445</v>
      </c>
      <c r="P217" s="34" t="s">
        <v>155</v>
      </c>
      <c r="Q217" s="35">
        <v>45603</v>
      </c>
      <c r="R217" s="36" t="s">
        <v>43</v>
      </c>
      <c r="S217" s="36" t="str">
        <f>VLOOKUP(Tabla9[[#This Row],[CODIGO DEL PRODUCTO]],Tabla7[],2,FALSE)</f>
        <v>PIEDRA 6-20</v>
      </c>
      <c r="T217" s="37">
        <v>35500</v>
      </c>
    </row>
    <row r="218" spans="8:20" x14ac:dyDescent="0.25">
      <c r="H218" s="34">
        <v>19226</v>
      </c>
      <c r="I218" s="34" t="s">
        <v>185</v>
      </c>
      <c r="J218" s="35">
        <v>45618</v>
      </c>
      <c r="K218" s="36" t="s">
        <v>46</v>
      </c>
      <c r="L218" s="39" t="str">
        <f>VLOOKUP(Tabla8[[#This Row],[CODIGO DEL PRODUCTO]],Tabla7[],2,FALSE)</f>
        <v>PIEDRA 10-30</v>
      </c>
      <c r="M218" s="37">
        <v>31860</v>
      </c>
      <c r="O218" s="34">
        <v>94454</v>
      </c>
      <c r="P218" s="34" t="s">
        <v>160</v>
      </c>
      <c r="Q218" s="35">
        <v>45603</v>
      </c>
      <c r="R218" s="36" t="s">
        <v>43</v>
      </c>
      <c r="S218" s="36" t="str">
        <f>VLOOKUP(Tabla9[[#This Row],[CODIGO DEL PRODUCTO]],Tabla7[],2,FALSE)</f>
        <v>PIEDRA 6-20</v>
      </c>
      <c r="T218" s="37">
        <v>36580</v>
      </c>
    </row>
    <row r="219" spans="8:20" x14ac:dyDescent="0.25">
      <c r="H219" s="34">
        <v>19227</v>
      </c>
      <c r="I219" s="34" t="s">
        <v>185</v>
      </c>
      <c r="J219" s="35">
        <v>45618</v>
      </c>
      <c r="K219" s="36" t="s">
        <v>46</v>
      </c>
      <c r="L219" s="39" t="str">
        <f>VLOOKUP(Tabla8[[#This Row],[CODIGO DEL PRODUCTO]],Tabla7[],2,FALSE)</f>
        <v>PIEDRA 10-30</v>
      </c>
      <c r="M219" s="37">
        <v>36460</v>
      </c>
      <c r="O219" s="34">
        <v>94462</v>
      </c>
      <c r="P219" s="34" t="s">
        <v>151</v>
      </c>
      <c r="Q219" s="35">
        <v>45603</v>
      </c>
      <c r="R219" s="36" t="s">
        <v>43</v>
      </c>
      <c r="S219" s="36" t="str">
        <f>VLOOKUP(Tabla9[[#This Row],[CODIGO DEL PRODUCTO]],Tabla7[],2,FALSE)</f>
        <v>PIEDRA 6-20</v>
      </c>
      <c r="T219" s="37">
        <v>35600</v>
      </c>
    </row>
    <row r="220" spans="8:20" x14ac:dyDescent="0.25">
      <c r="H220" s="34">
        <v>19232</v>
      </c>
      <c r="I220" s="34" t="s">
        <v>185</v>
      </c>
      <c r="J220" s="35">
        <v>45619</v>
      </c>
      <c r="K220" s="36" t="s">
        <v>46</v>
      </c>
      <c r="L220" s="39" t="str">
        <f>VLOOKUP(Tabla8[[#This Row],[CODIGO DEL PRODUCTO]],Tabla7[],2,FALSE)</f>
        <v>PIEDRA 10-30</v>
      </c>
      <c r="M220" s="37">
        <v>32940</v>
      </c>
      <c r="O220" s="34">
        <v>94460</v>
      </c>
      <c r="P220" s="34" t="s">
        <v>144</v>
      </c>
      <c r="Q220" s="35">
        <v>45603</v>
      </c>
      <c r="R220" s="36" t="s">
        <v>40</v>
      </c>
      <c r="S220" s="36" t="str">
        <f>VLOOKUP(Tabla9[[#This Row],[CODIGO DEL PRODUCTO]],Tabla7[],2,FALSE)</f>
        <v>PIEDRA 0-6</v>
      </c>
      <c r="T220" s="37">
        <v>35880</v>
      </c>
    </row>
    <row r="221" spans="8:20" x14ac:dyDescent="0.25">
      <c r="H221" s="34">
        <v>19233</v>
      </c>
      <c r="I221" s="34" t="s">
        <v>185</v>
      </c>
      <c r="J221" s="35">
        <v>45619</v>
      </c>
      <c r="K221" s="36" t="s">
        <v>46</v>
      </c>
      <c r="L221" s="39" t="str">
        <f>VLOOKUP(Tabla8[[#This Row],[CODIGO DEL PRODUCTO]],Tabla7[],2,FALSE)</f>
        <v>PIEDRA 10-30</v>
      </c>
      <c r="M221" s="37">
        <v>31740</v>
      </c>
      <c r="O221" s="34">
        <v>94466</v>
      </c>
      <c r="P221" s="34" t="s">
        <v>138</v>
      </c>
      <c r="Q221" s="35">
        <v>45603</v>
      </c>
      <c r="R221" s="36" t="s">
        <v>43</v>
      </c>
      <c r="S221" s="36" t="str">
        <f>VLOOKUP(Tabla9[[#This Row],[CODIGO DEL PRODUCTO]],Tabla7[],2,FALSE)</f>
        <v>PIEDRA 6-20</v>
      </c>
      <c r="T221" s="37">
        <v>34320</v>
      </c>
    </row>
    <row r="222" spans="8:20" x14ac:dyDescent="0.25">
      <c r="H222" s="34">
        <v>7054</v>
      </c>
      <c r="I222" s="34" t="s">
        <v>187</v>
      </c>
      <c r="J222" s="35">
        <v>45624</v>
      </c>
      <c r="K222" s="36" t="s">
        <v>42</v>
      </c>
      <c r="L222" s="39" t="str">
        <f>VLOOKUP(Tabla8[[#This Row],[CODIGO DEL PRODUCTO]],Tabla7[],2,FALSE)</f>
        <v>ARENA FINA</v>
      </c>
      <c r="M222" s="37">
        <v>5600</v>
      </c>
      <c r="O222" s="34">
        <v>127311</v>
      </c>
      <c r="P222" s="34" t="s">
        <v>123</v>
      </c>
      <c r="Q222" s="35">
        <v>45603</v>
      </c>
      <c r="R222" s="36" t="s">
        <v>43</v>
      </c>
      <c r="S222" s="36" t="str">
        <f>VLOOKUP(Tabla9[[#This Row],[CODIGO DEL PRODUCTO]],Tabla7[],2,FALSE)</f>
        <v>PIEDRA 6-20</v>
      </c>
      <c r="T222" s="37">
        <v>34800</v>
      </c>
    </row>
    <row r="223" spans="8:20" x14ac:dyDescent="0.25">
      <c r="H223" s="34">
        <v>7056</v>
      </c>
      <c r="I223" s="34" t="s">
        <v>188</v>
      </c>
      <c r="J223" s="35">
        <v>45624</v>
      </c>
      <c r="K223" s="36" t="s">
        <v>42</v>
      </c>
      <c r="L223" s="39" t="str">
        <f>VLOOKUP(Tabla8[[#This Row],[CODIGO DEL PRODUCTO]],Tabla7[],2,FALSE)</f>
        <v>ARENA FINA</v>
      </c>
      <c r="M223" s="37">
        <v>3320</v>
      </c>
      <c r="O223" s="34">
        <v>2588214</v>
      </c>
      <c r="P223" s="34" t="s">
        <v>65</v>
      </c>
      <c r="Q223" s="35">
        <v>45603</v>
      </c>
      <c r="R223" s="36" t="s">
        <v>45</v>
      </c>
      <c r="S223" s="36" t="str">
        <f>VLOOKUP(Tabla9[[#This Row],[CODIGO DEL PRODUCTO]],Tabla7[],2,FALSE)</f>
        <v>CPF 40 AVELLANEDA</v>
      </c>
      <c r="T223" s="37">
        <v>31820</v>
      </c>
    </row>
    <row r="224" spans="8:20" x14ac:dyDescent="0.25">
      <c r="H224" s="34"/>
      <c r="I224" s="34"/>
      <c r="J224" s="35">
        <v>45624</v>
      </c>
      <c r="K224" s="36" t="s">
        <v>43</v>
      </c>
      <c r="L224" s="39" t="str">
        <f>VLOOKUP(Tabla8[[#This Row],[CODIGO DEL PRODUCTO]],Tabla7[],2,FALSE)</f>
        <v>PIEDRA 6-20</v>
      </c>
      <c r="M224" s="37">
        <v>3320</v>
      </c>
      <c r="O224" s="34">
        <v>35560</v>
      </c>
      <c r="P224" s="34" t="s">
        <v>61</v>
      </c>
      <c r="Q224" s="35">
        <v>45603</v>
      </c>
      <c r="R224" s="36" t="s">
        <v>50</v>
      </c>
      <c r="S224" s="36" t="str">
        <f>VLOOKUP(Tabla9[[#This Row],[CODIGO DEL PRODUCTO]],Tabla7[],2,FALSE)</f>
        <v>MIRA SET 453 (ADITIVO)</v>
      </c>
      <c r="T224" s="37">
        <v>2120</v>
      </c>
    </row>
    <row r="225" spans="8:20" x14ac:dyDescent="0.25">
      <c r="H225" s="34"/>
      <c r="I225" s="34" t="s">
        <v>53</v>
      </c>
      <c r="J225" s="35">
        <v>45621</v>
      </c>
      <c r="K225" s="36" t="s">
        <v>42</v>
      </c>
      <c r="L225" s="39" t="str">
        <f>VLOOKUP(Tabla8[[#This Row],[CODIGO DEL PRODUCTO]],Tabla7[],2,FALSE)</f>
        <v>ARENA FINA</v>
      </c>
      <c r="M225" s="37">
        <v>220767</v>
      </c>
      <c r="O225" s="34">
        <v>23966</v>
      </c>
      <c r="P225" s="34" t="s">
        <v>64</v>
      </c>
      <c r="Q225" s="35">
        <v>45604</v>
      </c>
      <c r="R225" s="36" t="s">
        <v>42</v>
      </c>
      <c r="S225" s="36" t="str">
        <f>VLOOKUP(Tabla9[[#This Row],[CODIGO DEL PRODUCTO]],Tabla7[],2,FALSE)</f>
        <v>ARENA FINA</v>
      </c>
      <c r="T225" s="37">
        <v>36100</v>
      </c>
    </row>
    <row r="226" spans="8:20" x14ac:dyDescent="0.25">
      <c r="H226" s="34"/>
      <c r="I226" s="34" t="s">
        <v>53</v>
      </c>
      <c r="J226" s="35">
        <v>45622</v>
      </c>
      <c r="K226" s="36" t="s">
        <v>40</v>
      </c>
      <c r="L226" s="39" t="str">
        <f>VLOOKUP(Tabla8[[#This Row],[CODIGO DEL PRODUCTO]],Tabla7[],2,FALSE)</f>
        <v>PIEDRA 0-6</v>
      </c>
      <c r="M226" s="37">
        <v>139691</v>
      </c>
      <c r="O226" s="34">
        <v>23983</v>
      </c>
      <c r="P226" s="34" t="s">
        <v>64</v>
      </c>
      <c r="Q226" s="35">
        <v>45604</v>
      </c>
      <c r="R226" s="36" t="s">
        <v>42</v>
      </c>
      <c r="S226" s="36" t="str">
        <f>VLOOKUP(Tabla9[[#This Row],[CODIGO DEL PRODUCTO]],Tabla7[],2,FALSE)</f>
        <v>ARENA FINA</v>
      </c>
      <c r="T226" s="37">
        <v>39760</v>
      </c>
    </row>
    <row r="227" spans="8:20" x14ac:dyDescent="0.25">
      <c r="H227" s="34"/>
      <c r="I227" s="34" t="s">
        <v>53</v>
      </c>
      <c r="J227" s="35">
        <v>45623</v>
      </c>
      <c r="K227" s="36" t="s">
        <v>45</v>
      </c>
      <c r="L227" s="39" t="str">
        <f>VLOOKUP(Tabla8[[#This Row],[CODIGO DEL PRODUCTO]],Tabla7[],2,FALSE)</f>
        <v>CPF 40 AVELLANEDA</v>
      </c>
      <c r="M227" s="37">
        <v>125702</v>
      </c>
      <c r="O227" s="34">
        <v>94468</v>
      </c>
      <c r="P227" s="34" t="s">
        <v>150</v>
      </c>
      <c r="Q227" s="35">
        <v>45604</v>
      </c>
      <c r="R227" s="36" t="s">
        <v>43</v>
      </c>
      <c r="S227" s="36" t="str">
        <f>VLOOKUP(Tabla9[[#This Row],[CODIGO DEL PRODUCTO]],Tabla7[],2,FALSE)</f>
        <v>PIEDRA 6-20</v>
      </c>
      <c r="T227" s="37">
        <v>34480</v>
      </c>
    </row>
    <row r="228" spans="8:20" x14ac:dyDescent="0.25">
      <c r="H228" s="34"/>
      <c r="I228" s="34" t="s">
        <v>53</v>
      </c>
      <c r="J228" s="35">
        <v>45624</v>
      </c>
      <c r="K228" s="36" t="s">
        <v>50</v>
      </c>
      <c r="L228" s="39" t="str">
        <f>VLOOKUP(Tabla8[[#This Row],[CODIGO DEL PRODUCTO]],Tabla7[],2,FALSE)</f>
        <v>MIRA SET 453 (ADITIVO)</v>
      </c>
      <c r="M228" s="37">
        <v>694.31</v>
      </c>
      <c r="O228" s="34">
        <v>94469</v>
      </c>
      <c r="P228" s="34" t="s">
        <v>155</v>
      </c>
      <c r="Q228" s="35">
        <v>45604</v>
      </c>
      <c r="R228" s="36" t="s">
        <v>43</v>
      </c>
      <c r="S228" s="36" t="str">
        <f>VLOOKUP(Tabla9[[#This Row],[CODIGO DEL PRODUCTO]],Tabla7[],2,FALSE)</f>
        <v>PIEDRA 6-20</v>
      </c>
      <c r="T228" s="37">
        <v>35740</v>
      </c>
    </row>
    <row r="229" spans="8:20" x14ac:dyDescent="0.25">
      <c r="H229" s="34"/>
      <c r="I229" s="34" t="s">
        <v>53</v>
      </c>
      <c r="J229" s="36" t="s">
        <v>189</v>
      </c>
      <c r="K229" s="36" t="s">
        <v>48</v>
      </c>
      <c r="L229" s="39" t="str">
        <f>VLOOKUP(Tabla8[[#This Row],[CODIGO DEL PRODUCTO]],Tabla7[],2,FALSE)</f>
        <v>PIEDRA 6-12</v>
      </c>
      <c r="M229" s="37">
        <v>58413</v>
      </c>
      <c r="O229" s="34">
        <v>94476</v>
      </c>
      <c r="P229" s="34" t="s">
        <v>151</v>
      </c>
      <c r="Q229" s="35">
        <v>45604</v>
      </c>
      <c r="R229" s="36" t="s">
        <v>43</v>
      </c>
      <c r="S229" s="36" t="str">
        <f>VLOOKUP(Tabla9[[#This Row],[CODIGO DEL PRODUCTO]],Tabla7[],2,FALSE)</f>
        <v>PIEDRA 6-20</v>
      </c>
      <c r="T229" s="37">
        <v>34260</v>
      </c>
    </row>
    <row r="230" spans="8:20" x14ac:dyDescent="0.25">
      <c r="H230" s="34"/>
      <c r="I230" s="34" t="s">
        <v>53</v>
      </c>
      <c r="J230" s="35">
        <v>45626</v>
      </c>
      <c r="K230" s="36" t="s">
        <v>46</v>
      </c>
      <c r="L230" s="39" t="str">
        <f>VLOOKUP(Tabla8[[#This Row],[CODIGO DEL PRODUCTO]],Tabla7[],2,FALSE)</f>
        <v>PIEDRA 10-30</v>
      </c>
      <c r="M230" s="37">
        <v>24756</v>
      </c>
      <c r="O230" s="34">
        <v>94477</v>
      </c>
      <c r="P230" s="34" t="s">
        <v>138</v>
      </c>
      <c r="Q230" s="35">
        <v>45604</v>
      </c>
      <c r="R230" s="36" t="s">
        <v>43</v>
      </c>
      <c r="S230" s="36" t="str">
        <f>VLOOKUP(Tabla9[[#This Row],[CODIGO DEL PRODUCTO]],Tabla7[],2,FALSE)</f>
        <v>PIEDRA 6-20</v>
      </c>
      <c r="T230" s="37">
        <v>32800</v>
      </c>
    </row>
    <row r="231" spans="8:20" x14ac:dyDescent="0.25">
      <c r="H231" s="34"/>
      <c r="I231" s="34" t="s">
        <v>53</v>
      </c>
      <c r="J231" s="35">
        <v>45626</v>
      </c>
      <c r="K231" s="36" t="s">
        <v>43</v>
      </c>
      <c r="L231" s="39" t="str">
        <f>VLOOKUP(Tabla8[[#This Row],[CODIGO DEL PRODUCTO]],Tabla7[],2,FALSE)</f>
        <v>PIEDRA 6-20</v>
      </c>
      <c r="M231" s="37">
        <v>273633</v>
      </c>
      <c r="O231" s="34">
        <v>94482</v>
      </c>
      <c r="P231" s="34" t="s">
        <v>144</v>
      </c>
      <c r="Q231" s="35">
        <v>45604</v>
      </c>
      <c r="R231" s="36" t="s">
        <v>40</v>
      </c>
      <c r="S231" s="36" t="str">
        <f>VLOOKUP(Tabla9[[#This Row],[CODIGO DEL PRODUCTO]],Tabla7[],2,FALSE)</f>
        <v>PIEDRA 0-6</v>
      </c>
      <c r="T231" s="37">
        <v>35520</v>
      </c>
    </row>
    <row r="232" spans="8:20" x14ac:dyDescent="0.25">
      <c r="H232" s="34">
        <v>7076</v>
      </c>
      <c r="I232" s="34" t="s">
        <v>190</v>
      </c>
      <c r="J232" s="35">
        <v>45625</v>
      </c>
      <c r="K232" s="36" t="s">
        <v>42</v>
      </c>
      <c r="L232" s="39" t="str">
        <f>VLOOKUP(Tabla8[[#This Row],[CODIGO DEL PRODUCTO]],Tabla7[],2,FALSE)</f>
        <v>ARENA FINA</v>
      </c>
      <c r="M232" s="37">
        <v>3000</v>
      </c>
      <c r="O232" s="34">
        <v>127368</v>
      </c>
      <c r="P232" s="34" t="s">
        <v>118</v>
      </c>
      <c r="Q232" s="35">
        <v>45604</v>
      </c>
      <c r="R232" s="36" t="s">
        <v>43</v>
      </c>
      <c r="S232" s="36" t="str">
        <f>VLOOKUP(Tabla9[[#This Row],[CODIGO DEL PRODUCTO]],Tabla7[],2,FALSE)</f>
        <v>PIEDRA 6-20</v>
      </c>
      <c r="T232" s="37">
        <v>35100</v>
      </c>
    </row>
    <row r="233" spans="8:20" x14ac:dyDescent="0.25">
      <c r="H233" s="34"/>
      <c r="I233" s="34"/>
      <c r="J233" s="35">
        <v>45625</v>
      </c>
      <c r="K233" s="36" t="s">
        <v>43</v>
      </c>
      <c r="L233" s="39" t="str">
        <f>VLOOKUP(Tabla8[[#This Row],[CODIGO DEL PRODUCTO]],Tabla7[],2,FALSE)</f>
        <v>PIEDRA 6-20</v>
      </c>
      <c r="M233" s="37">
        <v>2000</v>
      </c>
      <c r="O233" s="34">
        <v>127371</v>
      </c>
      <c r="P233" s="34" t="s">
        <v>119</v>
      </c>
      <c r="Q233" s="35">
        <v>45604</v>
      </c>
      <c r="R233" s="36" t="s">
        <v>43</v>
      </c>
      <c r="S233" s="36" t="str">
        <f>VLOOKUP(Tabla9[[#This Row],[CODIGO DEL PRODUCTO]],Tabla7[],2,FALSE)</f>
        <v>PIEDRA 6-20</v>
      </c>
      <c r="T233" s="37">
        <v>36420</v>
      </c>
    </row>
    <row r="234" spans="8:20" x14ac:dyDescent="0.25">
      <c r="H234" s="34">
        <v>7096</v>
      </c>
      <c r="I234" s="34" t="s">
        <v>196</v>
      </c>
      <c r="J234" s="35">
        <v>45628</v>
      </c>
      <c r="K234" s="36" t="s">
        <v>43</v>
      </c>
      <c r="L234" s="39" t="str">
        <f>VLOOKUP(Tabla8[[#This Row],[CODIGO DEL PRODUCTO]],Tabla7[],2,FALSE)</f>
        <v>PIEDRA 6-20</v>
      </c>
      <c r="M234" s="37">
        <v>3000</v>
      </c>
      <c r="O234" s="34">
        <v>127407</v>
      </c>
      <c r="P234" s="34" t="s">
        <v>161</v>
      </c>
      <c r="Q234" s="35">
        <v>45604</v>
      </c>
      <c r="R234" s="36" t="s">
        <v>40</v>
      </c>
      <c r="S234" s="36" t="str">
        <f>VLOOKUP(Tabla9[[#This Row],[CODIGO DEL PRODUCTO]],Tabla7[],2,FALSE)</f>
        <v>PIEDRA 0-6</v>
      </c>
      <c r="T234" s="37">
        <v>35380</v>
      </c>
    </row>
    <row r="235" spans="8:20" x14ac:dyDescent="0.25">
      <c r="H235" s="34"/>
      <c r="I235" s="34"/>
      <c r="J235" s="35">
        <v>45628</v>
      </c>
      <c r="K235" s="36" t="s">
        <v>42</v>
      </c>
      <c r="L235" s="39" t="str">
        <f>VLOOKUP(Tabla8[[#This Row],[CODIGO DEL PRODUCTO]],Tabla7[],2,FALSE)</f>
        <v>ARENA FINA</v>
      </c>
      <c r="M235" s="37">
        <v>3000</v>
      </c>
      <c r="O235" s="34">
        <v>127415</v>
      </c>
      <c r="P235" s="34" t="s">
        <v>162</v>
      </c>
      <c r="Q235" s="35">
        <v>45604</v>
      </c>
      <c r="R235" s="36" t="s">
        <v>46</v>
      </c>
      <c r="S235" s="36" t="str">
        <f>VLOOKUP(Tabla9[[#This Row],[CODIGO DEL PRODUCTO]],Tabla7[],2,FALSE)</f>
        <v>PIEDRA 10-30</v>
      </c>
      <c r="T235" s="37">
        <v>36440</v>
      </c>
    </row>
    <row r="236" spans="8:20" x14ac:dyDescent="0.25">
      <c r="H236" s="34">
        <v>7107</v>
      </c>
      <c r="I236" s="34" t="s">
        <v>170</v>
      </c>
      <c r="J236" s="35">
        <v>45629</v>
      </c>
      <c r="K236" s="36" t="s">
        <v>42</v>
      </c>
      <c r="L236" s="39" t="str">
        <f>VLOOKUP(Tabla8[[#This Row],[CODIGO DEL PRODUCTO]],Tabla7[],2,FALSE)</f>
        <v>ARENA FINA</v>
      </c>
      <c r="M236" s="37">
        <v>4000</v>
      </c>
      <c r="O236" s="34">
        <v>2588513</v>
      </c>
      <c r="P236" s="34" t="s">
        <v>65</v>
      </c>
      <c r="Q236" s="35">
        <v>45604</v>
      </c>
      <c r="R236" s="36" t="s">
        <v>45</v>
      </c>
      <c r="S236" s="36" t="str">
        <f>VLOOKUP(Tabla9[[#This Row],[CODIGO DEL PRODUCTO]],Tabla7[],2,FALSE)</f>
        <v>CPF 40 AVELLANEDA</v>
      </c>
      <c r="T236" s="37">
        <v>32220</v>
      </c>
    </row>
    <row r="237" spans="8:20" x14ac:dyDescent="0.25">
      <c r="H237" s="34">
        <v>7124</v>
      </c>
      <c r="I237" s="34" t="s">
        <v>180</v>
      </c>
      <c r="J237" s="35">
        <v>45629</v>
      </c>
      <c r="K237" s="36" t="s">
        <v>42</v>
      </c>
      <c r="L237" s="39" t="str">
        <f>VLOOKUP(Tabla8[[#This Row],[CODIGO DEL PRODUCTO]],Tabla7[],2,FALSE)</f>
        <v>ARENA FINA</v>
      </c>
      <c r="M237" s="37">
        <v>3820</v>
      </c>
      <c r="O237" s="34">
        <v>94490</v>
      </c>
      <c r="P237" s="34" t="s">
        <v>150</v>
      </c>
      <c r="Q237" s="35">
        <v>45605</v>
      </c>
      <c r="R237" s="36" t="s">
        <v>43</v>
      </c>
      <c r="S237" s="36" t="str">
        <f>VLOOKUP(Tabla9[[#This Row],[CODIGO DEL PRODUCTO]],Tabla7[],2,FALSE)</f>
        <v>PIEDRA 6-20</v>
      </c>
      <c r="T237" s="37">
        <v>34640</v>
      </c>
    </row>
    <row r="238" spans="8:20" x14ac:dyDescent="0.25">
      <c r="H238" s="34">
        <v>7134</v>
      </c>
      <c r="I238" s="34" t="s">
        <v>180</v>
      </c>
      <c r="J238" s="35">
        <v>45630</v>
      </c>
      <c r="K238" s="36" t="s">
        <v>42</v>
      </c>
      <c r="L238" s="39" t="str">
        <f>VLOOKUP(Tabla8[[#This Row],[CODIGO DEL PRODUCTO]],Tabla7[],2,FALSE)</f>
        <v>ARENA FINA</v>
      </c>
      <c r="M238" s="37">
        <v>3700</v>
      </c>
      <c r="O238" s="34">
        <v>2588668</v>
      </c>
      <c r="P238" s="34" t="s">
        <v>65</v>
      </c>
      <c r="Q238" s="35">
        <v>45605</v>
      </c>
      <c r="R238" s="36" t="s">
        <v>45</v>
      </c>
      <c r="S238" s="36" t="str">
        <f>VLOOKUP(Tabla9[[#This Row],[CODIGO DEL PRODUCTO]],Tabla7[],2,FALSE)</f>
        <v>CPF 40 AVELLANEDA</v>
      </c>
      <c r="T238" s="37">
        <v>32040</v>
      </c>
    </row>
    <row r="239" spans="8:20" x14ac:dyDescent="0.25">
      <c r="H239" s="34">
        <v>7145</v>
      </c>
      <c r="I239" s="34" t="s">
        <v>180</v>
      </c>
      <c r="J239" s="35">
        <v>45630</v>
      </c>
      <c r="K239" s="36" t="s">
        <v>43</v>
      </c>
      <c r="L239" s="39" t="str">
        <f>VLOOKUP(Tabla8[[#This Row],[CODIGO DEL PRODUCTO]],Tabla7[],2,FALSE)</f>
        <v>PIEDRA 6-20</v>
      </c>
      <c r="M239" s="37">
        <v>3040</v>
      </c>
      <c r="O239" s="34">
        <v>94506</v>
      </c>
      <c r="P239" s="34" t="s">
        <v>165</v>
      </c>
      <c r="Q239" s="35">
        <v>45607</v>
      </c>
      <c r="R239" s="36" t="s">
        <v>40</v>
      </c>
      <c r="S239" s="36" t="str">
        <f>VLOOKUP(Tabla9[[#This Row],[CODIGO DEL PRODUCTO]],Tabla7[],2,FALSE)</f>
        <v>PIEDRA 0-6</v>
      </c>
      <c r="T239" s="37">
        <v>35600</v>
      </c>
    </row>
    <row r="240" spans="8:20" x14ac:dyDescent="0.25">
      <c r="H240" s="34">
        <v>7153</v>
      </c>
      <c r="I240" s="34" t="s">
        <v>198</v>
      </c>
      <c r="J240" s="35">
        <v>45630</v>
      </c>
      <c r="K240" s="36" t="s">
        <v>42</v>
      </c>
      <c r="L240" s="39" t="str">
        <f>VLOOKUP(Tabla8[[#This Row],[CODIGO DEL PRODUCTO]],Tabla7[],2,FALSE)</f>
        <v>ARENA FINA</v>
      </c>
      <c r="M240" s="37">
        <v>4000</v>
      </c>
      <c r="O240" s="34">
        <v>94512</v>
      </c>
      <c r="P240" s="34" t="s">
        <v>166</v>
      </c>
      <c r="Q240" s="35">
        <v>45607</v>
      </c>
      <c r="R240" s="36" t="s">
        <v>48</v>
      </c>
      <c r="S240" s="36" t="str">
        <f>VLOOKUP(Tabla9[[#This Row],[CODIGO DEL PRODUCTO]],Tabla7[],2,FALSE)</f>
        <v>PIEDRA 6-12</v>
      </c>
      <c r="T240" s="37">
        <v>34600</v>
      </c>
    </row>
    <row r="241" spans="8:20" x14ac:dyDescent="0.25">
      <c r="H241" s="34">
        <v>19241</v>
      </c>
      <c r="I241" s="34" t="s">
        <v>199</v>
      </c>
      <c r="J241" s="35">
        <v>45633</v>
      </c>
      <c r="K241" s="36" t="s">
        <v>46</v>
      </c>
      <c r="L241" s="39" t="str">
        <f>VLOOKUP(Tabla8[[#This Row],[CODIGO DEL PRODUCTO]],Tabla7[],2,FALSE)</f>
        <v>PIEDRA 10-30</v>
      </c>
      <c r="M241" s="37">
        <v>19580</v>
      </c>
      <c r="O241" s="34">
        <v>127488</v>
      </c>
      <c r="P241" s="34" t="s">
        <v>132</v>
      </c>
      <c r="Q241" s="35">
        <v>45607</v>
      </c>
      <c r="R241" s="36" t="s">
        <v>40</v>
      </c>
      <c r="S241" s="36" t="str">
        <f>VLOOKUP(Tabla9[[#This Row],[CODIGO DEL PRODUCTO]],Tabla7[],2,FALSE)</f>
        <v>PIEDRA 0-6</v>
      </c>
      <c r="T241" s="37">
        <v>35800</v>
      </c>
    </row>
    <row r="242" spans="8:20" x14ac:dyDescent="0.25">
      <c r="H242" s="34"/>
      <c r="I242" s="34" t="s">
        <v>53</v>
      </c>
      <c r="J242" s="35">
        <v>45628</v>
      </c>
      <c r="K242" s="36" t="s">
        <v>42</v>
      </c>
      <c r="L242" s="39" t="str">
        <f>VLOOKUP(Tabla8[[#This Row],[CODIGO DEL PRODUCTO]],Tabla7[],2,FALSE)</f>
        <v>ARENA FINA</v>
      </c>
      <c r="M242" s="37">
        <v>264726</v>
      </c>
      <c r="O242" s="34">
        <v>2589104</v>
      </c>
      <c r="P242" s="34" t="s">
        <v>65</v>
      </c>
      <c r="Q242" s="35">
        <v>45607</v>
      </c>
      <c r="R242" s="36" t="s">
        <v>45</v>
      </c>
      <c r="S242" s="36" t="str">
        <f>VLOOKUP(Tabla9[[#This Row],[CODIGO DEL PRODUCTO]],Tabla7[],2,FALSE)</f>
        <v>CPF 40 AVELLANEDA</v>
      </c>
      <c r="T242" s="37">
        <v>32240</v>
      </c>
    </row>
    <row r="243" spans="8:20" x14ac:dyDescent="0.25">
      <c r="H243" s="34"/>
      <c r="I243" s="34" t="s">
        <v>53</v>
      </c>
      <c r="J243" s="35">
        <v>45629</v>
      </c>
      <c r="K243" s="36" t="s">
        <v>40</v>
      </c>
      <c r="L243" s="39" t="str">
        <f>VLOOKUP(Tabla8[[#This Row],[CODIGO DEL PRODUCTO]],Tabla7[],2,FALSE)</f>
        <v>PIEDRA 0-6</v>
      </c>
      <c r="M243" s="37">
        <v>182625</v>
      </c>
      <c r="O243" s="34">
        <v>127572</v>
      </c>
      <c r="P243" s="34" t="s">
        <v>116</v>
      </c>
      <c r="Q243" s="35">
        <v>45608</v>
      </c>
      <c r="R243" s="36" t="s">
        <v>40</v>
      </c>
      <c r="S243" s="36" t="str">
        <f>VLOOKUP(Tabla9[[#This Row],[CODIGO DEL PRODUCTO]],Tabla7[],2,FALSE)</f>
        <v>PIEDRA 0-6</v>
      </c>
      <c r="T243" s="37">
        <v>35220</v>
      </c>
    </row>
    <row r="244" spans="8:20" x14ac:dyDescent="0.25">
      <c r="H244" s="34"/>
      <c r="I244" s="34" t="s">
        <v>53</v>
      </c>
      <c r="J244" s="35">
        <v>45630</v>
      </c>
      <c r="K244" s="36" t="s">
        <v>45</v>
      </c>
      <c r="L244" s="39" t="str">
        <f>VLOOKUP(Tabla8[[#This Row],[CODIGO DEL PRODUCTO]],Tabla7[],2,FALSE)</f>
        <v>CPF 40 AVELLANEDA</v>
      </c>
      <c r="M244" s="37">
        <v>145817</v>
      </c>
      <c r="O244" s="34">
        <v>94530</v>
      </c>
      <c r="P244" s="34" t="s">
        <v>166</v>
      </c>
      <c r="Q244" s="35">
        <v>45608</v>
      </c>
      <c r="R244" s="36" t="s">
        <v>48</v>
      </c>
      <c r="S244" s="36" t="str">
        <f>VLOOKUP(Tabla9[[#This Row],[CODIGO DEL PRODUCTO]],Tabla7[],2,FALSE)</f>
        <v>PIEDRA 6-12</v>
      </c>
      <c r="T244" s="37">
        <v>35020</v>
      </c>
    </row>
    <row r="245" spans="8:20" x14ac:dyDescent="0.25">
      <c r="H245" s="34"/>
      <c r="I245" s="34" t="s">
        <v>53</v>
      </c>
      <c r="J245" s="35">
        <v>45631</v>
      </c>
      <c r="K245" s="36" t="s">
        <v>50</v>
      </c>
      <c r="L245" s="39" t="str">
        <f>VLOOKUP(Tabla8[[#This Row],[CODIGO DEL PRODUCTO]],Tabla7[],2,FALSE)</f>
        <v>MIRA SET 453 (ADITIVO)</v>
      </c>
      <c r="M245" s="37">
        <v>794.66</v>
      </c>
      <c r="O245" s="34">
        <v>2589372</v>
      </c>
      <c r="P245" s="34" t="s">
        <v>65</v>
      </c>
      <c r="Q245" s="35">
        <v>45608</v>
      </c>
      <c r="R245" s="36" t="s">
        <v>45</v>
      </c>
      <c r="S245" s="36" t="str">
        <f>VLOOKUP(Tabla9[[#This Row],[CODIGO DEL PRODUCTO]],Tabla7[],2,FALSE)</f>
        <v>CPF 40 AVELLANEDA</v>
      </c>
      <c r="T245" s="37">
        <v>32020</v>
      </c>
    </row>
    <row r="246" spans="8:20" x14ac:dyDescent="0.25">
      <c r="H246" s="34"/>
      <c r="I246" s="34" t="s">
        <v>53</v>
      </c>
      <c r="J246" s="35">
        <v>45632</v>
      </c>
      <c r="K246" s="36" t="s">
        <v>48</v>
      </c>
      <c r="L246" s="39" t="str">
        <f>VLOOKUP(Tabla8[[#This Row],[CODIGO DEL PRODUCTO]],Tabla7[],2,FALSE)</f>
        <v>PIEDRA 6-12</v>
      </c>
      <c r="M246" s="37">
        <v>115483</v>
      </c>
      <c r="O246" s="34">
        <v>17277</v>
      </c>
      <c r="P246" s="34" t="s">
        <v>166</v>
      </c>
      <c r="Q246" s="35">
        <v>45609</v>
      </c>
      <c r="R246" s="36" t="s">
        <v>48</v>
      </c>
      <c r="S246" s="36" t="str">
        <f>VLOOKUP(Tabla9[[#This Row],[CODIGO DEL PRODUCTO]],Tabla7[],2,FALSE)</f>
        <v>PIEDRA 6-12</v>
      </c>
      <c r="T246" s="37">
        <v>35140</v>
      </c>
    </row>
    <row r="247" spans="8:20" x14ac:dyDescent="0.25">
      <c r="H247" s="34"/>
      <c r="I247" s="34" t="s">
        <v>53</v>
      </c>
      <c r="J247" s="35">
        <v>45633</v>
      </c>
      <c r="K247" s="36" t="s">
        <v>46</v>
      </c>
      <c r="L247" s="39" t="str">
        <f>VLOOKUP(Tabla8[[#This Row],[CODIGO DEL PRODUCTO]],Tabla7[],2,FALSE)</f>
        <v>PIEDRA 10-30</v>
      </c>
      <c r="M247" s="37">
        <v>18942</v>
      </c>
      <c r="O247" s="34">
        <v>17042</v>
      </c>
      <c r="P247" s="34" t="s">
        <v>116</v>
      </c>
      <c r="Q247" s="35">
        <v>45609</v>
      </c>
      <c r="R247" s="36" t="s">
        <v>40</v>
      </c>
      <c r="S247" s="36" t="str">
        <f>VLOOKUP(Tabla9[[#This Row],[CODIGO DEL PRODUCTO]],Tabla7[],2,FALSE)</f>
        <v>PIEDRA 0-6</v>
      </c>
      <c r="T247" s="37">
        <v>33900</v>
      </c>
    </row>
    <row r="248" spans="8:20" x14ac:dyDescent="0.25">
      <c r="H248" s="34"/>
      <c r="I248" s="34" t="s">
        <v>53</v>
      </c>
      <c r="J248" s="35">
        <v>45633</v>
      </c>
      <c r="K248" s="36" t="s">
        <v>43</v>
      </c>
      <c r="L248" s="39" t="str">
        <f>VLOOKUP(Tabla8[[#This Row],[CODIGO DEL PRODUCTO]],Tabla7[],2,FALSE)</f>
        <v>PIEDRA 6-20</v>
      </c>
      <c r="M248" s="37">
        <v>268082</v>
      </c>
      <c r="O248" s="34">
        <v>2589693</v>
      </c>
      <c r="P248" s="34" t="s">
        <v>65</v>
      </c>
      <c r="Q248" s="35">
        <v>45609</v>
      </c>
      <c r="R248" s="36" t="s">
        <v>45</v>
      </c>
      <c r="S248" s="36" t="str">
        <f>VLOOKUP(Tabla9[[#This Row],[CODIGO DEL PRODUCTO]],Tabla7[],2,FALSE)</f>
        <v>CPF 40 AVELLANEDA</v>
      </c>
      <c r="T248" s="37">
        <v>32400</v>
      </c>
    </row>
    <row r="249" spans="8:20" x14ac:dyDescent="0.25">
      <c r="H249" s="34">
        <v>7218</v>
      </c>
      <c r="I249" s="34" t="s">
        <v>201</v>
      </c>
      <c r="J249" s="35">
        <v>45635</v>
      </c>
      <c r="K249" s="36" t="s">
        <v>42</v>
      </c>
      <c r="L249" s="39" t="str">
        <f>VLOOKUP(Tabla8[[#This Row],[CODIGO DEL PRODUCTO]],Tabla7[],2,FALSE)</f>
        <v>ARENA FINA</v>
      </c>
      <c r="M249" s="37">
        <v>5000</v>
      </c>
      <c r="O249" s="34">
        <v>94583</v>
      </c>
      <c r="P249" s="34" t="s">
        <v>166</v>
      </c>
      <c r="Q249" s="35">
        <v>45610</v>
      </c>
      <c r="R249" s="36" t="s">
        <v>48</v>
      </c>
      <c r="S249" s="36" t="str">
        <f>VLOOKUP(Tabla9[[#This Row],[CODIGO DEL PRODUCTO]],Tabla7[],2,FALSE)</f>
        <v>PIEDRA 6-12</v>
      </c>
      <c r="T249" s="37">
        <v>35040</v>
      </c>
    </row>
    <row r="250" spans="8:20" x14ac:dyDescent="0.25">
      <c r="H250" s="34"/>
      <c r="I250" s="34"/>
      <c r="J250" s="35">
        <v>45635</v>
      </c>
      <c r="K250" s="36" t="s">
        <v>48</v>
      </c>
      <c r="L250" s="39" t="str">
        <f>VLOOKUP(Tabla8[[#This Row],[CODIGO DEL PRODUCTO]],Tabla7[],2,FALSE)</f>
        <v>PIEDRA 6-12</v>
      </c>
      <c r="M250" s="37">
        <v>1000</v>
      </c>
      <c r="O250" s="34">
        <v>94585</v>
      </c>
      <c r="P250" s="34" t="s">
        <v>172</v>
      </c>
      <c r="Q250" s="35">
        <v>45610</v>
      </c>
      <c r="R250" s="36" t="s">
        <v>43</v>
      </c>
      <c r="S250" s="36" t="str">
        <f>VLOOKUP(Tabla9[[#This Row],[CODIGO DEL PRODUCTO]],Tabla7[],2,FALSE)</f>
        <v>PIEDRA 6-20</v>
      </c>
      <c r="T250" s="37">
        <v>36040</v>
      </c>
    </row>
    <row r="251" spans="8:20" x14ac:dyDescent="0.25">
      <c r="H251" s="34">
        <v>7224</v>
      </c>
      <c r="I251" s="34" t="s">
        <v>147</v>
      </c>
      <c r="J251" s="35">
        <v>45635</v>
      </c>
      <c r="K251" s="36" t="s">
        <v>42</v>
      </c>
      <c r="L251" s="39" t="str">
        <f>VLOOKUP(Tabla8[[#This Row],[CODIGO DEL PRODUCTO]],Tabla7[],2,FALSE)</f>
        <v>ARENA FINA</v>
      </c>
      <c r="M251" s="37">
        <v>6871</v>
      </c>
      <c r="O251" s="34">
        <v>94588</v>
      </c>
      <c r="P251" s="34" t="s">
        <v>115</v>
      </c>
      <c r="Q251" s="35">
        <v>45610</v>
      </c>
      <c r="R251" s="36" t="s">
        <v>43</v>
      </c>
      <c r="S251" s="36" t="str">
        <f>VLOOKUP(Tabla9[[#This Row],[CODIGO DEL PRODUCTO]],Tabla7[],2,FALSE)</f>
        <v>PIEDRA 6-20</v>
      </c>
      <c r="T251" s="37">
        <v>35640</v>
      </c>
    </row>
    <row r="252" spans="8:20" x14ac:dyDescent="0.25">
      <c r="H252" s="34">
        <v>7233</v>
      </c>
      <c r="I252" s="34" t="s">
        <v>147</v>
      </c>
      <c r="J252" s="35">
        <v>45635</v>
      </c>
      <c r="K252" s="36" t="s">
        <v>43</v>
      </c>
      <c r="L252" s="39" t="str">
        <f>VLOOKUP(Tabla8[[#This Row],[CODIGO DEL PRODUCTO]],Tabla7[],2,FALSE)</f>
        <v>PIEDRA 6-20</v>
      </c>
      <c r="M252" s="37">
        <v>7000</v>
      </c>
      <c r="O252" s="34">
        <v>94589</v>
      </c>
      <c r="P252" s="34" t="s">
        <v>173</v>
      </c>
      <c r="Q252" s="35">
        <v>45610</v>
      </c>
      <c r="R252" s="36" t="s">
        <v>43</v>
      </c>
      <c r="S252" s="36" t="str">
        <f>VLOOKUP(Tabla9[[#This Row],[CODIGO DEL PRODUCTO]],Tabla7[],2,FALSE)</f>
        <v>PIEDRA 6-20</v>
      </c>
      <c r="T252" s="37">
        <v>35540</v>
      </c>
    </row>
    <row r="253" spans="8:20" x14ac:dyDescent="0.25">
      <c r="H253" s="34">
        <v>7246</v>
      </c>
      <c r="I253" s="34" t="s">
        <v>201</v>
      </c>
      <c r="J253" s="35">
        <v>45636</v>
      </c>
      <c r="K253" s="36" t="s">
        <v>42</v>
      </c>
      <c r="L253" s="39" t="str">
        <f>VLOOKUP(Tabla8[[#This Row],[CODIGO DEL PRODUCTO]],Tabla7[],2,FALSE)</f>
        <v>ARENA FINA</v>
      </c>
      <c r="M253" s="37">
        <v>6986</v>
      </c>
      <c r="O253" s="34">
        <v>127728</v>
      </c>
      <c r="P253" s="34" t="s">
        <v>116</v>
      </c>
      <c r="Q253" s="35">
        <v>45610</v>
      </c>
      <c r="R253" s="36" t="s">
        <v>40</v>
      </c>
      <c r="S253" s="36" t="str">
        <f>VLOOKUP(Tabla9[[#This Row],[CODIGO DEL PRODUCTO]],Tabla7[],2,FALSE)</f>
        <v>PIEDRA 0-6</v>
      </c>
      <c r="T253" s="37">
        <v>34680</v>
      </c>
    </row>
    <row r="254" spans="8:20" x14ac:dyDescent="0.25">
      <c r="H254" s="34">
        <v>7249</v>
      </c>
      <c r="I254" s="34" t="s">
        <v>202</v>
      </c>
      <c r="J254" s="35">
        <v>45636</v>
      </c>
      <c r="K254" s="36" t="s">
        <v>42</v>
      </c>
      <c r="L254" s="39" t="str">
        <f>VLOOKUP(Tabla8[[#This Row],[CODIGO DEL PRODUCTO]],Tabla7[],2,FALSE)</f>
        <v>ARENA FINA</v>
      </c>
      <c r="M254" s="37">
        <v>2000</v>
      </c>
      <c r="O254" s="34">
        <v>2590009</v>
      </c>
      <c r="P254" s="34" t="s">
        <v>65</v>
      </c>
      <c r="Q254" s="35">
        <v>45610</v>
      </c>
      <c r="R254" s="36" t="s">
        <v>45</v>
      </c>
      <c r="S254" s="36" t="str">
        <f>VLOOKUP(Tabla9[[#This Row],[CODIGO DEL PRODUCTO]],Tabla7[],2,FALSE)</f>
        <v>CPF 40 AVELLANEDA</v>
      </c>
      <c r="T254" s="37">
        <v>32100</v>
      </c>
    </row>
    <row r="255" spans="8:20" x14ac:dyDescent="0.25">
      <c r="H255" s="34">
        <v>7250</v>
      </c>
      <c r="I255" s="34" t="s">
        <v>203</v>
      </c>
      <c r="J255" s="35">
        <v>45636</v>
      </c>
      <c r="K255" s="36" t="s">
        <v>42</v>
      </c>
      <c r="L255" s="39" t="str">
        <f>VLOOKUP(Tabla8[[#This Row],[CODIGO DEL PRODUCTO]],Tabla7[],2,FALSE)</f>
        <v>ARENA FINA</v>
      </c>
      <c r="M255" s="37">
        <v>7000</v>
      </c>
      <c r="O255" s="34">
        <v>127768</v>
      </c>
      <c r="P255" s="34" t="s">
        <v>116</v>
      </c>
      <c r="Q255" s="35">
        <v>45611</v>
      </c>
      <c r="R255" s="36" t="s">
        <v>40</v>
      </c>
      <c r="S255" s="36" t="str">
        <f>VLOOKUP(Tabla9[[#This Row],[CODIGO DEL PRODUCTO]],Tabla7[],2,FALSE)</f>
        <v>PIEDRA 0-6</v>
      </c>
      <c r="T255" s="37">
        <v>35380</v>
      </c>
    </row>
    <row r="256" spans="8:20" x14ac:dyDescent="0.25">
      <c r="H256" s="34">
        <v>7252</v>
      </c>
      <c r="I256" s="34" t="s">
        <v>203</v>
      </c>
      <c r="J256" s="35">
        <v>45636</v>
      </c>
      <c r="K256" s="36" t="s">
        <v>42</v>
      </c>
      <c r="L256" s="39" t="str">
        <f>VLOOKUP(Tabla8[[#This Row],[CODIGO DEL PRODUCTO]],Tabla7[],2,FALSE)</f>
        <v>ARENA FINA</v>
      </c>
      <c r="M256" s="37">
        <v>7000</v>
      </c>
      <c r="O256" s="34">
        <v>94604</v>
      </c>
      <c r="P256" s="34" t="s">
        <v>166</v>
      </c>
      <c r="Q256" s="35">
        <v>45611</v>
      </c>
      <c r="R256" s="36" t="s">
        <v>48</v>
      </c>
      <c r="S256" s="36" t="str">
        <f>VLOOKUP(Tabla9[[#This Row],[CODIGO DEL PRODUCTO]],Tabla7[],2,FALSE)</f>
        <v>PIEDRA 6-12</v>
      </c>
      <c r="T256" s="37">
        <v>35220</v>
      </c>
    </row>
    <row r="257" spans="8:20" x14ac:dyDescent="0.25">
      <c r="H257" s="34">
        <v>7253</v>
      </c>
      <c r="I257" s="34" t="s">
        <v>204</v>
      </c>
      <c r="J257" s="35">
        <v>45636</v>
      </c>
      <c r="K257" s="36" t="s">
        <v>42</v>
      </c>
      <c r="L257" s="39" t="str">
        <f>VLOOKUP(Tabla8[[#This Row],[CODIGO DEL PRODUCTO]],Tabla7[],2,FALSE)</f>
        <v>ARENA FINA</v>
      </c>
      <c r="M257" s="37">
        <v>8000</v>
      </c>
      <c r="O257" s="34">
        <v>2590367</v>
      </c>
      <c r="P257" s="34" t="s">
        <v>65</v>
      </c>
      <c r="Q257" s="35">
        <v>45611</v>
      </c>
      <c r="R257" s="36" t="s">
        <v>45</v>
      </c>
      <c r="S257" s="36" t="str">
        <f>VLOOKUP(Tabla9[[#This Row],[CODIGO DEL PRODUCTO]],Tabla7[],2,FALSE)</f>
        <v>CPF 40 AVELLANEDA</v>
      </c>
      <c r="T257" s="37">
        <v>32080</v>
      </c>
    </row>
    <row r="258" spans="8:20" x14ac:dyDescent="0.25">
      <c r="H258" s="34">
        <v>7257</v>
      </c>
      <c r="I258" s="34" t="s">
        <v>205</v>
      </c>
      <c r="J258" s="35">
        <v>45636</v>
      </c>
      <c r="K258" s="36" t="s">
        <v>46</v>
      </c>
      <c r="L258" s="39" t="str">
        <f>VLOOKUP(Tabla8[[#This Row],[CODIGO DEL PRODUCTO]],Tabla7[],2,FALSE)</f>
        <v>PIEDRA 10-30</v>
      </c>
      <c r="M258" s="37">
        <v>6000</v>
      </c>
      <c r="O258" s="34">
        <v>127856</v>
      </c>
      <c r="P258" s="34" t="s">
        <v>116</v>
      </c>
      <c r="Q258" s="35">
        <v>45612</v>
      </c>
      <c r="R258" s="36" t="s">
        <v>40</v>
      </c>
      <c r="S258" s="36" t="str">
        <f>VLOOKUP(Tabla9[[#This Row],[CODIGO DEL PRODUCTO]],Tabla7[],2,FALSE)</f>
        <v>PIEDRA 0-6</v>
      </c>
      <c r="T258" s="37">
        <v>35300</v>
      </c>
    </row>
    <row r="259" spans="8:20" x14ac:dyDescent="0.25">
      <c r="H259" s="34">
        <v>7259</v>
      </c>
      <c r="I259" s="34" t="s">
        <v>205</v>
      </c>
      <c r="J259" s="35">
        <v>45636</v>
      </c>
      <c r="K259" s="36" t="s">
        <v>46</v>
      </c>
      <c r="L259" s="39" t="str">
        <f>VLOOKUP(Tabla8[[#This Row],[CODIGO DEL PRODUCTO]],Tabla7[],2,FALSE)</f>
        <v>PIEDRA 10-30</v>
      </c>
      <c r="M259" s="37">
        <v>6000</v>
      </c>
      <c r="O259" s="34">
        <v>94654</v>
      </c>
      <c r="P259" s="34" t="s">
        <v>151</v>
      </c>
      <c r="Q259" s="35">
        <v>45615</v>
      </c>
      <c r="R259" s="36" t="s">
        <v>48</v>
      </c>
      <c r="S259" s="36" t="str">
        <f>VLOOKUP(Tabla9[[#This Row],[CODIGO DEL PRODUCTO]],Tabla7[],2,FALSE)</f>
        <v>PIEDRA 6-12</v>
      </c>
      <c r="T259" s="37">
        <v>34280</v>
      </c>
    </row>
    <row r="260" spans="8:20" x14ac:dyDescent="0.25">
      <c r="H260" s="34">
        <v>7260</v>
      </c>
      <c r="I260" s="34" t="s">
        <v>206</v>
      </c>
      <c r="J260" s="35">
        <v>45636</v>
      </c>
      <c r="K260" s="36" t="s">
        <v>42</v>
      </c>
      <c r="L260" s="39" t="str">
        <f>VLOOKUP(Tabla8[[#This Row],[CODIGO DEL PRODUCTO]],Tabla7[],2,FALSE)</f>
        <v>ARENA FINA</v>
      </c>
      <c r="M260" s="37">
        <v>3000</v>
      </c>
      <c r="O260" s="34">
        <v>127868</v>
      </c>
      <c r="P260" s="34" t="s">
        <v>116</v>
      </c>
      <c r="Q260" s="35">
        <v>45615</v>
      </c>
      <c r="R260" s="36" t="s">
        <v>40</v>
      </c>
      <c r="S260" s="36" t="str">
        <f>VLOOKUP(Tabla9[[#This Row],[CODIGO DEL PRODUCTO]],Tabla7[],2,FALSE)</f>
        <v>PIEDRA 0-6</v>
      </c>
      <c r="T260" s="37">
        <v>35400</v>
      </c>
    </row>
    <row r="261" spans="8:20" x14ac:dyDescent="0.25">
      <c r="H261" s="34">
        <v>7261</v>
      </c>
      <c r="I261" s="34" t="s">
        <v>184</v>
      </c>
      <c r="J261" s="35">
        <v>45636</v>
      </c>
      <c r="K261" s="36" t="s">
        <v>42</v>
      </c>
      <c r="L261" s="39" t="str">
        <f>VLOOKUP(Tabla8[[#This Row],[CODIGO DEL PRODUCTO]],Tabla7[],2,FALSE)</f>
        <v>ARENA FINA</v>
      </c>
      <c r="M261" s="37">
        <v>1000</v>
      </c>
      <c r="O261" s="34">
        <v>2590573</v>
      </c>
      <c r="P261" s="34" t="s">
        <v>65</v>
      </c>
      <c r="Q261" s="35">
        <v>45615</v>
      </c>
      <c r="R261" s="36" t="s">
        <v>45</v>
      </c>
      <c r="S261" s="36" t="str">
        <f>VLOOKUP(Tabla9[[#This Row],[CODIGO DEL PRODUCTO]],Tabla7[],2,FALSE)</f>
        <v>CPF 40 AVELLANEDA</v>
      </c>
      <c r="T261" s="37">
        <v>31840</v>
      </c>
    </row>
    <row r="262" spans="8:20" x14ac:dyDescent="0.25">
      <c r="H262" s="34">
        <v>7272</v>
      </c>
      <c r="I262" s="34" t="s">
        <v>204</v>
      </c>
      <c r="J262" s="35">
        <v>45636</v>
      </c>
      <c r="K262" s="36" t="s">
        <v>42</v>
      </c>
      <c r="L262" s="39" t="str">
        <f>VLOOKUP(Tabla8[[#This Row],[CODIGO DEL PRODUCTO]],Tabla7[],2,FALSE)</f>
        <v>ARENA FINA</v>
      </c>
      <c r="M262" s="37">
        <v>3000</v>
      </c>
      <c r="O262" s="34">
        <v>24400</v>
      </c>
      <c r="P262" s="34" t="s">
        <v>64</v>
      </c>
      <c r="Q262" s="35">
        <v>45616</v>
      </c>
      <c r="R262" s="36" t="s">
        <v>42</v>
      </c>
      <c r="S262" s="36" t="str">
        <f>VLOOKUP(Tabla9[[#This Row],[CODIGO DEL PRODUCTO]],Tabla7[],2,FALSE)</f>
        <v>ARENA FINA</v>
      </c>
      <c r="T262" s="37">
        <v>35360</v>
      </c>
    </row>
    <row r="263" spans="8:20" x14ac:dyDescent="0.25">
      <c r="H263" s="34">
        <v>7289</v>
      </c>
      <c r="I263" s="34" t="s">
        <v>170</v>
      </c>
      <c r="J263" s="35">
        <v>45637</v>
      </c>
      <c r="K263" s="36" t="s">
        <v>43</v>
      </c>
      <c r="L263" s="39" t="str">
        <f>VLOOKUP(Tabla8[[#This Row],[CODIGO DEL PRODUCTO]],Tabla7[],2,FALSE)</f>
        <v>PIEDRA 6-20</v>
      </c>
      <c r="M263" s="37">
        <v>2000</v>
      </c>
      <c r="O263" s="34">
        <v>24423</v>
      </c>
      <c r="P263" s="34" t="s">
        <v>64</v>
      </c>
      <c r="Q263" s="35">
        <v>45616</v>
      </c>
      <c r="R263" s="36" t="s">
        <v>42</v>
      </c>
      <c r="S263" s="36" t="str">
        <f>VLOOKUP(Tabla9[[#This Row],[CODIGO DEL PRODUCTO]],Tabla7[],2,FALSE)</f>
        <v>ARENA FINA</v>
      </c>
      <c r="T263" s="37">
        <v>34320</v>
      </c>
    </row>
    <row r="264" spans="8:20" x14ac:dyDescent="0.25">
      <c r="H264" s="34"/>
      <c r="I264" s="34"/>
      <c r="J264" s="35">
        <v>45637</v>
      </c>
      <c r="K264" s="36" t="s">
        <v>42</v>
      </c>
      <c r="L264" s="39" t="str">
        <f>VLOOKUP(Tabla8[[#This Row],[CODIGO DEL PRODUCTO]],Tabla7[],2,FALSE)</f>
        <v>ARENA FINA</v>
      </c>
      <c r="M264" s="37">
        <v>4000</v>
      </c>
      <c r="O264" s="34">
        <v>127942</v>
      </c>
      <c r="P264" s="34" t="s">
        <v>116</v>
      </c>
      <c r="Q264" s="35">
        <v>45616</v>
      </c>
      <c r="R264" s="36" t="s">
        <v>40</v>
      </c>
      <c r="S264" s="36" t="str">
        <f>VLOOKUP(Tabla9[[#This Row],[CODIGO DEL PRODUCTO]],Tabla7[],2,FALSE)</f>
        <v>PIEDRA 0-6</v>
      </c>
      <c r="T264" s="37">
        <v>35600</v>
      </c>
    </row>
    <row r="265" spans="8:20" x14ac:dyDescent="0.25">
      <c r="H265" s="34">
        <v>7298</v>
      </c>
      <c r="I265" s="34" t="s">
        <v>121</v>
      </c>
      <c r="J265" s="35">
        <v>45638</v>
      </c>
      <c r="K265" s="36" t="s">
        <v>42</v>
      </c>
      <c r="L265" s="39" t="str">
        <f>VLOOKUP(Tabla8[[#This Row],[CODIGO DEL PRODUCTO]],Tabla7[],2,FALSE)</f>
        <v>ARENA FINA</v>
      </c>
      <c r="M265" s="37">
        <v>5000</v>
      </c>
      <c r="O265" s="34">
        <v>2590846</v>
      </c>
      <c r="P265" s="34" t="s">
        <v>65</v>
      </c>
      <c r="Q265" s="35">
        <v>45616</v>
      </c>
      <c r="R265" s="36" t="s">
        <v>45</v>
      </c>
      <c r="S265" s="36" t="str">
        <f>VLOOKUP(Tabla9[[#This Row],[CODIGO DEL PRODUCTO]],Tabla7[],2,FALSE)</f>
        <v>CPF 40 AVELLANEDA</v>
      </c>
      <c r="T265" s="37">
        <v>32080</v>
      </c>
    </row>
    <row r="266" spans="8:20" x14ac:dyDescent="0.25">
      <c r="H266" s="34">
        <v>7311</v>
      </c>
      <c r="I266" s="34" t="s">
        <v>210</v>
      </c>
      <c r="J266" s="35">
        <v>45638</v>
      </c>
      <c r="K266" s="36" t="s">
        <v>42</v>
      </c>
      <c r="L266" s="39" t="str">
        <f>VLOOKUP(Tabla8[[#This Row],[CODIGO DEL PRODUCTO]],Tabla7[],2,FALSE)</f>
        <v>ARENA FINA</v>
      </c>
      <c r="M266" s="37">
        <v>4000</v>
      </c>
      <c r="O266" s="34">
        <v>24464</v>
      </c>
      <c r="P266" s="34" t="s">
        <v>64</v>
      </c>
      <c r="Q266" s="35">
        <v>45617</v>
      </c>
      <c r="R266" s="36" t="s">
        <v>42</v>
      </c>
      <c r="S266" s="36" t="str">
        <f>VLOOKUP(Tabla9[[#This Row],[CODIGO DEL PRODUCTO]],Tabla7[],2,FALSE)</f>
        <v>ARENA FINA</v>
      </c>
      <c r="T266" s="37">
        <v>37440</v>
      </c>
    </row>
    <row r="267" spans="8:20" x14ac:dyDescent="0.25">
      <c r="H267" s="34">
        <v>7321</v>
      </c>
      <c r="I267" s="34" t="s">
        <v>211</v>
      </c>
      <c r="J267" s="35">
        <v>45638</v>
      </c>
      <c r="K267" s="36" t="s">
        <v>42</v>
      </c>
      <c r="L267" s="39" t="str">
        <f>VLOOKUP(Tabla8[[#This Row],[CODIGO DEL PRODUCTO]],Tabla7[],2,FALSE)</f>
        <v>ARENA FINA</v>
      </c>
      <c r="M267" s="37">
        <v>4000</v>
      </c>
      <c r="O267" s="34">
        <v>24484</v>
      </c>
      <c r="P267" s="34" t="s">
        <v>64</v>
      </c>
      <c r="Q267" s="35">
        <v>45617</v>
      </c>
      <c r="R267" s="36" t="s">
        <v>42</v>
      </c>
      <c r="S267" s="36" t="str">
        <f>VLOOKUP(Tabla9[[#This Row],[CODIGO DEL PRODUCTO]],Tabla7[],2,FALSE)</f>
        <v>ARENA FINA</v>
      </c>
      <c r="T267" s="37">
        <v>38560</v>
      </c>
    </row>
    <row r="268" spans="8:20" x14ac:dyDescent="0.25">
      <c r="H268" s="34">
        <v>7372</v>
      </c>
      <c r="I268" s="34" t="s">
        <v>180</v>
      </c>
      <c r="J268" s="35">
        <v>45642</v>
      </c>
      <c r="K268" s="36" t="s">
        <v>42</v>
      </c>
      <c r="L268" s="39" t="str">
        <f>VLOOKUP(Tabla8[[#This Row],[CODIGO DEL PRODUCTO]],Tabla7[],2,FALSE)</f>
        <v>ARENA FINA</v>
      </c>
      <c r="M268" s="37">
        <v>4000</v>
      </c>
      <c r="O268" s="34">
        <v>94712</v>
      </c>
      <c r="P268" s="34" t="s">
        <v>160</v>
      </c>
      <c r="Q268" s="35">
        <v>45617</v>
      </c>
      <c r="R268" s="36" t="s">
        <v>40</v>
      </c>
      <c r="S268" s="36" t="str">
        <f>VLOOKUP(Tabla9[[#This Row],[CODIGO DEL PRODUCTO]],Tabla7[],2,FALSE)</f>
        <v>PIEDRA 0-6</v>
      </c>
      <c r="T268" s="37">
        <v>35420</v>
      </c>
    </row>
    <row r="269" spans="8:20" x14ac:dyDescent="0.25">
      <c r="H269" s="34">
        <v>7394</v>
      </c>
      <c r="I269" s="34" t="s">
        <v>214</v>
      </c>
      <c r="J269" s="35">
        <v>45643</v>
      </c>
      <c r="K269" s="36" t="s">
        <v>42</v>
      </c>
      <c r="L269" s="39" t="str">
        <f>VLOOKUP(Tabla8[[#This Row],[CODIGO DEL PRODUCTO]],Tabla7[],2,FALSE)</f>
        <v>ARENA FINA</v>
      </c>
      <c r="M269" s="37">
        <v>2000</v>
      </c>
      <c r="O269" s="34">
        <v>128029</v>
      </c>
      <c r="P269" s="34" t="s">
        <v>20</v>
      </c>
      <c r="Q269" s="35">
        <v>45617</v>
      </c>
      <c r="R269" s="36" t="s">
        <v>40</v>
      </c>
      <c r="S269" s="36" t="str">
        <f>VLOOKUP(Tabla9[[#This Row],[CODIGO DEL PRODUCTO]],Tabla7[],2,FALSE)</f>
        <v>PIEDRA 0-6</v>
      </c>
      <c r="T269" s="37">
        <v>34800</v>
      </c>
    </row>
    <row r="270" spans="8:20" x14ac:dyDescent="0.25">
      <c r="H270" s="34"/>
      <c r="I270" s="34"/>
      <c r="J270" s="35">
        <v>45643</v>
      </c>
      <c r="K270" s="36" t="s">
        <v>43</v>
      </c>
      <c r="L270" s="39" t="str">
        <f>VLOOKUP(Tabla8[[#This Row],[CODIGO DEL PRODUCTO]],Tabla7[],2,FALSE)</f>
        <v>PIEDRA 6-20</v>
      </c>
      <c r="M270" s="37">
        <v>2000</v>
      </c>
      <c r="O270" s="34">
        <v>2591357</v>
      </c>
      <c r="P270" s="34" t="s">
        <v>20</v>
      </c>
      <c r="Q270" s="35">
        <v>45617</v>
      </c>
      <c r="R270" s="36" t="s">
        <v>45</v>
      </c>
      <c r="S270" s="36" t="str">
        <f>VLOOKUP(Tabla9[[#This Row],[CODIGO DEL PRODUCTO]],Tabla7[],2,FALSE)</f>
        <v>CPF 40 AVELLANEDA</v>
      </c>
      <c r="T270" s="37">
        <v>32540</v>
      </c>
    </row>
    <row r="271" spans="8:20" x14ac:dyDescent="0.25">
      <c r="H271" s="34">
        <v>7402</v>
      </c>
      <c r="I271" s="34" t="s">
        <v>214</v>
      </c>
      <c r="J271" s="35">
        <v>45643</v>
      </c>
      <c r="K271" s="36" t="s">
        <v>42</v>
      </c>
      <c r="L271" s="39" t="str">
        <f>VLOOKUP(Tabla8[[#This Row],[CODIGO DEL PRODUCTO]],Tabla7[],2,FALSE)</f>
        <v>ARENA FINA</v>
      </c>
      <c r="M271" s="37">
        <v>4000</v>
      </c>
      <c r="O271" s="34">
        <v>35614</v>
      </c>
      <c r="P271" s="34" t="s">
        <v>61</v>
      </c>
      <c r="Q271" s="35">
        <v>45617</v>
      </c>
      <c r="R271" s="36" t="s">
        <v>50</v>
      </c>
      <c r="S271" s="36" t="str">
        <f>VLOOKUP(Tabla9[[#This Row],[CODIGO DEL PRODUCTO]],Tabla7[],2,FALSE)</f>
        <v>MIRA SET 453 (ADITIVO)</v>
      </c>
      <c r="T271" s="37">
        <v>2180</v>
      </c>
    </row>
    <row r="272" spans="8:20" x14ac:dyDescent="0.25">
      <c r="H272" s="34"/>
      <c r="I272" s="34" t="s">
        <v>53</v>
      </c>
      <c r="J272" s="35">
        <v>45635</v>
      </c>
      <c r="K272" s="36" t="s">
        <v>42</v>
      </c>
      <c r="L272" s="39" t="str">
        <f>VLOOKUP(Tabla8[[#This Row],[CODIGO DEL PRODUCTO]],Tabla7[],2,FALSE)</f>
        <v>ARENA FINA</v>
      </c>
      <c r="M272" s="37">
        <v>337873</v>
      </c>
      <c r="O272" s="34">
        <v>24518</v>
      </c>
      <c r="P272" s="34" t="s">
        <v>64</v>
      </c>
      <c r="Q272" s="35">
        <v>45618</v>
      </c>
      <c r="R272" s="36" t="s">
        <v>42</v>
      </c>
      <c r="S272" s="36" t="str">
        <f>VLOOKUP(Tabla9[[#This Row],[CODIGO DEL PRODUCTO]],Tabla7[],2,FALSE)</f>
        <v>ARENA FINA</v>
      </c>
      <c r="T272" s="37">
        <v>37580</v>
      </c>
    </row>
    <row r="273" spans="8:20" x14ac:dyDescent="0.25">
      <c r="H273" s="34"/>
      <c r="I273" s="34" t="s">
        <v>53</v>
      </c>
      <c r="J273" s="35">
        <v>45636</v>
      </c>
      <c r="K273" s="36" t="s">
        <v>40</v>
      </c>
      <c r="L273" s="39" t="str">
        <f>VLOOKUP(Tabla8[[#This Row],[CODIGO DEL PRODUCTO]],Tabla7[],2,FALSE)</f>
        <v>PIEDRA 0-6</v>
      </c>
      <c r="M273" s="37">
        <v>237438</v>
      </c>
      <c r="O273" s="34">
        <v>24533</v>
      </c>
      <c r="P273" s="34" t="s">
        <v>64</v>
      </c>
      <c r="Q273" s="35">
        <v>45618</v>
      </c>
      <c r="R273" s="36" t="s">
        <v>42</v>
      </c>
      <c r="S273" s="36" t="str">
        <f>VLOOKUP(Tabla9[[#This Row],[CODIGO DEL PRODUCTO]],Tabla7[],2,FALSE)</f>
        <v>ARENA FINA</v>
      </c>
      <c r="T273" s="37">
        <v>35560</v>
      </c>
    </row>
    <row r="274" spans="8:20" x14ac:dyDescent="0.25">
      <c r="H274" s="34"/>
      <c r="I274" s="34" t="s">
        <v>53</v>
      </c>
      <c r="J274" s="35">
        <v>45637</v>
      </c>
      <c r="K274" s="36" t="s">
        <v>45</v>
      </c>
      <c r="L274" s="39" t="str">
        <f>VLOOKUP(Tabla8[[#This Row],[CODIGO DEL PRODUCTO]],Tabla7[],2,FALSE)</f>
        <v>CPF 40 AVELLANEDA</v>
      </c>
      <c r="M274" s="37">
        <v>199002</v>
      </c>
      <c r="O274" s="34">
        <v>94740</v>
      </c>
      <c r="P274" s="34" t="s">
        <v>151</v>
      </c>
      <c r="Q274" s="35">
        <v>45618</v>
      </c>
      <c r="R274" s="36" t="s">
        <v>48</v>
      </c>
      <c r="S274" s="36" t="str">
        <f>VLOOKUP(Tabla9[[#This Row],[CODIGO DEL PRODUCTO]],Tabla7[],2,FALSE)</f>
        <v>PIEDRA 6-12</v>
      </c>
      <c r="T274" s="37">
        <v>34840</v>
      </c>
    </row>
    <row r="275" spans="8:20" x14ac:dyDescent="0.25">
      <c r="H275" s="34"/>
      <c r="I275" s="34" t="s">
        <v>53</v>
      </c>
      <c r="J275" s="35">
        <v>45638</v>
      </c>
      <c r="K275" s="36" t="s">
        <v>50</v>
      </c>
      <c r="L275" s="39" t="str">
        <f>VLOOKUP(Tabla8[[#This Row],[CODIGO DEL PRODUCTO]],Tabla7[],2,FALSE)</f>
        <v>MIRA SET 453 (ADITIVO)</v>
      </c>
      <c r="M275" s="37">
        <v>1096.5999999999999</v>
      </c>
      <c r="O275" s="34">
        <v>128091</v>
      </c>
      <c r="P275" s="34" t="s">
        <v>116</v>
      </c>
      <c r="Q275" s="35">
        <v>45618</v>
      </c>
      <c r="R275" s="36" t="s">
        <v>40</v>
      </c>
      <c r="S275" s="36" t="str">
        <f>VLOOKUP(Tabla9[[#This Row],[CODIGO DEL PRODUCTO]],Tabla7[],2,FALSE)</f>
        <v>PIEDRA 0-6</v>
      </c>
      <c r="T275" s="37">
        <v>34260</v>
      </c>
    </row>
    <row r="276" spans="8:20" x14ac:dyDescent="0.25">
      <c r="H276" s="34"/>
      <c r="I276" s="34" t="s">
        <v>53</v>
      </c>
      <c r="J276" s="35">
        <v>45639</v>
      </c>
      <c r="K276" s="36" t="s">
        <v>48</v>
      </c>
      <c r="L276" s="39" t="str">
        <f>VLOOKUP(Tabla8[[#This Row],[CODIGO DEL PRODUCTO]],Tabla7[],2,FALSE)</f>
        <v>PIEDRA 6-12</v>
      </c>
      <c r="M276" s="37">
        <v>88462</v>
      </c>
      <c r="O276" s="34">
        <v>2591760</v>
      </c>
      <c r="P276" s="34" t="s">
        <v>65</v>
      </c>
      <c r="Q276" s="35">
        <v>45618</v>
      </c>
      <c r="R276" s="36" t="s">
        <v>45</v>
      </c>
      <c r="S276" s="36" t="str">
        <f>VLOOKUP(Tabla9[[#This Row],[CODIGO DEL PRODUCTO]],Tabla7[],2,FALSE)</f>
        <v>CPF 40 AVELLANEDA</v>
      </c>
      <c r="T276" s="37">
        <v>32140</v>
      </c>
    </row>
    <row r="277" spans="8:20" x14ac:dyDescent="0.25">
      <c r="H277" s="34"/>
      <c r="I277" s="34" t="s">
        <v>53</v>
      </c>
      <c r="J277" s="35">
        <v>45640</v>
      </c>
      <c r="K277" s="36" t="s">
        <v>46</v>
      </c>
      <c r="L277" s="39" t="str">
        <f>VLOOKUP(Tabla8[[#This Row],[CODIGO DEL PRODUCTO]],Tabla7[],2,FALSE)</f>
        <v>PIEDRA 10-30</v>
      </c>
      <c r="M277" s="37">
        <v>28451</v>
      </c>
      <c r="O277" s="34">
        <v>128150</v>
      </c>
      <c r="P277" s="34" t="s">
        <v>116</v>
      </c>
      <c r="Q277" s="35">
        <v>45619</v>
      </c>
      <c r="R277" s="36" t="s">
        <v>40</v>
      </c>
      <c r="S277" s="36" t="str">
        <f>VLOOKUP(Tabla9[[#This Row],[CODIGO DEL PRODUCTO]],Tabla7[],2,FALSE)</f>
        <v>PIEDRA 0-6</v>
      </c>
      <c r="T277" s="37">
        <v>35160</v>
      </c>
    </row>
    <row r="278" spans="8:20" x14ac:dyDescent="0.25">
      <c r="H278" s="34"/>
      <c r="I278" s="34" t="s">
        <v>53</v>
      </c>
      <c r="J278" s="35">
        <v>45640</v>
      </c>
      <c r="K278" s="36" t="s">
        <v>43</v>
      </c>
      <c r="L278" s="39" t="str">
        <f>VLOOKUP(Tabla8[[#This Row],[CODIGO DEL PRODUCTO]],Tabla7[],2,FALSE)</f>
        <v>PIEDRA 6-20</v>
      </c>
      <c r="M278" s="37">
        <v>462540</v>
      </c>
      <c r="O278" s="34">
        <v>94789</v>
      </c>
      <c r="P278" s="34" t="s">
        <v>138</v>
      </c>
      <c r="Q278" s="35">
        <v>45621</v>
      </c>
      <c r="R278" s="36" t="s">
        <v>48</v>
      </c>
      <c r="S278" s="36" t="str">
        <f>VLOOKUP(Tabla9[[#This Row],[CODIGO DEL PRODUCTO]],Tabla7[],2,FALSE)</f>
        <v>PIEDRA 6-12</v>
      </c>
      <c r="T278" s="37">
        <v>35160</v>
      </c>
    </row>
    <row r="279" spans="8:20" x14ac:dyDescent="0.25">
      <c r="H279" s="34">
        <v>19052</v>
      </c>
      <c r="I279" s="34" t="s">
        <v>66</v>
      </c>
      <c r="J279" s="35">
        <v>45644</v>
      </c>
      <c r="K279" s="36" t="s">
        <v>43</v>
      </c>
      <c r="L279" s="39" t="str">
        <f>VLOOKUP(Tabla8[[#This Row],[CODIGO DEL PRODUCTO]],Tabla7[],2,FALSE)</f>
        <v>PIEDRA 6-20</v>
      </c>
      <c r="M279" s="37">
        <v>32200</v>
      </c>
      <c r="O279" s="34">
        <v>128180</v>
      </c>
      <c r="P279" s="34" t="s">
        <v>119</v>
      </c>
      <c r="Q279" s="35">
        <v>45621</v>
      </c>
      <c r="R279" s="36" t="s">
        <v>46</v>
      </c>
      <c r="S279" s="36" t="str">
        <f>VLOOKUP(Tabla9[[#This Row],[CODIGO DEL PRODUCTO]],Tabla7[],2,FALSE)</f>
        <v>PIEDRA 10-30</v>
      </c>
      <c r="T279" s="37">
        <v>35340</v>
      </c>
    </row>
    <row r="280" spans="8:20" x14ac:dyDescent="0.25">
      <c r="H280" s="34">
        <v>19248</v>
      </c>
      <c r="I280" s="34" t="s">
        <v>66</v>
      </c>
      <c r="J280" s="35">
        <v>45644</v>
      </c>
      <c r="K280" s="36" t="s">
        <v>40</v>
      </c>
      <c r="L280" s="39" t="str">
        <f>VLOOKUP(Tabla8[[#This Row],[CODIGO DEL PRODUCTO]],Tabla7[],2,FALSE)</f>
        <v>PIEDRA 0-6</v>
      </c>
      <c r="M280" s="37">
        <v>34120</v>
      </c>
      <c r="O280" s="34">
        <v>128200</v>
      </c>
      <c r="P280" s="34" t="s">
        <v>116</v>
      </c>
      <c r="Q280" s="35">
        <v>45621</v>
      </c>
      <c r="R280" s="36" t="s">
        <v>40</v>
      </c>
      <c r="S280" s="36" t="str">
        <f>VLOOKUP(Tabla9[[#This Row],[CODIGO DEL PRODUCTO]],Tabla7[],2,FALSE)</f>
        <v>PIEDRA 0-6</v>
      </c>
      <c r="T280" s="37">
        <v>35680</v>
      </c>
    </row>
    <row r="281" spans="8:20" x14ac:dyDescent="0.25">
      <c r="H281" s="34">
        <v>19055</v>
      </c>
      <c r="I281" s="34" t="s">
        <v>66</v>
      </c>
      <c r="J281" s="35">
        <v>45645</v>
      </c>
      <c r="K281" s="36" t="s">
        <v>40</v>
      </c>
      <c r="L281" s="39" t="str">
        <f>VLOOKUP(Tabla8[[#This Row],[CODIGO DEL PRODUCTO]],Tabla7[],2,FALSE)</f>
        <v>PIEDRA 0-6</v>
      </c>
      <c r="M281" s="37">
        <v>36740</v>
      </c>
      <c r="O281" s="34">
        <v>24637</v>
      </c>
      <c r="P281" s="34" t="s">
        <v>186</v>
      </c>
      <c r="Q281" s="35">
        <v>45622</v>
      </c>
      <c r="R281" s="36" t="s">
        <v>42</v>
      </c>
      <c r="S281" s="36" t="str">
        <f>VLOOKUP(Tabla9[[#This Row],[CODIGO DEL PRODUCTO]],Tabla7[],2,FALSE)</f>
        <v>ARENA FINA</v>
      </c>
      <c r="T281" s="37">
        <v>36760</v>
      </c>
    </row>
    <row r="282" spans="8:20" x14ac:dyDescent="0.25">
      <c r="H282" s="34">
        <v>19001</v>
      </c>
      <c r="I282" s="34" t="s">
        <v>66</v>
      </c>
      <c r="J282" s="35">
        <v>45646</v>
      </c>
      <c r="K282" s="36" t="s">
        <v>40</v>
      </c>
      <c r="L282" s="39" t="str">
        <f>VLOOKUP(Tabla8[[#This Row],[CODIGO DEL PRODUCTO]],Tabla7[],2,FALSE)</f>
        <v>PIEDRA 0-6</v>
      </c>
      <c r="M282" s="37">
        <v>30040</v>
      </c>
      <c r="O282" s="34">
        <v>24651</v>
      </c>
      <c r="P282" s="34" t="s">
        <v>186</v>
      </c>
      <c r="Q282" s="35">
        <v>45622</v>
      </c>
      <c r="R282" s="36" t="s">
        <v>42</v>
      </c>
      <c r="S282" s="36" t="str">
        <f>VLOOKUP(Tabla9[[#This Row],[CODIGO DEL PRODUCTO]],Tabla7[],2,FALSE)</f>
        <v>ARENA FINA</v>
      </c>
      <c r="T282" s="37">
        <v>35360</v>
      </c>
    </row>
    <row r="283" spans="8:20" x14ac:dyDescent="0.25">
      <c r="H283" s="34">
        <v>19003</v>
      </c>
      <c r="I283" s="34" t="s">
        <v>66</v>
      </c>
      <c r="J283" s="35">
        <v>45647</v>
      </c>
      <c r="K283" s="36" t="s">
        <v>40</v>
      </c>
      <c r="L283" s="39" t="str">
        <f>VLOOKUP(Tabla8[[#This Row],[CODIGO DEL PRODUCTO]],Tabla7[],2,FALSE)</f>
        <v>PIEDRA 0-6</v>
      </c>
      <c r="M283" s="37">
        <v>32020</v>
      </c>
      <c r="O283" s="34">
        <v>24669</v>
      </c>
      <c r="P283" s="34" t="s">
        <v>186</v>
      </c>
      <c r="Q283" s="35">
        <v>45622</v>
      </c>
      <c r="R283" s="36" t="s">
        <v>42</v>
      </c>
      <c r="S283" s="36" t="str">
        <f>VLOOKUP(Tabla9[[#This Row],[CODIGO DEL PRODUCTO]],Tabla7[],2,FALSE)</f>
        <v>ARENA FINA</v>
      </c>
      <c r="T283" s="37">
        <v>39280</v>
      </c>
    </row>
    <row r="284" spans="8:20" x14ac:dyDescent="0.25">
      <c r="H284" s="34"/>
      <c r="I284" s="34" t="s">
        <v>53</v>
      </c>
      <c r="J284" s="35">
        <v>45642</v>
      </c>
      <c r="K284" s="36" t="s">
        <v>42</v>
      </c>
      <c r="L284" s="39" t="str">
        <f>VLOOKUP(Tabla8[[#This Row],[CODIGO DEL PRODUCTO]],Tabla7[],2,FALSE)</f>
        <v>ARENA FINA</v>
      </c>
      <c r="M284" s="37">
        <v>591768</v>
      </c>
      <c r="O284" s="34">
        <v>94835</v>
      </c>
      <c r="P284" s="34" t="s">
        <v>138</v>
      </c>
      <c r="Q284" s="35">
        <v>45622</v>
      </c>
      <c r="R284" s="36" t="s">
        <v>48</v>
      </c>
      <c r="S284" s="36" t="str">
        <f>VLOOKUP(Tabla9[[#This Row],[CODIGO DEL PRODUCTO]],Tabla7[],2,FALSE)</f>
        <v>PIEDRA 6-12</v>
      </c>
      <c r="T284" s="37">
        <v>35100</v>
      </c>
    </row>
    <row r="285" spans="8:20" x14ac:dyDescent="0.25">
      <c r="H285" s="34"/>
      <c r="I285" s="34" t="s">
        <v>53</v>
      </c>
      <c r="J285" s="35">
        <v>45643</v>
      </c>
      <c r="K285" s="36" t="s">
        <v>40</v>
      </c>
      <c r="L285" s="39" t="str">
        <f>VLOOKUP(Tabla8[[#This Row],[CODIGO DEL PRODUCTO]],Tabla7[],2,FALSE)</f>
        <v>PIEDRA 0-6</v>
      </c>
      <c r="M285" s="37">
        <v>409541</v>
      </c>
      <c r="O285" s="34">
        <v>128258</v>
      </c>
      <c r="P285" s="34" t="s">
        <v>116</v>
      </c>
      <c r="Q285" s="35">
        <v>45622</v>
      </c>
      <c r="R285" s="36" t="s">
        <v>40</v>
      </c>
      <c r="S285" s="36" t="str">
        <f>VLOOKUP(Tabla9[[#This Row],[CODIGO DEL PRODUCTO]],Tabla7[],2,FALSE)</f>
        <v>PIEDRA 0-6</v>
      </c>
      <c r="T285" s="37">
        <v>34860</v>
      </c>
    </row>
    <row r="286" spans="8:20" x14ac:dyDescent="0.25">
      <c r="H286" s="34"/>
      <c r="I286" s="34" t="s">
        <v>53</v>
      </c>
      <c r="J286" s="35">
        <v>45644</v>
      </c>
      <c r="K286" s="36" t="s">
        <v>24</v>
      </c>
      <c r="L286" s="39" t="str">
        <f>VLOOKUP(Tabla8[[#This Row],[CODIGO DEL PRODUCTO]],Tabla7[],2,FALSE)</f>
        <v>ARS</v>
      </c>
      <c r="M286" s="37">
        <v>7281</v>
      </c>
      <c r="O286" s="34">
        <v>2592004</v>
      </c>
      <c r="P286" s="34" t="s">
        <v>65</v>
      </c>
      <c r="Q286" s="35">
        <v>45622</v>
      </c>
      <c r="R286" s="36" t="s">
        <v>45</v>
      </c>
      <c r="S286" s="36" t="str">
        <f>VLOOKUP(Tabla9[[#This Row],[CODIGO DEL PRODUCTO]],Tabla7[],2,FALSE)</f>
        <v>CPF 40 AVELLANEDA</v>
      </c>
      <c r="T286" s="37">
        <v>32080</v>
      </c>
    </row>
    <row r="287" spans="8:20" x14ac:dyDescent="0.25">
      <c r="H287" s="34"/>
      <c r="I287" s="34" t="s">
        <v>53</v>
      </c>
      <c r="J287" s="35">
        <v>45645</v>
      </c>
      <c r="K287" s="36" t="s">
        <v>45</v>
      </c>
      <c r="L287" s="39" t="str">
        <f>VLOOKUP(Tabla8[[#This Row],[CODIGO DEL PRODUCTO]],Tabla7[],2,FALSE)</f>
        <v>CPF 40 AVELLANEDA</v>
      </c>
      <c r="M287" s="37">
        <v>337339</v>
      </c>
      <c r="O287" s="34">
        <v>94874</v>
      </c>
      <c r="P287" s="34" t="s">
        <v>138</v>
      </c>
      <c r="Q287" s="35">
        <v>45623</v>
      </c>
      <c r="R287" s="36" t="s">
        <v>48</v>
      </c>
      <c r="S287" s="36" t="str">
        <f>VLOOKUP(Tabla9[[#This Row],[CODIGO DEL PRODUCTO]],Tabla7[],2,FALSE)</f>
        <v>PIEDRA 6-12</v>
      </c>
      <c r="T287" s="37">
        <v>34820</v>
      </c>
    </row>
    <row r="288" spans="8:20" x14ac:dyDescent="0.25">
      <c r="H288" s="34"/>
      <c r="I288" s="34" t="s">
        <v>53</v>
      </c>
      <c r="J288" s="35">
        <v>45646</v>
      </c>
      <c r="K288" s="36" t="s">
        <v>50</v>
      </c>
      <c r="L288" s="39" t="str">
        <f>VLOOKUP(Tabla8[[#This Row],[CODIGO DEL PRODUCTO]],Tabla7[],2,FALSE)</f>
        <v>MIRA SET 453 (ADITIVO)</v>
      </c>
      <c r="M288" s="37">
        <v>1924.12</v>
      </c>
      <c r="O288" s="34">
        <v>128291</v>
      </c>
      <c r="P288" s="34" t="s">
        <v>116</v>
      </c>
      <c r="Q288" s="35">
        <v>45623</v>
      </c>
      <c r="R288" s="36" t="s">
        <v>40</v>
      </c>
      <c r="S288" s="36" t="str">
        <f>VLOOKUP(Tabla9[[#This Row],[CODIGO DEL PRODUCTO]],Tabla7[],2,FALSE)</f>
        <v>PIEDRA 0-6</v>
      </c>
      <c r="T288" s="37">
        <v>34860</v>
      </c>
    </row>
    <row r="289" spans="8:20" x14ac:dyDescent="0.25">
      <c r="H289" s="34"/>
      <c r="I289" s="34" t="s">
        <v>53</v>
      </c>
      <c r="J289" s="35">
        <v>45647</v>
      </c>
      <c r="K289" s="36" t="s">
        <v>48</v>
      </c>
      <c r="L289" s="39" t="str">
        <f>VLOOKUP(Tabla8[[#This Row],[CODIGO DEL PRODUCTO]],Tabla7[],2,FALSE)</f>
        <v>PIEDRA 6-12</v>
      </c>
      <c r="M289" s="37">
        <v>141135</v>
      </c>
      <c r="O289" s="34">
        <v>2592940</v>
      </c>
      <c r="P289" s="34" t="s">
        <v>65</v>
      </c>
      <c r="Q289" s="35">
        <v>45623</v>
      </c>
      <c r="R289" s="36" t="s">
        <v>45</v>
      </c>
      <c r="S289" s="36" t="str">
        <f>VLOOKUP(Tabla9[[#This Row],[CODIGO DEL PRODUCTO]],Tabla7[],2,FALSE)</f>
        <v>CPF 40 AVELLANEDA</v>
      </c>
      <c r="T289" s="37">
        <v>31640</v>
      </c>
    </row>
    <row r="290" spans="8:20" x14ac:dyDescent="0.25">
      <c r="H290" s="34"/>
      <c r="I290" s="34" t="s">
        <v>53</v>
      </c>
      <c r="J290" s="35">
        <v>45647</v>
      </c>
      <c r="K290" s="36" t="s">
        <v>46</v>
      </c>
      <c r="L290" s="39" t="str">
        <f>VLOOKUP(Tabla8[[#This Row],[CODIGO DEL PRODUCTO]],Tabla7[],2,FALSE)</f>
        <v>PIEDRA 10-30</v>
      </c>
      <c r="M290" s="37">
        <v>51138</v>
      </c>
      <c r="O290" s="34">
        <v>24747</v>
      </c>
      <c r="P290" s="34" t="s">
        <v>186</v>
      </c>
      <c r="Q290" s="35">
        <v>45624</v>
      </c>
      <c r="R290" s="36" t="s">
        <v>42</v>
      </c>
      <c r="S290" s="36" t="str">
        <f>VLOOKUP(Tabla9[[#This Row],[CODIGO DEL PRODUCTO]],Tabla7[],2,FALSE)</f>
        <v>ARENA FINA</v>
      </c>
      <c r="T290" s="37">
        <v>40340</v>
      </c>
    </row>
    <row r="291" spans="8:20" x14ac:dyDescent="0.25">
      <c r="H291" s="34"/>
      <c r="I291" s="34" t="s">
        <v>53</v>
      </c>
      <c r="J291" s="35">
        <v>45647</v>
      </c>
      <c r="K291" s="36" t="s">
        <v>43</v>
      </c>
      <c r="L291" s="39" t="str">
        <f>VLOOKUP(Tabla8[[#This Row],[CODIGO DEL PRODUCTO]],Tabla7[],2,FALSE)</f>
        <v>PIEDRA 6-20</v>
      </c>
      <c r="M291" s="37">
        <v>815133</v>
      </c>
      <c r="O291" s="34">
        <v>24766</v>
      </c>
      <c r="P291" s="34" t="s">
        <v>186</v>
      </c>
      <c r="Q291" s="35">
        <v>45624</v>
      </c>
      <c r="R291" s="36" t="s">
        <v>42</v>
      </c>
      <c r="S291" s="36" t="str">
        <f>VLOOKUP(Tabla9[[#This Row],[CODIGO DEL PRODUCTO]],Tabla7[],2,FALSE)</f>
        <v>ARENA FINA</v>
      </c>
      <c r="T291" s="37">
        <v>38740</v>
      </c>
    </row>
    <row r="292" spans="8:20" x14ac:dyDescent="0.25">
      <c r="H292" s="34">
        <v>7501</v>
      </c>
      <c r="I292" s="34" t="s">
        <v>170</v>
      </c>
      <c r="J292" s="35">
        <v>45645</v>
      </c>
      <c r="K292" s="36" t="s">
        <v>42</v>
      </c>
      <c r="L292" s="39" t="str">
        <f>VLOOKUP(Tabla8[[#This Row],[CODIGO DEL PRODUCTO]],Tabla7[],2,FALSE)</f>
        <v>ARENA FINA</v>
      </c>
      <c r="M292" s="37">
        <v>3000</v>
      </c>
      <c r="O292" s="34">
        <v>24779</v>
      </c>
      <c r="P292" s="34" t="s">
        <v>186</v>
      </c>
      <c r="Q292" s="35">
        <v>45624</v>
      </c>
      <c r="R292" s="36" t="s">
        <v>42</v>
      </c>
      <c r="S292" s="36" t="str">
        <f>VLOOKUP(Tabla9[[#This Row],[CODIGO DEL PRODUCTO]],Tabla7[],2,FALSE)</f>
        <v>ARENA FINA</v>
      </c>
      <c r="T292" s="37">
        <v>36640</v>
      </c>
    </row>
    <row r="293" spans="8:20" x14ac:dyDescent="0.25">
      <c r="H293" s="34">
        <v>7592</v>
      </c>
      <c r="I293" s="34" t="s">
        <v>224</v>
      </c>
      <c r="J293" s="35">
        <v>45649</v>
      </c>
      <c r="K293" s="36" t="s">
        <v>42</v>
      </c>
      <c r="L293" s="39" t="str">
        <f>VLOOKUP(Tabla8[[#This Row],[CODIGO DEL PRODUCTO]],Tabla7[],2,FALSE)</f>
        <v>ARENA FINA</v>
      </c>
      <c r="M293" s="37">
        <v>2000</v>
      </c>
      <c r="O293" s="34">
        <v>94890</v>
      </c>
      <c r="P293" s="34" t="s">
        <v>138</v>
      </c>
      <c r="Q293" s="35">
        <v>45624</v>
      </c>
      <c r="R293" s="36" t="s">
        <v>48</v>
      </c>
      <c r="S293" s="36" t="str">
        <f>VLOOKUP(Tabla9[[#This Row],[CODIGO DEL PRODUCTO]],Tabla7[],2,FALSE)</f>
        <v>PIEDRA 6-12</v>
      </c>
      <c r="T293" s="37">
        <v>35100</v>
      </c>
    </row>
    <row r="294" spans="8:20" x14ac:dyDescent="0.25">
      <c r="H294" s="34">
        <v>19006</v>
      </c>
      <c r="I294" s="34" t="s">
        <v>66</v>
      </c>
      <c r="J294" s="35">
        <v>45649</v>
      </c>
      <c r="K294" s="36" t="s">
        <v>40</v>
      </c>
      <c r="L294" s="39" t="str">
        <f>VLOOKUP(Tabla8[[#This Row],[CODIGO DEL PRODUCTO]],Tabla7[],2,FALSE)</f>
        <v>PIEDRA 0-6</v>
      </c>
      <c r="M294" s="37">
        <v>31480</v>
      </c>
      <c r="O294" s="34">
        <v>128350</v>
      </c>
      <c r="P294" s="34" t="s">
        <v>116</v>
      </c>
      <c r="Q294" s="35">
        <v>45624</v>
      </c>
      <c r="R294" s="36" t="s">
        <v>40</v>
      </c>
      <c r="S294" s="36" t="str">
        <f>VLOOKUP(Tabla9[[#This Row],[CODIGO DEL PRODUCTO]],Tabla7[],2,FALSE)</f>
        <v>PIEDRA 0-6</v>
      </c>
      <c r="T294" s="37">
        <v>35600</v>
      </c>
    </row>
    <row r="295" spans="8:20" x14ac:dyDescent="0.25">
      <c r="H295" s="34">
        <v>7648</v>
      </c>
      <c r="I295" s="34" t="s">
        <v>229</v>
      </c>
      <c r="J295" s="35">
        <v>45652</v>
      </c>
      <c r="K295" s="36" t="s">
        <v>48</v>
      </c>
      <c r="L295" s="39" t="str">
        <f>VLOOKUP(Tabla8[[#This Row],[CODIGO DEL PRODUCTO]],Tabla7[],2,FALSE)</f>
        <v>PIEDRA 6-12</v>
      </c>
      <c r="M295" s="37">
        <v>8000</v>
      </c>
      <c r="O295" s="34">
        <v>18948</v>
      </c>
      <c r="P295" s="34" t="s">
        <v>191</v>
      </c>
      <c r="Q295" s="35">
        <v>45625</v>
      </c>
      <c r="R295" s="36" t="s">
        <v>42</v>
      </c>
      <c r="S295" s="36" t="str">
        <f>VLOOKUP(Tabla9[[#This Row],[CODIGO DEL PRODUCTO]],Tabla7[],2,FALSE)</f>
        <v>ARENA FINA</v>
      </c>
      <c r="T295" s="37">
        <v>40820</v>
      </c>
    </row>
    <row r="296" spans="8:20" x14ac:dyDescent="0.25">
      <c r="H296" s="34">
        <v>7660</v>
      </c>
      <c r="I296" s="34" t="s">
        <v>230</v>
      </c>
      <c r="J296" s="35">
        <v>45652</v>
      </c>
      <c r="K296" s="36" t="s">
        <v>42</v>
      </c>
      <c r="L296" s="39" t="str">
        <f>VLOOKUP(Tabla8[[#This Row],[CODIGO DEL PRODUCTO]],Tabla7[],2,FALSE)</f>
        <v>ARENA FINA</v>
      </c>
      <c r="M296" s="37">
        <v>8000</v>
      </c>
      <c r="O296" s="34">
        <v>24804</v>
      </c>
      <c r="P296" s="34" t="s">
        <v>186</v>
      </c>
      <c r="Q296" s="35">
        <v>45625</v>
      </c>
      <c r="R296" s="36" t="s">
        <v>42</v>
      </c>
      <c r="S296" s="36" t="str">
        <f>VLOOKUP(Tabla9[[#This Row],[CODIGO DEL PRODUCTO]],Tabla7[],2,FALSE)</f>
        <v>ARENA FINA</v>
      </c>
      <c r="T296" s="37">
        <v>38040</v>
      </c>
    </row>
    <row r="297" spans="8:20" x14ac:dyDescent="0.25">
      <c r="H297" s="34">
        <v>7664</v>
      </c>
      <c r="I297" s="34" t="s">
        <v>201</v>
      </c>
      <c r="J297" s="35">
        <v>45653</v>
      </c>
      <c r="K297" s="36" t="s">
        <v>43</v>
      </c>
      <c r="L297" s="39" t="str">
        <f>VLOOKUP(Tabla8[[#This Row],[CODIGO DEL PRODUCTO]],Tabla7[],2,FALSE)</f>
        <v>PIEDRA 6-20</v>
      </c>
      <c r="M297" s="37">
        <v>3000</v>
      </c>
      <c r="O297" s="34">
        <v>94947</v>
      </c>
      <c r="P297" s="34" t="s">
        <v>138</v>
      </c>
      <c r="Q297" s="35">
        <v>45625</v>
      </c>
      <c r="R297" s="36" t="s">
        <v>48</v>
      </c>
      <c r="S297" s="36" t="str">
        <f>VLOOKUP(Tabla9[[#This Row],[CODIGO DEL PRODUCTO]],Tabla7[],2,FALSE)</f>
        <v>PIEDRA 6-12</v>
      </c>
      <c r="T297" s="37">
        <v>34700</v>
      </c>
    </row>
    <row r="298" spans="8:20" x14ac:dyDescent="0.25">
      <c r="H298" s="34"/>
      <c r="I298" s="34"/>
      <c r="J298" s="35">
        <v>45653</v>
      </c>
      <c r="K298" s="36" t="s">
        <v>42</v>
      </c>
      <c r="L298" s="39" t="str">
        <f>VLOOKUP(Tabla8[[#This Row],[CODIGO DEL PRODUCTO]],Tabla7[],2,FALSE)</f>
        <v>ARENA FINA</v>
      </c>
      <c r="M298" s="37">
        <v>3000</v>
      </c>
      <c r="O298" s="34">
        <v>128431</v>
      </c>
      <c r="P298" s="34" t="s">
        <v>116</v>
      </c>
      <c r="Q298" s="35">
        <v>45625</v>
      </c>
      <c r="R298" s="36" t="s">
        <v>40</v>
      </c>
      <c r="S298" s="36" t="str">
        <f>VLOOKUP(Tabla9[[#This Row],[CODIGO DEL PRODUCTO]],Tabla7[],2,FALSE)</f>
        <v>PIEDRA 0-6</v>
      </c>
      <c r="T298" s="37">
        <v>35520</v>
      </c>
    </row>
    <row r="299" spans="8:20" x14ac:dyDescent="0.25">
      <c r="H299" s="34">
        <v>7668</v>
      </c>
      <c r="I299" s="34" t="s">
        <v>201</v>
      </c>
      <c r="J299" s="35">
        <v>45653</v>
      </c>
      <c r="K299" s="36" t="s">
        <v>43</v>
      </c>
      <c r="L299" s="39" t="str">
        <f>VLOOKUP(Tabla8[[#This Row],[CODIGO DEL PRODUCTO]],Tabla7[],2,FALSE)</f>
        <v>PIEDRA 6-20</v>
      </c>
      <c r="M299" s="37">
        <v>1000</v>
      </c>
      <c r="O299" s="34">
        <v>2593265</v>
      </c>
      <c r="P299" s="34" t="s">
        <v>65</v>
      </c>
      <c r="Q299" s="35">
        <v>45625</v>
      </c>
      <c r="R299" s="36" t="s">
        <v>45</v>
      </c>
      <c r="S299" s="36" t="str">
        <f>VLOOKUP(Tabla9[[#This Row],[CODIGO DEL PRODUCTO]],Tabla7[],2,FALSE)</f>
        <v>CPF 40 AVELLANEDA</v>
      </c>
      <c r="T299" s="37">
        <v>32100</v>
      </c>
    </row>
    <row r="300" spans="8:20" x14ac:dyDescent="0.25">
      <c r="H300" s="34"/>
      <c r="I300" s="34"/>
      <c r="J300" s="35">
        <v>45653</v>
      </c>
      <c r="K300" s="36" t="s">
        <v>42</v>
      </c>
      <c r="L300" s="39" t="str">
        <f>VLOOKUP(Tabla8[[#This Row],[CODIGO DEL PRODUCTO]],Tabla7[],2,FALSE)</f>
        <v>ARENA FINA</v>
      </c>
      <c r="M300" s="37">
        <v>1000</v>
      </c>
      <c r="O300" s="34">
        <v>128487</v>
      </c>
      <c r="P300" s="34" t="s">
        <v>116</v>
      </c>
      <c r="Q300" s="35">
        <v>45626</v>
      </c>
      <c r="R300" s="36" t="s">
        <v>40</v>
      </c>
      <c r="S300" s="36" t="str">
        <f>VLOOKUP(Tabla9[[#This Row],[CODIGO DEL PRODUCTO]],Tabla7[],2,FALSE)</f>
        <v>PIEDRA 0-6</v>
      </c>
      <c r="T300" s="37">
        <v>35240</v>
      </c>
    </row>
    <row r="301" spans="8:20" x14ac:dyDescent="0.25">
      <c r="H301" s="34">
        <v>7684</v>
      </c>
      <c r="I301" s="34" t="s">
        <v>202</v>
      </c>
      <c r="J301" s="35">
        <v>45653</v>
      </c>
      <c r="K301" s="36" t="s">
        <v>42</v>
      </c>
      <c r="L301" s="39" t="str">
        <f>VLOOKUP(Tabla8[[#This Row],[CODIGO DEL PRODUCTO]],Tabla7[],2,FALSE)</f>
        <v>ARENA FINA</v>
      </c>
      <c r="M301" s="37">
        <v>6000</v>
      </c>
      <c r="O301" s="34">
        <v>94989</v>
      </c>
      <c r="P301" s="34" t="s">
        <v>197</v>
      </c>
      <c r="Q301" s="35">
        <v>45628</v>
      </c>
      <c r="R301" s="36" t="s">
        <v>48</v>
      </c>
      <c r="S301" s="36" t="str">
        <f>VLOOKUP(Tabla9[[#This Row],[CODIGO DEL PRODUCTO]],Tabla7[],2,FALSE)</f>
        <v>PIEDRA 6-12</v>
      </c>
      <c r="T301" s="37">
        <v>35460</v>
      </c>
    </row>
    <row r="302" spans="8:20" x14ac:dyDescent="0.25">
      <c r="H302" s="34"/>
      <c r="I302" s="34" t="s">
        <v>53</v>
      </c>
      <c r="J302" s="35">
        <v>45649</v>
      </c>
      <c r="K302" s="36" t="s">
        <v>42</v>
      </c>
      <c r="L302" s="39" t="str">
        <f>VLOOKUP(Tabla8[[#This Row],[CODIGO DEL PRODUCTO]],Tabla7[],2,FALSE)</f>
        <v>ARENA FINA</v>
      </c>
      <c r="M302" s="37">
        <v>246072</v>
      </c>
      <c r="O302" s="34">
        <v>128544</v>
      </c>
      <c r="P302" s="34" t="s">
        <v>116</v>
      </c>
      <c r="Q302" s="35">
        <v>45628</v>
      </c>
      <c r="R302" s="36" t="s">
        <v>40</v>
      </c>
      <c r="S302" s="36" t="str">
        <f>VLOOKUP(Tabla9[[#This Row],[CODIGO DEL PRODUCTO]],Tabla7[],2,FALSE)</f>
        <v>PIEDRA 0-6</v>
      </c>
      <c r="T302" s="37">
        <v>35440</v>
      </c>
    </row>
    <row r="303" spans="8:20" x14ac:dyDescent="0.25">
      <c r="H303" s="34"/>
      <c r="I303" s="34" t="s">
        <v>53</v>
      </c>
      <c r="J303" s="35">
        <v>45650</v>
      </c>
      <c r="K303" s="36" t="s">
        <v>40</v>
      </c>
      <c r="L303" s="39" t="str">
        <f>VLOOKUP(Tabla8[[#This Row],[CODIGO DEL PRODUCTO]],Tabla7[],2,FALSE)</f>
        <v>PIEDRA 0-6</v>
      </c>
      <c r="M303" s="37">
        <v>182711</v>
      </c>
      <c r="O303" s="34">
        <v>2593727</v>
      </c>
      <c r="P303" s="34" t="s">
        <v>65</v>
      </c>
      <c r="Q303" s="35">
        <v>45628</v>
      </c>
      <c r="R303" s="36" t="s">
        <v>45</v>
      </c>
      <c r="S303" s="36" t="str">
        <f>VLOOKUP(Tabla9[[#This Row],[CODIGO DEL PRODUCTO]],Tabla7[],2,FALSE)</f>
        <v>CPF 40 AVELLANEDA</v>
      </c>
      <c r="T303" s="37">
        <v>31600</v>
      </c>
    </row>
    <row r="304" spans="8:20" x14ac:dyDescent="0.25">
      <c r="H304" s="34"/>
      <c r="I304" s="34" t="s">
        <v>53</v>
      </c>
      <c r="J304" s="35">
        <v>45652</v>
      </c>
      <c r="K304" s="36" t="s">
        <v>45</v>
      </c>
      <c r="L304" s="39" t="str">
        <f>VLOOKUP(Tabla8[[#This Row],[CODIGO DEL PRODUCTO]],Tabla7[],2,FALSE)</f>
        <v>CPF 40 AVELLANEDA</v>
      </c>
      <c r="M304" s="37">
        <v>141521</v>
      </c>
      <c r="O304" s="34">
        <v>99037</v>
      </c>
      <c r="P304" s="34" t="s">
        <v>191</v>
      </c>
      <c r="Q304" s="35">
        <v>45629</v>
      </c>
      <c r="R304" s="36" t="s">
        <v>42</v>
      </c>
      <c r="S304" s="36" t="str">
        <f>VLOOKUP(Tabla9[[#This Row],[CODIGO DEL PRODUCTO]],Tabla7[],2,FALSE)</f>
        <v>ARENA FINA</v>
      </c>
      <c r="T304" s="37">
        <v>36800</v>
      </c>
    </row>
    <row r="305" spans="8:20" x14ac:dyDescent="0.25">
      <c r="H305" s="34"/>
      <c r="I305" s="34" t="s">
        <v>53</v>
      </c>
      <c r="J305" s="35">
        <v>45653</v>
      </c>
      <c r="K305" s="36" t="s">
        <v>50</v>
      </c>
      <c r="L305" s="39" t="str">
        <f>VLOOKUP(Tabla8[[#This Row],[CODIGO DEL PRODUCTO]],Tabla7[],2,FALSE)</f>
        <v>MIRA SET 453 (ADITIVO)</v>
      </c>
      <c r="M305" s="72">
        <v>820.9</v>
      </c>
      <c r="O305" s="34">
        <v>95020</v>
      </c>
      <c r="P305" s="34" t="s">
        <v>197</v>
      </c>
      <c r="Q305" s="35">
        <v>45629</v>
      </c>
      <c r="R305" s="36" t="s">
        <v>48</v>
      </c>
      <c r="S305" s="36" t="str">
        <f>VLOOKUP(Tabla9[[#This Row],[CODIGO DEL PRODUCTO]],Tabla7[],2,FALSE)</f>
        <v>PIEDRA 6-12</v>
      </c>
      <c r="T305" s="37">
        <v>34000</v>
      </c>
    </row>
    <row r="306" spans="8:20" x14ac:dyDescent="0.25">
      <c r="H306" s="34"/>
      <c r="I306" s="34" t="s">
        <v>53</v>
      </c>
      <c r="J306" s="35">
        <v>45653</v>
      </c>
      <c r="K306" s="36" t="s">
        <v>48</v>
      </c>
      <c r="L306" s="39" t="str">
        <f>VLOOKUP(Tabla8[[#This Row],[CODIGO DEL PRODUCTO]],Tabla7[],2,FALSE)</f>
        <v>PIEDRA 6-12</v>
      </c>
      <c r="M306" s="72">
        <v>47975</v>
      </c>
      <c r="O306" s="34">
        <v>128599</v>
      </c>
      <c r="P306" s="34" t="s">
        <v>116</v>
      </c>
      <c r="Q306" s="35">
        <v>45629</v>
      </c>
      <c r="R306" s="36" t="s">
        <v>40</v>
      </c>
      <c r="S306" s="36" t="str">
        <f>VLOOKUP(Tabla9[[#This Row],[CODIGO DEL PRODUCTO]],Tabla7[],2,FALSE)</f>
        <v>PIEDRA 0-6</v>
      </c>
      <c r="T306" s="37">
        <v>35460</v>
      </c>
    </row>
    <row r="307" spans="8:20" x14ac:dyDescent="0.25">
      <c r="H307" s="34"/>
      <c r="I307" s="34" t="s">
        <v>53</v>
      </c>
      <c r="J307" s="35">
        <v>45654</v>
      </c>
      <c r="K307" s="36" t="s">
        <v>46</v>
      </c>
      <c r="L307" s="39" t="str">
        <f>VLOOKUP(Tabla8[[#This Row],[CODIGO DEL PRODUCTO]],Tabla7[],2,FALSE)</f>
        <v>PIEDRA 10-30</v>
      </c>
      <c r="M307" s="37">
        <v>23271</v>
      </c>
      <c r="O307" s="34">
        <v>2594080</v>
      </c>
      <c r="P307" s="34" t="s">
        <v>65</v>
      </c>
      <c r="Q307" s="35">
        <v>45629</v>
      </c>
      <c r="R307" s="36" t="s">
        <v>45</v>
      </c>
      <c r="S307" s="36" t="str">
        <f>VLOOKUP(Tabla9[[#This Row],[CODIGO DEL PRODUCTO]],Tabla7[],2,FALSE)</f>
        <v>CPF 40 AVELLANEDA</v>
      </c>
      <c r="T307" s="37">
        <v>31600</v>
      </c>
    </row>
    <row r="308" spans="8:20" x14ac:dyDescent="0.25">
      <c r="H308" s="34"/>
      <c r="I308" s="34" t="s">
        <v>53</v>
      </c>
      <c r="J308" s="35">
        <v>45651</v>
      </c>
      <c r="K308" s="36" t="s">
        <v>43</v>
      </c>
      <c r="L308" s="39" t="str">
        <f>VLOOKUP(Tabla8[[#This Row],[CODIGO DEL PRODUCTO]],Tabla7[],2,FALSE)</f>
        <v>PIEDRA 6-20</v>
      </c>
      <c r="M308" s="37">
        <v>367585</v>
      </c>
      <c r="O308" s="34">
        <v>99041</v>
      </c>
      <c r="P308" s="34" t="s">
        <v>191</v>
      </c>
      <c r="Q308" s="35">
        <v>45630</v>
      </c>
      <c r="R308" s="36" t="s">
        <v>42</v>
      </c>
      <c r="S308" s="36" t="str">
        <f>VLOOKUP(Tabla9[[#This Row],[CODIGO DEL PRODUCTO]],Tabla7[],2,FALSE)</f>
        <v>ARENA FINA</v>
      </c>
      <c r="T308" s="37">
        <v>38340</v>
      </c>
    </row>
    <row r="309" spans="8:20" x14ac:dyDescent="0.25">
      <c r="H309" s="34">
        <v>7800</v>
      </c>
      <c r="I309" s="34" t="s">
        <v>190</v>
      </c>
      <c r="J309" s="35">
        <v>45660</v>
      </c>
      <c r="K309" s="36" t="s">
        <v>42</v>
      </c>
      <c r="L309" s="39" t="str">
        <f>VLOOKUP(Tabla8[[#This Row],[CODIGO DEL PRODUCTO]],Tabla7[],2,FALSE)</f>
        <v>ARENA FINA</v>
      </c>
      <c r="M309" s="37">
        <v>3000</v>
      </c>
      <c r="O309" s="34">
        <v>99048</v>
      </c>
      <c r="P309" s="34" t="s">
        <v>191</v>
      </c>
      <c r="Q309" s="35">
        <v>45630</v>
      </c>
      <c r="R309" s="36" t="s">
        <v>42</v>
      </c>
      <c r="S309" s="36" t="str">
        <f>VLOOKUP(Tabla9[[#This Row],[CODIGO DEL PRODUCTO]],Tabla7[],2,FALSE)</f>
        <v>ARENA FINA</v>
      </c>
      <c r="T309" s="37">
        <v>40720</v>
      </c>
    </row>
    <row r="310" spans="8:20" x14ac:dyDescent="0.25">
      <c r="H310" s="34"/>
      <c r="I310" s="34"/>
      <c r="J310" s="35">
        <v>45660</v>
      </c>
      <c r="K310" s="36" t="s">
        <v>43</v>
      </c>
      <c r="L310" s="39" t="str">
        <f>VLOOKUP(Tabla8[[#This Row],[CODIGO DEL PRODUCTO]],Tabla7[],2,FALSE)</f>
        <v>PIEDRA 6-20</v>
      </c>
      <c r="M310" s="37">
        <v>1000</v>
      </c>
      <c r="O310" s="34">
        <v>95052</v>
      </c>
      <c r="P310" s="34" t="s">
        <v>197</v>
      </c>
      <c r="Q310" s="35">
        <v>45630</v>
      </c>
      <c r="R310" s="36" t="s">
        <v>42</v>
      </c>
      <c r="S310" s="36" t="str">
        <f>VLOOKUP(Tabla9[[#This Row],[CODIGO DEL PRODUCTO]],Tabla7[],2,FALSE)</f>
        <v>ARENA FINA</v>
      </c>
      <c r="T310" s="37">
        <v>35120</v>
      </c>
    </row>
    <row r="311" spans="8:20" x14ac:dyDescent="0.25">
      <c r="H311" s="34" t="s">
        <v>232</v>
      </c>
      <c r="I311" s="34" t="s">
        <v>233</v>
      </c>
      <c r="J311" s="35">
        <v>45660</v>
      </c>
      <c r="K311" s="36" t="s">
        <v>42</v>
      </c>
      <c r="L311" s="39" t="str">
        <f>VLOOKUP(Tabla8[[#This Row],[CODIGO DEL PRODUCTO]],Tabla7[],2,FALSE)</f>
        <v>ARENA FINA</v>
      </c>
      <c r="M311" s="37">
        <v>4000</v>
      </c>
      <c r="O311" s="34">
        <v>128689</v>
      </c>
      <c r="P311" s="34" t="s">
        <v>116</v>
      </c>
      <c r="Q311" s="35">
        <v>45630</v>
      </c>
      <c r="R311" s="36" t="s">
        <v>40</v>
      </c>
      <c r="S311" s="36" t="str">
        <f>VLOOKUP(Tabla9[[#This Row],[CODIGO DEL PRODUCTO]],Tabla7[],2,FALSE)</f>
        <v>PIEDRA 0-6</v>
      </c>
      <c r="T311" s="37">
        <v>35740</v>
      </c>
    </row>
    <row r="312" spans="8:20" x14ac:dyDescent="0.25">
      <c r="H312" s="34">
        <v>7831</v>
      </c>
      <c r="I312" s="34" t="s">
        <v>180</v>
      </c>
      <c r="J312" s="35">
        <v>45664</v>
      </c>
      <c r="K312" s="36" t="s">
        <v>42</v>
      </c>
      <c r="L312" s="39" t="str">
        <f>VLOOKUP(Tabla8[[#This Row],[CODIGO DEL PRODUCTO]],Tabla7[],2,FALSE)</f>
        <v>ARENA FINA</v>
      </c>
      <c r="M312" s="37">
        <v>4000</v>
      </c>
      <c r="O312" s="34">
        <v>2594621</v>
      </c>
      <c r="P312" s="34" t="s">
        <v>65</v>
      </c>
      <c r="Q312" s="35">
        <v>45630</v>
      </c>
      <c r="R312" s="36" t="s">
        <v>45</v>
      </c>
      <c r="S312" s="36" t="str">
        <f>VLOOKUP(Tabla9[[#This Row],[CODIGO DEL PRODUCTO]],Tabla7[],2,FALSE)</f>
        <v>CPF 40 AVELLANEDA</v>
      </c>
      <c r="T312" s="37">
        <v>32160</v>
      </c>
    </row>
    <row r="313" spans="8:20" x14ac:dyDescent="0.25">
      <c r="H313" s="34">
        <v>7832</v>
      </c>
      <c r="I313" s="34" t="s">
        <v>180</v>
      </c>
      <c r="J313" s="35">
        <v>45664</v>
      </c>
      <c r="K313" s="36" t="s">
        <v>42</v>
      </c>
      <c r="L313" s="39" t="str">
        <f>VLOOKUP(Tabla8[[#This Row],[CODIGO DEL PRODUCTO]],Tabla7[],2,FALSE)</f>
        <v>ARENA FINA</v>
      </c>
      <c r="M313" s="37">
        <v>4000</v>
      </c>
      <c r="O313" s="34">
        <v>128750</v>
      </c>
      <c r="P313" s="34" t="s">
        <v>116</v>
      </c>
      <c r="Q313" s="35">
        <v>45631</v>
      </c>
      <c r="R313" s="36" t="s">
        <v>40</v>
      </c>
      <c r="S313" s="36" t="str">
        <f>VLOOKUP(Tabla9[[#This Row],[CODIGO DEL PRODUCTO]],Tabla7[],2,FALSE)</f>
        <v>PIEDRA 0-6</v>
      </c>
      <c r="T313" s="37">
        <v>35800</v>
      </c>
    </row>
    <row r="314" spans="8:20" x14ac:dyDescent="0.25">
      <c r="H314" s="34">
        <v>7839</v>
      </c>
      <c r="I314" s="34" t="s">
        <v>240</v>
      </c>
      <c r="J314" s="35">
        <v>45665</v>
      </c>
      <c r="K314" s="36" t="s">
        <v>42</v>
      </c>
      <c r="L314" s="39" t="str">
        <f>VLOOKUP(Tabla8[[#This Row],[CODIGO DEL PRODUCTO]],Tabla7[],2,FALSE)</f>
        <v>ARENA FINA</v>
      </c>
      <c r="M314" s="37">
        <v>3000</v>
      </c>
      <c r="O314" s="34">
        <v>2594969</v>
      </c>
      <c r="P314" s="34" t="s">
        <v>65</v>
      </c>
      <c r="Q314" s="35">
        <v>45631</v>
      </c>
      <c r="R314" s="36" t="s">
        <v>45</v>
      </c>
      <c r="S314" s="36" t="str">
        <f>VLOOKUP(Tabla9[[#This Row],[CODIGO DEL PRODUCTO]],Tabla7[],2,FALSE)</f>
        <v>CPF 40 AVELLANEDA</v>
      </c>
      <c r="T314" s="37">
        <v>32200</v>
      </c>
    </row>
    <row r="315" spans="8:20" x14ac:dyDescent="0.25">
      <c r="H315" s="34">
        <v>7845</v>
      </c>
      <c r="I315" s="34" t="s">
        <v>241</v>
      </c>
      <c r="J315" s="35">
        <v>45665</v>
      </c>
      <c r="K315" s="36" t="s">
        <v>42</v>
      </c>
      <c r="L315" s="39" t="str">
        <f>VLOOKUP(Tabla8[[#This Row],[CODIGO DEL PRODUCTO]],Tabla7[],2,FALSE)</f>
        <v>ARENA FINA</v>
      </c>
      <c r="M315" s="37">
        <v>8000</v>
      </c>
      <c r="O315" s="34">
        <v>128822</v>
      </c>
      <c r="P315" s="34" t="s">
        <v>116</v>
      </c>
      <c r="Q315" s="35">
        <v>45632</v>
      </c>
      <c r="R315" s="36" t="s">
        <v>40</v>
      </c>
      <c r="S315" s="36" t="str">
        <f>VLOOKUP(Tabla9[[#This Row],[CODIGO DEL PRODUCTO]],Tabla7[],2,FALSE)</f>
        <v>PIEDRA 0-6</v>
      </c>
      <c r="T315" s="37">
        <v>36080</v>
      </c>
    </row>
    <row r="316" spans="8:20" x14ac:dyDescent="0.25">
      <c r="H316" s="34">
        <v>7847</v>
      </c>
      <c r="I316" s="34" t="s">
        <v>241</v>
      </c>
      <c r="J316" s="35">
        <v>45665</v>
      </c>
      <c r="K316" s="36" t="s">
        <v>42</v>
      </c>
      <c r="L316" s="39" t="str">
        <f>VLOOKUP(Tabla8[[#This Row],[CODIGO DEL PRODUCTO]],Tabla7[],2,FALSE)</f>
        <v>ARENA FINA</v>
      </c>
      <c r="M316" s="37">
        <v>8000</v>
      </c>
      <c r="O316" s="34">
        <v>95108</v>
      </c>
      <c r="P316" s="34" t="s">
        <v>126</v>
      </c>
      <c r="Q316" s="35">
        <v>45632</v>
      </c>
      <c r="R316" s="36" t="s">
        <v>40</v>
      </c>
      <c r="S316" s="36" t="str">
        <f>VLOOKUP(Tabla9[[#This Row],[CODIGO DEL PRODUCTO]],Tabla7[],2,FALSE)</f>
        <v>PIEDRA 0-6</v>
      </c>
      <c r="T316" s="37">
        <v>35820</v>
      </c>
    </row>
    <row r="317" spans="8:20" x14ac:dyDescent="0.25">
      <c r="H317" s="34">
        <v>7853</v>
      </c>
      <c r="I317" s="34" t="s">
        <v>169</v>
      </c>
      <c r="J317" s="35">
        <v>45665</v>
      </c>
      <c r="K317" s="36" t="s">
        <v>42</v>
      </c>
      <c r="L317" s="39" t="str">
        <f>VLOOKUP(Tabla8[[#This Row],[CODIGO DEL PRODUCTO]],Tabla7[],2,FALSE)</f>
        <v>ARENA FINA</v>
      </c>
      <c r="M317" s="37">
        <v>2000</v>
      </c>
      <c r="O317" s="34">
        <v>2595282</v>
      </c>
      <c r="P317" s="34" t="s">
        <v>65</v>
      </c>
      <c r="Q317" s="35">
        <v>45632</v>
      </c>
      <c r="R317" s="36" t="s">
        <v>45</v>
      </c>
      <c r="S317" s="36" t="str">
        <f>VLOOKUP(Tabla9[[#This Row],[CODIGO DEL PRODUCTO]],Tabla7[],2,FALSE)</f>
        <v>CPF 40 AVELLANEDA</v>
      </c>
      <c r="T317" s="37">
        <v>32260</v>
      </c>
    </row>
    <row r="318" spans="8:20" x14ac:dyDescent="0.25">
      <c r="H318" s="34">
        <v>7855</v>
      </c>
      <c r="I318" s="34" t="s">
        <v>210</v>
      </c>
      <c r="J318" s="35">
        <v>45665</v>
      </c>
      <c r="K318" s="36" t="s">
        <v>42</v>
      </c>
      <c r="L318" s="39" t="str">
        <f>VLOOKUP(Tabla8[[#This Row],[CODIGO DEL PRODUCTO]],Tabla7[],2,FALSE)</f>
        <v>ARENA FINA</v>
      </c>
      <c r="M318" s="37">
        <v>5000</v>
      </c>
      <c r="O318" s="34">
        <v>95139</v>
      </c>
      <c r="P318" s="34" t="s">
        <v>150</v>
      </c>
      <c r="Q318" s="35">
        <v>45633</v>
      </c>
      <c r="R318" s="36" t="s">
        <v>48</v>
      </c>
      <c r="S318" s="36" t="str">
        <f>VLOOKUP(Tabla9[[#This Row],[CODIGO DEL PRODUCTO]],Tabla7[],2,FALSE)</f>
        <v>PIEDRA 6-12</v>
      </c>
      <c r="T318" s="37">
        <v>35380</v>
      </c>
    </row>
    <row r="319" spans="8:20" x14ac:dyDescent="0.25">
      <c r="H319" s="34">
        <v>7906</v>
      </c>
      <c r="I319" s="34" t="s">
        <v>242</v>
      </c>
      <c r="J319" s="35">
        <v>45667</v>
      </c>
      <c r="K319" s="36" t="s">
        <v>42</v>
      </c>
      <c r="L319" s="39" t="str">
        <f>VLOOKUP(Tabla8[[#This Row],[CODIGO DEL PRODUCTO]],Tabla7[],2,FALSE)</f>
        <v>ARENA FINA</v>
      </c>
      <c r="M319" s="37">
        <v>2000</v>
      </c>
      <c r="O319" s="34">
        <v>95153</v>
      </c>
      <c r="P319" s="34" t="s">
        <v>207</v>
      </c>
      <c r="Q319" s="35">
        <v>45635</v>
      </c>
      <c r="R319" s="36" t="s">
        <v>46</v>
      </c>
      <c r="S319" s="36" t="str">
        <f>VLOOKUP(Tabla9[[#This Row],[CODIGO DEL PRODUCTO]],Tabla7[],2,FALSE)</f>
        <v>PIEDRA 10-30</v>
      </c>
      <c r="T319" s="37">
        <v>35060</v>
      </c>
    </row>
    <row r="320" spans="8:20" x14ac:dyDescent="0.25">
      <c r="H320" s="34">
        <v>7907</v>
      </c>
      <c r="I320" s="34" t="s">
        <v>242</v>
      </c>
      <c r="J320" s="35">
        <v>45667</v>
      </c>
      <c r="K320" s="36" t="s">
        <v>43</v>
      </c>
      <c r="L320" s="39" t="str">
        <f>VLOOKUP(Tabla8[[#This Row],[CODIGO DEL PRODUCTO]],Tabla7[],2,FALSE)</f>
        <v>PIEDRA 6-20</v>
      </c>
      <c r="M320" s="37">
        <v>1000</v>
      </c>
      <c r="O320" s="34">
        <v>95175</v>
      </c>
      <c r="P320" s="34" t="s">
        <v>151</v>
      </c>
      <c r="Q320" s="35">
        <v>45635</v>
      </c>
      <c r="R320" s="36" t="s">
        <v>43</v>
      </c>
      <c r="S320" s="36" t="str">
        <f>VLOOKUP(Tabla9[[#This Row],[CODIGO DEL PRODUCTO]],Tabla7[],2,FALSE)</f>
        <v>PIEDRA 6-20</v>
      </c>
      <c r="T320" s="37">
        <v>35700</v>
      </c>
    </row>
    <row r="321" spans="8:20" x14ac:dyDescent="0.25">
      <c r="H321" s="34">
        <v>7916</v>
      </c>
      <c r="I321" s="34" t="s">
        <v>243</v>
      </c>
      <c r="J321" s="35">
        <v>45670</v>
      </c>
      <c r="K321" s="36" t="s">
        <v>42</v>
      </c>
      <c r="L321" s="39" t="str">
        <f>VLOOKUP(Tabla8[[#This Row],[CODIGO DEL PRODUCTO]],Tabla7[],2,FALSE)</f>
        <v>ARENA FINA</v>
      </c>
      <c r="M321" s="37">
        <v>1000</v>
      </c>
      <c r="O321" s="34">
        <v>95182</v>
      </c>
      <c r="P321" s="34" t="s">
        <v>173</v>
      </c>
      <c r="Q321" s="35">
        <v>45635</v>
      </c>
      <c r="R321" s="36" t="s">
        <v>43</v>
      </c>
      <c r="S321" s="36" t="str">
        <f>VLOOKUP(Tabla9[[#This Row],[CODIGO DEL PRODUCTO]],Tabla7[],2,FALSE)</f>
        <v>PIEDRA 6-20</v>
      </c>
      <c r="T321" s="37">
        <v>35380</v>
      </c>
    </row>
    <row r="322" spans="8:20" x14ac:dyDescent="0.25">
      <c r="H322" s="34">
        <v>7957</v>
      </c>
      <c r="I322" s="34" t="s">
        <v>245</v>
      </c>
      <c r="J322" s="35">
        <v>45671</v>
      </c>
      <c r="K322" s="36" t="s">
        <v>42</v>
      </c>
      <c r="L322" s="39" t="str">
        <f>VLOOKUP(Tabla8[[#This Row],[CODIGO DEL PRODUCTO]],Tabla7[],2,FALSE)</f>
        <v>ARENA FINA</v>
      </c>
      <c r="M322" s="37">
        <v>18000</v>
      </c>
      <c r="O322" s="34">
        <v>128877</v>
      </c>
      <c r="P322" s="34" t="s">
        <v>140</v>
      </c>
      <c r="Q322" s="35">
        <v>45635</v>
      </c>
      <c r="R322" s="36" t="s">
        <v>40</v>
      </c>
      <c r="S322" s="36" t="str">
        <f>VLOOKUP(Tabla9[[#This Row],[CODIGO DEL PRODUCTO]],Tabla7[],2,FALSE)</f>
        <v>PIEDRA 0-6</v>
      </c>
      <c r="T322" s="37">
        <v>34820</v>
      </c>
    </row>
    <row r="323" spans="8:20" x14ac:dyDescent="0.25">
      <c r="H323" s="34">
        <v>7959</v>
      </c>
      <c r="I323" s="34" t="s">
        <v>245</v>
      </c>
      <c r="J323" s="35">
        <v>45671</v>
      </c>
      <c r="K323" s="36" t="s">
        <v>42</v>
      </c>
      <c r="L323" s="39" t="str">
        <f>VLOOKUP(Tabla8[[#This Row],[CODIGO DEL PRODUCTO]],Tabla7[],2,FALSE)</f>
        <v>ARENA FINA</v>
      </c>
      <c r="M323" s="37">
        <v>18000</v>
      </c>
      <c r="O323" s="34">
        <v>2595536</v>
      </c>
      <c r="P323" s="34" t="s">
        <v>65</v>
      </c>
      <c r="Q323" s="35">
        <v>45635</v>
      </c>
      <c r="R323" s="36" t="s">
        <v>45</v>
      </c>
      <c r="S323" s="36" t="str">
        <f>VLOOKUP(Tabla9[[#This Row],[CODIGO DEL PRODUCTO]],Tabla7[],2,FALSE)</f>
        <v>CPF 40 AVELLANEDA</v>
      </c>
      <c r="T323" s="37">
        <v>32240</v>
      </c>
    </row>
    <row r="324" spans="8:20" x14ac:dyDescent="0.25">
      <c r="H324" s="34">
        <v>7969</v>
      </c>
      <c r="I324" s="34" t="s">
        <v>114</v>
      </c>
      <c r="J324" s="35">
        <v>45671</v>
      </c>
      <c r="K324" s="36" t="s">
        <v>42</v>
      </c>
      <c r="L324" s="39" t="str">
        <f>VLOOKUP(Tabla8[[#This Row],[CODIGO DEL PRODUCTO]],Tabla7[],2,FALSE)</f>
        <v>ARENA FINA</v>
      </c>
      <c r="M324" s="37">
        <v>8000</v>
      </c>
      <c r="O324" s="34">
        <v>95193</v>
      </c>
      <c r="P324" s="34" t="s">
        <v>208</v>
      </c>
      <c r="Q324" s="35">
        <v>45636</v>
      </c>
      <c r="R324" s="36" t="s">
        <v>46</v>
      </c>
      <c r="S324" s="36" t="str">
        <f>VLOOKUP(Tabla9[[#This Row],[CODIGO DEL PRODUCTO]],Tabla7[],2,FALSE)</f>
        <v>PIEDRA 10-30</v>
      </c>
      <c r="T324" s="37">
        <v>35860</v>
      </c>
    </row>
    <row r="325" spans="8:20" x14ac:dyDescent="0.25">
      <c r="H325" s="34">
        <v>7986</v>
      </c>
      <c r="I325" s="34" t="s">
        <v>170</v>
      </c>
      <c r="J325" s="35">
        <v>45672</v>
      </c>
      <c r="K325" s="36" t="s">
        <v>42</v>
      </c>
      <c r="L325" s="39" t="str">
        <f>VLOOKUP(Tabla8[[#This Row],[CODIGO DEL PRODUCTO]],Tabla7[],2,FALSE)</f>
        <v>ARENA FINA</v>
      </c>
      <c r="M325" s="37">
        <v>6000</v>
      </c>
      <c r="O325" s="34">
        <v>95189</v>
      </c>
      <c r="P325" s="34" t="s">
        <v>150</v>
      </c>
      <c r="Q325" s="35">
        <v>45636</v>
      </c>
      <c r="R325" s="36" t="s">
        <v>48</v>
      </c>
      <c r="S325" s="36" t="str">
        <f>VLOOKUP(Tabla9[[#This Row],[CODIGO DEL PRODUCTO]],Tabla7[],2,FALSE)</f>
        <v>PIEDRA 6-12</v>
      </c>
      <c r="T325" s="37">
        <v>35500</v>
      </c>
    </row>
    <row r="326" spans="8:20" x14ac:dyDescent="0.25">
      <c r="H326" s="34"/>
      <c r="I326" s="34" t="s">
        <v>53</v>
      </c>
      <c r="J326" s="35">
        <v>45658</v>
      </c>
      <c r="K326" s="36" t="s">
        <v>42</v>
      </c>
      <c r="L326" s="39" t="str">
        <f>VLOOKUP(Tabla8[[#This Row],[CODIGO DEL PRODUCTO]],Tabla7[],2,FALSE)</f>
        <v>ARENA FINA</v>
      </c>
      <c r="M326" s="37">
        <v>315944</v>
      </c>
      <c r="O326" s="34">
        <v>95207</v>
      </c>
      <c r="P326" s="34" t="s">
        <v>151</v>
      </c>
      <c r="Q326" s="35">
        <v>45636</v>
      </c>
      <c r="R326" s="36" t="s">
        <v>43</v>
      </c>
      <c r="S326" s="36" t="str">
        <f>VLOOKUP(Tabla9[[#This Row],[CODIGO DEL PRODUCTO]],Tabla7[],2,FALSE)</f>
        <v>PIEDRA 6-20</v>
      </c>
      <c r="T326" s="37">
        <v>35660</v>
      </c>
    </row>
    <row r="327" spans="8:20" x14ac:dyDescent="0.25">
      <c r="H327" s="34"/>
      <c r="I327" s="34" t="s">
        <v>53</v>
      </c>
      <c r="J327" s="35">
        <v>45660</v>
      </c>
      <c r="K327" s="36" t="s">
        <v>40</v>
      </c>
      <c r="L327" s="39" t="str">
        <f>VLOOKUP(Tabla8[[#This Row],[CODIGO DEL PRODUCTO]],Tabla7[],2,FALSE)</f>
        <v>PIEDRA 0-6</v>
      </c>
      <c r="M327" s="37">
        <v>232870</v>
      </c>
      <c r="O327" s="34">
        <v>95212</v>
      </c>
      <c r="P327" s="34" t="s">
        <v>173</v>
      </c>
      <c r="Q327" s="35">
        <v>45636</v>
      </c>
      <c r="R327" s="36" t="s">
        <v>43</v>
      </c>
      <c r="S327" s="36" t="str">
        <f>VLOOKUP(Tabla9[[#This Row],[CODIGO DEL PRODUCTO]],Tabla7[],2,FALSE)</f>
        <v>PIEDRA 6-20</v>
      </c>
      <c r="T327" s="37">
        <v>35580</v>
      </c>
    </row>
    <row r="328" spans="8:20" x14ac:dyDescent="0.25">
      <c r="H328" s="34"/>
      <c r="I328" s="34" t="s">
        <v>53</v>
      </c>
      <c r="J328" s="35">
        <v>45662</v>
      </c>
      <c r="K328" s="36" t="s">
        <v>45</v>
      </c>
      <c r="L328" s="39" t="str">
        <f>VLOOKUP(Tabla8[[#This Row],[CODIGO DEL PRODUCTO]],Tabla7[],2,FALSE)</f>
        <v>CPF 40 AVELLANEDA</v>
      </c>
      <c r="M328" s="37">
        <v>187484</v>
      </c>
      <c r="O328" s="34">
        <v>128940</v>
      </c>
      <c r="P328" s="34" t="s">
        <v>140</v>
      </c>
      <c r="Q328" s="35">
        <v>45636</v>
      </c>
      <c r="R328" s="36" t="s">
        <v>40</v>
      </c>
      <c r="S328" s="36" t="str">
        <f>VLOOKUP(Tabla9[[#This Row],[CODIGO DEL PRODUCTO]],Tabla7[],2,FALSE)</f>
        <v>PIEDRA 0-6</v>
      </c>
      <c r="T328" s="37">
        <v>34440</v>
      </c>
    </row>
    <row r="329" spans="8:20" x14ac:dyDescent="0.25">
      <c r="H329" s="34"/>
      <c r="I329" s="34" t="s">
        <v>53</v>
      </c>
      <c r="J329" s="35">
        <v>45664</v>
      </c>
      <c r="K329" s="36" t="s">
        <v>50</v>
      </c>
      <c r="L329" s="39" t="str">
        <f>VLOOKUP(Tabla8[[#This Row],[CODIGO DEL PRODUCTO]],Tabla7[],2,FALSE)</f>
        <v>MIRA SET 453 (ADITIVO)</v>
      </c>
      <c r="M329" s="37">
        <v>1089.8699999999999</v>
      </c>
      <c r="O329" s="34">
        <v>2595991</v>
      </c>
      <c r="P329" s="34" t="s">
        <v>65</v>
      </c>
      <c r="Q329" s="35">
        <v>45636</v>
      </c>
      <c r="R329" s="36" t="s">
        <v>45</v>
      </c>
      <c r="S329" s="36" t="str">
        <f>VLOOKUP(Tabla9[[#This Row],[CODIGO DEL PRODUCTO]],Tabla7[],2,FALSE)</f>
        <v>CPF 40 AVELLANEDA</v>
      </c>
      <c r="T329" s="37">
        <v>32280</v>
      </c>
    </row>
    <row r="330" spans="8:20" x14ac:dyDescent="0.25">
      <c r="H330" s="34"/>
      <c r="I330" s="34" t="s">
        <v>53</v>
      </c>
      <c r="J330" s="35">
        <v>45666</v>
      </c>
      <c r="K330" s="36" t="s">
        <v>48</v>
      </c>
      <c r="L330" s="39" t="str">
        <f>VLOOKUP(Tabla8[[#This Row],[CODIGO DEL PRODUCTO]],Tabla7[],2,FALSE)</f>
        <v>PIEDRA 6-12</v>
      </c>
      <c r="M330" s="37">
        <v>89055</v>
      </c>
      <c r="O330" s="34">
        <v>95221</v>
      </c>
      <c r="P330" s="34" t="s">
        <v>150</v>
      </c>
      <c r="Q330" s="35">
        <v>45637</v>
      </c>
      <c r="R330" s="36" t="s">
        <v>48</v>
      </c>
      <c r="S330" s="36" t="str">
        <f>VLOOKUP(Tabla9[[#This Row],[CODIGO DEL PRODUCTO]],Tabla7[],2,FALSE)</f>
        <v>PIEDRA 6-12</v>
      </c>
      <c r="T330" s="37">
        <v>35220</v>
      </c>
    </row>
    <row r="331" spans="8:20" x14ac:dyDescent="0.25">
      <c r="H331" s="34"/>
      <c r="I331" s="34" t="s">
        <v>53</v>
      </c>
      <c r="J331" s="35">
        <v>45668</v>
      </c>
      <c r="K331" s="36" t="s">
        <v>46</v>
      </c>
      <c r="L331" s="39" t="str">
        <f>VLOOKUP(Tabla8[[#This Row],[CODIGO DEL PRODUCTO]],Tabla7[],2,FALSE)</f>
        <v>PIEDRA 10-30</v>
      </c>
      <c r="M331" s="37">
        <v>55701</v>
      </c>
      <c r="O331" s="34">
        <v>95225</v>
      </c>
      <c r="P331" s="34" t="s">
        <v>208</v>
      </c>
      <c r="Q331" s="35">
        <v>45637</v>
      </c>
      <c r="R331" s="36" t="s">
        <v>46</v>
      </c>
      <c r="S331" s="36" t="str">
        <f>VLOOKUP(Tabla9[[#This Row],[CODIGO DEL PRODUCTO]],Tabla7[],2,FALSE)</f>
        <v>PIEDRA 10-30</v>
      </c>
      <c r="T331" s="37">
        <v>34980</v>
      </c>
    </row>
    <row r="332" spans="8:20" x14ac:dyDescent="0.25">
      <c r="H332" s="34"/>
      <c r="I332" s="34" t="s">
        <v>53</v>
      </c>
      <c r="J332" s="35">
        <v>45669</v>
      </c>
      <c r="K332" s="36" t="s">
        <v>43</v>
      </c>
      <c r="L332" s="39" t="str">
        <f>VLOOKUP(Tabla8[[#This Row],[CODIGO DEL PRODUCTO]],Tabla7[],2,FALSE)</f>
        <v>PIEDRA 6-20</v>
      </c>
      <c r="M332" s="37">
        <v>414940</v>
      </c>
      <c r="O332" s="34">
        <v>95231</v>
      </c>
      <c r="P332" s="34" t="s">
        <v>151</v>
      </c>
      <c r="Q332" s="35">
        <v>45637</v>
      </c>
      <c r="R332" s="36" t="s">
        <v>43</v>
      </c>
      <c r="S332" s="36" t="str">
        <f>VLOOKUP(Tabla9[[#This Row],[CODIGO DEL PRODUCTO]],Tabla7[],2,FALSE)</f>
        <v>PIEDRA 6-20</v>
      </c>
      <c r="T332" s="37">
        <v>35820</v>
      </c>
    </row>
    <row r="333" spans="8:20" x14ac:dyDescent="0.25">
      <c r="H333" s="34">
        <v>8004</v>
      </c>
      <c r="I333" s="34" t="s">
        <v>246</v>
      </c>
      <c r="J333" s="35">
        <v>45673</v>
      </c>
      <c r="K333" s="36" t="s">
        <v>42</v>
      </c>
      <c r="L333" s="39" t="str">
        <f>VLOOKUP(Tabla8[[#This Row],[CODIGO DEL PRODUCTO]],Tabla7[],2,FALSE)</f>
        <v>ARENA FINA</v>
      </c>
      <c r="M333" s="37">
        <v>6000</v>
      </c>
      <c r="O333" s="34">
        <v>95246</v>
      </c>
      <c r="P333" s="34" t="s">
        <v>209</v>
      </c>
      <c r="Q333" s="35">
        <v>45637</v>
      </c>
      <c r="R333" s="36" t="s">
        <v>40</v>
      </c>
      <c r="S333" s="36" t="str">
        <f>VLOOKUP(Tabla9[[#This Row],[CODIGO DEL PRODUCTO]],Tabla7[],2,FALSE)</f>
        <v>PIEDRA 0-6</v>
      </c>
      <c r="T333" s="37">
        <v>34320</v>
      </c>
    </row>
    <row r="334" spans="8:20" x14ac:dyDescent="0.25">
      <c r="H334" s="34">
        <v>8005</v>
      </c>
      <c r="I334" s="34" t="s">
        <v>247</v>
      </c>
      <c r="J334" s="35">
        <v>45673</v>
      </c>
      <c r="K334" s="36" t="s">
        <v>42</v>
      </c>
      <c r="L334" s="39" t="str">
        <f>VLOOKUP(Tabla8[[#This Row],[CODIGO DEL PRODUCTO]],Tabla7[],2,FALSE)</f>
        <v>ARENA FINA</v>
      </c>
      <c r="M334" s="37">
        <v>6000</v>
      </c>
      <c r="O334" s="34">
        <v>95251</v>
      </c>
      <c r="P334" s="34" t="s">
        <v>173</v>
      </c>
      <c r="Q334" s="35">
        <v>45637</v>
      </c>
      <c r="R334" s="36" t="s">
        <v>43</v>
      </c>
      <c r="S334" s="36" t="str">
        <f>VLOOKUP(Tabla9[[#This Row],[CODIGO DEL PRODUCTO]],Tabla7[],2,FALSE)</f>
        <v>PIEDRA 6-20</v>
      </c>
      <c r="T334" s="37">
        <v>35120</v>
      </c>
    </row>
    <row r="335" spans="8:20" x14ac:dyDescent="0.25">
      <c r="H335" s="34">
        <v>8013</v>
      </c>
      <c r="I335" s="34" t="s">
        <v>248</v>
      </c>
      <c r="J335" s="35">
        <v>45674</v>
      </c>
      <c r="K335" s="36" t="s">
        <v>43</v>
      </c>
      <c r="L335" s="39" t="str">
        <f>VLOOKUP(Tabla8[[#This Row],[CODIGO DEL PRODUCTO]],Tabla7[],2,FALSE)</f>
        <v>PIEDRA 6-20</v>
      </c>
      <c r="M335" s="37">
        <v>3000</v>
      </c>
      <c r="O335" s="34">
        <v>129024</v>
      </c>
      <c r="P335" s="34" t="s">
        <v>140</v>
      </c>
      <c r="Q335" s="35">
        <v>45637</v>
      </c>
      <c r="R335" s="36" t="s">
        <v>40</v>
      </c>
      <c r="S335" s="36" t="str">
        <f>VLOOKUP(Tabla9[[#This Row],[CODIGO DEL PRODUCTO]],Tabla7[],2,FALSE)</f>
        <v>PIEDRA 0-6</v>
      </c>
      <c r="T335" s="37">
        <v>34060</v>
      </c>
    </row>
    <row r="336" spans="8:20" x14ac:dyDescent="0.25">
      <c r="H336" s="34"/>
      <c r="I336" s="34" t="s">
        <v>53</v>
      </c>
      <c r="J336" s="35">
        <v>45670</v>
      </c>
      <c r="K336" s="36" t="s">
        <v>42</v>
      </c>
      <c r="L336" s="39" t="str">
        <f>VLOOKUP(Tabla8[[#This Row],[CODIGO DEL PRODUCTO]],Tabla7[],2,FALSE)</f>
        <v>ARENA FINA</v>
      </c>
      <c r="M336" s="37">
        <v>315645</v>
      </c>
      <c r="O336" s="34">
        <v>2596335</v>
      </c>
      <c r="P336" s="34" t="s">
        <v>65</v>
      </c>
      <c r="Q336" s="35">
        <v>45637</v>
      </c>
      <c r="R336" s="36" t="s">
        <v>45</v>
      </c>
      <c r="S336" s="36" t="str">
        <f>VLOOKUP(Tabla9[[#This Row],[CODIGO DEL PRODUCTO]],Tabla7[],2,FALSE)</f>
        <v>CPF 40 AVELLANEDA</v>
      </c>
      <c r="T336" s="37">
        <v>32300</v>
      </c>
    </row>
    <row r="337" spans="8:20" x14ac:dyDescent="0.25">
      <c r="H337" s="34"/>
      <c r="I337" s="34" t="s">
        <v>53</v>
      </c>
      <c r="J337" s="35">
        <v>45671</v>
      </c>
      <c r="K337" s="36" t="s">
        <v>40</v>
      </c>
      <c r="L337" s="39" t="str">
        <f>VLOOKUP(Tabla8[[#This Row],[CODIGO DEL PRODUCTO]],Tabla7[],2,FALSE)</f>
        <v>PIEDRA 0-6</v>
      </c>
      <c r="M337" s="37">
        <v>235911</v>
      </c>
      <c r="O337" s="34">
        <v>35740</v>
      </c>
      <c r="P337" s="34" t="s">
        <v>61</v>
      </c>
      <c r="Q337" s="35">
        <v>45638</v>
      </c>
      <c r="R337" s="36" t="s">
        <v>50</v>
      </c>
      <c r="S337" s="36" t="str">
        <f>VLOOKUP(Tabla9[[#This Row],[CODIGO DEL PRODUCTO]],Tabla7[],2,FALSE)</f>
        <v>MIRA SET 453 (ADITIVO)</v>
      </c>
      <c r="T337" s="37">
        <v>2200</v>
      </c>
    </row>
    <row r="338" spans="8:20" x14ac:dyDescent="0.25">
      <c r="H338" s="34"/>
      <c r="I338" s="34" t="s">
        <v>53</v>
      </c>
      <c r="J338" s="35">
        <v>45672</v>
      </c>
      <c r="K338" s="36" t="s">
        <v>45</v>
      </c>
      <c r="L338" s="39" t="str">
        <f>VLOOKUP(Tabla8[[#This Row],[CODIGO DEL PRODUCTO]],Tabla7[],2,FALSE)</f>
        <v>CPF 40 AVELLANEDA</v>
      </c>
      <c r="M338" s="37">
        <v>185587</v>
      </c>
      <c r="O338" s="34">
        <v>95253</v>
      </c>
      <c r="P338" s="34" t="s">
        <v>208</v>
      </c>
      <c r="Q338" s="35">
        <v>45638</v>
      </c>
      <c r="R338" s="36" t="s">
        <v>46</v>
      </c>
      <c r="S338" s="36" t="str">
        <f>VLOOKUP(Tabla9[[#This Row],[CODIGO DEL PRODUCTO]],Tabla7[],2,FALSE)</f>
        <v>PIEDRA 10-30</v>
      </c>
      <c r="T338" s="37">
        <v>35360</v>
      </c>
    </row>
    <row r="339" spans="8:20" x14ac:dyDescent="0.25">
      <c r="H339" s="34"/>
      <c r="I339" s="34" t="s">
        <v>53</v>
      </c>
      <c r="J339" s="35">
        <v>45673</v>
      </c>
      <c r="K339" s="36" t="s">
        <v>50</v>
      </c>
      <c r="L339" s="39" t="str">
        <f>VLOOKUP(Tabla8[[#This Row],[CODIGO DEL PRODUCTO]],Tabla7[],2,FALSE)</f>
        <v>MIRA SET 453 (ADITIVO)</v>
      </c>
      <c r="M339" s="37">
        <v>1105.77</v>
      </c>
      <c r="O339" s="34">
        <v>95254</v>
      </c>
      <c r="P339" s="34" t="s">
        <v>150</v>
      </c>
      <c r="Q339" s="35">
        <v>45638</v>
      </c>
      <c r="R339" s="36" t="s">
        <v>48</v>
      </c>
      <c r="S339" s="36" t="str">
        <f>VLOOKUP(Tabla9[[#This Row],[CODIGO DEL PRODUCTO]],Tabla7[],2,FALSE)</f>
        <v>PIEDRA 6-12</v>
      </c>
      <c r="T339" s="37">
        <v>35320</v>
      </c>
    </row>
    <row r="340" spans="8:20" x14ac:dyDescent="0.25">
      <c r="H340" s="34"/>
      <c r="I340" s="34" t="s">
        <v>53</v>
      </c>
      <c r="J340" s="35">
        <v>45674</v>
      </c>
      <c r="K340" s="36" t="s">
        <v>48</v>
      </c>
      <c r="L340" s="39" t="str">
        <f>VLOOKUP(Tabla8[[#This Row],[CODIGO DEL PRODUCTO]],Tabla7[],2,FALSE)</f>
        <v>PIEDRA 6-12</v>
      </c>
      <c r="M340" s="37">
        <v>142876</v>
      </c>
      <c r="O340" s="34">
        <v>95262</v>
      </c>
      <c r="P340" s="34" t="s">
        <v>173</v>
      </c>
      <c r="Q340" s="35">
        <v>45638</v>
      </c>
      <c r="R340" s="36" t="s">
        <v>43</v>
      </c>
      <c r="S340" s="36" t="str">
        <f>VLOOKUP(Tabla9[[#This Row],[CODIGO DEL PRODUCTO]],Tabla7[],2,FALSE)</f>
        <v>PIEDRA 6-20</v>
      </c>
      <c r="T340" s="37">
        <v>35100</v>
      </c>
    </row>
    <row r="341" spans="8:20" x14ac:dyDescent="0.25">
      <c r="H341" s="34"/>
      <c r="I341" s="34" t="s">
        <v>53</v>
      </c>
      <c r="J341" s="35">
        <v>45675</v>
      </c>
      <c r="K341" s="36" t="s">
        <v>46</v>
      </c>
      <c r="L341" s="39" t="str">
        <f>VLOOKUP(Tabla8[[#This Row],[CODIGO DEL PRODUCTO]],Tabla7[],2,FALSE)</f>
        <v>PIEDRA 10-30</v>
      </c>
      <c r="M341" s="37">
        <v>95385</v>
      </c>
      <c r="O341" s="34">
        <v>95263</v>
      </c>
      <c r="P341" s="34" t="s">
        <v>151</v>
      </c>
      <c r="Q341" s="35">
        <v>45638</v>
      </c>
      <c r="R341" s="36" t="s">
        <v>43</v>
      </c>
      <c r="S341" s="36" t="str">
        <f>VLOOKUP(Tabla9[[#This Row],[CODIGO DEL PRODUCTO]],Tabla7[],2,FALSE)</f>
        <v>PIEDRA 6-20</v>
      </c>
      <c r="T341" s="37">
        <v>3504</v>
      </c>
    </row>
    <row r="342" spans="8:20" x14ac:dyDescent="0.25">
      <c r="H342" s="34"/>
      <c r="I342" s="34" t="s">
        <v>53</v>
      </c>
      <c r="J342" s="35">
        <v>45676</v>
      </c>
      <c r="K342" s="36" t="s">
        <v>43</v>
      </c>
      <c r="L342" s="39" t="str">
        <f>VLOOKUP(Tabla8[[#This Row],[CODIGO DEL PRODUCTO]],Tabla7[],2,FALSE)</f>
        <v>PIEDRA 6-20</v>
      </c>
      <c r="M342" s="37">
        <v>292410</v>
      </c>
      <c r="O342" s="34">
        <v>2596718</v>
      </c>
      <c r="P342" s="34" t="s">
        <v>65</v>
      </c>
      <c r="Q342" s="35">
        <v>45638</v>
      </c>
      <c r="R342" s="36" t="s">
        <v>45</v>
      </c>
      <c r="S342" s="36" t="str">
        <f>VLOOKUP(Tabla9[[#This Row],[CODIGO DEL PRODUCTO]],Tabla7[],2,FALSE)</f>
        <v>CPF 40 AVELLANEDA</v>
      </c>
      <c r="T342" s="37">
        <v>32000</v>
      </c>
    </row>
    <row r="343" spans="8:20" x14ac:dyDescent="0.25">
      <c r="H343" s="34">
        <v>8059</v>
      </c>
      <c r="I343" s="34" t="s">
        <v>201</v>
      </c>
      <c r="J343" s="35">
        <v>45679</v>
      </c>
      <c r="K343" s="36" t="s">
        <v>42</v>
      </c>
      <c r="L343" s="39" t="str">
        <f>VLOOKUP(Tabla8[[#This Row],[CODIGO DEL PRODUCTO]],Tabla7[],2,FALSE)</f>
        <v>ARENA FINA</v>
      </c>
      <c r="M343" s="37">
        <v>8000</v>
      </c>
      <c r="O343" s="34">
        <v>95283</v>
      </c>
      <c r="P343" s="34" t="s">
        <v>150</v>
      </c>
      <c r="Q343" s="35">
        <v>45639</v>
      </c>
      <c r="R343" s="36" t="s">
        <v>48</v>
      </c>
      <c r="S343" s="36" t="str">
        <f>VLOOKUP(Tabla9[[#This Row],[CODIGO DEL PRODUCTO]],Tabla7[],2,FALSE)</f>
        <v>PIEDRA 6-12</v>
      </c>
      <c r="T343" s="37">
        <v>35520</v>
      </c>
    </row>
    <row r="344" spans="8:20" x14ac:dyDescent="0.25">
      <c r="H344" s="34">
        <v>8060</v>
      </c>
      <c r="I344" s="34" t="s">
        <v>201</v>
      </c>
      <c r="J344" s="35">
        <v>45679</v>
      </c>
      <c r="K344" s="36" t="s">
        <v>43</v>
      </c>
      <c r="L344" s="39" t="str">
        <f>VLOOKUP(Tabla8[[#This Row],[CODIGO DEL PRODUCTO]],Tabla7[],2,FALSE)</f>
        <v>PIEDRA 6-20</v>
      </c>
      <c r="M344" s="37">
        <v>8000</v>
      </c>
      <c r="O344" s="34">
        <v>97001</v>
      </c>
      <c r="P344" s="34" t="s">
        <v>151</v>
      </c>
      <c r="Q344" s="35">
        <v>45639</v>
      </c>
      <c r="R344" s="36" t="s">
        <v>43</v>
      </c>
      <c r="S344" s="36" t="str">
        <f>VLOOKUP(Tabla9[[#This Row],[CODIGO DEL PRODUCTO]],Tabla7[],2,FALSE)</f>
        <v>PIEDRA 6-20</v>
      </c>
      <c r="T344" s="37">
        <v>35120</v>
      </c>
    </row>
    <row r="345" spans="8:20" x14ac:dyDescent="0.25">
      <c r="H345" s="34">
        <v>8072</v>
      </c>
      <c r="I345" s="34" t="s">
        <v>214</v>
      </c>
      <c r="J345" s="35">
        <v>45679</v>
      </c>
      <c r="K345" s="36" t="s">
        <v>43</v>
      </c>
      <c r="L345" s="39" t="str">
        <f>VLOOKUP(Tabla8[[#This Row],[CODIGO DEL PRODUCTO]],Tabla7[],2,FALSE)</f>
        <v>PIEDRA 6-20</v>
      </c>
      <c r="M345" s="37">
        <v>3000</v>
      </c>
      <c r="O345" s="34">
        <v>97018</v>
      </c>
      <c r="P345" s="34" t="s">
        <v>173</v>
      </c>
      <c r="Q345" s="35">
        <v>45639</v>
      </c>
      <c r="R345" s="36" t="s">
        <v>43</v>
      </c>
      <c r="S345" s="36" t="str">
        <f>VLOOKUP(Tabla9[[#This Row],[CODIGO DEL PRODUCTO]],Tabla7[],2,FALSE)</f>
        <v>PIEDRA 6-20</v>
      </c>
      <c r="T345" s="37">
        <v>35740</v>
      </c>
    </row>
    <row r="346" spans="8:20" x14ac:dyDescent="0.25">
      <c r="H346" s="34">
        <v>8096</v>
      </c>
      <c r="I346" s="34" t="s">
        <v>245</v>
      </c>
      <c r="J346" s="35">
        <v>45679</v>
      </c>
      <c r="K346" s="36" t="s">
        <v>42</v>
      </c>
      <c r="L346" s="39" t="str">
        <f>VLOOKUP(Tabla8[[#This Row],[CODIGO DEL PRODUCTO]],Tabla7[],2,FALSE)</f>
        <v>ARENA FINA</v>
      </c>
      <c r="M346" s="37">
        <v>18000</v>
      </c>
      <c r="O346" s="34">
        <v>129167</v>
      </c>
      <c r="P346" s="34" t="s">
        <v>140</v>
      </c>
      <c r="Q346" s="35">
        <v>45639</v>
      </c>
      <c r="R346" s="36" t="s">
        <v>40</v>
      </c>
      <c r="S346" s="36" t="str">
        <f>VLOOKUP(Tabla9[[#This Row],[CODIGO DEL PRODUCTO]],Tabla7[],2,FALSE)</f>
        <v>PIEDRA 0-6</v>
      </c>
      <c r="T346" s="37">
        <v>33980</v>
      </c>
    </row>
    <row r="347" spans="8:20" x14ac:dyDescent="0.25">
      <c r="H347" s="34">
        <v>8097</v>
      </c>
      <c r="I347" s="34" t="s">
        <v>245</v>
      </c>
      <c r="J347" s="35">
        <v>45679</v>
      </c>
      <c r="K347" s="36" t="s">
        <v>43</v>
      </c>
      <c r="L347" s="39" t="str">
        <f>VLOOKUP(Tabla8[[#This Row],[CODIGO DEL PRODUCTO]],Tabla7[],2,FALSE)</f>
        <v>PIEDRA 6-20</v>
      </c>
      <c r="M347" s="37">
        <v>18000</v>
      </c>
      <c r="O347" s="34">
        <v>2597071</v>
      </c>
      <c r="P347" s="34" t="s">
        <v>65</v>
      </c>
      <c r="Q347" s="35">
        <v>45639</v>
      </c>
      <c r="R347" s="36" t="s">
        <v>45</v>
      </c>
      <c r="S347" s="36" t="str">
        <f>VLOOKUP(Tabla9[[#This Row],[CODIGO DEL PRODUCTO]],Tabla7[],2,FALSE)</f>
        <v>CPF 40 AVELLANEDA</v>
      </c>
      <c r="T347" s="37">
        <v>32280</v>
      </c>
    </row>
    <row r="348" spans="8:20" x14ac:dyDescent="0.25">
      <c r="H348" s="34">
        <v>8094</v>
      </c>
      <c r="I348" s="34" t="s">
        <v>180</v>
      </c>
      <c r="J348" s="35">
        <v>45679</v>
      </c>
      <c r="K348" s="36" t="s">
        <v>42</v>
      </c>
      <c r="L348" s="39" t="str">
        <f>VLOOKUP(Tabla8[[#This Row],[CODIGO DEL PRODUCTO]],Tabla7[],2,FALSE)</f>
        <v>ARENA FINA</v>
      </c>
      <c r="M348" s="37">
        <v>4000</v>
      </c>
      <c r="O348" s="34">
        <v>95286</v>
      </c>
      <c r="P348" s="34" t="s">
        <v>212</v>
      </c>
      <c r="Q348" s="35">
        <v>45640</v>
      </c>
      <c r="R348" s="36" t="s">
        <v>46</v>
      </c>
      <c r="S348" s="36" t="str">
        <f>VLOOKUP(Tabla9[[#This Row],[CODIGO DEL PRODUCTO]],Tabla7[],2,FALSE)</f>
        <v>PIEDRA 10-30</v>
      </c>
      <c r="T348" s="37">
        <v>35380</v>
      </c>
    </row>
    <row r="349" spans="8:20" x14ac:dyDescent="0.25">
      <c r="H349" s="34">
        <v>8095</v>
      </c>
      <c r="I349" s="34" t="s">
        <v>180</v>
      </c>
      <c r="J349" s="35">
        <v>45679</v>
      </c>
      <c r="K349" s="36" t="s">
        <v>42</v>
      </c>
      <c r="L349" s="39" t="str">
        <f>VLOOKUP(Tabla8[[#This Row],[CODIGO DEL PRODUCTO]],Tabla7[],2,FALSE)</f>
        <v>ARENA FINA</v>
      </c>
      <c r="M349" s="37">
        <v>4000</v>
      </c>
      <c r="O349" s="34">
        <v>97039</v>
      </c>
      <c r="P349" s="34" t="s">
        <v>212</v>
      </c>
      <c r="Q349" s="35">
        <v>45640</v>
      </c>
      <c r="R349" s="36" t="s">
        <v>46</v>
      </c>
      <c r="S349" s="36" t="str">
        <f>VLOOKUP(Tabla9[[#This Row],[CODIGO DEL PRODUCTO]],Tabla7[],2,FALSE)</f>
        <v>PIEDRA 10-30</v>
      </c>
      <c r="T349" s="37">
        <v>35280</v>
      </c>
    </row>
    <row r="350" spans="8:20" x14ac:dyDescent="0.25">
      <c r="H350" s="34">
        <v>8127</v>
      </c>
      <c r="I350" s="34" t="s">
        <v>250</v>
      </c>
      <c r="J350" s="35">
        <v>45680</v>
      </c>
      <c r="K350" s="36" t="s">
        <v>42</v>
      </c>
      <c r="L350" s="39" t="str">
        <f>VLOOKUP(Tabla8[[#This Row],[CODIGO DEL PRODUCTO]],Tabla7[],2,FALSE)</f>
        <v>ARENA FINA</v>
      </c>
      <c r="M350" s="37">
        <v>16000</v>
      </c>
      <c r="O350" s="34">
        <v>129280</v>
      </c>
      <c r="P350" s="34" t="s">
        <v>213</v>
      </c>
      <c r="Q350" s="35">
        <v>45640</v>
      </c>
      <c r="R350" s="36" t="s">
        <v>40</v>
      </c>
      <c r="S350" s="36" t="str">
        <f>VLOOKUP(Tabla9[[#This Row],[CODIGO DEL PRODUCTO]],Tabla7[],2,FALSE)</f>
        <v>PIEDRA 0-6</v>
      </c>
      <c r="T350" s="37">
        <v>34940</v>
      </c>
    </row>
    <row r="351" spans="8:20" x14ac:dyDescent="0.25">
      <c r="H351" s="34">
        <v>8130</v>
      </c>
      <c r="I351" s="34" t="s">
        <v>250</v>
      </c>
      <c r="J351" s="35">
        <v>45680</v>
      </c>
      <c r="K351" s="36" t="s">
        <v>43</v>
      </c>
      <c r="L351" s="39" t="str">
        <f>VLOOKUP(Tabla8[[#This Row],[CODIGO DEL PRODUCTO]],Tabla7[],2,FALSE)</f>
        <v>PIEDRA 6-20</v>
      </c>
      <c r="M351" s="37">
        <v>15000</v>
      </c>
      <c r="O351" s="34">
        <v>2597249</v>
      </c>
      <c r="P351" s="34" t="s">
        <v>65</v>
      </c>
      <c r="Q351" s="35">
        <v>45640</v>
      </c>
      <c r="R351" s="36" t="s">
        <v>45</v>
      </c>
      <c r="S351" s="36" t="str">
        <f>VLOOKUP(Tabla9[[#This Row],[CODIGO DEL PRODUCTO]],Tabla7[],2,FALSE)</f>
        <v>CPF 40 AVELLANEDA</v>
      </c>
      <c r="T351" s="37">
        <v>32100</v>
      </c>
    </row>
    <row r="352" spans="8:20" x14ac:dyDescent="0.25">
      <c r="H352" s="34">
        <v>8155</v>
      </c>
      <c r="I352" s="34" t="s">
        <v>251</v>
      </c>
      <c r="J352" s="35">
        <v>45682</v>
      </c>
      <c r="K352" s="36" t="s">
        <v>43</v>
      </c>
      <c r="L352" s="39" t="str">
        <f>VLOOKUP(Tabla8[[#This Row],[CODIGO DEL PRODUCTO]],Tabla7[],2,FALSE)</f>
        <v>PIEDRA 6-20</v>
      </c>
      <c r="M352" s="37">
        <v>35000</v>
      </c>
      <c r="O352" s="34">
        <v>99165</v>
      </c>
      <c r="P352" s="34" t="s">
        <v>191</v>
      </c>
      <c r="Q352" s="35">
        <v>45642</v>
      </c>
      <c r="R352" s="36" t="s">
        <v>42</v>
      </c>
      <c r="S352" s="36" t="str">
        <f>VLOOKUP(Tabla9[[#This Row],[CODIGO DEL PRODUCTO]],Tabla7[],2,FALSE)</f>
        <v>ARENA FINA</v>
      </c>
      <c r="T352" s="37">
        <v>37580</v>
      </c>
    </row>
    <row r="353" spans="8:20" x14ac:dyDescent="0.25">
      <c r="H353" s="34"/>
      <c r="I353" s="34" t="s">
        <v>53</v>
      </c>
      <c r="J353" s="35">
        <v>45677</v>
      </c>
      <c r="K353" s="36" t="s">
        <v>42</v>
      </c>
      <c r="L353" s="39" t="str">
        <f>VLOOKUP(Tabla8[[#This Row],[CODIGO DEL PRODUCTO]],Tabla7[],2,FALSE)</f>
        <v>ARENA FINA</v>
      </c>
      <c r="M353" s="37">
        <v>266550</v>
      </c>
      <c r="O353" s="34">
        <v>99168</v>
      </c>
      <c r="P353" s="34" t="s">
        <v>191</v>
      </c>
      <c r="Q353" s="35">
        <v>45642</v>
      </c>
      <c r="R353" s="36" t="s">
        <v>42</v>
      </c>
      <c r="S353" s="36" t="str">
        <f>VLOOKUP(Tabla9[[#This Row],[CODIGO DEL PRODUCTO]],Tabla7[],2,FALSE)</f>
        <v>ARENA FINA</v>
      </c>
      <c r="T353" s="37">
        <v>36280</v>
      </c>
    </row>
    <row r="354" spans="8:20" x14ac:dyDescent="0.25">
      <c r="H354" s="34"/>
      <c r="I354" s="34" t="s">
        <v>53</v>
      </c>
      <c r="J354" s="35">
        <v>45678</v>
      </c>
      <c r="K354" s="36" t="s">
        <v>40</v>
      </c>
      <c r="L354" s="39" t="str">
        <f>VLOOKUP(Tabla8[[#This Row],[CODIGO DEL PRODUCTO]],Tabla7[],2,FALSE)</f>
        <v>PIEDRA 0-6</v>
      </c>
      <c r="M354" s="37">
        <v>211612</v>
      </c>
      <c r="O354" s="34">
        <v>97051</v>
      </c>
      <c r="P354" s="34" t="s">
        <v>166</v>
      </c>
      <c r="Q354" s="35">
        <v>45642</v>
      </c>
      <c r="R354" s="36" t="s">
        <v>43</v>
      </c>
      <c r="S354" s="36" t="str">
        <f>VLOOKUP(Tabla9[[#This Row],[CODIGO DEL PRODUCTO]],Tabla7[],2,FALSE)</f>
        <v>PIEDRA 6-20</v>
      </c>
      <c r="T354" s="37">
        <v>34660</v>
      </c>
    </row>
    <row r="355" spans="8:20" x14ac:dyDescent="0.25">
      <c r="H355" s="34"/>
      <c r="I355" s="34" t="s">
        <v>53</v>
      </c>
      <c r="J355" s="35">
        <v>45679</v>
      </c>
      <c r="K355" s="36" t="s">
        <v>45</v>
      </c>
      <c r="L355" s="39" t="str">
        <f>VLOOKUP(Tabla8[[#This Row],[CODIGO DEL PRODUCTO]],Tabla7[],2,FALSE)</f>
        <v>CPF 40 AVELLANEDA</v>
      </c>
      <c r="M355" s="37">
        <v>171585</v>
      </c>
      <c r="O355" s="34">
        <v>97062</v>
      </c>
      <c r="P355" s="34" t="s">
        <v>208</v>
      </c>
      <c r="Q355" s="35">
        <v>45642</v>
      </c>
      <c r="R355" s="36" t="s">
        <v>46</v>
      </c>
      <c r="S355" s="36" t="str">
        <f>VLOOKUP(Tabla9[[#This Row],[CODIGO DEL PRODUCTO]],Tabla7[],2,FALSE)</f>
        <v>PIEDRA 10-30</v>
      </c>
      <c r="T355" s="37">
        <v>35660</v>
      </c>
    </row>
    <row r="356" spans="8:20" x14ac:dyDescent="0.25">
      <c r="H356" s="34"/>
      <c r="I356" s="34" t="s">
        <v>53</v>
      </c>
      <c r="J356" s="35">
        <v>45680</v>
      </c>
      <c r="K356" s="36" t="s">
        <v>50</v>
      </c>
      <c r="L356" s="39" t="str">
        <f>VLOOKUP(Tabla8[[#This Row],[CODIGO DEL PRODUCTO]],Tabla7[],2,FALSE)</f>
        <v>MIRA SET 453 (ADITIVO)</v>
      </c>
      <c r="M356" s="37">
        <v>997.33</v>
      </c>
      <c r="O356" s="34">
        <v>129331</v>
      </c>
      <c r="P356" s="34" t="s">
        <v>213</v>
      </c>
      <c r="Q356" s="35">
        <v>45642</v>
      </c>
      <c r="R356" s="36" t="s">
        <v>40</v>
      </c>
      <c r="S356" s="36" t="str">
        <f>VLOOKUP(Tabla9[[#This Row],[CODIGO DEL PRODUCTO]],Tabla7[],2,FALSE)</f>
        <v>PIEDRA 0-6</v>
      </c>
      <c r="T356" s="37">
        <v>35500</v>
      </c>
    </row>
    <row r="357" spans="8:20" x14ac:dyDescent="0.25">
      <c r="H357" s="34"/>
      <c r="I357" s="34" t="s">
        <v>53</v>
      </c>
      <c r="J357" s="35">
        <v>45681</v>
      </c>
      <c r="K357" s="36" t="s">
        <v>48</v>
      </c>
      <c r="L357" s="39" t="str">
        <f>VLOOKUP(Tabla8[[#This Row],[CODIGO DEL PRODUCTO]],Tabla7[],2,FALSE)</f>
        <v>PIEDRA 6-12</v>
      </c>
      <c r="M357" s="37">
        <v>29713</v>
      </c>
      <c r="O357" s="34">
        <v>2597547</v>
      </c>
      <c r="P357" s="34" t="s">
        <v>65</v>
      </c>
      <c r="Q357" s="35">
        <v>45642</v>
      </c>
      <c r="R357" s="36" t="s">
        <v>45</v>
      </c>
      <c r="S357" s="36" t="str">
        <f>VLOOKUP(Tabla9[[#This Row],[CODIGO DEL PRODUCTO]],Tabla7[],2,FALSE)</f>
        <v>CPF 40 AVELLANEDA</v>
      </c>
      <c r="T357" s="37">
        <v>32440</v>
      </c>
    </row>
    <row r="358" spans="8:20" x14ac:dyDescent="0.25">
      <c r="H358" s="34"/>
      <c r="I358" s="34" t="s">
        <v>53</v>
      </c>
      <c r="J358" s="35">
        <v>45682</v>
      </c>
      <c r="K358" s="36" t="s">
        <v>46</v>
      </c>
      <c r="L358" s="39" t="str">
        <f>VLOOKUP(Tabla8[[#This Row],[CODIGO DEL PRODUCTO]],Tabla7[],2,FALSE)</f>
        <v>PIEDRA 10-30</v>
      </c>
      <c r="M358" s="37">
        <v>105747</v>
      </c>
      <c r="O358" s="34">
        <v>99174</v>
      </c>
      <c r="P358" s="34" t="s">
        <v>191</v>
      </c>
      <c r="Q358" s="35">
        <v>45643</v>
      </c>
      <c r="R358" s="36" t="s">
        <v>42</v>
      </c>
      <c r="S358" s="36" t="str">
        <f>VLOOKUP(Tabla9[[#This Row],[CODIGO DEL PRODUCTO]],Tabla7[],2,FALSE)</f>
        <v>ARENA FINA</v>
      </c>
      <c r="T358" s="37">
        <v>37060</v>
      </c>
    </row>
    <row r="359" spans="8:20" x14ac:dyDescent="0.25">
      <c r="H359" s="34"/>
      <c r="I359" s="34" t="s">
        <v>53</v>
      </c>
      <c r="J359" s="35">
        <v>45682</v>
      </c>
      <c r="K359" s="36" t="s">
        <v>43</v>
      </c>
      <c r="L359" s="39" t="str">
        <f>VLOOKUP(Tabla8[[#This Row],[CODIGO DEL PRODUCTO]],Tabla7[],2,FALSE)</f>
        <v>PIEDRA 6-20</v>
      </c>
      <c r="M359" s="37">
        <v>390464</v>
      </c>
      <c r="O359" s="34">
        <v>99180</v>
      </c>
      <c r="P359" s="34" t="s">
        <v>191</v>
      </c>
      <c r="Q359" s="35">
        <v>45643</v>
      </c>
      <c r="R359" s="36" t="s">
        <v>42</v>
      </c>
      <c r="S359" s="36" t="str">
        <f>VLOOKUP(Tabla9[[#This Row],[CODIGO DEL PRODUCTO]],Tabla7[],2,FALSE)</f>
        <v>ARENA FINA</v>
      </c>
      <c r="T359" s="37">
        <v>38920</v>
      </c>
    </row>
    <row r="360" spans="8:20" x14ac:dyDescent="0.25">
      <c r="H360" s="34">
        <v>8178</v>
      </c>
      <c r="I360" s="34" t="s">
        <v>253</v>
      </c>
      <c r="J360" s="35">
        <v>45685</v>
      </c>
      <c r="K360" s="36" t="s">
        <v>42</v>
      </c>
      <c r="L360" s="39" t="str">
        <f>VLOOKUP(Tabla8[[#This Row],[CODIGO DEL PRODUCTO]],Tabla7[],2,FALSE)</f>
        <v>ARENA FINA</v>
      </c>
      <c r="M360" s="37">
        <v>9800</v>
      </c>
      <c r="O360" s="34">
        <v>97071</v>
      </c>
      <c r="P360" s="34" t="s">
        <v>151</v>
      </c>
      <c r="Q360" s="35">
        <v>45643</v>
      </c>
      <c r="R360" s="36" t="s">
        <v>43</v>
      </c>
      <c r="S360" s="36" t="str">
        <f>VLOOKUP(Tabla9[[#This Row],[CODIGO DEL PRODUCTO]],Tabla7[],2,FALSE)</f>
        <v>PIEDRA 6-20</v>
      </c>
      <c r="T360" s="37">
        <v>35540</v>
      </c>
    </row>
    <row r="361" spans="8:20" x14ac:dyDescent="0.25">
      <c r="H361" s="34">
        <v>8197</v>
      </c>
      <c r="I361" s="34" t="s">
        <v>255</v>
      </c>
      <c r="J361" s="35">
        <v>45686</v>
      </c>
      <c r="K361" s="36" t="s">
        <v>42</v>
      </c>
      <c r="L361" s="39" t="str">
        <f>VLOOKUP(Tabla8[[#This Row],[CODIGO DEL PRODUCTO]],Tabla7[],2,FALSE)</f>
        <v>ARENA FINA</v>
      </c>
      <c r="M361" s="37">
        <v>4000</v>
      </c>
      <c r="O361" s="34">
        <v>97087</v>
      </c>
      <c r="P361" s="34" t="s">
        <v>166</v>
      </c>
      <c r="Q361" s="35">
        <v>45643</v>
      </c>
      <c r="R361" s="36" t="s">
        <v>43</v>
      </c>
      <c r="S361" s="36" t="str">
        <f>VLOOKUP(Tabla9[[#This Row],[CODIGO DEL PRODUCTO]],Tabla7[],2,FALSE)</f>
        <v>PIEDRA 6-20</v>
      </c>
      <c r="T361" s="37">
        <v>34360</v>
      </c>
    </row>
    <row r="362" spans="8:20" x14ac:dyDescent="0.25">
      <c r="H362" s="34">
        <v>8198</v>
      </c>
      <c r="I362" s="34" t="s">
        <v>168</v>
      </c>
      <c r="J362" s="35">
        <v>45686</v>
      </c>
      <c r="K362" s="36" t="s">
        <v>42</v>
      </c>
      <c r="L362" s="39" t="str">
        <f>VLOOKUP(Tabla8[[#This Row],[CODIGO DEL PRODUCTO]],Tabla7[],2,FALSE)</f>
        <v>ARENA FINA</v>
      </c>
      <c r="M362" s="37">
        <v>6000</v>
      </c>
      <c r="O362" s="34">
        <v>97092</v>
      </c>
      <c r="P362" s="34" t="s">
        <v>208</v>
      </c>
      <c r="Q362" s="35">
        <v>45643</v>
      </c>
      <c r="R362" s="36" t="s">
        <v>46</v>
      </c>
      <c r="S362" s="36" t="str">
        <f>VLOOKUP(Tabla9[[#This Row],[CODIGO DEL PRODUCTO]],Tabla7[],2,FALSE)</f>
        <v>PIEDRA 10-30</v>
      </c>
      <c r="T362" s="37">
        <v>35540</v>
      </c>
    </row>
    <row r="363" spans="8:20" x14ac:dyDescent="0.25">
      <c r="H363" s="34">
        <v>8217</v>
      </c>
      <c r="I363" s="34" t="s">
        <v>256</v>
      </c>
      <c r="J363" s="35">
        <v>45686</v>
      </c>
      <c r="K363" s="36" t="s">
        <v>43</v>
      </c>
      <c r="L363" s="39" t="str">
        <f>VLOOKUP(Tabla8[[#This Row],[CODIGO DEL PRODUCTO]],Tabla7[],2,FALSE)</f>
        <v>PIEDRA 6-20</v>
      </c>
      <c r="M363" s="37">
        <v>1000</v>
      </c>
      <c r="O363" s="34">
        <v>97110</v>
      </c>
      <c r="P363" s="34" t="s">
        <v>151</v>
      </c>
      <c r="Q363" s="35">
        <v>45643</v>
      </c>
      <c r="R363" s="36" t="s">
        <v>43</v>
      </c>
      <c r="S363" s="36" t="str">
        <f>VLOOKUP(Tabla9[[#This Row],[CODIGO DEL PRODUCTO]],Tabla7[],2,FALSE)</f>
        <v>PIEDRA 6-20</v>
      </c>
      <c r="T363" s="37">
        <v>34900</v>
      </c>
    </row>
    <row r="364" spans="8:20" x14ac:dyDescent="0.25">
      <c r="H364" s="34"/>
      <c r="I364" s="34"/>
      <c r="J364" s="35">
        <v>45686</v>
      </c>
      <c r="K364" s="36" t="s">
        <v>42</v>
      </c>
      <c r="L364" s="39" t="str">
        <f>VLOOKUP(Tabla8[[#This Row],[CODIGO DEL PRODUCTO]],Tabla7[],2,FALSE)</f>
        <v>ARENA FINA</v>
      </c>
      <c r="M364" s="37">
        <v>1000</v>
      </c>
      <c r="O364" s="34">
        <v>129381</v>
      </c>
      <c r="P364" s="34" t="s">
        <v>213</v>
      </c>
      <c r="Q364" s="35">
        <v>45643</v>
      </c>
      <c r="R364" s="36" t="s">
        <v>40</v>
      </c>
      <c r="S364" s="36" t="str">
        <f>VLOOKUP(Tabla9[[#This Row],[CODIGO DEL PRODUCTO]],Tabla7[],2,FALSE)</f>
        <v>PIEDRA 0-6</v>
      </c>
      <c r="T364" s="37">
        <v>34300</v>
      </c>
    </row>
    <row r="365" spans="8:20" x14ac:dyDescent="0.25">
      <c r="H365" s="34">
        <v>8236</v>
      </c>
      <c r="I365" s="34" t="s">
        <v>250</v>
      </c>
      <c r="J365" s="35">
        <v>45687</v>
      </c>
      <c r="K365" s="36" t="s">
        <v>42</v>
      </c>
      <c r="L365" s="39" t="str">
        <f>VLOOKUP(Tabla8[[#This Row],[CODIGO DEL PRODUCTO]],Tabla7[],2,FALSE)</f>
        <v>ARENA FINA</v>
      </c>
      <c r="M365" s="37">
        <v>16000</v>
      </c>
      <c r="O365" s="34">
        <v>2597706</v>
      </c>
      <c r="P365" s="34" t="s">
        <v>65</v>
      </c>
      <c r="Q365" s="35">
        <v>45643</v>
      </c>
      <c r="R365" s="36" t="s">
        <v>45</v>
      </c>
      <c r="S365" s="36" t="str">
        <f>VLOOKUP(Tabla9[[#This Row],[CODIGO DEL PRODUCTO]],Tabla7[],2,FALSE)</f>
        <v>CPF 40 AVELLANEDA</v>
      </c>
      <c r="T365" s="37">
        <v>32240</v>
      </c>
    </row>
    <row r="366" spans="8:20" x14ac:dyDescent="0.25">
      <c r="H366" s="34"/>
      <c r="I366" s="34" t="s">
        <v>53</v>
      </c>
      <c r="J366" s="35">
        <v>45688</v>
      </c>
      <c r="K366" s="36" t="s">
        <v>42</v>
      </c>
      <c r="L366" s="39" t="str">
        <f>VLOOKUP(Tabla8[[#This Row],[CODIGO DEL PRODUCTO]],Tabla7[],2,FALSE)</f>
        <v>ARENA FINA</v>
      </c>
      <c r="M366" s="37">
        <v>255445</v>
      </c>
      <c r="O366" s="34">
        <v>2597927</v>
      </c>
      <c r="P366" s="34" t="s">
        <v>65</v>
      </c>
      <c r="Q366" s="35">
        <v>45643</v>
      </c>
      <c r="R366" s="36" t="s">
        <v>45</v>
      </c>
      <c r="S366" s="36" t="str">
        <f>VLOOKUP(Tabla9[[#This Row],[CODIGO DEL PRODUCTO]],Tabla7[],2,FALSE)</f>
        <v>CPF 40 AVELLANEDA</v>
      </c>
      <c r="T366" s="37">
        <v>32540</v>
      </c>
    </row>
    <row r="367" spans="8:20" x14ac:dyDescent="0.25">
      <c r="H367" s="34"/>
      <c r="I367" s="34" t="s">
        <v>53</v>
      </c>
      <c r="J367" s="35">
        <v>45688</v>
      </c>
      <c r="K367" s="36" t="s">
        <v>40</v>
      </c>
      <c r="L367" s="39" t="str">
        <f>VLOOKUP(Tabla8[[#This Row],[CODIGO DEL PRODUCTO]],Tabla7[],2,FALSE)</f>
        <v>PIEDRA 0-6</v>
      </c>
      <c r="M367" s="37">
        <v>190818</v>
      </c>
      <c r="O367" s="34">
        <v>99192</v>
      </c>
      <c r="P367" s="34" t="s">
        <v>191</v>
      </c>
      <c r="Q367" s="35">
        <v>45644</v>
      </c>
      <c r="R367" s="36" t="s">
        <v>42</v>
      </c>
      <c r="S367" s="36" t="str">
        <f>VLOOKUP(Tabla9[[#This Row],[CODIGO DEL PRODUCTO]],Tabla7[],2,FALSE)</f>
        <v>ARENA FINA</v>
      </c>
      <c r="T367" s="37">
        <v>37860</v>
      </c>
    </row>
    <row r="368" spans="8:20" x14ac:dyDescent="0.25">
      <c r="H368" s="34"/>
      <c r="I368" s="34" t="s">
        <v>53</v>
      </c>
      <c r="J368" s="35">
        <v>45688</v>
      </c>
      <c r="K368" s="36" t="s">
        <v>45</v>
      </c>
      <c r="L368" s="39" t="str">
        <f>VLOOKUP(Tabla8[[#This Row],[CODIGO DEL PRODUCTO]],Tabla7[],2,FALSE)</f>
        <v>CPF 40 AVELLANEDA</v>
      </c>
      <c r="M368" s="37">
        <v>153471</v>
      </c>
      <c r="O368" s="34">
        <v>99197</v>
      </c>
      <c r="P368" s="34" t="s">
        <v>191</v>
      </c>
      <c r="Q368" s="35">
        <v>45644</v>
      </c>
      <c r="R368" s="36" t="s">
        <v>42</v>
      </c>
      <c r="S368" s="36" t="str">
        <f>VLOOKUP(Tabla9[[#This Row],[CODIGO DEL PRODUCTO]],Tabla7[],2,FALSE)</f>
        <v>ARENA FINA</v>
      </c>
      <c r="T368" s="37">
        <v>34780</v>
      </c>
    </row>
    <row r="369" spans="7:20" x14ac:dyDescent="0.25">
      <c r="H369" s="34"/>
      <c r="I369" s="34" t="s">
        <v>53</v>
      </c>
      <c r="J369" s="35">
        <v>45688</v>
      </c>
      <c r="K369" s="36" t="s">
        <v>50</v>
      </c>
      <c r="L369" s="39" t="str">
        <f>VLOOKUP(Tabla8[[#This Row],[CODIGO DEL PRODUCTO]],Tabla7[],2,FALSE)</f>
        <v>MIRA SET 453 (ADITIVO)</v>
      </c>
      <c r="M369" s="37">
        <v>900.96</v>
      </c>
      <c r="O369" s="34">
        <v>99203</v>
      </c>
      <c r="P369" s="34" t="s">
        <v>191</v>
      </c>
      <c r="Q369" s="35">
        <v>45644</v>
      </c>
      <c r="R369" s="36" t="s">
        <v>42</v>
      </c>
      <c r="S369" s="36" t="str">
        <f>VLOOKUP(Tabla9[[#This Row],[CODIGO DEL PRODUCTO]],Tabla7[],2,FALSE)</f>
        <v>ARENA FINA</v>
      </c>
      <c r="T369" s="37">
        <v>39000</v>
      </c>
    </row>
    <row r="370" spans="7:20" x14ac:dyDescent="0.25">
      <c r="H370" s="34"/>
      <c r="I370" s="34" t="s">
        <v>53</v>
      </c>
      <c r="J370" s="35">
        <v>45688</v>
      </c>
      <c r="K370" s="36" t="s">
        <v>48</v>
      </c>
      <c r="L370" s="39" t="str">
        <f>VLOOKUP(Tabla8[[#This Row],[CODIGO DEL PRODUCTO]],Tabla7[],2,FALSE)</f>
        <v>PIEDRA 6-12</v>
      </c>
      <c r="M370" s="37">
        <v>24899</v>
      </c>
      <c r="O370" s="34">
        <v>97116</v>
      </c>
      <c r="P370" s="34" t="s">
        <v>155</v>
      </c>
      <c r="Q370" s="35">
        <v>45644</v>
      </c>
      <c r="R370" s="36" t="s">
        <v>40</v>
      </c>
      <c r="S370" s="36" t="str">
        <f>VLOOKUP(Tabla9[[#This Row],[CODIGO DEL PRODUCTO]],Tabla7[],2,FALSE)</f>
        <v>PIEDRA 0-6</v>
      </c>
      <c r="T370" s="37">
        <v>34800</v>
      </c>
    </row>
    <row r="371" spans="7:20" x14ac:dyDescent="0.25">
      <c r="H371" s="34"/>
      <c r="I371" s="34" t="s">
        <v>53</v>
      </c>
      <c r="J371" s="35">
        <v>45688</v>
      </c>
      <c r="K371" s="36" t="s">
        <v>46</v>
      </c>
      <c r="L371" s="39" t="str">
        <f>VLOOKUP(Tabla8[[#This Row],[CODIGO DEL PRODUCTO]],Tabla7[],2,FALSE)</f>
        <v>PIEDRA 10-30</v>
      </c>
      <c r="M371" s="37">
        <v>59245</v>
      </c>
      <c r="O371" s="34">
        <v>97132</v>
      </c>
      <c r="P371" s="34" t="s">
        <v>138</v>
      </c>
      <c r="Q371" s="35">
        <v>45644</v>
      </c>
      <c r="R371" s="36" t="s">
        <v>43</v>
      </c>
      <c r="S371" s="36" t="str">
        <f>VLOOKUP(Tabla9[[#This Row],[CODIGO DEL PRODUCTO]],Tabla7[],2,FALSE)</f>
        <v>PIEDRA 6-20</v>
      </c>
      <c r="T371" s="37">
        <v>35320</v>
      </c>
    </row>
    <row r="372" spans="7:20" x14ac:dyDescent="0.25">
      <c r="H372" s="34"/>
      <c r="I372" s="34" t="s">
        <v>53</v>
      </c>
      <c r="J372" s="35">
        <v>45688</v>
      </c>
      <c r="K372" s="36" t="s">
        <v>43</v>
      </c>
      <c r="L372" s="39" t="str">
        <f>VLOOKUP(Tabla8[[#This Row],[CODIGO DEL PRODUCTO]],Tabla7[],2,FALSE)</f>
        <v>PIEDRA 6-20</v>
      </c>
      <c r="M372" s="37">
        <v>401956</v>
      </c>
      <c r="O372" s="34">
        <v>97137</v>
      </c>
      <c r="P372" s="34" t="s">
        <v>215</v>
      </c>
      <c r="Q372" s="35">
        <v>45644</v>
      </c>
      <c r="R372" s="36" t="s">
        <v>40</v>
      </c>
      <c r="S372" s="36" t="str">
        <f>VLOOKUP(Tabla9[[#This Row],[CODIGO DEL PRODUCTO]],Tabla7[],2,FALSE)</f>
        <v>PIEDRA 0-6</v>
      </c>
      <c r="T372" s="37">
        <v>36160</v>
      </c>
    </row>
    <row r="373" spans="7:20" x14ac:dyDescent="0.25">
      <c r="H373" s="34">
        <v>8274</v>
      </c>
      <c r="I373" s="34" t="s">
        <v>211</v>
      </c>
      <c r="J373" s="35">
        <v>45691</v>
      </c>
      <c r="K373" s="36" t="s">
        <v>43</v>
      </c>
      <c r="L373" s="39" t="str">
        <f>VLOOKUP(Tabla8[[#This Row],[CODIGO DEL PRODUCTO]],Tabla7[],2,FALSE)</f>
        <v>PIEDRA 6-20</v>
      </c>
      <c r="M373" s="37">
        <v>1000</v>
      </c>
      <c r="O373" s="34">
        <v>97138</v>
      </c>
      <c r="P373" s="34" t="s">
        <v>166</v>
      </c>
      <c r="Q373" s="35">
        <v>45644</v>
      </c>
      <c r="R373" s="36" t="s">
        <v>43</v>
      </c>
      <c r="S373" s="36" t="str">
        <f>VLOOKUP(Tabla9[[#This Row],[CODIGO DEL PRODUCTO]],Tabla7[],2,FALSE)</f>
        <v>PIEDRA 6-20</v>
      </c>
      <c r="T373" s="37">
        <v>36140</v>
      </c>
    </row>
    <row r="374" spans="7:20" x14ac:dyDescent="0.25">
      <c r="H374" s="34"/>
      <c r="I374" s="34"/>
      <c r="J374" s="35">
        <v>45691</v>
      </c>
      <c r="K374" s="36" t="s">
        <v>42</v>
      </c>
      <c r="L374" s="39" t="str">
        <f>VLOOKUP(Tabla8[[#This Row],[CODIGO DEL PRODUCTO]],Tabla7[],2,FALSE)</f>
        <v>ARENA FINA</v>
      </c>
      <c r="M374" s="37">
        <v>6000</v>
      </c>
      <c r="O374" s="34">
        <v>97141</v>
      </c>
      <c r="P374" s="34" t="s">
        <v>172</v>
      </c>
      <c r="Q374" s="35">
        <v>45644</v>
      </c>
      <c r="R374" s="36" t="s">
        <v>40</v>
      </c>
      <c r="S374" s="36" t="str">
        <f>VLOOKUP(Tabla9[[#This Row],[CODIGO DEL PRODUCTO]],Tabla7[],2,FALSE)</f>
        <v>PIEDRA 0-6</v>
      </c>
      <c r="T374" s="37">
        <v>36420</v>
      </c>
    </row>
    <row r="375" spans="7:20" x14ac:dyDescent="0.25">
      <c r="H375" s="34">
        <v>8299</v>
      </c>
      <c r="I375" s="34" t="s">
        <v>121</v>
      </c>
      <c r="J375" s="35">
        <v>45694</v>
      </c>
      <c r="K375" s="36" t="s">
        <v>42</v>
      </c>
      <c r="L375" s="39" t="str">
        <f>VLOOKUP(Tabla8[[#This Row],[CODIGO DEL PRODUCTO]],Tabla7[],2,FALSE)</f>
        <v>ARENA FINA</v>
      </c>
      <c r="M375" s="37">
        <v>4000</v>
      </c>
      <c r="O375" s="34">
        <v>97142</v>
      </c>
      <c r="P375" s="34" t="s">
        <v>151</v>
      </c>
      <c r="Q375" s="35">
        <v>45644</v>
      </c>
      <c r="R375" s="36" t="s">
        <v>43</v>
      </c>
      <c r="S375" s="36" t="str">
        <f>VLOOKUP(Tabla9[[#This Row],[CODIGO DEL PRODUCTO]],Tabla7[],2,FALSE)</f>
        <v>PIEDRA 6-20</v>
      </c>
      <c r="T375" s="37">
        <v>35760</v>
      </c>
    </row>
    <row r="376" spans="7:20" x14ac:dyDescent="0.25">
      <c r="H376" s="34">
        <v>8300</v>
      </c>
      <c r="I376" s="34" t="s">
        <v>264</v>
      </c>
      <c r="J376" s="35">
        <v>45694</v>
      </c>
      <c r="K376" s="36" t="s">
        <v>43</v>
      </c>
      <c r="L376" s="39" t="str">
        <f>VLOOKUP(Tabla8[[#This Row],[CODIGO DEL PRODUCTO]],Tabla7[],2,FALSE)</f>
        <v>PIEDRA 6-20</v>
      </c>
      <c r="M376" s="37">
        <v>5000</v>
      </c>
      <c r="O376" s="34">
        <v>97145</v>
      </c>
      <c r="P376" s="34" t="s">
        <v>216</v>
      </c>
      <c r="Q376" s="35">
        <v>45644</v>
      </c>
      <c r="R376" s="36" t="s">
        <v>40</v>
      </c>
      <c r="S376" s="36" t="str">
        <f>VLOOKUP(Tabla9[[#This Row],[CODIGO DEL PRODUCTO]],Tabla7[],2,FALSE)</f>
        <v>PIEDRA 0-6</v>
      </c>
      <c r="T376" s="37">
        <v>34800</v>
      </c>
    </row>
    <row r="377" spans="7:20" x14ac:dyDescent="0.25">
      <c r="G377" t="s">
        <v>124</v>
      </c>
      <c r="H377" s="34">
        <v>8304</v>
      </c>
      <c r="I377" s="34" t="s">
        <v>265</v>
      </c>
      <c r="J377" s="35">
        <v>45694</v>
      </c>
      <c r="K377" s="36" t="s">
        <v>42</v>
      </c>
      <c r="L377" s="39" t="str">
        <f>VLOOKUP(Tabla8[[#This Row],[CODIGO DEL PRODUCTO]],Tabla7[],2,FALSE)</f>
        <v>ARENA FINA</v>
      </c>
      <c r="M377" s="37">
        <v>1000</v>
      </c>
      <c r="O377" s="34">
        <v>97148</v>
      </c>
      <c r="P377" s="34" t="s">
        <v>212</v>
      </c>
      <c r="Q377" s="35">
        <v>45644</v>
      </c>
      <c r="R377" s="36" t="s">
        <v>46</v>
      </c>
      <c r="S377" s="36" t="str">
        <f>VLOOKUP(Tabla9[[#This Row],[CODIGO DEL PRODUCTO]],Tabla7[],2,FALSE)</f>
        <v>PIEDRA 10-30</v>
      </c>
      <c r="T377" s="37">
        <v>35540</v>
      </c>
    </row>
    <row r="378" spans="7:20" x14ac:dyDescent="0.25">
      <c r="H378" s="34"/>
      <c r="I378" s="34"/>
      <c r="J378" s="35">
        <v>45694</v>
      </c>
      <c r="K378" s="36" t="s">
        <v>43</v>
      </c>
      <c r="L378" s="39" t="str">
        <f>VLOOKUP(Tabla8[[#This Row],[CODIGO DEL PRODUCTO]],Tabla7[],2,FALSE)</f>
        <v>PIEDRA 6-20</v>
      </c>
      <c r="M378" s="37">
        <v>1000</v>
      </c>
      <c r="O378" s="34">
        <v>2598178</v>
      </c>
      <c r="P378" s="34" t="s">
        <v>65</v>
      </c>
      <c r="Q378" s="35">
        <v>45644</v>
      </c>
      <c r="R378" s="36" t="s">
        <v>45</v>
      </c>
      <c r="S378" s="36" t="str">
        <f>VLOOKUP(Tabla9[[#This Row],[CODIGO DEL PRODUCTO]],Tabla7[],2,FALSE)</f>
        <v>CPF 40 AVELLANEDA</v>
      </c>
      <c r="T378" s="37">
        <v>32340</v>
      </c>
    </row>
    <row r="379" spans="7:20" x14ac:dyDescent="0.25">
      <c r="H379" s="34">
        <v>8322</v>
      </c>
      <c r="I379" s="34" t="s">
        <v>203</v>
      </c>
      <c r="J379" s="35">
        <v>45698</v>
      </c>
      <c r="K379" s="36" t="s">
        <v>43</v>
      </c>
      <c r="L379" s="39" t="str">
        <f>VLOOKUP(Tabla8[[#This Row],[CODIGO DEL PRODUCTO]],Tabla7[],2,FALSE)</f>
        <v>PIEDRA 6-20</v>
      </c>
      <c r="M379" s="37">
        <v>3000</v>
      </c>
      <c r="O379" s="34">
        <v>97169</v>
      </c>
      <c r="P379" s="34" t="s">
        <v>138</v>
      </c>
      <c r="Q379" s="35">
        <v>45645</v>
      </c>
      <c r="R379" s="36" t="s">
        <v>43</v>
      </c>
      <c r="S379" s="36" t="str">
        <f>VLOOKUP(Tabla9[[#This Row],[CODIGO DEL PRODUCTO]],Tabla7[],2,FALSE)</f>
        <v>PIEDRA 6-20</v>
      </c>
      <c r="T379" s="37">
        <v>34720</v>
      </c>
    </row>
    <row r="380" spans="7:20" x14ac:dyDescent="0.25">
      <c r="H380" s="34">
        <v>8323</v>
      </c>
      <c r="I380" s="34" t="s">
        <v>184</v>
      </c>
      <c r="J380" s="35">
        <v>45698</v>
      </c>
      <c r="K380" s="36" t="s">
        <v>42</v>
      </c>
      <c r="L380" s="39" t="str">
        <f>VLOOKUP(Tabla8[[#This Row],[CODIGO DEL PRODUCTO]],Tabla7[],2,FALSE)</f>
        <v>ARENA FINA</v>
      </c>
      <c r="M380" s="37">
        <v>2000</v>
      </c>
      <c r="O380" s="34">
        <v>97176</v>
      </c>
      <c r="P380" s="34" t="s">
        <v>166</v>
      </c>
      <c r="Q380" s="35">
        <v>45645</v>
      </c>
      <c r="R380" s="36" t="s">
        <v>43</v>
      </c>
      <c r="S380" s="36" t="str">
        <f>VLOOKUP(Tabla9[[#This Row],[CODIGO DEL PRODUCTO]],Tabla7[],2,FALSE)</f>
        <v>PIEDRA 6-20</v>
      </c>
      <c r="T380" s="37">
        <v>35340</v>
      </c>
    </row>
    <row r="381" spans="7:20" x14ac:dyDescent="0.25">
      <c r="H381" s="34"/>
      <c r="I381" s="34"/>
      <c r="J381" s="35">
        <v>45698</v>
      </c>
      <c r="K381" s="36" t="s">
        <v>43</v>
      </c>
      <c r="L381" s="39" t="str">
        <f>VLOOKUP(Tabla8[[#This Row],[CODIGO DEL PRODUCTO]],Tabla7[],2,FALSE)</f>
        <v>PIEDRA 6-20</v>
      </c>
      <c r="M381" s="37">
        <v>2000</v>
      </c>
      <c r="O381" s="34">
        <v>97178</v>
      </c>
      <c r="P381" s="34" t="s">
        <v>197</v>
      </c>
      <c r="Q381" s="35">
        <v>45645</v>
      </c>
      <c r="R381" s="36" t="s">
        <v>40</v>
      </c>
      <c r="S381" s="36" t="str">
        <f>VLOOKUP(Tabla9[[#This Row],[CODIGO DEL PRODUCTO]],Tabla7[],2,FALSE)</f>
        <v>PIEDRA 0-6</v>
      </c>
      <c r="T381" s="37">
        <v>35280</v>
      </c>
    </row>
    <row r="382" spans="7:20" x14ac:dyDescent="0.25">
      <c r="H382" s="34">
        <v>8343</v>
      </c>
      <c r="I382" s="34" t="s">
        <v>202</v>
      </c>
      <c r="J382" s="35">
        <v>45698</v>
      </c>
      <c r="K382" s="36" t="s">
        <v>42</v>
      </c>
      <c r="L382" s="39" t="str">
        <f>VLOOKUP(Tabla8[[#This Row],[CODIGO DEL PRODUCTO]],Tabla7[],2,FALSE)</f>
        <v>ARENA FINA</v>
      </c>
      <c r="M382" s="37">
        <v>3000</v>
      </c>
      <c r="O382" s="34">
        <v>97181</v>
      </c>
      <c r="P382" s="34" t="s">
        <v>151</v>
      </c>
      <c r="Q382" s="35">
        <v>45645</v>
      </c>
      <c r="R382" s="36" t="s">
        <v>43</v>
      </c>
      <c r="S382" s="36" t="str">
        <f>VLOOKUP(Tabla9[[#This Row],[CODIGO DEL PRODUCTO]],Tabla7[],2,FALSE)</f>
        <v>PIEDRA 6-20</v>
      </c>
      <c r="T382" s="37">
        <v>35580</v>
      </c>
    </row>
    <row r="383" spans="7:20" x14ac:dyDescent="0.25">
      <c r="H383" s="34">
        <v>8357</v>
      </c>
      <c r="I383" s="34" t="s">
        <v>202</v>
      </c>
      <c r="J383" s="35">
        <v>45701</v>
      </c>
      <c r="K383" s="36" t="s">
        <v>42</v>
      </c>
      <c r="L383" s="39" t="str">
        <f>VLOOKUP(Tabla8[[#This Row],[CODIGO DEL PRODUCTO]],Tabla7[],2,FALSE)</f>
        <v>ARENA FINA</v>
      </c>
      <c r="M383" s="37">
        <v>16000</v>
      </c>
      <c r="O383" s="34">
        <v>97191</v>
      </c>
      <c r="P383" s="34" t="s">
        <v>173</v>
      </c>
      <c r="Q383" s="35">
        <v>45645</v>
      </c>
      <c r="R383" s="36" t="s">
        <v>40</v>
      </c>
      <c r="S383" s="36" t="str">
        <f>VLOOKUP(Tabla9[[#This Row],[CODIGO DEL PRODUCTO]],Tabla7[],2,FALSE)</f>
        <v>PIEDRA 0-6</v>
      </c>
      <c r="T383" s="37">
        <v>8280</v>
      </c>
    </row>
    <row r="384" spans="7:20" x14ac:dyDescent="0.25">
      <c r="H384" s="34">
        <v>9</v>
      </c>
      <c r="I384" s="34" t="s">
        <v>202</v>
      </c>
      <c r="J384" s="35">
        <v>45702</v>
      </c>
      <c r="K384" s="36" t="s">
        <v>43</v>
      </c>
      <c r="L384" s="39" t="str">
        <f>VLOOKUP(Tabla8[[#This Row],[CODIGO DEL PRODUCTO]],Tabla7[],2,FALSE)</f>
        <v>PIEDRA 6-20</v>
      </c>
      <c r="M384" s="37">
        <v>1000</v>
      </c>
      <c r="O384" s="34">
        <v>97192</v>
      </c>
      <c r="P384" s="34" t="s">
        <v>217</v>
      </c>
      <c r="Q384" s="35">
        <v>45645</v>
      </c>
      <c r="R384" s="36" t="s">
        <v>46</v>
      </c>
      <c r="S384" s="36" t="str">
        <f>VLOOKUP(Tabla9[[#This Row],[CODIGO DEL PRODUCTO]],Tabla7[],2,FALSE)</f>
        <v>PIEDRA 10-30</v>
      </c>
      <c r="T384" s="37">
        <v>26580</v>
      </c>
    </row>
    <row r="385" spans="8:20" x14ac:dyDescent="0.25">
      <c r="H385" s="34">
        <v>8380</v>
      </c>
      <c r="I385" s="34" t="s">
        <v>202</v>
      </c>
      <c r="J385" s="35">
        <v>45705</v>
      </c>
      <c r="K385" s="36" t="s">
        <v>42</v>
      </c>
      <c r="L385" s="39" t="str">
        <f>VLOOKUP(Tabla8[[#This Row],[CODIGO DEL PRODUCTO]],Tabla7[],2,FALSE)</f>
        <v>ARENA FINA</v>
      </c>
      <c r="M385" s="37">
        <v>8000</v>
      </c>
      <c r="O385" s="34">
        <v>2598389</v>
      </c>
      <c r="P385" s="34" t="s">
        <v>140</v>
      </c>
      <c r="Q385" s="35">
        <v>45645</v>
      </c>
      <c r="R385" s="36" t="s">
        <v>45</v>
      </c>
      <c r="S385" s="36" t="str">
        <f>VLOOKUP(Tabla9[[#This Row],[CODIGO DEL PRODUCTO]],Tabla7[],2,FALSE)</f>
        <v>CPF 40 AVELLANEDA</v>
      </c>
      <c r="T385" s="37">
        <v>28420</v>
      </c>
    </row>
    <row r="386" spans="8:20" x14ac:dyDescent="0.25">
      <c r="H386" s="34">
        <v>8393</v>
      </c>
      <c r="I386" s="34" t="s">
        <v>273</v>
      </c>
      <c r="J386" s="35">
        <v>45705</v>
      </c>
      <c r="K386" s="36" t="s">
        <v>42</v>
      </c>
      <c r="L386" s="39" t="str">
        <f>VLOOKUP(Tabla8[[#This Row],[CODIGO DEL PRODUCTO]],Tabla7[],2,FALSE)</f>
        <v>ARENA FINA</v>
      </c>
      <c r="M386" s="37">
        <v>6000</v>
      </c>
      <c r="O386" s="34">
        <v>2598512</v>
      </c>
      <c r="P386" s="34" t="s">
        <v>65</v>
      </c>
      <c r="Q386" s="35">
        <v>45645</v>
      </c>
      <c r="R386" s="36" t="s">
        <v>45</v>
      </c>
      <c r="S386" s="36" t="str">
        <f>VLOOKUP(Tabla9[[#This Row],[CODIGO DEL PRODUCTO]],Tabla7[],2,FALSE)</f>
        <v>CPF 40 AVELLANEDA</v>
      </c>
      <c r="T386" s="37">
        <v>32300</v>
      </c>
    </row>
    <row r="387" spans="8:20" x14ac:dyDescent="0.25">
      <c r="H387" s="34">
        <v>8399</v>
      </c>
      <c r="I387" s="34" t="s">
        <v>273</v>
      </c>
      <c r="J387" s="35">
        <v>45705</v>
      </c>
      <c r="K387" s="36" t="s">
        <v>43</v>
      </c>
      <c r="L387" s="39" t="str">
        <f>VLOOKUP(Tabla8[[#This Row],[CODIGO DEL PRODUCTO]],Tabla7[],2,FALSE)</f>
        <v>PIEDRA 6-20</v>
      </c>
      <c r="M387" s="37">
        <v>1000</v>
      </c>
      <c r="O387" s="34">
        <v>99231</v>
      </c>
      <c r="P387" s="34" t="s">
        <v>191</v>
      </c>
      <c r="Q387" s="35">
        <v>45646</v>
      </c>
      <c r="R387" s="36" t="s">
        <v>42</v>
      </c>
      <c r="S387" s="36" t="str">
        <f>VLOOKUP(Tabla9[[#This Row],[CODIGO DEL PRODUCTO]],Tabla7[],2,FALSE)</f>
        <v>ARENA FINA</v>
      </c>
      <c r="T387" s="37">
        <v>39900</v>
      </c>
    </row>
    <row r="388" spans="8:20" x14ac:dyDescent="0.25">
      <c r="H388" s="34">
        <v>8408</v>
      </c>
      <c r="I388" s="34" t="s">
        <v>202</v>
      </c>
      <c r="J388" s="35">
        <v>45706</v>
      </c>
      <c r="K388" s="36" t="s">
        <v>42</v>
      </c>
      <c r="L388" s="39" t="str">
        <f>VLOOKUP(Tabla8[[#This Row],[CODIGO DEL PRODUCTO]],Tabla7[],2,FALSE)</f>
        <v>ARENA FINA</v>
      </c>
      <c r="M388" s="37">
        <v>3000</v>
      </c>
      <c r="O388" s="34">
        <v>97205</v>
      </c>
      <c r="P388" s="34" t="s">
        <v>218</v>
      </c>
      <c r="Q388" s="35">
        <v>45646</v>
      </c>
      <c r="R388" s="36" t="s">
        <v>43</v>
      </c>
      <c r="S388" s="36" t="str">
        <f>VLOOKUP(Tabla9[[#This Row],[CODIGO DEL PRODUCTO]],Tabla7[],2,FALSE)</f>
        <v>PIEDRA 6-20</v>
      </c>
      <c r="T388" s="37">
        <v>36540</v>
      </c>
    </row>
    <row r="389" spans="8:20" x14ac:dyDescent="0.25">
      <c r="H389" s="34">
        <v>8416</v>
      </c>
      <c r="I389" s="34" t="s">
        <v>274</v>
      </c>
      <c r="J389" s="35">
        <v>45706</v>
      </c>
      <c r="K389" s="36" t="s">
        <v>43</v>
      </c>
      <c r="L389" s="39" t="str">
        <f>VLOOKUP(Tabla8[[#This Row],[CODIGO DEL PRODUCTO]],Tabla7[],2,FALSE)</f>
        <v>PIEDRA 6-20</v>
      </c>
      <c r="M389" s="37">
        <v>4000</v>
      </c>
      <c r="O389" s="34">
        <v>97206</v>
      </c>
      <c r="P389" s="34" t="s">
        <v>155</v>
      </c>
      <c r="Q389" s="35">
        <v>45646</v>
      </c>
      <c r="R389" s="36" t="s">
        <v>40</v>
      </c>
      <c r="S389" s="36" t="str">
        <f>VLOOKUP(Tabla9[[#This Row],[CODIGO DEL PRODUCTO]],Tabla7[],2,FALSE)</f>
        <v>PIEDRA 0-6</v>
      </c>
      <c r="T389" s="37">
        <v>35020</v>
      </c>
    </row>
    <row r="390" spans="8:20" x14ac:dyDescent="0.25">
      <c r="H390" s="34">
        <v>8425</v>
      </c>
      <c r="I390" s="34" t="s">
        <v>203</v>
      </c>
      <c r="J390" s="35">
        <v>45706</v>
      </c>
      <c r="K390" s="36" t="s">
        <v>42</v>
      </c>
      <c r="L390" s="39" t="str">
        <f>VLOOKUP(Tabla8[[#This Row],[CODIGO DEL PRODUCTO]],Tabla7[],2,FALSE)</f>
        <v>ARENA FINA</v>
      </c>
      <c r="M390" s="37">
        <v>4000</v>
      </c>
      <c r="O390" s="34">
        <v>97220</v>
      </c>
      <c r="P390" s="34" t="s">
        <v>151</v>
      </c>
      <c r="Q390" s="35">
        <v>45646</v>
      </c>
      <c r="R390" s="36" t="s">
        <v>43</v>
      </c>
      <c r="S390" s="36" t="str">
        <f>VLOOKUP(Tabla9[[#This Row],[CODIGO DEL PRODUCTO]],Tabla7[],2,FALSE)</f>
        <v>PIEDRA 6-20</v>
      </c>
      <c r="T390" s="37">
        <v>35700</v>
      </c>
    </row>
    <row r="391" spans="8:20" x14ac:dyDescent="0.25">
      <c r="H391" s="34">
        <v>8363</v>
      </c>
      <c r="I391" s="34" t="s">
        <v>275</v>
      </c>
      <c r="J391" s="35">
        <v>45702</v>
      </c>
      <c r="K391" s="36" t="s">
        <v>43</v>
      </c>
      <c r="L391" s="39" t="str">
        <f>VLOOKUP(Tabla8[[#This Row],[CODIGO DEL PRODUCTO]],Tabla7[],2,FALSE)</f>
        <v>PIEDRA 6-20</v>
      </c>
      <c r="M391" s="37">
        <v>3000</v>
      </c>
      <c r="O391" s="34">
        <v>97231</v>
      </c>
      <c r="P391" s="34" t="s">
        <v>166</v>
      </c>
      <c r="Q391" s="35">
        <v>45646</v>
      </c>
      <c r="R391" s="36" t="s">
        <v>43</v>
      </c>
      <c r="S391" s="36" t="str">
        <f>VLOOKUP(Tabla9[[#This Row],[CODIGO DEL PRODUCTO]],Tabla7[],2,FALSE)</f>
        <v>PIEDRA 6-20</v>
      </c>
      <c r="T391" s="37">
        <v>35960</v>
      </c>
    </row>
    <row r="392" spans="8:20" x14ac:dyDescent="0.25">
      <c r="H392" s="34">
        <v>8437</v>
      </c>
      <c r="I392" s="34" t="s">
        <v>276</v>
      </c>
      <c r="J392" s="35">
        <v>45708</v>
      </c>
      <c r="K392" s="36" t="s">
        <v>42</v>
      </c>
      <c r="L392" s="39" t="str">
        <f>VLOOKUP(Tabla8[[#This Row],[CODIGO DEL PRODUCTO]],Tabla7[],2,FALSE)</f>
        <v>ARENA FINA</v>
      </c>
      <c r="M392" s="37">
        <v>4000</v>
      </c>
      <c r="O392" s="34">
        <v>2598863</v>
      </c>
      <c r="P392" s="34" t="s">
        <v>65</v>
      </c>
      <c r="Q392" s="35">
        <v>45646</v>
      </c>
      <c r="R392" s="36" t="s">
        <v>45</v>
      </c>
      <c r="S392" s="36" t="str">
        <f>VLOOKUP(Tabla9[[#This Row],[CODIGO DEL PRODUCTO]],Tabla7[],2,FALSE)</f>
        <v>CPF 40 AVELLANEDA</v>
      </c>
      <c r="T392" s="37">
        <v>32400</v>
      </c>
    </row>
    <row r="393" spans="8:20" x14ac:dyDescent="0.25">
      <c r="H393" s="34">
        <v>8454</v>
      </c>
      <c r="I393" s="34" t="s">
        <v>210</v>
      </c>
      <c r="J393" s="35">
        <v>45708</v>
      </c>
      <c r="K393" s="36" t="s">
        <v>42</v>
      </c>
      <c r="L393" s="39" t="str">
        <f>VLOOKUP(Tabla8[[#This Row],[CODIGO DEL PRODUCTO]],Tabla7[],2,FALSE)</f>
        <v>ARENA FINA</v>
      </c>
      <c r="M393" s="37">
        <v>3000</v>
      </c>
      <c r="O393" s="34">
        <v>2599018</v>
      </c>
      <c r="P393" s="34" t="s">
        <v>65</v>
      </c>
      <c r="Q393" s="35">
        <v>45647</v>
      </c>
      <c r="R393" s="36" t="s">
        <v>45</v>
      </c>
      <c r="S393" s="36" t="str">
        <f>VLOOKUP(Tabla9[[#This Row],[CODIGO DEL PRODUCTO]],Tabla7[],2,FALSE)</f>
        <v>CPF 40 AVELLANEDA</v>
      </c>
      <c r="T393" s="37">
        <v>32560</v>
      </c>
    </row>
    <row r="394" spans="8:20" x14ac:dyDescent="0.25">
      <c r="H394" s="34">
        <v>8456</v>
      </c>
      <c r="I394" s="34" t="s">
        <v>203</v>
      </c>
      <c r="J394" s="35">
        <v>45708</v>
      </c>
      <c r="K394" s="36" t="s">
        <v>42</v>
      </c>
      <c r="L394" s="39" t="str">
        <f>VLOOKUP(Tabla8[[#This Row],[CODIGO DEL PRODUCTO]],Tabla7[],2,FALSE)</f>
        <v>ARENA FINA</v>
      </c>
      <c r="M394" s="37">
        <v>7000</v>
      </c>
      <c r="O394" s="34">
        <v>2599212</v>
      </c>
      <c r="P394" s="34" t="s">
        <v>219</v>
      </c>
      <c r="Q394" s="35">
        <v>45647</v>
      </c>
      <c r="R394" s="36" t="s">
        <v>45</v>
      </c>
      <c r="S394" s="36" t="str">
        <f>VLOOKUP(Tabla9[[#This Row],[CODIGO DEL PRODUCTO]],Tabla7[],2,FALSE)</f>
        <v>CPF 40 AVELLANEDA</v>
      </c>
      <c r="T394" s="37">
        <v>34980</v>
      </c>
    </row>
    <row r="395" spans="8:20" x14ac:dyDescent="0.25">
      <c r="H395" s="34">
        <v>8461</v>
      </c>
      <c r="I395" s="34" t="s">
        <v>210</v>
      </c>
      <c r="J395" s="35">
        <v>45708</v>
      </c>
      <c r="K395" s="36" t="s">
        <v>42</v>
      </c>
      <c r="L395" s="39" t="str">
        <f>VLOOKUP(Tabla8[[#This Row],[CODIGO DEL PRODUCTO]],Tabla7[],2,FALSE)</f>
        <v>ARENA FINA</v>
      </c>
      <c r="M395" s="37">
        <v>4000</v>
      </c>
      <c r="O395" s="34">
        <v>35792</v>
      </c>
      <c r="P395" s="34" t="s">
        <v>61</v>
      </c>
      <c r="Q395" s="35">
        <v>45649</v>
      </c>
      <c r="R395" s="36" t="s">
        <v>50</v>
      </c>
      <c r="S395" s="36" t="str">
        <f>VLOOKUP(Tabla9[[#This Row],[CODIGO DEL PRODUCTO]],Tabla7[],2,FALSE)</f>
        <v>MIRA SET 453 (ADITIVO)</v>
      </c>
      <c r="T395" s="37">
        <v>2160</v>
      </c>
    </row>
    <row r="396" spans="8:20" x14ac:dyDescent="0.25">
      <c r="H396" s="34">
        <v>8470</v>
      </c>
      <c r="I396" s="34" t="s">
        <v>210</v>
      </c>
      <c r="J396" s="35">
        <v>45708</v>
      </c>
      <c r="K396" s="36" t="s">
        <v>42</v>
      </c>
      <c r="L396" s="39" t="str">
        <f>VLOOKUP(Tabla8[[#This Row],[CODIGO DEL PRODUCTO]],Tabla7[],2,FALSE)</f>
        <v>ARENA FINA</v>
      </c>
      <c r="M396" s="37">
        <v>3000</v>
      </c>
      <c r="O396" s="34">
        <v>2599351</v>
      </c>
      <c r="P396" s="34" t="s">
        <v>65</v>
      </c>
      <c r="Q396" s="35">
        <v>45649</v>
      </c>
      <c r="R396" s="36" t="s">
        <v>45</v>
      </c>
      <c r="S396" s="36" t="str">
        <f>VLOOKUP(Tabla9[[#This Row],[CODIGO DEL PRODUCTO]],Tabla7[],2,FALSE)</f>
        <v>CPF 40 AVELLANEDA</v>
      </c>
      <c r="T396" s="37">
        <v>32300</v>
      </c>
    </row>
    <row r="397" spans="8:20" x14ac:dyDescent="0.25">
      <c r="H397" s="34">
        <v>8491</v>
      </c>
      <c r="I397" s="34" t="s">
        <v>277</v>
      </c>
      <c r="J397" s="35">
        <v>45709</v>
      </c>
      <c r="K397" s="36" t="s">
        <v>42</v>
      </c>
      <c r="L397" s="39" t="str">
        <f>VLOOKUP(Tabla8[[#This Row],[CODIGO DEL PRODUCTO]],Tabla7[],2,FALSE)</f>
        <v>ARENA FINA</v>
      </c>
      <c r="M397" s="37">
        <v>23100</v>
      </c>
      <c r="O397" s="34">
        <v>2599571</v>
      </c>
      <c r="P397" s="34" t="s">
        <v>65</v>
      </c>
      <c r="Q397" s="35">
        <v>45650</v>
      </c>
      <c r="R397" s="36" t="s">
        <v>45</v>
      </c>
      <c r="S397" s="36" t="str">
        <f>VLOOKUP(Tabla9[[#This Row],[CODIGO DEL PRODUCTO]],Tabla7[],2,FALSE)</f>
        <v>CPF 40 AVELLANEDA</v>
      </c>
      <c r="T397" s="37">
        <v>32420</v>
      </c>
    </row>
    <row r="398" spans="8:20" x14ac:dyDescent="0.25">
      <c r="H398" s="34">
        <v>8492</v>
      </c>
      <c r="I398" s="34" t="s">
        <v>278</v>
      </c>
      <c r="J398" s="35">
        <v>45709</v>
      </c>
      <c r="K398" s="36" t="s">
        <v>42</v>
      </c>
      <c r="L398" s="39" t="str">
        <f>VLOOKUP(Tabla8[[#This Row],[CODIGO DEL PRODUCTO]],Tabla7[],2,FALSE)</f>
        <v>ARENA FINA</v>
      </c>
      <c r="M398" s="37">
        <v>4000</v>
      </c>
      <c r="O398" s="34"/>
      <c r="P398" s="34" t="s">
        <v>61</v>
      </c>
      <c r="Q398" s="35">
        <v>45649</v>
      </c>
      <c r="R398" s="36" t="s">
        <v>227</v>
      </c>
      <c r="S398" s="36" t="str">
        <f>VLOOKUP(Tabla9[[#This Row],[CODIGO DEL PRODUCTO]],Tabla7[],2,FALSE)</f>
        <v>DARAFILL 200 (ADITIVO)</v>
      </c>
      <c r="T398" s="37">
        <v>200</v>
      </c>
    </row>
    <row r="399" spans="8:20" x14ac:dyDescent="0.25">
      <c r="H399" s="34">
        <v>8505</v>
      </c>
      <c r="I399" s="34" t="s">
        <v>277</v>
      </c>
      <c r="J399" s="35">
        <v>45709</v>
      </c>
      <c r="K399" s="36" t="s">
        <v>43</v>
      </c>
      <c r="L399" s="39" t="str">
        <f>VLOOKUP(Tabla8[[#This Row],[CODIGO DEL PRODUCTO]],Tabla7[],2,FALSE)</f>
        <v>PIEDRA 6-20</v>
      </c>
      <c r="M399" s="37">
        <v>23100</v>
      </c>
      <c r="O399" s="34"/>
      <c r="P399" s="34" t="s">
        <v>61</v>
      </c>
      <c r="Q399" s="35">
        <v>45649</v>
      </c>
      <c r="R399" s="36" t="s">
        <v>228</v>
      </c>
      <c r="S399" s="36" t="str">
        <f>VLOOKUP(Tabla9[[#This Row],[CODIGO DEL PRODUCTO]],Tabla7[],2,FALSE)</f>
        <v>DARACEM 600 (ADITIVO</v>
      </c>
      <c r="T399" s="37">
        <v>220</v>
      </c>
    </row>
    <row r="400" spans="8:20" x14ac:dyDescent="0.25">
      <c r="H400" s="34"/>
      <c r="I400" s="34" t="s">
        <v>53</v>
      </c>
      <c r="J400" s="35">
        <v>45689</v>
      </c>
      <c r="K400" s="36" t="s">
        <v>42</v>
      </c>
      <c r="L400" s="39" t="str">
        <f>VLOOKUP(Tabla8[[#This Row],[CODIGO DEL PRODUCTO]],Tabla7[],2,FALSE)</f>
        <v>ARENA FINA</v>
      </c>
      <c r="M400" s="37">
        <v>126953</v>
      </c>
      <c r="O400" s="34">
        <v>2599614</v>
      </c>
      <c r="P400" s="34" t="s">
        <v>65</v>
      </c>
      <c r="Q400" s="35">
        <v>45652</v>
      </c>
      <c r="R400" s="36" t="s">
        <v>45</v>
      </c>
      <c r="S400" s="36" t="str">
        <f>VLOOKUP(Tabla9[[#This Row],[CODIGO DEL PRODUCTO]],Tabla7[],2,FALSE)</f>
        <v>CPF 40 AVELLANEDA</v>
      </c>
      <c r="T400" s="37">
        <v>32300</v>
      </c>
    </row>
    <row r="401" spans="8:20" x14ac:dyDescent="0.25">
      <c r="H401" s="34"/>
      <c r="I401" s="34" t="s">
        <v>53</v>
      </c>
      <c r="J401" s="35">
        <v>45690</v>
      </c>
      <c r="K401" s="36" t="s">
        <v>40</v>
      </c>
      <c r="L401" s="39" t="str">
        <f>VLOOKUP(Tabla8[[#This Row],[CODIGO DEL PRODUCTO]],Tabla7[],2,FALSE)</f>
        <v>PIEDRA 0-6</v>
      </c>
      <c r="M401" s="37">
        <v>89575</v>
      </c>
      <c r="O401" s="34">
        <v>2599833</v>
      </c>
      <c r="P401" s="34" t="s">
        <v>65</v>
      </c>
      <c r="Q401" s="35">
        <v>45653</v>
      </c>
      <c r="R401" s="36" t="s">
        <v>45</v>
      </c>
      <c r="S401" s="36" t="str">
        <f>VLOOKUP(Tabla9[[#This Row],[CODIGO DEL PRODUCTO]],Tabla7[],2,FALSE)</f>
        <v>CPF 40 AVELLANEDA</v>
      </c>
      <c r="T401" s="37">
        <v>32220</v>
      </c>
    </row>
    <row r="402" spans="8:20" x14ac:dyDescent="0.25">
      <c r="H402" s="34"/>
      <c r="I402" s="34" t="s">
        <v>53</v>
      </c>
      <c r="J402" s="35">
        <v>45691</v>
      </c>
      <c r="K402" s="36" t="s">
        <v>24</v>
      </c>
      <c r="L402" s="39" t="str">
        <f>VLOOKUP(Tabla8[[#This Row],[CODIGO DEL PRODUCTO]],Tabla7[],2,FALSE)</f>
        <v>ARS</v>
      </c>
      <c r="M402" s="37">
        <v>5230</v>
      </c>
      <c r="O402" s="34">
        <v>2599920</v>
      </c>
      <c r="P402" s="34" t="s">
        <v>65</v>
      </c>
      <c r="Q402" s="35">
        <v>45655</v>
      </c>
      <c r="R402" s="36" t="s">
        <v>45</v>
      </c>
      <c r="S402" s="36" t="str">
        <f>VLOOKUP(Tabla9[[#This Row],[CODIGO DEL PRODUCTO]],Tabla7[],2,FALSE)</f>
        <v>CPF 40 AVELLANEDA</v>
      </c>
      <c r="T402" s="37">
        <v>32320</v>
      </c>
    </row>
    <row r="403" spans="8:20" x14ac:dyDescent="0.25">
      <c r="H403" s="34"/>
      <c r="I403" s="34" t="s">
        <v>53</v>
      </c>
      <c r="J403" s="35">
        <v>45692</v>
      </c>
      <c r="K403" s="36" t="s">
        <v>45</v>
      </c>
      <c r="L403" s="39" t="str">
        <f>VLOOKUP(Tabla8[[#This Row],[CODIGO DEL PRODUCTO]],Tabla7[],2,FALSE)</f>
        <v>CPF 40 AVELLANEDA</v>
      </c>
      <c r="M403" s="37">
        <v>65028</v>
      </c>
      <c r="O403" s="34">
        <v>129856</v>
      </c>
      <c r="P403" s="34" t="s">
        <v>231</v>
      </c>
      <c r="Q403" s="35">
        <v>45656</v>
      </c>
      <c r="R403" s="36" t="s">
        <v>40</v>
      </c>
      <c r="S403" s="36" t="str">
        <f>VLOOKUP(Tabla9[[#This Row],[CODIGO DEL PRODUCTO]],Tabla7[],2,FALSE)</f>
        <v>PIEDRA 0-6</v>
      </c>
      <c r="T403" s="37">
        <v>34740</v>
      </c>
    </row>
    <row r="404" spans="8:20" x14ac:dyDescent="0.25">
      <c r="H404" s="34"/>
      <c r="I404" s="34" t="s">
        <v>53</v>
      </c>
      <c r="J404" s="35">
        <v>45693</v>
      </c>
      <c r="K404" s="36" t="s">
        <v>50</v>
      </c>
      <c r="L404" s="39" t="str">
        <f>VLOOKUP(Tabla8[[#This Row],[CODIGO DEL PRODUCTO]],Tabla7[],2,FALSE)</f>
        <v>MIRA SET 453 (ADITIVO)</v>
      </c>
      <c r="M404" s="37">
        <v>451.07</v>
      </c>
      <c r="O404" s="34">
        <v>2600152</v>
      </c>
      <c r="P404" s="34" t="s">
        <v>65</v>
      </c>
      <c r="Q404" s="35">
        <v>45656</v>
      </c>
      <c r="R404" s="36" t="s">
        <v>45</v>
      </c>
      <c r="S404" s="36" t="str">
        <f>VLOOKUP(Tabla9[[#This Row],[CODIGO DEL PRODUCTO]],Tabla7[],2,FALSE)</f>
        <v>CPF 40 AVELLANEDA</v>
      </c>
      <c r="T404" s="37">
        <v>32680</v>
      </c>
    </row>
    <row r="405" spans="8:20" x14ac:dyDescent="0.25">
      <c r="H405" s="34"/>
      <c r="I405" s="34" t="s">
        <v>53</v>
      </c>
      <c r="J405" s="35">
        <v>45694</v>
      </c>
      <c r="K405" s="36" t="s">
        <v>48</v>
      </c>
      <c r="L405" s="39" t="str">
        <f>VLOOKUP(Tabla8[[#This Row],[CODIGO DEL PRODUCTO]],Tabla7[],2,FALSE)</f>
        <v>PIEDRA 6-12</v>
      </c>
      <c r="M405" s="37">
        <v>92933</v>
      </c>
      <c r="O405" s="34">
        <v>2600319</v>
      </c>
      <c r="P405" s="34" t="s">
        <v>65</v>
      </c>
      <c r="Q405" s="35">
        <v>45659</v>
      </c>
      <c r="R405" s="36" t="s">
        <v>45</v>
      </c>
      <c r="S405" s="36" t="str">
        <f>VLOOKUP(Tabla9[[#This Row],[CODIGO DEL PRODUCTO]],Tabla7[],2,FALSE)</f>
        <v>CPF 40 AVELLANEDA</v>
      </c>
      <c r="T405" s="37">
        <v>32660</v>
      </c>
    </row>
    <row r="406" spans="8:20" x14ac:dyDescent="0.25">
      <c r="H406" s="34"/>
      <c r="I406" s="34" t="s">
        <v>53</v>
      </c>
      <c r="J406" s="35">
        <v>45696</v>
      </c>
      <c r="K406" s="36" t="s">
        <v>43</v>
      </c>
      <c r="L406" s="39" t="str">
        <f>VLOOKUP(Tabla8[[#This Row],[CODIGO DEL PRODUCTO]],Tabla7[],2,FALSE)</f>
        <v>PIEDRA 6-20</v>
      </c>
      <c r="M406" s="37">
        <v>77322</v>
      </c>
      <c r="O406" s="34">
        <v>2600393</v>
      </c>
      <c r="P406" s="34" t="s">
        <v>65</v>
      </c>
      <c r="Q406" s="35">
        <v>45660</v>
      </c>
      <c r="R406" s="36" t="s">
        <v>45</v>
      </c>
      <c r="S406" s="36" t="str">
        <f>VLOOKUP(Tabla9[[#This Row],[CODIGO DEL PRODUCTO]],Tabla7[],2,FALSE)</f>
        <v>CPF 40 AVELLANEDA</v>
      </c>
      <c r="T406" s="37">
        <v>32740</v>
      </c>
    </row>
    <row r="407" spans="8:20" x14ac:dyDescent="0.25">
      <c r="H407" s="34"/>
      <c r="I407" s="34" t="s">
        <v>53</v>
      </c>
      <c r="J407" s="35">
        <v>45698</v>
      </c>
      <c r="K407" s="36" t="s">
        <v>42</v>
      </c>
      <c r="L407" s="39" t="str">
        <f>VLOOKUP(Tabla8[[#This Row],[CODIGO DEL PRODUCTO]],Tabla7[],2,FALSE)</f>
        <v>ARENA FINA</v>
      </c>
      <c r="M407" s="37">
        <v>99781</v>
      </c>
      <c r="O407" s="34">
        <v>99301</v>
      </c>
      <c r="P407" s="34" t="s">
        <v>191</v>
      </c>
      <c r="Q407" s="35">
        <v>45663</v>
      </c>
      <c r="R407" s="36" t="s">
        <v>42</v>
      </c>
      <c r="S407" s="36" t="str">
        <f>VLOOKUP(Tabla9[[#This Row],[CODIGO DEL PRODUCTO]],Tabla7[],2,FALSE)</f>
        <v>ARENA FINA</v>
      </c>
      <c r="T407" s="37">
        <v>38040</v>
      </c>
    </row>
    <row r="408" spans="8:20" x14ac:dyDescent="0.25">
      <c r="H408" s="34"/>
      <c r="I408" s="34" t="s">
        <v>53</v>
      </c>
      <c r="J408" s="35">
        <v>45699</v>
      </c>
      <c r="K408" s="36" t="s">
        <v>40</v>
      </c>
      <c r="L408" s="39" t="str">
        <f>VLOOKUP(Tabla8[[#This Row],[CODIGO DEL PRODUCTO]],Tabla7[],2,FALSE)</f>
        <v>PIEDRA 0-6</v>
      </c>
      <c r="M408" s="37">
        <v>75045</v>
      </c>
      <c r="O408" s="34">
        <v>99306</v>
      </c>
      <c r="P408" s="34" t="s">
        <v>191</v>
      </c>
      <c r="Q408" s="35">
        <v>45663</v>
      </c>
      <c r="R408" s="36" t="s">
        <v>42</v>
      </c>
      <c r="S408" s="36" t="str">
        <f>VLOOKUP(Tabla9[[#This Row],[CODIGO DEL PRODUCTO]],Tabla7[],2,FALSE)</f>
        <v>ARENA FINA</v>
      </c>
      <c r="T408" s="37">
        <v>37940</v>
      </c>
    </row>
    <row r="409" spans="8:20" x14ac:dyDescent="0.25">
      <c r="H409" s="34"/>
      <c r="I409" s="34" t="s">
        <v>53</v>
      </c>
      <c r="J409" s="35">
        <v>45700</v>
      </c>
      <c r="K409" s="36" t="s">
        <v>45</v>
      </c>
      <c r="L409" s="39" t="str">
        <f>VLOOKUP(Tabla8[[#This Row],[CODIGO DEL PRODUCTO]],Tabla7[],2,FALSE)</f>
        <v>CPF 40 AVELLANEDA</v>
      </c>
      <c r="M409" s="37">
        <v>54743</v>
      </c>
      <c r="O409" s="34">
        <v>97273</v>
      </c>
      <c r="P409" s="34" t="s">
        <v>151</v>
      </c>
      <c r="Q409" s="35">
        <v>45663</v>
      </c>
      <c r="R409" s="36" t="s">
        <v>43</v>
      </c>
      <c r="S409" s="36" t="str">
        <f>VLOOKUP(Tabla9[[#This Row],[CODIGO DEL PRODUCTO]],Tabla7[],2,FALSE)</f>
        <v>PIEDRA 6-20</v>
      </c>
      <c r="T409" s="37">
        <v>7620</v>
      </c>
    </row>
    <row r="410" spans="8:20" x14ac:dyDescent="0.25">
      <c r="H410" s="34"/>
      <c r="I410" s="34" t="s">
        <v>53</v>
      </c>
      <c r="J410" s="35">
        <v>45701</v>
      </c>
      <c r="K410" s="36" t="s">
        <v>50</v>
      </c>
      <c r="L410" s="39" t="str">
        <f>VLOOKUP(Tabla8[[#This Row],[CODIGO DEL PRODUCTO]],Tabla7[],2,FALSE)</f>
        <v>MIRA SET 453 (ADITIVO)</v>
      </c>
      <c r="M410" s="37">
        <v>340.57</v>
      </c>
      <c r="O410" s="34">
        <v>97275</v>
      </c>
      <c r="P410" s="34" t="s">
        <v>166</v>
      </c>
      <c r="Q410" s="35">
        <v>45663</v>
      </c>
      <c r="R410" s="36" t="s">
        <v>43</v>
      </c>
      <c r="S410" s="36" t="str">
        <f>VLOOKUP(Tabla9[[#This Row],[CODIGO DEL PRODUCTO]],Tabla7[],2,FALSE)</f>
        <v>PIEDRA 6-20</v>
      </c>
      <c r="T410" s="37">
        <v>35380</v>
      </c>
    </row>
    <row r="411" spans="8:20" x14ac:dyDescent="0.25">
      <c r="H411" s="34"/>
      <c r="I411" s="34" t="s">
        <v>53</v>
      </c>
      <c r="J411" s="35">
        <v>45702</v>
      </c>
      <c r="K411" s="36" t="s">
        <v>48</v>
      </c>
      <c r="L411" s="39" t="str">
        <f>VLOOKUP(Tabla8[[#This Row],[CODIGO DEL PRODUCTO]],Tabla7[],2,FALSE)</f>
        <v>PIEDRA 6-12</v>
      </c>
      <c r="M411" s="37">
        <v>19481</v>
      </c>
      <c r="O411" s="34">
        <v>97280</v>
      </c>
      <c r="P411" s="34" t="s">
        <v>234</v>
      </c>
      <c r="Q411" s="35">
        <v>45663</v>
      </c>
      <c r="R411" s="36" t="s">
        <v>40</v>
      </c>
      <c r="S411" s="36" t="str">
        <f>VLOOKUP(Tabla9[[#This Row],[CODIGO DEL PRODUCTO]],Tabla7[],2,FALSE)</f>
        <v>PIEDRA 0-6</v>
      </c>
      <c r="T411" s="37">
        <v>34880</v>
      </c>
    </row>
    <row r="412" spans="8:20" x14ac:dyDescent="0.25">
      <c r="H412" s="34"/>
      <c r="I412" s="34" t="s">
        <v>53</v>
      </c>
      <c r="J412" s="35">
        <v>45703</v>
      </c>
      <c r="K412" s="36" t="s">
        <v>43</v>
      </c>
      <c r="L412" s="39" t="str">
        <f>VLOOKUP(Tabla8[[#This Row],[CODIGO DEL PRODUCTO]],Tabla7[],2,FALSE)</f>
        <v>PIEDRA 6-20</v>
      </c>
      <c r="M412" s="37">
        <v>159825</v>
      </c>
      <c r="O412" s="34">
        <v>97283</v>
      </c>
      <c r="P412" s="34" t="s">
        <v>160</v>
      </c>
      <c r="Q412" s="35">
        <v>45663</v>
      </c>
      <c r="R412" s="36" t="s">
        <v>43</v>
      </c>
      <c r="S412" s="36" t="str">
        <f>VLOOKUP(Tabla9[[#This Row],[CODIGO DEL PRODUCTO]],Tabla7[],2,FALSE)</f>
        <v>PIEDRA 6-20</v>
      </c>
      <c r="T412" s="37">
        <v>35380</v>
      </c>
    </row>
    <row r="413" spans="8:20" x14ac:dyDescent="0.25">
      <c r="H413" s="34"/>
      <c r="I413" s="34" t="s">
        <v>53</v>
      </c>
      <c r="J413" s="35">
        <v>45703</v>
      </c>
      <c r="K413" s="36" t="s">
        <v>42</v>
      </c>
      <c r="L413" s="39" t="str">
        <f>VLOOKUP(Tabla8[[#This Row],[CODIGO DEL PRODUCTO]],Tabla7[],2,FALSE)</f>
        <v>ARENA FINA</v>
      </c>
      <c r="M413" s="37">
        <v>346578</v>
      </c>
      <c r="O413" s="34">
        <v>97285</v>
      </c>
      <c r="P413" s="34" t="s">
        <v>155</v>
      </c>
      <c r="Q413" s="35">
        <v>45663</v>
      </c>
      <c r="R413" s="36" t="s">
        <v>40</v>
      </c>
      <c r="S413" s="36" t="str">
        <f>VLOOKUP(Tabla9[[#This Row],[CODIGO DEL PRODUCTO]],Tabla7[],2,FALSE)</f>
        <v>PIEDRA 0-6</v>
      </c>
      <c r="T413" s="37">
        <v>34720</v>
      </c>
    </row>
    <row r="414" spans="8:20" x14ac:dyDescent="0.25">
      <c r="H414" s="34"/>
      <c r="I414" s="34" t="s">
        <v>53</v>
      </c>
      <c r="J414" s="35">
        <v>45705</v>
      </c>
      <c r="K414" s="36" t="s">
        <v>40</v>
      </c>
      <c r="L414" s="39" t="str">
        <f>VLOOKUP(Tabla8[[#This Row],[CODIGO DEL PRODUCTO]],Tabla7[],2,FALSE)</f>
        <v>PIEDRA 0-6</v>
      </c>
      <c r="M414" s="37">
        <v>247557</v>
      </c>
      <c r="O414" s="34">
        <v>2600585</v>
      </c>
      <c r="P414" s="34" t="s">
        <v>65</v>
      </c>
      <c r="Q414" s="35">
        <v>45663</v>
      </c>
      <c r="R414" s="36" t="s">
        <v>45</v>
      </c>
      <c r="S414" s="36" t="str">
        <f>VLOOKUP(Tabla9[[#This Row],[CODIGO DEL PRODUCTO]],Tabla7[],2,FALSE)</f>
        <v>CPF 40 AVELLANEDA</v>
      </c>
      <c r="T414" s="37">
        <v>32800</v>
      </c>
    </row>
    <row r="415" spans="8:20" x14ac:dyDescent="0.25">
      <c r="H415" s="34"/>
      <c r="I415" s="34" t="s">
        <v>53</v>
      </c>
      <c r="J415" s="35">
        <v>45706</v>
      </c>
      <c r="K415" s="36" t="s">
        <v>45</v>
      </c>
      <c r="L415" s="39" t="str">
        <f>VLOOKUP(Tabla8[[#This Row],[CODIGO DEL PRODUCTO]],Tabla7[],2,FALSE)</f>
        <v>CPF 40 AVELLANEDA</v>
      </c>
      <c r="M415" s="37">
        <v>204429</v>
      </c>
      <c r="O415" s="34">
        <v>99317</v>
      </c>
      <c r="P415" s="34" t="s">
        <v>235</v>
      </c>
      <c r="Q415" s="35">
        <v>45664</v>
      </c>
      <c r="R415" s="36" t="s">
        <v>42</v>
      </c>
      <c r="S415" s="36" t="str">
        <f>VLOOKUP(Tabla9[[#This Row],[CODIGO DEL PRODUCTO]],Tabla7[],2,FALSE)</f>
        <v>ARENA FINA</v>
      </c>
      <c r="T415" s="37">
        <v>35680</v>
      </c>
    </row>
    <row r="416" spans="8:20" x14ac:dyDescent="0.25">
      <c r="H416" s="34"/>
      <c r="I416" s="34" t="s">
        <v>53</v>
      </c>
      <c r="J416" s="35">
        <v>45707</v>
      </c>
      <c r="K416" s="36" t="s">
        <v>50</v>
      </c>
      <c r="L416" s="39" t="str">
        <f>VLOOKUP(Tabla8[[#This Row],[CODIGO DEL PRODUCTO]],Tabla7[],2,FALSE)</f>
        <v>MIRA SET 453 (ADITIVO)</v>
      </c>
      <c r="M416" s="37">
        <v>1233.44</v>
      </c>
      <c r="O416" s="34">
        <v>99321</v>
      </c>
      <c r="P416" s="34" t="s">
        <v>235</v>
      </c>
      <c r="Q416" s="35">
        <v>45664</v>
      </c>
      <c r="R416" s="36" t="s">
        <v>42</v>
      </c>
      <c r="S416" s="36" t="str">
        <f>VLOOKUP(Tabla9[[#This Row],[CODIGO DEL PRODUCTO]],Tabla7[],2,FALSE)</f>
        <v>ARENA FINA</v>
      </c>
      <c r="T416" s="37">
        <v>36520</v>
      </c>
    </row>
    <row r="417" spans="8:20" x14ac:dyDescent="0.25">
      <c r="H417" s="34"/>
      <c r="I417" s="34" t="s">
        <v>53</v>
      </c>
      <c r="J417" s="35">
        <v>45708</v>
      </c>
      <c r="K417" s="36" t="s">
        <v>48</v>
      </c>
      <c r="L417" s="39" t="str">
        <f>VLOOKUP(Tabla8[[#This Row],[CODIGO DEL PRODUCTO]],Tabla7[],2,FALSE)</f>
        <v>PIEDRA 6-12</v>
      </c>
      <c r="M417" s="37">
        <v>154496</v>
      </c>
      <c r="O417" s="34">
        <v>97273</v>
      </c>
      <c r="P417" s="34" t="s">
        <v>151</v>
      </c>
      <c r="Q417" s="35">
        <v>45664</v>
      </c>
      <c r="R417" s="36" t="s">
        <v>43</v>
      </c>
      <c r="S417" s="36" t="str">
        <f>VLOOKUP(Tabla9[[#This Row],[CODIGO DEL PRODUCTO]],Tabla7[],2,FALSE)</f>
        <v>PIEDRA 6-20</v>
      </c>
      <c r="T417" s="37">
        <v>27700</v>
      </c>
    </row>
    <row r="418" spans="8:20" x14ac:dyDescent="0.25">
      <c r="H418" s="34"/>
      <c r="I418" s="34" t="s">
        <v>53</v>
      </c>
      <c r="J418" s="35">
        <v>45709</v>
      </c>
      <c r="K418" s="36" t="s">
        <v>46</v>
      </c>
      <c r="L418" s="39" t="str">
        <f>VLOOKUP(Tabla8[[#This Row],[CODIGO DEL PRODUCTO]],Tabla7[],2,FALSE)</f>
        <v>PIEDRA 10-30</v>
      </c>
      <c r="M418" s="37">
        <v>48298</v>
      </c>
      <c r="O418" s="34">
        <v>97297</v>
      </c>
      <c r="P418" s="34" t="s">
        <v>234</v>
      </c>
      <c r="Q418" s="35">
        <v>45664</v>
      </c>
      <c r="R418" s="36" t="s">
        <v>40</v>
      </c>
      <c r="S418" s="36" t="str">
        <f>VLOOKUP(Tabla9[[#This Row],[CODIGO DEL PRODUCTO]],Tabla7[],2,FALSE)</f>
        <v>PIEDRA 0-6</v>
      </c>
      <c r="T418" s="37">
        <v>34620</v>
      </c>
    </row>
    <row r="419" spans="8:20" x14ac:dyDescent="0.25">
      <c r="H419" s="34"/>
      <c r="I419" s="34" t="s">
        <v>53</v>
      </c>
      <c r="J419" s="35">
        <v>45710</v>
      </c>
      <c r="K419" s="36" t="s">
        <v>43</v>
      </c>
      <c r="L419" s="39" t="str">
        <f>VLOOKUP(Tabla8[[#This Row],[CODIGO DEL PRODUCTO]],Tabla7[],2,FALSE)</f>
        <v>PIEDRA 6-20</v>
      </c>
      <c r="M419" s="37">
        <v>364005</v>
      </c>
      <c r="O419" s="34">
        <v>97298</v>
      </c>
      <c r="P419" s="34" t="s">
        <v>237</v>
      </c>
      <c r="Q419" s="35">
        <v>45664</v>
      </c>
      <c r="R419" s="36" t="s">
        <v>40</v>
      </c>
      <c r="S419" s="36" t="str">
        <f>VLOOKUP(Tabla9[[#This Row],[CODIGO DEL PRODUCTO]],Tabla7[],2,FALSE)</f>
        <v>PIEDRA 0-6</v>
      </c>
      <c r="T419" s="37">
        <v>34820</v>
      </c>
    </row>
    <row r="420" spans="8:20" x14ac:dyDescent="0.25">
      <c r="H420" s="34">
        <v>8530</v>
      </c>
      <c r="I420" s="34" t="s">
        <v>121</v>
      </c>
      <c r="J420" s="35">
        <v>45713</v>
      </c>
      <c r="K420" s="36" t="s">
        <v>43</v>
      </c>
      <c r="L420" s="39" t="str">
        <f>VLOOKUP(Tabla8[[#This Row],[CODIGO DEL PRODUCTO]],Tabla7[],2,FALSE)</f>
        <v>PIEDRA 6-20</v>
      </c>
      <c r="M420" s="37">
        <v>2000</v>
      </c>
      <c r="O420" s="34">
        <v>97300</v>
      </c>
      <c r="P420" s="34" t="s">
        <v>160</v>
      </c>
      <c r="Q420" s="35">
        <v>45664</v>
      </c>
      <c r="R420" s="36" t="s">
        <v>43</v>
      </c>
      <c r="S420" s="36" t="str">
        <f>VLOOKUP(Tabla9[[#This Row],[CODIGO DEL PRODUCTO]],Tabla7[],2,FALSE)</f>
        <v>PIEDRA 6-20</v>
      </c>
      <c r="T420" s="37">
        <v>35040</v>
      </c>
    </row>
    <row r="421" spans="8:20" x14ac:dyDescent="0.25">
      <c r="H421" s="34"/>
      <c r="I421" s="34"/>
      <c r="J421" s="35">
        <v>45713</v>
      </c>
      <c r="K421" s="36" t="s">
        <v>42</v>
      </c>
      <c r="L421" s="39" t="str">
        <f>VLOOKUP(Tabla8[[#This Row],[CODIGO DEL PRODUCTO]],Tabla7[],2,FALSE)</f>
        <v>ARENA FINA</v>
      </c>
      <c r="M421" s="37">
        <v>2000</v>
      </c>
      <c r="O421" s="34">
        <v>97301</v>
      </c>
      <c r="P421" s="34" t="s">
        <v>166</v>
      </c>
      <c r="Q421" s="35">
        <v>45664</v>
      </c>
      <c r="R421" s="36" t="s">
        <v>236</v>
      </c>
      <c r="S421" s="36" t="e">
        <f>VLOOKUP(Tabla9[[#This Row],[CODIGO DEL PRODUCTO]],Tabla7[],2,FALSE)</f>
        <v>#N/A</v>
      </c>
      <c r="T421" s="37">
        <v>35340</v>
      </c>
    </row>
    <row r="422" spans="8:20" x14ac:dyDescent="0.25">
      <c r="H422" s="34">
        <v>8543</v>
      </c>
      <c r="I422" s="34" t="s">
        <v>274</v>
      </c>
      <c r="J422" s="35">
        <v>45715</v>
      </c>
      <c r="K422" s="36" t="s">
        <v>42</v>
      </c>
      <c r="L422" s="39" t="str">
        <f>VLOOKUP(Tabla8[[#This Row],[CODIGO DEL PRODUCTO]],Tabla7[],2,FALSE)</f>
        <v>ARENA FINA</v>
      </c>
      <c r="M422" s="37">
        <v>5000</v>
      </c>
      <c r="O422" s="34">
        <v>97306</v>
      </c>
      <c r="P422" s="34" t="s">
        <v>238</v>
      </c>
      <c r="Q422" s="35">
        <v>45664</v>
      </c>
      <c r="R422" s="36" t="s">
        <v>40</v>
      </c>
      <c r="S422" s="36" t="str">
        <f>VLOOKUP(Tabla9[[#This Row],[CODIGO DEL PRODUCTO]],Tabla7[],2,FALSE)</f>
        <v>PIEDRA 0-6</v>
      </c>
      <c r="T422" s="37">
        <v>34700</v>
      </c>
    </row>
    <row r="423" spans="8:20" x14ac:dyDescent="0.25">
      <c r="H423" s="34"/>
      <c r="I423" s="34" t="s">
        <v>53</v>
      </c>
      <c r="J423" s="35">
        <v>45712</v>
      </c>
      <c r="K423" s="36" t="s">
        <v>42</v>
      </c>
      <c r="L423" s="39" t="str">
        <f>VLOOKUP(Tabla8[[#This Row],[CODIGO DEL PRODUCTO]],Tabla7[],2,FALSE)</f>
        <v>ARENA FINA</v>
      </c>
      <c r="M423" s="37">
        <v>48473</v>
      </c>
      <c r="O423" s="34">
        <v>130005</v>
      </c>
      <c r="P423" s="34" t="s">
        <v>239</v>
      </c>
      <c r="Q423" s="35">
        <v>45664</v>
      </c>
      <c r="R423" s="36" t="s">
        <v>46</v>
      </c>
      <c r="S423" s="36" t="str">
        <f>VLOOKUP(Tabla9[[#This Row],[CODIGO DEL PRODUCTO]],Tabla7[],2,FALSE)</f>
        <v>PIEDRA 10-30</v>
      </c>
      <c r="T423" s="37">
        <v>35400</v>
      </c>
    </row>
    <row r="424" spans="8:20" x14ac:dyDescent="0.25">
      <c r="H424" s="34"/>
      <c r="I424" s="34" t="s">
        <v>53</v>
      </c>
      <c r="J424" s="35">
        <v>45713</v>
      </c>
      <c r="K424" s="36" t="s">
        <v>40</v>
      </c>
      <c r="L424" s="39" t="str">
        <f>VLOOKUP(Tabla8[[#This Row],[CODIGO DEL PRODUCTO]],Tabla7[],2,FALSE)</f>
        <v>PIEDRA 0-6</v>
      </c>
      <c r="M424" s="37">
        <v>32563</v>
      </c>
      <c r="O424" s="34">
        <v>2600892</v>
      </c>
      <c r="P424" s="34" t="s">
        <v>65</v>
      </c>
      <c r="Q424" s="35">
        <v>45664</v>
      </c>
      <c r="R424" s="36" t="s">
        <v>45</v>
      </c>
      <c r="S424" s="36" t="str">
        <f>VLOOKUP(Tabla9[[#This Row],[CODIGO DEL PRODUCTO]],Tabla7[],2,FALSE)</f>
        <v>CPF 40 AVELLANEDA</v>
      </c>
      <c r="T424" s="37">
        <v>32860</v>
      </c>
    </row>
    <row r="425" spans="8:20" x14ac:dyDescent="0.25">
      <c r="H425" s="34"/>
      <c r="I425" s="34" t="s">
        <v>53</v>
      </c>
      <c r="J425" s="35">
        <v>45714</v>
      </c>
      <c r="K425" s="36" t="s">
        <v>45</v>
      </c>
      <c r="L425" s="39" t="str">
        <f>VLOOKUP(Tabla8[[#This Row],[CODIGO DEL PRODUCTO]],Tabla7[],2,FALSE)</f>
        <v>CPF 40 AVELLANEDA</v>
      </c>
      <c r="M425" s="37">
        <v>25491</v>
      </c>
      <c r="O425" s="34">
        <v>99327</v>
      </c>
      <c r="P425" s="34" t="s">
        <v>235</v>
      </c>
      <c r="Q425" s="35">
        <v>45665</v>
      </c>
      <c r="R425" s="36" t="s">
        <v>42</v>
      </c>
      <c r="S425" s="36" t="str">
        <f>VLOOKUP(Tabla9[[#This Row],[CODIGO DEL PRODUCTO]],Tabla7[],2,FALSE)</f>
        <v>ARENA FINA</v>
      </c>
      <c r="T425" s="37">
        <v>38840</v>
      </c>
    </row>
    <row r="426" spans="8:20" x14ac:dyDescent="0.25">
      <c r="H426" s="34"/>
      <c r="I426" s="34" t="s">
        <v>53</v>
      </c>
      <c r="J426" s="35">
        <v>45715</v>
      </c>
      <c r="K426" s="36" t="s">
        <v>50</v>
      </c>
      <c r="L426" s="39" t="str">
        <f>VLOOKUP(Tabla8[[#This Row],[CODIGO DEL PRODUCTO]],Tabla7[],2,FALSE)</f>
        <v>MIRA SET 453 (ADITIVO)</v>
      </c>
      <c r="M426" s="37">
        <v>141.22</v>
      </c>
      <c r="O426" s="34">
        <v>99332</v>
      </c>
      <c r="P426" s="34" t="s">
        <v>235</v>
      </c>
      <c r="Q426" s="35">
        <v>45665</v>
      </c>
      <c r="R426" s="36" t="s">
        <v>42</v>
      </c>
      <c r="S426" s="36" t="str">
        <f>VLOOKUP(Tabla9[[#This Row],[CODIGO DEL PRODUCTO]],Tabla7[],2,FALSE)</f>
        <v>ARENA FINA</v>
      </c>
      <c r="T426" s="37">
        <v>37200</v>
      </c>
    </row>
    <row r="427" spans="8:20" x14ac:dyDescent="0.25">
      <c r="H427" s="34"/>
      <c r="I427" s="34" t="s">
        <v>53</v>
      </c>
      <c r="J427" s="35">
        <v>45716</v>
      </c>
      <c r="K427" s="36" t="s">
        <v>48</v>
      </c>
      <c r="L427" s="39" t="str">
        <f>VLOOKUP(Tabla8[[#This Row],[CODIGO DEL PRODUCTO]],Tabla7[],2,FALSE)</f>
        <v>PIEDRA 6-12</v>
      </c>
      <c r="M427" s="37">
        <v>10903</v>
      </c>
      <c r="O427" s="34">
        <v>97319</v>
      </c>
      <c r="P427" s="34" t="s">
        <v>160</v>
      </c>
      <c r="Q427" s="35">
        <v>45665</v>
      </c>
      <c r="R427" s="36" t="s">
        <v>43</v>
      </c>
      <c r="S427" s="36" t="str">
        <f>VLOOKUP(Tabla9[[#This Row],[CODIGO DEL PRODUCTO]],Tabla7[],2,FALSE)</f>
        <v>PIEDRA 6-20</v>
      </c>
      <c r="T427" s="37">
        <v>35440</v>
      </c>
    </row>
    <row r="428" spans="8:20" x14ac:dyDescent="0.25">
      <c r="H428" s="34"/>
      <c r="I428" s="34" t="s">
        <v>53</v>
      </c>
      <c r="J428" s="35">
        <v>45716</v>
      </c>
      <c r="K428" s="36" t="s">
        <v>46</v>
      </c>
      <c r="L428" s="39" t="str">
        <f>VLOOKUP(Tabla8[[#This Row],[CODIGO DEL PRODUCTO]],Tabla7[],2,FALSE)</f>
        <v>PIEDRA 10-30</v>
      </c>
      <c r="M428" s="37">
        <v>22934</v>
      </c>
      <c r="O428" s="34">
        <v>97321</v>
      </c>
      <c r="P428" s="34" t="s">
        <v>234</v>
      </c>
      <c r="Q428" s="35">
        <v>45665</v>
      </c>
      <c r="R428" s="36" t="s">
        <v>40</v>
      </c>
      <c r="S428" s="36" t="str">
        <f>VLOOKUP(Tabla9[[#This Row],[CODIGO DEL PRODUCTO]],Tabla7[],2,FALSE)</f>
        <v>PIEDRA 0-6</v>
      </c>
      <c r="T428" s="37">
        <v>35200</v>
      </c>
    </row>
    <row r="429" spans="8:20" x14ac:dyDescent="0.25">
      <c r="H429" s="34"/>
      <c r="I429" s="34" t="s">
        <v>53</v>
      </c>
      <c r="J429" s="35">
        <v>45716</v>
      </c>
      <c r="K429" s="36" t="s">
        <v>43</v>
      </c>
      <c r="L429" s="39" t="str">
        <f>VLOOKUP(Tabla8[[#This Row],[CODIGO DEL PRODUCTO]],Tabla7[],2,FALSE)</f>
        <v>PIEDRA 6-20</v>
      </c>
      <c r="M429" s="37">
        <v>47514</v>
      </c>
      <c r="O429" s="34">
        <v>97327</v>
      </c>
      <c r="P429" s="34" t="s">
        <v>238</v>
      </c>
      <c r="Q429" s="35">
        <v>45665</v>
      </c>
      <c r="R429" s="36" t="s">
        <v>40</v>
      </c>
      <c r="S429" s="36" t="str">
        <f>VLOOKUP(Tabla9[[#This Row],[CODIGO DEL PRODUCTO]],Tabla7[],2,FALSE)</f>
        <v>PIEDRA 0-6</v>
      </c>
      <c r="T429" s="37">
        <v>34540</v>
      </c>
    </row>
    <row r="430" spans="8:20" x14ac:dyDescent="0.25">
      <c r="H430" s="34">
        <v>8553</v>
      </c>
      <c r="I430" s="34" t="s">
        <v>282</v>
      </c>
      <c r="J430" s="35">
        <v>45716</v>
      </c>
      <c r="K430" s="36" t="s">
        <v>43</v>
      </c>
      <c r="L430" s="39" t="str">
        <f>VLOOKUP(Tabla8[[#This Row],[CODIGO DEL PRODUCTO]],Tabla7[],2,FALSE)</f>
        <v>PIEDRA 6-20</v>
      </c>
      <c r="M430" s="37">
        <v>1000</v>
      </c>
      <c r="O430" s="34">
        <v>2601120</v>
      </c>
      <c r="P430" s="34" t="s">
        <v>65</v>
      </c>
      <c r="Q430" s="35">
        <v>45665</v>
      </c>
      <c r="R430" s="36" t="s">
        <v>45</v>
      </c>
      <c r="S430" s="36" t="str">
        <f>VLOOKUP(Tabla9[[#This Row],[CODIGO DEL PRODUCTO]],Tabla7[],2,FALSE)</f>
        <v>CPF 40 AVELLANEDA</v>
      </c>
      <c r="T430" s="37">
        <v>32720</v>
      </c>
    </row>
    <row r="431" spans="8:20" x14ac:dyDescent="0.25">
      <c r="H431" s="34"/>
      <c r="I431" s="34"/>
      <c r="J431" s="35"/>
      <c r="K431" s="36"/>
      <c r="L431" s="39" t="e">
        <f>VLOOKUP(Tabla8[[#This Row],[CODIGO DEL PRODUCTO]],Tabla7[],2,FALSE)</f>
        <v>#N/A</v>
      </c>
      <c r="M431" s="37"/>
      <c r="O431" s="34">
        <v>99342</v>
      </c>
      <c r="P431" s="34" t="s">
        <v>235</v>
      </c>
      <c r="Q431" s="35">
        <v>45666</v>
      </c>
      <c r="R431" s="36" t="s">
        <v>42</v>
      </c>
      <c r="S431" s="36" t="str">
        <f>VLOOKUP(Tabla9[[#This Row],[CODIGO DEL PRODUCTO]],Tabla7[],2,FALSE)</f>
        <v>ARENA FINA</v>
      </c>
      <c r="T431" s="37">
        <v>36200</v>
      </c>
    </row>
    <row r="432" spans="8:20" x14ac:dyDescent="0.25">
      <c r="O432" s="34">
        <v>99348</v>
      </c>
      <c r="P432" s="34" t="s">
        <v>235</v>
      </c>
      <c r="Q432" s="35">
        <v>45666</v>
      </c>
      <c r="R432" s="36" t="s">
        <v>42</v>
      </c>
      <c r="S432" s="36" t="str">
        <f>VLOOKUP(Tabla9[[#This Row],[CODIGO DEL PRODUCTO]],Tabla7[],2,FALSE)</f>
        <v>ARENA FINA</v>
      </c>
      <c r="T432" s="37">
        <v>37080</v>
      </c>
    </row>
    <row r="433" spans="15:20" x14ac:dyDescent="0.25">
      <c r="O433" s="34">
        <v>97342</v>
      </c>
      <c r="P433" s="34" t="s">
        <v>166</v>
      </c>
      <c r="Q433" s="35">
        <v>45666</v>
      </c>
      <c r="R433" s="36" t="s">
        <v>43</v>
      </c>
      <c r="S433" s="36" t="str">
        <f>VLOOKUP(Tabla9[[#This Row],[CODIGO DEL PRODUCTO]],Tabla7[],2,FALSE)</f>
        <v>PIEDRA 6-20</v>
      </c>
      <c r="T433" s="37">
        <v>36500</v>
      </c>
    </row>
    <row r="434" spans="15:20" x14ac:dyDescent="0.25">
      <c r="O434" s="34">
        <v>97347</v>
      </c>
      <c r="P434" s="34" t="s">
        <v>126</v>
      </c>
      <c r="Q434" s="35">
        <v>45666</v>
      </c>
      <c r="R434" s="36" t="s">
        <v>43</v>
      </c>
      <c r="S434" s="36" t="str">
        <f>VLOOKUP(Tabla9[[#This Row],[CODIGO DEL PRODUCTO]],Tabla7[],2,FALSE)</f>
        <v>PIEDRA 6-20</v>
      </c>
      <c r="T434" s="37">
        <v>35660</v>
      </c>
    </row>
    <row r="435" spans="15:20" x14ac:dyDescent="0.25">
      <c r="O435" s="34">
        <v>97348</v>
      </c>
      <c r="P435" s="34" t="s">
        <v>160</v>
      </c>
      <c r="Q435" s="35">
        <v>45666</v>
      </c>
      <c r="R435" s="36" t="s">
        <v>43</v>
      </c>
      <c r="S435" s="36" t="str">
        <f>VLOOKUP(Tabla9[[#This Row],[CODIGO DEL PRODUCTO]],Tabla7[],2,FALSE)</f>
        <v>PIEDRA 6-20</v>
      </c>
      <c r="T435" s="37">
        <v>35560</v>
      </c>
    </row>
    <row r="436" spans="15:20" x14ac:dyDescent="0.25">
      <c r="O436" s="34">
        <v>97350</v>
      </c>
      <c r="P436" s="34" t="s">
        <v>234</v>
      </c>
      <c r="Q436" s="35">
        <v>45666</v>
      </c>
      <c r="R436" s="36" t="s">
        <v>40</v>
      </c>
      <c r="S436" s="36" t="str">
        <f>VLOOKUP(Tabla9[[#This Row],[CODIGO DEL PRODUCTO]],Tabla7[],2,FALSE)</f>
        <v>PIEDRA 0-6</v>
      </c>
      <c r="T436" s="37">
        <v>35660</v>
      </c>
    </row>
    <row r="437" spans="15:20" x14ac:dyDescent="0.25">
      <c r="O437" s="34">
        <v>97352</v>
      </c>
      <c r="P437" s="34" t="s">
        <v>238</v>
      </c>
      <c r="Q437" s="35">
        <v>45666</v>
      </c>
      <c r="R437" s="36" t="s">
        <v>40</v>
      </c>
      <c r="S437" s="36" t="str">
        <f>VLOOKUP(Tabla9[[#This Row],[CODIGO DEL PRODUCTO]],Tabla7[],2,FALSE)</f>
        <v>PIEDRA 0-6</v>
      </c>
      <c r="T437" s="37">
        <v>35080</v>
      </c>
    </row>
    <row r="438" spans="15:20" x14ac:dyDescent="0.25">
      <c r="O438" s="34">
        <v>2601583</v>
      </c>
      <c r="P438" s="34" t="s">
        <v>65</v>
      </c>
      <c r="Q438" s="35">
        <v>45666</v>
      </c>
      <c r="R438" s="36" t="s">
        <v>45</v>
      </c>
      <c r="S438" s="36" t="str">
        <f>VLOOKUP(Tabla9[[#This Row],[CODIGO DEL PRODUCTO]],Tabla7[],2,FALSE)</f>
        <v>CPF 40 AVELLANEDA</v>
      </c>
      <c r="T438" s="37">
        <v>32660</v>
      </c>
    </row>
    <row r="439" spans="15:20" x14ac:dyDescent="0.25">
      <c r="O439" s="34">
        <v>35886</v>
      </c>
      <c r="P439" s="34" t="s">
        <v>61</v>
      </c>
      <c r="Q439" s="35">
        <v>45666</v>
      </c>
      <c r="R439" s="36" t="s">
        <v>50</v>
      </c>
      <c r="S439" s="36" t="str">
        <f>VLOOKUP(Tabla9[[#This Row],[CODIGO DEL PRODUCTO]],Tabla7[],2,FALSE)</f>
        <v>MIRA SET 453 (ADITIVO)</v>
      </c>
      <c r="T439" s="37">
        <v>2160</v>
      </c>
    </row>
    <row r="440" spans="15:20" x14ac:dyDescent="0.25">
      <c r="O440" s="34">
        <v>99357</v>
      </c>
      <c r="P440" s="34" t="s">
        <v>235</v>
      </c>
      <c r="Q440" s="35">
        <v>45667</v>
      </c>
      <c r="R440" s="36" t="s">
        <v>42</v>
      </c>
      <c r="S440" s="36" t="str">
        <f>VLOOKUP(Tabla9[[#This Row],[CODIGO DEL PRODUCTO]],Tabla7[],2,FALSE)</f>
        <v>ARENA FINA</v>
      </c>
      <c r="T440" s="37">
        <v>38400</v>
      </c>
    </row>
    <row r="441" spans="15:20" x14ac:dyDescent="0.25">
      <c r="O441" s="34">
        <v>99365</v>
      </c>
      <c r="P441" s="34" t="s">
        <v>235</v>
      </c>
      <c r="Q441" s="35">
        <v>45667</v>
      </c>
      <c r="R441" s="36" t="s">
        <v>42</v>
      </c>
      <c r="S441" s="36" t="str">
        <f>VLOOKUP(Tabla9[[#This Row],[CODIGO DEL PRODUCTO]],Tabla7[],2,FALSE)</f>
        <v>ARENA FINA</v>
      </c>
      <c r="T441" s="37">
        <v>39260</v>
      </c>
    </row>
    <row r="442" spans="15:20" x14ac:dyDescent="0.25">
      <c r="O442" s="34">
        <v>97367</v>
      </c>
      <c r="P442" s="34" t="s">
        <v>166</v>
      </c>
      <c r="Q442" s="35">
        <v>45667</v>
      </c>
      <c r="R442" s="36" t="s">
        <v>43</v>
      </c>
      <c r="S442" s="36" t="str">
        <f>VLOOKUP(Tabla9[[#This Row],[CODIGO DEL PRODUCTO]],Tabla7[],2,FALSE)</f>
        <v>PIEDRA 6-20</v>
      </c>
      <c r="T442" s="37">
        <v>36060</v>
      </c>
    </row>
    <row r="443" spans="15:20" x14ac:dyDescent="0.25">
      <c r="O443" s="34">
        <v>97370</v>
      </c>
      <c r="P443" s="34" t="s">
        <v>234</v>
      </c>
      <c r="Q443" s="35">
        <v>45667</v>
      </c>
      <c r="R443" s="36" t="s">
        <v>40</v>
      </c>
      <c r="S443" s="36" t="str">
        <f>VLOOKUP(Tabla9[[#This Row],[CODIGO DEL PRODUCTO]],Tabla7[],2,FALSE)</f>
        <v>PIEDRA 0-6</v>
      </c>
      <c r="T443" s="37">
        <v>34380</v>
      </c>
    </row>
    <row r="444" spans="15:20" x14ac:dyDescent="0.25">
      <c r="O444" s="34">
        <v>97372</v>
      </c>
      <c r="P444" s="34" t="s">
        <v>237</v>
      </c>
      <c r="Q444" s="35">
        <v>45667</v>
      </c>
      <c r="R444" s="36" t="s">
        <v>40</v>
      </c>
      <c r="S444" s="36" t="str">
        <f>VLOOKUP(Tabla9[[#This Row],[CODIGO DEL PRODUCTO]],Tabla7[],2,FALSE)</f>
        <v>PIEDRA 0-6</v>
      </c>
      <c r="T444" s="37">
        <v>34880</v>
      </c>
    </row>
    <row r="445" spans="15:20" x14ac:dyDescent="0.25">
      <c r="O445" s="34">
        <v>97373</v>
      </c>
      <c r="P445" s="34" t="s">
        <v>160</v>
      </c>
      <c r="Q445" s="35">
        <v>45667</v>
      </c>
      <c r="R445" s="36" t="s">
        <v>43</v>
      </c>
      <c r="S445" s="36" t="str">
        <f>VLOOKUP(Tabla9[[#This Row],[CODIGO DEL PRODUCTO]],Tabla7[],2,FALSE)</f>
        <v>PIEDRA 6-20</v>
      </c>
      <c r="T445" s="37">
        <v>35520</v>
      </c>
    </row>
    <row r="446" spans="15:20" x14ac:dyDescent="0.25">
      <c r="O446" s="34">
        <v>97379</v>
      </c>
      <c r="P446" s="34" t="s">
        <v>238</v>
      </c>
      <c r="Q446" s="35">
        <v>45667</v>
      </c>
      <c r="R446" s="36" t="s">
        <v>40</v>
      </c>
      <c r="S446" s="36" t="str">
        <f>VLOOKUP(Tabla9[[#This Row],[CODIGO DEL PRODUCTO]],Tabla7[],2,FALSE)</f>
        <v>PIEDRA 0-6</v>
      </c>
      <c r="T446" s="37">
        <v>34600</v>
      </c>
    </row>
    <row r="447" spans="15:20" x14ac:dyDescent="0.25">
      <c r="O447" s="34">
        <v>2601861</v>
      </c>
      <c r="P447" s="34" t="s">
        <v>65</v>
      </c>
      <c r="Q447" s="35">
        <v>45667</v>
      </c>
      <c r="R447" s="36" t="s">
        <v>45</v>
      </c>
      <c r="S447" s="36" t="str">
        <f>VLOOKUP(Tabla9[[#This Row],[CODIGO DEL PRODUCTO]],Tabla7[],2,FALSE)</f>
        <v>CPF 40 AVELLANEDA</v>
      </c>
      <c r="T447" s="37">
        <v>32900</v>
      </c>
    </row>
    <row r="448" spans="15:20" x14ac:dyDescent="0.25">
      <c r="O448" s="34">
        <v>99376</v>
      </c>
      <c r="P448" s="34" t="s">
        <v>235</v>
      </c>
      <c r="Q448" s="35">
        <v>45670</v>
      </c>
      <c r="R448" s="36" t="s">
        <v>42</v>
      </c>
      <c r="S448" s="36" t="str">
        <f>VLOOKUP(Tabla9[[#This Row],[CODIGO DEL PRODUCTO]],Tabla7[],2,FALSE)</f>
        <v>ARENA FINA</v>
      </c>
      <c r="T448" s="37">
        <v>37760</v>
      </c>
    </row>
    <row r="449" spans="15:20" x14ac:dyDescent="0.25">
      <c r="O449" s="34">
        <v>99384</v>
      </c>
      <c r="P449" s="34" t="s">
        <v>235</v>
      </c>
      <c r="Q449" s="35">
        <v>45670</v>
      </c>
      <c r="R449" s="36" t="s">
        <v>42</v>
      </c>
      <c r="S449" s="36" t="str">
        <f>VLOOKUP(Tabla9[[#This Row],[CODIGO DEL PRODUCTO]],Tabla7[],2,FALSE)</f>
        <v>ARENA FINA</v>
      </c>
      <c r="T449" s="37">
        <v>37460</v>
      </c>
    </row>
    <row r="450" spans="15:20" x14ac:dyDescent="0.25">
      <c r="O450" s="34">
        <v>97428</v>
      </c>
      <c r="P450" s="34" t="s">
        <v>166</v>
      </c>
      <c r="Q450" s="35">
        <v>45670</v>
      </c>
      <c r="R450" s="36" t="s">
        <v>43</v>
      </c>
      <c r="S450" s="36" t="str">
        <f>VLOOKUP(Tabla9[[#This Row],[CODIGO DEL PRODUCTO]],Tabla7[],2,FALSE)</f>
        <v>PIEDRA 6-20</v>
      </c>
      <c r="T450" s="37">
        <v>33900</v>
      </c>
    </row>
    <row r="451" spans="15:20" x14ac:dyDescent="0.25">
      <c r="O451" s="34">
        <v>97436</v>
      </c>
      <c r="P451" s="34" t="s">
        <v>234</v>
      </c>
      <c r="Q451" s="35">
        <v>45670</v>
      </c>
      <c r="R451" s="36" t="s">
        <v>40</v>
      </c>
      <c r="S451" s="36" t="str">
        <f>VLOOKUP(Tabla9[[#This Row],[CODIGO DEL PRODUCTO]],Tabla7[],2,FALSE)</f>
        <v>PIEDRA 0-6</v>
      </c>
      <c r="T451" s="37">
        <v>34720</v>
      </c>
    </row>
    <row r="452" spans="15:20" x14ac:dyDescent="0.25">
      <c r="O452" s="34">
        <v>97441</v>
      </c>
      <c r="P452" s="34" t="s">
        <v>144</v>
      </c>
      <c r="Q452" s="35">
        <v>45670</v>
      </c>
      <c r="R452" s="36" t="s">
        <v>40</v>
      </c>
      <c r="S452" s="36" t="str">
        <f>VLOOKUP(Tabla9[[#This Row],[CODIGO DEL PRODUCTO]],Tabla7[],2,FALSE)</f>
        <v>PIEDRA 0-6</v>
      </c>
      <c r="T452" s="37">
        <v>35200</v>
      </c>
    </row>
    <row r="453" spans="15:20" x14ac:dyDescent="0.25">
      <c r="O453" s="34">
        <v>97442</v>
      </c>
      <c r="P453" s="34" t="s">
        <v>216</v>
      </c>
      <c r="Q453" s="35">
        <v>45670</v>
      </c>
      <c r="R453" s="36" t="s">
        <v>43</v>
      </c>
      <c r="S453" s="36" t="str">
        <f>VLOOKUP(Tabla9[[#This Row],[CODIGO DEL PRODUCTO]],Tabla7[],2,FALSE)</f>
        <v>PIEDRA 6-20</v>
      </c>
      <c r="T453" s="37">
        <v>35180</v>
      </c>
    </row>
    <row r="454" spans="15:20" x14ac:dyDescent="0.25">
      <c r="O454" s="34">
        <v>2602273</v>
      </c>
      <c r="P454" s="34" t="s">
        <v>65</v>
      </c>
      <c r="Q454" s="35">
        <v>45670</v>
      </c>
      <c r="R454" s="36" t="s">
        <v>45</v>
      </c>
      <c r="S454" s="36" t="str">
        <f>VLOOKUP(Tabla9[[#This Row],[CODIGO DEL PRODUCTO]],Tabla7[],2,FALSE)</f>
        <v>CPF 40 AVELLANEDA</v>
      </c>
      <c r="T454" s="37">
        <v>32840</v>
      </c>
    </row>
    <row r="455" spans="15:20" x14ac:dyDescent="0.25">
      <c r="O455" s="34">
        <v>97444</v>
      </c>
      <c r="P455" s="34" t="s">
        <v>218</v>
      </c>
      <c r="Q455" s="35">
        <v>45670</v>
      </c>
      <c r="R455" s="36" t="s">
        <v>43</v>
      </c>
      <c r="S455" s="36" t="str">
        <f>VLOOKUP(Tabla9[[#This Row],[CODIGO DEL PRODUCTO]],Tabla7[],2,FALSE)</f>
        <v>PIEDRA 6-20</v>
      </c>
      <c r="T455" s="37">
        <v>35740</v>
      </c>
    </row>
    <row r="456" spans="15:20" x14ac:dyDescent="0.25">
      <c r="O456" s="34">
        <v>99395</v>
      </c>
      <c r="P456" s="34" t="s">
        <v>235</v>
      </c>
      <c r="Q456" s="35">
        <v>45671</v>
      </c>
      <c r="R456" s="36" t="s">
        <v>42</v>
      </c>
      <c r="S456" s="36" t="str">
        <f>VLOOKUP(Tabla9[[#This Row],[CODIGO DEL PRODUCTO]],Tabla7[],2,FALSE)</f>
        <v>ARENA FINA</v>
      </c>
      <c r="T456" s="37">
        <v>38120</v>
      </c>
    </row>
    <row r="457" spans="15:20" x14ac:dyDescent="0.25">
      <c r="O457" s="34">
        <v>99400</v>
      </c>
      <c r="P457" s="34" t="s">
        <v>235</v>
      </c>
      <c r="Q457" s="35">
        <v>45671</v>
      </c>
      <c r="R457" s="36" t="s">
        <v>42</v>
      </c>
      <c r="S457" s="36" t="str">
        <f>VLOOKUP(Tabla9[[#This Row],[CODIGO DEL PRODUCTO]],Tabla7[],2,FALSE)</f>
        <v>ARENA FINA</v>
      </c>
      <c r="T457" s="37">
        <v>38240</v>
      </c>
    </row>
    <row r="458" spans="15:20" x14ac:dyDescent="0.25">
      <c r="O458" s="34">
        <v>97466</v>
      </c>
      <c r="P458" s="34" t="s">
        <v>244</v>
      </c>
      <c r="Q458" s="35">
        <v>45671</v>
      </c>
      <c r="R458" s="36" t="s">
        <v>40</v>
      </c>
      <c r="S458" s="36" t="str">
        <f>VLOOKUP(Tabla9[[#This Row],[CODIGO DEL PRODUCTO]],Tabla7[],2,FALSE)</f>
        <v>PIEDRA 0-6</v>
      </c>
      <c r="T458" s="37">
        <v>34760</v>
      </c>
    </row>
    <row r="459" spans="15:20" x14ac:dyDescent="0.25">
      <c r="O459" s="34">
        <v>97472</v>
      </c>
      <c r="P459" s="34" t="s">
        <v>216</v>
      </c>
      <c r="Q459" s="35">
        <v>45671</v>
      </c>
      <c r="R459" s="36" t="s">
        <v>43</v>
      </c>
      <c r="S459" s="36" t="str">
        <f>VLOOKUP(Tabla9[[#This Row],[CODIGO DEL PRODUCTO]],Tabla7[],2,FALSE)</f>
        <v>PIEDRA 6-20</v>
      </c>
      <c r="T459" s="37">
        <v>34840</v>
      </c>
    </row>
    <row r="460" spans="15:20" x14ac:dyDescent="0.25">
      <c r="O460" s="34">
        <v>97474</v>
      </c>
      <c r="P460" s="34" t="s">
        <v>144</v>
      </c>
      <c r="Q460" s="35">
        <v>45671</v>
      </c>
      <c r="R460" s="36" t="s">
        <v>40</v>
      </c>
      <c r="S460" s="36" t="str">
        <f>VLOOKUP(Tabla9[[#This Row],[CODIGO DEL PRODUCTO]],Tabla7[],2,FALSE)</f>
        <v>PIEDRA 0-6</v>
      </c>
      <c r="T460" s="37">
        <v>35360</v>
      </c>
    </row>
    <row r="461" spans="15:20" x14ac:dyDescent="0.25">
      <c r="O461" s="34">
        <v>2602557</v>
      </c>
      <c r="P461" s="34" t="s">
        <v>65</v>
      </c>
      <c r="Q461" s="35">
        <v>45671</v>
      </c>
      <c r="R461" s="36" t="s">
        <v>45</v>
      </c>
      <c r="S461" s="36" t="str">
        <f>VLOOKUP(Tabla9[[#This Row],[CODIGO DEL PRODUCTO]],Tabla7[],2,FALSE)</f>
        <v>CPF 40 AVELLANEDA</v>
      </c>
      <c r="T461" s="37">
        <v>32820</v>
      </c>
    </row>
    <row r="462" spans="15:20" x14ac:dyDescent="0.25">
      <c r="O462" s="34">
        <v>99408</v>
      </c>
      <c r="P462" s="34" t="s">
        <v>235</v>
      </c>
      <c r="Q462" s="35">
        <v>45672</v>
      </c>
      <c r="R462" s="36" t="s">
        <v>42</v>
      </c>
      <c r="S462" s="36" t="str">
        <f>VLOOKUP(Tabla9[[#This Row],[CODIGO DEL PRODUCTO]],Tabla7[],2,FALSE)</f>
        <v>ARENA FINA</v>
      </c>
      <c r="T462" s="37">
        <v>36980</v>
      </c>
    </row>
    <row r="463" spans="15:20" x14ac:dyDescent="0.25">
      <c r="O463" s="34">
        <v>99418</v>
      </c>
      <c r="P463" s="34" t="s">
        <v>235</v>
      </c>
      <c r="Q463" s="35">
        <v>45672</v>
      </c>
      <c r="R463" s="36" t="s">
        <v>42</v>
      </c>
      <c r="S463" s="36" t="str">
        <f>VLOOKUP(Tabla9[[#This Row],[CODIGO DEL PRODUCTO]],Tabla7[],2,FALSE)</f>
        <v>ARENA FINA</v>
      </c>
      <c r="T463" s="37">
        <v>38000</v>
      </c>
    </row>
    <row r="464" spans="15:20" x14ac:dyDescent="0.25">
      <c r="O464" s="34">
        <v>97503</v>
      </c>
      <c r="P464" s="34" t="s">
        <v>218</v>
      </c>
      <c r="Q464" s="35">
        <v>45672</v>
      </c>
      <c r="R464" s="36" t="s">
        <v>43</v>
      </c>
      <c r="S464" s="36" t="str">
        <f>VLOOKUP(Tabla9[[#This Row],[CODIGO DEL PRODUCTO]],Tabla7[],2,FALSE)</f>
        <v>PIEDRA 6-20</v>
      </c>
      <c r="T464" s="37">
        <v>35920</v>
      </c>
    </row>
    <row r="465" spans="15:20" x14ac:dyDescent="0.25">
      <c r="O465" s="34">
        <v>97508</v>
      </c>
      <c r="P465" s="34" t="s">
        <v>244</v>
      </c>
      <c r="Q465" s="35">
        <v>45672</v>
      </c>
      <c r="R465" s="36" t="s">
        <v>40</v>
      </c>
      <c r="S465" s="36" t="str">
        <f>VLOOKUP(Tabla9[[#This Row],[CODIGO DEL PRODUCTO]],Tabla7[],2,FALSE)</f>
        <v>PIEDRA 0-6</v>
      </c>
      <c r="T465" s="37">
        <v>33840</v>
      </c>
    </row>
    <row r="466" spans="15:20" x14ac:dyDescent="0.25">
      <c r="O466" s="34">
        <v>97511</v>
      </c>
      <c r="P466" s="34" t="s">
        <v>166</v>
      </c>
      <c r="Q466" s="35">
        <v>45672</v>
      </c>
      <c r="R466" s="36" t="s">
        <v>43</v>
      </c>
      <c r="S466" s="36" t="str">
        <f>VLOOKUP(Tabla9[[#This Row],[CODIGO DEL PRODUCTO]],Tabla7[],2,FALSE)</f>
        <v>PIEDRA 6-20</v>
      </c>
      <c r="T466" s="37">
        <v>35480</v>
      </c>
    </row>
    <row r="467" spans="15:20" x14ac:dyDescent="0.25">
      <c r="O467" s="34">
        <v>97517</v>
      </c>
      <c r="P467" s="34" t="s">
        <v>216</v>
      </c>
      <c r="Q467" s="35">
        <v>45672</v>
      </c>
      <c r="R467" s="36" t="s">
        <v>43</v>
      </c>
      <c r="S467" s="36" t="str">
        <f>VLOOKUP(Tabla9[[#This Row],[CODIGO DEL PRODUCTO]],Tabla7[],2,FALSE)</f>
        <v>PIEDRA 6-20</v>
      </c>
      <c r="T467" s="37">
        <v>34880</v>
      </c>
    </row>
    <row r="468" spans="15:20" x14ac:dyDescent="0.25">
      <c r="O468" s="34">
        <v>97520</v>
      </c>
      <c r="P468" s="34" t="s">
        <v>234</v>
      </c>
      <c r="Q468" s="35">
        <v>45672</v>
      </c>
      <c r="R468" s="36" t="s">
        <v>40</v>
      </c>
      <c r="S468" s="36" t="str">
        <f>VLOOKUP(Tabla9[[#This Row],[CODIGO DEL PRODUCTO]],Tabla7[],2,FALSE)</f>
        <v>PIEDRA 0-6</v>
      </c>
      <c r="T468" s="37">
        <v>34780</v>
      </c>
    </row>
    <row r="469" spans="15:20" x14ac:dyDescent="0.25">
      <c r="O469" s="34">
        <v>97521</v>
      </c>
      <c r="P469" s="34" t="s">
        <v>144</v>
      </c>
      <c r="Q469" s="35">
        <v>45672</v>
      </c>
      <c r="R469" s="36" t="s">
        <v>40</v>
      </c>
      <c r="S469" s="36" t="str">
        <f>VLOOKUP(Tabla9[[#This Row],[CODIGO DEL PRODUCTO]],Tabla7[],2,FALSE)</f>
        <v>PIEDRA 0-6</v>
      </c>
      <c r="T469" s="37">
        <v>34960</v>
      </c>
    </row>
    <row r="470" spans="15:20" x14ac:dyDescent="0.25">
      <c r="O470" s="34">
        <v>2602871</v>
      </c>
      <c r="P470" s="34" t="s">
        <v>65</v>
      </c>
      <c r="Q470" s="35">
        <v>45672</v>
      </c>
      <c r="R470" s="36" t="s">
        <v>45</v>
      </c>
      <c r="S470" s="36" t="str">
        <f>VLOOKUP(Tabla9[[#This Row],[CODIGO DEL PRODUCTO]],Tabla7[],2,FALSE)</f>
        <v>CPF 40 AVELLANEDA</v>
      </c>
      <c r="T470" s="37">
        <v>32680</v>
      </c>
    </row>
    <row r="471" spans="15:20" x14ac:dyDescent="0.25">
      <c r="O471" s="34">
        <v>99428</v>
      </c>
      <c r="P471" s="34" t="s">
        <v>235</v>
      </c>
      <c r="Q471" s="35">
        <v>45673</v>
      </c>
      <c r="R471" s="36" t="s">
        <v>42</v>
      </c>
      <c r="S471" s="36" t="str">
        <f>VLOOKUP(Tabla9[[#This Row],[CODIGO DEL PRODUCTO]],Tabla7[],2,FALSE)</f>
        <v>ARENA FINA</v>
      </c>
      <c r="T471" s="37">
        <v>38420</v>
      </c>
    </row>
    <row r="472" spans="15:20" x14ac:dyDescent="0.25">
      <c r="O472" s="34">
        <v>99434</v>
      </c>
      <c r="P472" s="34" t="s">
        <v>235</v>
      </c>
      <c r="Q472" s="35">
        <v>45673</v>
      </c>
      <c r="R472" s="36" t="s">
        <v>42</v>
      </c>
      <c r="S472" s="36" t="str">
        <f>VLOOKUP(Tabla9[[#This Row],[CODIGO DEL PRODUCTO]],Tabla7[],2,FALSE)</f>
        <v>ARENA FINA</v>
      </c>
      <c r="T472" s="37">
        <v>40280</v>
      </c>
    </row>
    <row r="473" spans="15:20" x14ac:dyDescent="0.25">
      <c r="O473" s="34">
        <v>97539</v>
      </c>
      <c r="P473" s="34" t="s">
        <v>234</v>
      </c>
      <c r="Q473" s="35">
        <v>45673</v>
      </c>
      <c r="R473" s="36" t="s">
        <v>40</v>
      </c>
      <c r="S473" s="36" t="str">
        <f>VLOOKUP(Tabla9[[#This Row],[CODIGO DEL PRODUCTO]],Tabla7[],2,FALSE)</f>
        <v>PIEDRA 0-6</v>
      </c>
      <c r="T473" s="37">
        <v>35180</v>
      </c>
    </row>
    <row r="474" spans="15:20" x14ac:dyDescent="0.25">
      <c r="O474" s="34">
        <v>97542</v>
      </c>
      <c r="P474" s="34" t="s">
        <v>160</v>
      </c>
      <c r="Q474" s="35">
        <v>45673</v>
      </c>
      <c r="R474" s="36" t="s">
        <v>43</v>
      </c>
      <c r="S474" s="36" t="str">
        <f>VLOOKUP(Tabla9[[#This Row],[CODIGO DEL PRODUCTO]],Tabla7[],2,FALSE)</f>
        <v>PIEDRA 6-20</v>
      </c>
      <c r="T474" s="37">
        <v>35820</v>
      </c>
    </row>
    <row r="475" spans="15:20" x14ac:dyDescent="0.25">
      <c r="O475" s="34">
        <v>97547</v>
      </c>
      <c r="P475" s="34" t="s">
        <v>166</v>
      </c>
      <c r="Q475" s="35">
        <v>45673</v>
      </c>
      <c r="R475" s="36" t="s">
        <v>43</v>
      </c>
      <c r="S475" s="36" t="str">
        <f>VLOOKUP(Tabla9[[#This Row],[CODIGO DEL PRODUCTO]],Tabla7[],2,FALSE)</f>
        <v>PIEDRA 6-20</v>
      </c>
      <c r="T475" s="37">
        <v>34440</v>
      </c>
    </row>
    <row r="476" spans="15:20" x14ac:dyDescent="0.25">
      <c r="O476" s="34">
        <v>97550</v>
      </c>
      <c r="P476" s="34" t="s">
        <v>144</v>
      </c>
      <c r="Q476" s="35">
        <v>45673</v>
      </c>
      <c r="R476" s="36" t="s">
        <v>40</v>
      </c>
      <c r="S476" s="36" t="str">
        <f>VLOOKUP(Tabla9[[#This Row],[CODIGO DEL PRODUCTO]],Tabla7[],2,FALSE)</f>
        <v>PIEDRA 0-6</v>
      </c>
      <c r="T476" s="37">
        <v>35180</v>
      </c>
    </row>
    <row r="477" spans="15:20" x14ac:dyDescent="0.25">
      <c r="O477" s="34">
        <v>97554</v>
      </c>
      <c r="P477" s="34" t="s">
        <v>216</v>
      </c>
      <c r="Q477" s="35">
        <v>45673</v>
      </c>
      <c r="R477" s="36" t="s">
        <v>43</v>
      </c>
      <c r="S477" s="36" t="str">
        <f>VLOOKUP(Tabla9[[#This Row],[CODIGO DEL PRODUCTO]],Tabla7[],2,FALSE)</f>
        <v>PIEDRA 6-20</v>
      </c>
      <c r="T477" s="37">
        <v>34860</v>
      </c>
    </row>
    <row r="478" spans="15:20" x14ac:dyDescent="0.25">
      <c r="O478" s="34">
        <v>2603194</v>
      </c>
      <c r="P478" s="34" t="s">
        <v>65</v>
      </c>
      <c r="Q478" s="35">
        <v>45673</v>
      </c>
      <c r="R478" s="36" t="s">
        <v>45</v>
      </c>
      <c r="S478" s="36" t="str">
        <f>VLOOKUP(Tabla9[[#This Row],[CODIGO DEL PRODUCTO]],Tabla7[],2,FALSE)</f>
        <v>CPF 40 AVELLANEDA</v>
      </c>
      <c r="T478" s="37">
        <v>32780</v>
      </c>
    </row>
    <row r="479" spans="15:20" x14ac:dyDescent="0.25">
      <c r="O479" s="34">
        <v>99440</v>
      </c>
      <c r="P479" s="34" t="s">
        <v>235</v>
      </c>
      <c r="Q479" s="35">
        <v>45674</v>
      </c>
      <c r="R479" s="36" t="s">
        <v>42</v>
      </c>
      <c r="S479" s="36" t="str">
        <f>VLOOKUP(Tabla9[[#This Row],[CODIGO DEL PRODUCTO]],Tabla7[],2,FALSE)</f>
        <v>ARENA FINA</v>
      </c>
      <c r="T479" s="37">
        <v>38800</v>
      </c>
    </row>
    <row r="480" spans="15:20" x14ac:dyDescent="0.25">
      <c r="O480" s="34">
        <v>99449</v>
      </c>
      <c r="P480" s="34" t="s">
        <v>235</v>
      </c>
      <c r="Q480" s="35">
        <v>45674</v>
      </c>
      <c r="R480" s="36" t="s">
        <v>42</v>
      </c>
      <c r="S480" s="36" t="str">
        <f>VLOOKUP(Tabla9[[#This Row],[CODIGO DEL PRODUCTO]],Tabla7[],2,FALSE)</f>
        <v>ARENA FINA</v>
      </c>
      <c r="T480" s="37">
        <v>38320</v>
      </c>
    </row>
    <row r="481" spans="15:20" x14ac:dyDescent="0.25">
      <c r="O481" s="34">
        <v>97584</v>
      </c>
      <c r="P481" s="34" t="s">
        <v>249</v>
      </c>
      <c r="Q481" s="35">
        <v>45674</v>
      </c>
      <c r="R481" s="36" t="s">
        <v>43</v>
      </c>
      <c r="S481" s="36" t="str">
        <f>VLOOKUP(Tabla9[[#This Row],[CODIGO DEL PRODUCTO]],Tabla7[],2,FALSE)</f>
        <v>PIEDRA 6-20</v>
      </c>
      <c r="T481" s="37">
        <v>35060</v>
      </c>
    </row>
    <row r="482" spans="15:20" x14ac:dyDescent="0.25">
      <c r="O482" s="34">
        <v>97585</v>
      </c>
      <c r="P482" s="34" t="s">
        <v>166</v>
      </c>
      <c r="Q482" s="35">
        <v>45674</v>
      </c>
      <c r="R482" s="36" t="s">
        <v>43</v>
      </c>
      <c r="S482" s="36" t="str">
        <f>VLOOKUP(Tabla9[[#This Row],[CODIGO DEL PRODUCTO]],Tabla7[],2,FALSE)</f>
        <v>PIEDRA 6-20</v>
      </c>
      <c r="T482" s="37">
        <v>35100</v>
      </c>
    </row>
    <row r="483" spans="15:20" x14ac:dyDescent="0.25">
      <c r="O483" s="34">
        <v>97587</v>
      </c>
      <c r="P483" s="34" t="s">
        <v>234</v>
      </c>
      <c r="Q483" s="35">
        <v>45674</v>
      </c>
      <c r="R483" s="36" t="s">
        <v>40</v>
      </c>
      <c r="S483" s="36" t="str">
        <f>VLOOKUP(Tabla9[[#This Row],[CODIGO DEL PRODUCTO]],Tabla7[],2,FALSE)</f>
        <v>PIEDRA 0-6</v>
      </c>
      <c r="T483" s="37">
        <v>35660</v>
      </c>
    </row>
    <row r="484" spans="15:20" x14ac:dyDescent="0.25">
      <c r="O484" s="34">
        <v>97593</v>
      </c>
      <c r="P484" s="34" t="s">
        <v>216</v>
      </c>
      <c r="Q484" s="35">
        <v>45674</v>
      </c>
      <c r="R484" s="36" t="s">
        <v>43</v>
      </c>
      <c r="S484" s="36" t="str">
        <f>VLOOKUP(Tabla9[[#This Row],[CODIGO DEL PRODUCTO]],Tabla7[],2,FALSE)</f>
        <v>PIEDRA 6-20</v>
      </c>
      <c r="T484" s="37">
        <v>34280</v>
      </c>
    </row>
    <row r="485" spans="15:20" x14ac:dyDescent="0.25">
      <c r="O485" s="34">
        <v>97599</v>
      </c>
      <c r="P485" s="34" t="s">
        <v>144</v>
      </c>
      <c r="Q485" s="35">
        <v>45674</v>
      </c>
      <c r="R485" s="36" t="s">
        <v>40</v>
      </c>
      <c r="S485" s="36" t="str">
        <f>VLOOKUP(Tabla9[[#This Row],[CODIGO DEL PRODUCTO]],Tabla7[],2,FALSE)</f>
        <v>PIEDRA 0-6</v>
      </c>
      <c r="T485" s="37">
        <v>35380</v>
      </c>
    </row>
    <row r="486" spans="15:20" x14ac:dyDescent="0.25">
      <c r="O486" s="34">
        <v>2603475</v>
      </c>
      <c r="P486" s="34" t="s">
        <v>65</v>
      </c>
      <c r="Q486" s="35">
        <v>45674</v>
      </c>
      <c r="R486" s="36" t="s">
        <v>45</v>
      </c>
      <c r="S486" s="36" t="str">
        <f>VLOOKUP(Tabla9[[#This Row],[CODIGO DEL PRODUCTO]],Tabla7[],2,FALSE)</f>
        <v>CPF 40 AVELLANEDA</v>
      </c>
      <c r="T486" s="37">
        <v>32800</v>
      </c>
    </row>
    <row r="487" spans="15:20" x14ac:dyDescent="0.25">
      <c r="O487" s="34">
        <v>99453</v>
      </c>
      <c r="P487" s="34" t="s">
        <v>235</v>
      </c>
      <c r="Q487" s="35">
        <v>45675</v>
      </c>
      <c r="R487" s="36" t="s">
        <v>42</v>
      </c>
      <c r="S487" s="36" t="str">
        <f>VLOOKUP(Tabla9[[#This Row],[CODIGO DEL PRODUCTO]],Tabla7[],2,FALSE)</f>
        <v>ARENA FINA</v>
      </c>
      <c r="T487" s="37">
        <v>37520</v>
      </c>
    </row>
    <row r="488" spans="15:20" x14ac:dyDescent="0.25">
      <c r="O488" s="34">
        <v>130592</v>
      </c>
      <c r="P488" s="34" t="s">
        <v>116</v>
      </c>
      <c r="Q488" s="35">
        <v>45675</v>
      </c>
      <c r="R488" s="36" t="s">
        <v>46</v>
      </c>
      <c r="S488" s="36" t="str">
        <f>VLOOKUP(Tabla9[[#This Row],[CODIGO DEL PRODUCTO]],Tabla7[],2,FALSE)</f>
        <v>PIEDRA 10-30</v>
      </c>
      <c r="T488" s="37">
        <v>36020</v>
      </c>
    </row>
    <row r="489" spans="15:20" x14ac:dyDescent="0.25">
      <c r="O489" s="34">
        <v>99458</v>
      </c>
      <c r="P489" s="34" t="s">
        <v>235</v>
      </c>
      <c r="Q489" s="35">
        <v>45677</v>
      </c>
      <c r="R489" s="36" t="s">
        <v>42</v>
      </c>
      <c r="S489" s="36" t="str">
        <f>VLOOKUP(Tabla9[[#This Row],[CODIGO DEL PRODUCTO]],Tabla7[],2,FALSE)</f>
        <v>ARENA FINA</v>
      </c>
      <c r="T489" s="37">
        <v>37860</v>
      </c>
    </row>
    <row r="490" spans="15:20" x14ac:dyDescent="0.25">
      <c r="O490" s="34">
        <v>99464</v>
      </c>
      <c r="P490" s="34" t="s">
        <v>235</v>
      </c>
      <c r="Q490" s="35">
        <v>45677</v>
      </c>
      <c r="R490" s="36" t="s">
        <v>42</v>
      </c>
      <c r="S490" s="36" t="str">
        <f>VLOOKUP(Tabla9[[#This Row],[CODIGO DEL PRODUCTO]],Tabla7[],2,FALSE)</f>
        <v>ARENA FINA</v>
      </c>
      <c r="T490" s="37">
        <v>37620</v>
      </c>
    </row>
    <row r="491" spans="15:20" x14ac:dyDescent="0.25">
      <c r="O491" s="34">
        <v>97637</v>
      </c>
      <c r="P491" s="34" t="s">
        <v>234</v>
      </c>
      <c r="Q491" s="35">
        <v>45677</v>
      </c>
      <c r="R491" s="36" t="s">
        <v>40</v>
      </c>
      <c r="S491" s="36" t="str">
        <f>VLOOKUP(Tabla9[[#This Row],[CODIGO DEL PRODUCTO]],Tabla7[],2,FALSE)</f>
        <v>PIEDRA 0-6</v>
      </c>
      <c r="T491" s="37">
        <v>36000</v>
      </c>
    </row>
    <row r="492" spans="15:20" x14ac:dyDescent="0.25">
      <c r="O492" s="34">
        <v>97638</v>
      </c>
      <c r="P492" s="34" t="s">
        <v>216</v>
      </c>
      <c r="Q492" s="35">
        <v>45677</v>
      </c>
      <c r="R492" s="36" t="s">
        <v>43</v>
      </c>
      <c r="S492" s="36" t="str">
        <f>VLOOKUP(Tabla9[[#This Row],[CODIGO DEL PRODUCTO]],Tabla7[],2,FALSE)</f>
        <v>PIEDRA 6-20</v>
      </c>
      <c r="T492" s="37">
        <v>34580</v>
      </c>
    </row>
    <row r="493" spans="15:20" x14ac:dyDescent="0.25">
      <c r="O493" s="34">
        <v>97644</v>
      </c>
      <c r="P493" s="34" t="s">
        <v>144</v>
      </c>
      <c r="Q493" s="35">
        <v>45677</v>
      </c>
      <c r="R493" s="36" t="s">
        <v>40</v>
      </c>
      <c r="S493" s="36" t="str">
        <f>VLOOKUP(Tabla9[[#This Row],[CODIGO DEL PRODUCTO]],Tabla7[],2,FALSE)</f>
        <v>PIEDRA 0-6</v>
      </c>
      <c r="T493" s="37">
        <v>35280</v>
      </c>
    </row>
    <row r="494" spans="15:20" x14ac:dyDescent="0.25">
      <c r="O494" s="34">
        <v>97649</v>
      </c>
      <c r="P494" s="34" t="s">
        <v>215</v>
      </c>
      <c r="Q494" s="35">
        <v>45677</v>
      </c>
      <c r="R494" s="36" t="s">
        <v>43</v>
      </c>
      <c r="S494" s="36" t="str">
        <f>VLOOKUP(Tabla9[[#This Row],[CODIGO DEL PRODUCTO]],Tabla7[],2,FALSE)</f>
        <v>PIEDRA 6-20</v>
      </c>
      <c r="T494" s="37">
        <v>35260</v>
      </c>
    </row>
    <row r="495" spans="15:20" x14ac:dyDescent="0.25">
      <c r="O495" s="34">
        <v>2603957</v>
      </c>
      <c r="P495" s="34" t="s">
        <v>219</v>
      </c>
      <c r="Q495" s="35">
        <v>45677</v>
      </c>
      <c r="R495" s="36" t="s">
        <v>45</v>
      </c>
      <c r="S495" s="36" t="str">
        <f>VLOOKUP(Tabla9[[#This Row],[CODIGO DEL PRODUCTO]],Tabla7[],2,FALSE)</f>
        <v>CPF 40 AVELLANEDA</v>
      </c>
      <c r="T495" s="37">
        <v>36200</v>
      </c>
    </row>
    <row r="496" spans="15:20" x14ac:dyDescent="0.25">
      <c r="O496" s="34">
        <v>99470</v>
      </c>
      <c r="P496" s="34" t="s">
        <v>235</v>
      </c>
      <c r="Q496" s="35">
        <v>45678</v>
      </c>
      <c r="R496" s="36" t="s">
        <v>42</v>
      </c>
      <c r="S496" s="36" t="str">
        <f>VLOOKUP(Tabla9[[#This Row],[CODIGO DEL PRODUCTO]],Tabla7[],2,FALSE)</f>
        <v>ARENA FINA</v>
      </c>
      <c r="T496" s="37">
        <v>37980</v>
      </c>
    </row>
    <row r="497" spans="15:20" x14ac:dyDescent="0.25">
      <c r="O497" s="34">
        <v>99475</v>
      </c>
      <c r="P497" s="34" t="s">
        <v>235</v>
      </c>
      <c r="Q497" s="35">
        <v>45678</v>
      </c>
      <c r="R497" s="36" t="s">
        <v>42</v>
      </c>
      <c r="S497" s="36" t="str">
        <f>VLOOKUP(Tabla9[[#This Row],[CODIGO DEL PRODUCTO]],Tabla7[],2,FALSE)</f>
        <v>ARENA FINA</v>
      </c>
      <c r="T497" s="37">
        <v>37660</v>
      </c>
    </row>
    <row r="498" spans="15:20" x14ac:dyDescent="0.25">
      <c r="O498" s="34">
        <v>97664</v>
      </c>
      <c r="P498" s="34" t="s">
        <v>218</v>
      </c>
      <c r="Q498" s="35">
        <v>45678</v>
      </c>
      <c r="R498" s="36" t="s">
        <v>43</v>
      </c>
      <c r="S498" s="36" t="str">
        <f>VLOOKUP(Tabla9[[#This Row],[CODIGO DEL PRODUCTO]],Tabla7[],2,FALSE)</f>
        <v>PIEDRA 6-20</v>
      </c>
      <c r="T498" s="37">
        <v>36300</v>
      </c>
    </row>
    <row r="499" spans="15:20" x14ac:dyDescent="0.25">
      <c r="O499" s="34">
        <v>97676</v>
      </c>
      <c r="P499" s="34" t="s">
        <v>234</v>
      </c>
      <c r="Q499" s="35">
        <v>45678</v>
      </c>
      <c r="R499" s="36" t="s">
        <v>40</v>
      </c>
      <c r="S499" s="36" t="str">
        <f>VLOOKUP(Tabla9[[#This Row],[CODIGO DEL PRODUCTO]],Tabla7[],2,FALSE)</f>
        <v>PIEDRA 0-6</v>
      </c>
      <c r="T499" s="37">
        <v>34800</v>
      </c>
    </row>
    <row r="500" spans="15:20" x14ac:dyDescent="0.25">
      <c r="O500" s="34">
        <v>97677</v>
      </c>
      <c r="P500" s="34" t="s">
        <v>216</v>
      </c>
      <c r="Q500" s="35">
        <v>45678</v>
      </c>
      <c r="R500" s="36" t="s">
        <v>43</v>
      </c>
      <c r="S500" s="36" t="str">
        <f>VLOOKUP(Tabla9[[#This Row],[CODIGO DEL PRODUCTO]],Tabla7[],2,FALSE)</f>
        <v>PIEDRA 6-20</v>
      </c>
      <c r="T500" s="37">
        <v>35220</v>
      </c>
    </row>
    <row r="501" spans="15:20" x14ac:dyDescent="0.25">
      <c r="O501" s="34">
        <v>97683</v>
      </c>
      <c r="P501" s="34" t="s">
        <v>144</v>
      </c>
      <c r="Q501" s="35">
        <v>45678</v>
      </c>
      <c r="R501" s="36" t="s">
        <v>40</v>
      </c>
      <c r="S501" s="36" t="str">
        <f>VLOOKUP(Tabla9[[#This Row],[CODIGO DEL PRODUCTO]],Tabla7[],2,FALSE)</f>
        <v>PIEDRA 0-6</v>
      </c>
      <c r="T501" s="37">
        <v>34840</v>
      </c>
    </row>
    <row r="502" spans="15:20" x14ac:dyDescent="0.25">
      <c r="O502" s="34">
        <v>2604176</v>
      </c>
      <c r="P502" s="34" t="s">
        <v>219</v>
      </c>
      <c r="Q502" s="35">
        <v>45678</v>
      </c>
      <c r="R502" s="36" t="s">
        <v>45</v>
      </c>
      <c r="S502" s="36" t="str">
        <f>VLOOKUP(Tabla9[[#This Row],[CODIGO DEL PRODUCTO]],Tabla7[],2,FALSE)</f>
        <v>CPF 40 AVELLANEDA</v>
      </c>
      <c r="T502" s="37">
        <v>35780</v>
      </c>
    </row>
    <row r="503" spans="15:20" x14ac:dyDescent="0.25">
      <c r="O503" s="34">
        <v>99481</v>
      </c>
      <c r="P503" s="34" t="s">
        <v>235</v>
      </c>
      <c r="Q503" s="35">
        <v>45679</v>
      </c>
      <c r="R503" s="36" t="s">
        <v>42</v>
      </c>
      <c r="S503" s="36" t="str">
        <f>VLOOKUP(Tabla9[[#This Row],[CODIGO DEL PRODUCTO]],Tabla7[],2,FALSE)</f>
        <v>ARENA FINA</v>
      </c>
      <c r="T503" s="37">
        <v>37640</v>
      </c>
    </row>
    <row r="504" spans="15:20" x14ac:dyDescent="0.25">
      <c r="O504" s="34">
        <v>99485</v>
      </c>
      <c r="P504" s="34" t="s">
        <v>235</v>
      </c>
      <c r="Q504" s="35">
        <v>45679</v>
      </c>
      <c r="R504" s="36" t="s">
        <v>42</v>
      </c>
      <c r="S504" s="36" t="str">
        <f>VLOOKUP(Tabla9[[#This Row],[CODIGO DEL PRODUCTO]],Tabla7[],2,FALSE)</f>
        <v>ARENA FINA</v>
      </c>
      <c r="T504" s="37">
        <v>38520</v>
      </c>
    </row>
    <row r="505" spans="15:20" x14ac:dyDescent="0.25">
      <c r="O505" s="34">
        <v>97715</v>
      </c>
      <c r="P505" s="34" t="s">
        <v>234</v>
      </c>
      <c r="Q505" s="35">
        <v>45679</v>
      </c>
      <c r="R505" s="36" t="s">
        <v>40</v>
      </c>
      <c r="S505" s="36" t="str">
        <f>VLOOKUP(Tabla9[[#This Row],[CODIGO DEL PRODUCTO]],Tabla7[],2,FALSE)</f>
        <v>PIEDRA 0-6</v>
      </c>
      <c r="T505" s="37">
        <v>35320</v>
      </c>
    </row>
    <row r="506" spans="15:20" x14ac:dyDescent="0.25">
      <c r="O506" s="34">
        <v>97718</v>
      </c>
      <c r="P506" s="34" t="s">
        <v>216</v>
      </c>
      <c r="Q506" s="35">
        <v>45679</v>
      </c>
      <c r="R506" s="36" t="s">
        <v>43</v>
      </c>
      <c r="S506" s="36" t="str">
        <f>VLOOKUP(Tabla9[[#This Row],[CODIGO DEL PRODUCTO]],Tabla7[],2,FALSE)</f>
        <v>PIEDRA 6-20</v>
      </c>
      <c r="T506" s="37">
        <v>34620</v>
      </c>
    </row>
    <row r="507" spans="15:20" x14ac:dyDescent="0.25">
      <c r="O507" s="34">
        <v>97726</v>
      </c>
      <c r="P507" s="34" t="s">
        <v>144</v>
      </c>
      <c r="Q507" s="35">
        <v>45679</v>
      </c>
      <c r="R507" s="36" t="s">
        <v>40</v>
      </c>
      <c r="S507" s="36" t="str">
        <f>VLOOKUP(Tabla9[[#This Row],[CODIGO DEL PRODUCTO]],Tabla7[],2,FALSE)</f>
        <v>PIEDRA 0-6</v>
      </c>
      <c r="T507" s="37">
        <v>34820</v>
      </c>
    </row>
    <row r="508" spans="15:20" x14ac:dyDescent="0.25">
      <c r="O508" s="34">
        <v>97730</v>
      </c>
      <c r="P508" s="34" t="s">
        <v>215</v>
      </c>
      <c r="Q508" s="35">
        <v>45679</v>
      </c>
      <c r="R508" s="36" t="s">
        <v>43</v>
      </c>
      <c r="S508" s="36" t="str">
        <f>VLOOKUP(Tabla9[[#This Row],[CODIGO DEL PRODUCTO]],Tabla7[],2,FALSE)</f>
        <v>PIEDRA 6-20</v>
      </c>
      <c r="T508" s="37">
        <v>35740</v>
      </c>
    </row>
    <row r="509" spans="15:20" x14ac:dyDescent="0.25">
      <c r="O509" s="34">
        <v>2604444</v>
      </c>
      <c r="P509" s="34" t="s">
        <v>219</v>
      </c>
      <c r="Q509" s="35">
        <v>45679</v>
      </c>
      <c r="R509" s="36" t="s">
        <v>45</v>
      </c>
      <c r="S509" s="36" t="str">
        <f>VLOOKUP(Tabla9[[#This Row],[CODIGO DEL PRODUCTO]],Tabla7[],2,FALSE)</f>
        <v>CPF 40 AVELLANEDA</v>
      </c>
      <c r="T509" s="37">
        <v>36080</v>
      </c>
    </row>
    <row r="510" spans="15:20" x14ac:dyDescent="0.25">
      <c r="O510" s="34">
        <v>99490</v>
      </c>
      <c r="P510" s="34" t="s">
        <v>235</v>
      </c>
      <c r="Q510" s="35">
        <v>45680</v>
      </c>
      <c r="R510" s="36" t="s">
        <v>42</v>
      </c>
      <c r="S510" s="36" t="str">
        <f>VLOOKUP(Tabla9[[#This Row],[CODIGO DEL PRODUCTO]],Tabla7[],2,FALSE)</f>
        <v>ARENA FINA</v>
      </c>
      <c r="T510" s="37">
        <v>37280</v>
      </c>
    </row>
    <row r="511" spans="15:20" x14ac:dyDescent="0.25">
      <c r="O511" s="34">
        <v>99494</v>
      </c>
      <c r="P511" s="34" t="s">
        <v>235</v>
      </c>
      <c r="Q511" s="35">
        <v>45680</v>
      </c>
      <c r="R511" s="36" t="s">
        <v>42</v>
      </c>
      <c r="S511" s="36" t="str">
        <f>VLOOKUP(Tabla9[[#This Row],[CODIGO DEL PRODUCTO]],Tabla7[],2,FALSE)</f>
        <v>ARENA FINA</v>
      </c>
      <c r="T511" s="37">
        <v>38580</v>
      </c>
    </row>
    <row r="512" spans="15:20" x14ac:dyDescent="0.25">
      <c r="O512" s="34">
        <v>97749</v>
      </c>
      <c r="P512" s="34" t="s">
        <v>215</v>
      </c>
      <c r="Q512" s="35">
        <v>45680</v>
      </c>
      <c r="R512" s="36" t="s">
        <v>43</v>
      </c>
      <c r="S512" s="36" t="str">
        <f>VLOOKUP(Tabla9[[#This Row],[CODIGO DEL PRODUCTO]],Tabla7[],2,FALSE)</f>
        <v>PIEDRA 6-20</v>
      </c>
      <c r="T512" s="37">
        <v>35220</v>
      </c>
    </row>
    <row r="513" spans="15:20" x14ac:dyDescent="0.25">
      <c r="O513" s="34">
        <v>97754</v>
      </c>
      <c r="P513" s="34" t="s">
        <v>216</v>
      </c>
      <c r="Q513" s="35">
        <v>45680</v>
      </c>
      <c r="R513" s="36" t="s">
        <v>43</v>
      </c>
      <c r="S513" s="36" t="str">
        <f>VLOOKUP(Tabla9[[#This Row],[CODIGO DEL PRODUCTO]],Tabla7[],2,FALSE)</f>
        <v>PIEDRA 6-20</v>
      </c>
      <c r="T513" s="37">
        <v>34620</v>
      </c>
    </row>
    <row r="514" spans="15:20" x14ac:dyDescent="0.25">
      <c r="O514" s="34">
        <v>97762</v>
      </c>
      <c r="P514" s="34" t="s">
        <v>144</v>
      </c>
      <c r="Q514" s="35">
        <v>45680</v>
      </c>
      <c r="R514" s="36" t="s">
        <v>40</v>
      </c>
      <c r="S514" s="36" t="str">
        <f>VLOOKUP(Tabla9[[#This Row],[CODIGO DEL PRODUCTO]],Tabla7[],2,FALSE)</f>
        <v>PIEDRA 0-6</v>
      </c>
      <c r="T514" s="37">
        <v>35540</v>
      </c>
    </row>
    <row r="515" spans="15:20" x14ac:dyDescent="0.25">
      <c r="O515" s="34">
        <v>2604744</v>
      </c>
      <c r="P515" s="34" t="s">
        <v>219</v>
      </c>
      <c r="Q515" s="35">
        <v>45680</v>
      </c>
      <c r="R515" s="36" t="s">
        <v>45</v>
      </c>
      <c r="S515" s="36" t="str">
        <f>VLOOKUP(Tabla9[[#This Row],[CODIGO DEL PRODUCTO]],Tabla7[],2,FALSE)</f>
        <v>CPF 40 AVELLANEDA</v>
      </c>
      <c r="T515" s="37">
        <v>36140</v>
      </c>
    </row>
    <row r="516" spans="15:20" x14ac:dyDescent="0.25">
      <c r="O516" s="34">
        <v>99509</v>
      </c>
      <c r="P516" s="34" t="s">
        <v>235</v>
      </c>
      <c r="Q516" s="35">
        <v>45680</v>
      </c>
      <c r="R516" s="36" t="s">
        <v>42</v>
      </c>
      <c r="S516" s="36" t="str">
        <f>VLOOKUP(Tabla9[[#This Row],[CODIGO DEL PRODUCTO]],Tabla7[],2,FALSE)</f>
        <v>ARENA FINA</v>
      </c>
      <c r="T516" s="37">
        <v>37700</v>
      </c>
    </row>
    <row r="517" spans="15:20" x14ac:dyDescent="0.25">
      <c r="O517" s="34">
        <v>97759</v>
      </c>
      <c r="P517" s="34" t="s">
        <v>234</v>
      </c>
      <c r="Q517" s="35">
        <v>45680</v>
      </c>
      <c r="R517" s="36" t="s">
        <v>40</v>
      </c>
      <c r="S517" s="36" t="str">
        <f>VLOOKUP(Tabla9[[#This Row],[CODIGO DEL PRODUCTO]],Tabla7[],2,FALSE)</f>
        <v>PIEDRA 0-6</v>
      </c>
      <c r="T517" s="37">
        <v>35420</v>
      </c>
    </row>
    <row r="518" spans="15:20" x14ac:dyDescent="0.25">
      <c r="O518" s="34">
        <v>99501</v>
      </c>
      <c r="P518" s="34" t="s">
        <v>235</v>
      </c>
      <c r="Q518" s="35">
        <v>45681</v>
      </c>
      <c r="R518" s="36" t="s">
        <v>42</v>
      </c>
      <c r="S518" s="36" t="str">
        <f>VLOOKUP(Tabla9[[#This Row],[CODIGO DEL PRODUCTO]],Tabla7[],2,FALSE)</f>
        <v>ARENA FINA</v>
      </c>
      <c r="T518" s="37">
        <v>37280</v>
      </c>
    </row>
    <row r="519" spans="15:20" x14ac:dyDescent="0.25">
      <c r="O519" s="34">
        <v>97790</v>
      </c>
      <c r="P519" s="34" t="s">
        <v>215</v>
      </c>
      <c r="Q519" s="35">
        <v>45681</v>
      </c>
      <c r="R519" s="36" t="s">
        <v>43</v>
      </c>
      <c r="S519" s="36" t="str">
        <f>VLOOKUP(Tabla9[[#This Row],[CODIGO DEL PRODUCTO]],Tabla7[],2,FALSE)</f>
        <v>PIEDRA 6-20</v>
      </c>
      <c r="T519" s="37">
        <v>35420</v>
      </c>
    </row>
    <row r="520" spans="15:20" x14ac:dyDescent="0.25">
      <c r="O520" s="34">
        <v>97797</v>
      </c>
      <c r="P520" s="34" t="s">
        <v>216</v>
      </c>
      <c r="Q520" s="35">
        <v>45681</v>
      </c>
      <c r="R520" s="36" t="s">
        <v>43</v>
      </c>
      <c r="S520" s="36" t="str">
        <f>VLOOKUP(Tabla9[[#This Row],[CODIGO DEL PRODUCTO]],Tabla7[],2,FALSE)</f>
        <v>PIEDRA 6-20</v>
      </c>
      <c r="T520" s="37">
        <v>34700</v>
      </c>
    </row>
    <row r="521" spans="15:20" x14ac:dyDescent="0.25">
      <c r="O521" s="34">
        <v>97801</v>
      </c>
      <c r="P521" s="34" t="s">
        <v>144</v>
      </c>
      <c r="Q521" s="35">
        <v>45681</v>
      </c>
      <c r="R521" s="36" t="s">
        <v>40</v>
      </c>
      <c r="S521" s="36" t="str">
        <f>VLOOKUP(Tabla9[[#This Row],[CODIGO DEL PRODUCTO]],Tabla7[],2,FALSE)</f>
        <v>PIEDRA 0-6</v>
      </c>
      <c r="T521" s="37">
        <v>34700</v>
      </c>
    </row>
    <row r="522" spans="15:20" x14ac:dyDescent="0.25">
      <c r="O522" s="34">
        <v>130873</v>
      </c>
      <c r="P522" s="34" t="s">
        <v>239</v>
      </c>
      <c r="Q522" s="35">
        <v>45681</v>
      </c>
      <c r="R522" s="36" t="s">
        <v>40</v>
      </c>
      <c r="S522" s="36" t="str">
        <f>VLOOKUP(Tabla9[[#This Row],[CODIGO DEL PRODUCTO]],Tabla7[],2,FALSE)</f>
        <v>PIEDRA 0-6</v>
      </c>
      <c r="T522" s="37">
        <v>32600</v>
      </c>
    </row>
    <row r="523" spans="15:20" x14ac:dyDescent="0.25">
      <c r="O523" s="34">
        <v>2605124</v>
      </c>
      <c r="P523" s="34" t="s">
        <v>219</v>
      </c>
      <c r="Q523" s="35">
        <v>45681</v>
      </c>
      <c r="R523" s="36" t="s">
        <v>45</v>
      </c>
      <c r="S523" s="36" t="str">
        <f>VLOOKUP(Tabla9[[#This Row],[CODIGO DEL PRODUCTO]],Tabla7[],2,FALSE)</f>
        <v>CPF 40 AVELLANEDA</v>
      </c>
      <c r="T523" s="37">
        <v>36460</v>
      </c>
    </row>
    <row r="524" spans="15:20" x14ac:dyDescent="0.25">
      <c r="O524" s="34">
        <v>99521</v>
      </c>
      <c r="P524" s="34" t="s">
        <v>235</v>
      </c>
      <c r="Q524" s="35">
        <v>45682</v>
      </c>
      <c r="R524" s="36" t="s">
        <v>42</v>
      </c>
      <c r="S524" s="36" t="str">
        <f>VLOOKUP(Tabla9[[#This Row],[CODIGO DEL PRODUCTO]],Tabla7[],2,FALSE)</f>
        <v>ARENA FINA</v>
      </c>
      <c r="T524" s="37">
        <v>37580</v>
      </c>
    </row>
    <row r="525" spans="15:20" x14ac:dyDescent="0.25">
      <c r="O525" s="34">
        <v>97808</v>
      </c>
      <c r="P525" s="34" t="s">
        <v>234</v>
      </c>
      <c r="Q525" s="35">
        <v>45682</v>
      </c>
      <c r="R525" s="36" t="s">
        <v>40</v>
      </c>
      <c r="S525" s="36" t="str">
        <f>VLOOKUP(Tabla9[[#This Row],[CODIGO DEL PRODUCTO]],Tabla7[],2,FALSE)</f>
        <v>PIEDRA 0-6</v>
      </c>
      <c r="T525" s="37">
        <v>35320</v>
      </c>
    </row>
    <row r="526" spans="15:20" x14ac:dyDescent="0.25">
      <c r="O526" s="34">
        <v>99524</v>
      </c>
      <c r="P526" s="34" t="s">
        <v>235</v>
      </c>
      <c r="Q526" s="35">
        <v>45684</v>
      </c>
      <c r="R526" s="36" t="s">
        <v>42</v>
      </c>
      <c r="S526" s="36" t="str">
        <f>VLOOKUP(Tabla9[[#This Row],[CODIGO DEL PRODUCTO]],Tabla7[],2,FALSE)</f>
        <v>ARENA FINA</v>
      </c>
      <c r="T526" s="37">
        <v>38880</v>
      </c>
    </row>
    <row r="527" spans="15:20" x14ac:dyDescent="0.25">
      <c r="O527" s="34">
        <v>99529</v>
      </c>
      <c r="P527" s="34" t="s">
        <v>235</v>
      </c>
      <c r="Q527" s="35">
        <v>45684</v>
      </c>
      <c r="R527" s="36" t="s">
        <v>42</v>
      </c>
      <c r="S527" s="36" t="str">
        <f>VLOOKUP(Tabla9[[#This Row],[CODIGO DEL PRODUCTO]],Tabla7[],2,FALSE)</f>
        <v>ARENA FINA</v>
      </c>
      <c r="T527" s="37">
        <v>38420</v>
      </c>
    </row>
    <row r="528" spans="15:20" x14ac:dyDescent="0.25">
      <c r="O528" s="34">
        <v>97833</v>
      </c>
      <c r="P528" s="34" t="s">
        <v>216</v>
      </c>
      <c r="Q528" s="35">
        <v>45684</v>
      </c>
      <c r="R528" s="36" t="s">
        <v>43</v>
      </c>
      <c r="S528" s="36" t="str">
        <f>VLOOKUP(Tabla9[[#This Row],[CODIGO DEL PRODUCTO]],Tabla7[],2,FALSE)</f>
        <v>PIEDRA 6-20</v>
      </c>
      <c r="T528" s="37">
        <v>34160</v>
      </c>
    </row>
    <row r="529" spans="15:20" x14ac:dyDescent="0.25">
      <c r="O529" s="34">
        <v>97835</v>
      </c>
      <c r="P529" s="34" t="s">
        <v>234</v>
      </c>
      <c r="Q529" s="35">
        <v>45684</v>
      </c>
      <c r="R529" s="36" t="s">
        <v>40</v>
      </c>
      <c r="S529" s="36" t="str">
        <f>VLOOKUP(Tabla9[[#This Row],[CODIGO DEL PRODUCTO]],Tabla7[],2,FALSE)</f>
        <v>PIEDRA 0-6</v>
      </c>
      <c r="T529" s="37">
        <v>35220</v>
      </c>
    </row>
    <row r="530" spans="15:20" x14ac:dyDescent="0.25">
      <c r="O530" s="34">
        <v>97836</v>
      </c>
      <c r="P530" s="34" t="s">
        <v>252</v>
      </c>
      <c r="Q530" s="35">
        <v>45684</v>
      </c>
      <c r="R530" s="36" t="s">
        <v>40</v>
      </c>
      <c r="S530" s="36" t="str">
        <f>VLOOKUP(Tabla9[[#This Row],[CODIGO DEL PRODUCTO]],Tabla7[],2,FALSE)</f>
        <v>PIEDRA 0-6</v>
      </c>
      <c r="T530" s="37">
        <v>35560</v>
      </c>
    </row>
    <row r="531" spans="15:20" x14ac:dyDescent="0.25">
      <c r="O531" s="34">
        <v>97839</v>
      </c>
      <c r="P531" s="34" t="s">
        <v>144</v>
      </c>
      <c r="Q531" s="35">
        <v>45684</v>
      </c>
      <c r="R531" s="36" t="s">
        <v>40</v>
      </c>
      <c r="S531" s="36" t="str">
        <f>VLOOKUP(Tabla9[[#This Row],[CODIGO DEL PRODUCTO]],Tabla7[],2,FALSE)</f>
        <v>PIEDRA 0-6</v>
      </c>
      <c r="T531" s="37">
        <v>34840</v>
      </c>
    </row>
    <row r="532" spans="15:20" x14ac:dyDescent="0.25">
      <c r="O532" s="34">
        <v>97843</v>
      </c>
      <c r="P532" s="34" t="s">
        <v>215</v>
      </c>
      <c r="Q532" s="35">
        <v>45684</v>
      </c>
      <c r="R532" s="36" t="s">
        <v>43</v>
      </c>
      <c r="S532" s="36" t="str">
        <f>VLOOKUP(Tabla9[[#This Row],[CODIGO DEL PRODUCTO]],Tabla7[],2,FALSE)</f>
        <v>PIEDRA 6-20</v>
      </c>
      <c r="T532" s="37">
        <v>35660</v>
      </c>
    </row>
    <row r="533" spans="15:20" x14ac:dyDescent="0.25">
      <c r="O533" s="34">
        <v>35980</v>
      </c>
      <c r="P533" s="34" t="s">
        <v>61</v>
      </c>
      <c r="Q533" s="35">
        <v>45684</v>
      </c>
      <c r="R533" s="36" t="s">
        <v>50</v>
      </c>
      <c r="S533" s="36" t="str">
        <f>VLOOKUP(Tabla9[[#This Row],[CODIGO DEL PRODUCTO]],Tabla7[],2,FALSE)</f>
        <v>MIRA SET 453 (ADITIVO)</v>
      </c>
      <c r="T533" s="72">
        <v>2160</v>
      </c>
    </row>
    <row r="534" spans="15:20" x14ac:dyDescent="0.25">
      <c r="O534" s="34"/>
      <c r="P534" s="34"/>
      <c r="Q534" s="35">
        <v>45684</v>
      </c>
      <c r="R534" s="36" t="s">
        <v>228</v>
      </c>
      <c r="S534" s="36" t="str">
        <f>VLOOKUP(Tabla9[[#This Row],[CODIGO DEL PRODUCTO]],Tabla7[],2,FALSE)</f>
        <v>DARACEM 600 (ADITIVO</v>
      </c>
      <c r="T534" s="72">
        <v>220</v>
      </c>
    </row>
    <row r="535" spans="15:20" x14ac:dyDescent="0.25">
      <c r="O535" s="34">
        <v>99542</v>
      </c>
      <c r="P535" s="34" t="s">
        <v>235</v>
      </c>
      <c r="Q535" s="35">
        <v>45685</v>
      </c>
      <c r="R535" s="36" t="s">
        <v>42</v>
      </c>
      <c r="S535" s="36" t="str">
        <f>VLOOKUP(Tabla9[[#This Row],[CODIGO DEL PRODUCTO]],Tabla7[],2,FALSE)</f>
        <v>ARENA FINA</v>
      </c>
      <c r="T535" s="37">
        <v>38220</v>
      </c>
    </row>
    <row r="536" spans="15:20" x14ac:dyDescent="0.25">
      <c r="O536" s="34">
        <v>99548</v>
      </c>
      <c r="P536" s="34" t="s">
        <v>235</v>
      </c>
      <c r="Q536" s="35">
        <v>45685</v>
      </c>
      <c r="R536" s="36" t="s">
        <v>42</v>
      </c>
      <c r="S536" s="36" t="str">
        <f>VLOOKUP(Tabla9[[#This Row],[CODIGO DEL PRODUCTO]],Tabla7[],2,FALSE)</f>
        <v>ARENA FINA</v>
      </c>
      <c r="T536" s="37">
        <v>38100</v>
      </c>
    </row>
    <row r="537" spans="15:20" x14ac:dyDescent="0.25">
      <c r="O537" s="34">
        <v>97869</v>
      </c>
      <c r="P537" s="34" t="s">
        <v>215</v>
      </c>
      <c r="Q537" s="35">
        <v>45685</v>
      </c>
      <c r="R537" s="36" t="s">
        <v>43</v>
      </c>
      <c r="S537" s="36" t="str">
        <f>VLOOKUP(Tabla9[[#This Row],[CODIGO DEL PRODUCTO]],Tabla7[],2,FALSE)</f>
        <v>PIEDRA 6-20</v>
      </c>
      <c r="T537" s="37">
        <v>35780</v>
      </c>
    </row>
    <row r="538" spans="15:20" x14ac:dyDescent="0.25">
      <c r="O538" s="34">
        <v>97870</v>
      </c>
      <c r="P538" s="34" t="s">
        <v>234</v>
      </c>
      <c r="Q538" s="35">
        <v>45685</v>
      </c>
      <c r="R538" s="36" t="s">
        <v>40</v>
      </c>
      <c r="S538" s="36" t="str">
        <f>VLOOKUP(Tabla9[[#This Row],[CODIGO DEL PRODUCTO]],Tabla7[],2,FALSE)</f>
        <v>PIEDRA 0-6</v>
      </c>
      <c r="T538" s="37">
        <v>35640</v>
      </c>
    </row>
    <row r="539" spans="15:20" x14ac:dyDescent="0.25">
      <c r="O539" s="34">
        <v>97871</v>
      </c>
      <c r="P539" s="34" t="s">
        <v>216</v>
      </c>
      <c r="Q539" s="35">
        <v>45685</v>
      </c>
      <c r="R539" s="36" t="s">
        <v>43</v>
      </c>
      <c r="S539" s="36" t="str">
        <f>VLOOKUP(Tabla9[[#This Row],[CODIGO DEL PRODUCTO]],Tabla7[],2,FALSE)</f>
        <v>PIEDRA 6-20</v>
      </c>
      <c r="T539" s="37">
        <v>35160</v>
      </c>
    </row>
    <row r="540" spans="15:20" x14ac:dyDescent="0.25">
      <c r="O540" s="34">
        <v>97872</v>
      </c>
      <c r="P540" s="34" t="s">
        <v>144</v>
      </c>
      <c r="Q540" s="35">
        <v>45685</v>
      </c>
      <c r="R540" s="36" t="s">
        <v>40</v>
      </c>
      <c r="S540" s="36" t="str">
        <f>VLOOKUP(Tabla9[[#This Row],[CODIGO DEL PRODUCTO]],Tabla7[],2,FALSE)</f>
        <v>PIEDRA 0-6</v>
      </c>
      <c r="T540" s="37">
        <v>34940</v>
      </c>
    </row>
    <row r="541" spans="15:20" x14ac:dyDescent="0.25">
      <c r="O541" s="34">
        <v>97875</v>
      </c>
      <c r="P541" s="34" t="s">
        <v>252</v>
      </c>
      <c r="Q541" s="35">
        <v>45685</v>
      </c>
      <c r="R541" s="36" t="s">
        <v>40</v>
      </c>
      <c r="S541" s="36" t="str">
        <f>VLOOKUP(Tabla9[[#This Row],[CODIGO DEL PRODUCTO]],Tabla7[],2,FALSE)</f>
        <v>PIEDRA 0-6</v>
      </c>
      <c r="T541" s="37">
        <v>35420</v>
      </c>
    </row>
    <row r="542" spans="15:20" x14ac:dyDescent="0.25">
      <c r="O542" s="34">
        <v>97877</v>
      </c>
      <c r="P542" s="34" t="s">
        <v>254</v>
      </c>
      <c r="Q542" s="35">
        <v>45685</v>
      </c>
      <c r="R542" s="36" t="s">
        <v>43</v>
      </c>
      <c r="S542" s="36" t="str">
        <f>VLOOKUP(Tabla9[[#This Row],[CODIGO DEL PRODUCTO]],Tabla7[],2,FALSE)</f>
        <v>PIEDRA 6-20</v>
      </c>
      <c r="T542" s="37">
        <v>35400</v>
      </c>
    </row>
    <row r="543" spans="15:20" x14ac:dyDescent="0.25">
      <c r="O543" s="34">
        <v>2605667</v>
      </c>
      <c r="P543" s="34" t="s">
        <v>219</v>
      </c>
      <c r="Q543" s="35">
        <v>45685</v>
      </c>
      <c r="R543" s="36" t="s">
        <v>45</v>
      </c>
      <c r="S543" s="36" t="str">
        <f>VLOOKUP(Tabla9[[#This Row],[CODIGO DEL PRODUCTO]],Tabla7[],2,FALSE)</f>
        <v>CPF 40 AVELLANEDA</v>
      </c>
      <c r="T543" s="37">
        <v>36240</v>
      </c>
    </row>
    <row r="544" spans="15:20" x14ac:dyDescent="0.25">
      <c r="O544" s="34">
        <v>99556</v>
      </c>
      <c r="P544" s="34" t="s">
        <v>235</v>
      </c>
      <c r="Q544" s="35">
        <v>45686</v>
      </c>
      <c r="R544" s="36" t="s">
        <v>42</v>
      </c>
      <c r="S544" s="36" t="str">
        <f>VLOOKUP(Tabla9[[#This Row],[CODIGO DEL PRODUCTO]],Tabla7[],2,FALSE)</f>
        <v>ARENA FINA</v>
      </c>
      <c r="T544" s="37">
        <v>37620</v>
      </c>
    </row>
    <row r="545" spans="15:20" x14ac:dyDescent="0.25">
      <c r="O545" s="34">
        <v>99565</v>
      </c>
      <c r="P545" s="34" t="s">
        <v>235</v>
      </c>
      <c r="Q545" s="35">
        <v>45686</v>
      </c>
      <c r="R545" s="36" t="s">
        <v>42</v>
      </c>
      <c r="S545" s="36" t="str">
        <f>VLOOKUP(Tabla9[[#This Row],[CODIGO DEL PRODUCTO]],Tabla7[],2,FALSE)</f>
        <v>ARENA FINA</v>
      </c>
      <c r="T545" s="37">
        <v>37480</v>
      </c>
    </row>
    <row r="546" spans="15:20" x14ac:dyDescent="0.25">
      <c r="O546" s="34">
        <v>97899</v>
      </c>
      <c r="P546" s="34" t="s">
        <v>216</v>
      </c>
      <c r="Q546" s="35">
        <v>45686</v>
      </c>
      <c r="R546" s="36" t="s">
        <v>43</v>
      </c>
      <c r="S546" s="36" t="str">
        <f>VLOOKUP(Tabla9[[#This Row],[CODIGO DEL PRODUCTO]],Tabla7[],2,FALSE)</f>
        <v>PIEDRA 6-20</v>
      </c>
      <c r="T546" s="37">
        <v>35380</v>
      </c>
    </row>
    <row r="547" spans="15:20" x14ac:dyDescent="0.25">
      <c r="O547" s="34">
        <v>97902</v>
      </c>
      <c r="P547" s="34" t="s">
        <v>234</v>
      </c>
      <c r="Q547" s="35">
        <v>45686</v>
      </c>
      <c r="R547" s="36" t="s">
        <v>40</v>
      </c>
      <c r="S547" s="36" t="str">
        <f>VLOOKUP(Tabla9[[#This Row],[CODIGO DEL PRODUCTO]],Tabla7[],2,FALSE)</f>
        <v>PIEDRA 0-6</v>
      </c>
      <c r="T547" s="37">
        <v>35660</v>
      </c>
    </row>
    <row r="548" spans="15:20" x14ac:dyDescent="0.25">
      <c r="O548" s="34">
        <v>97905</v>
      </c>
      <c r="P548" s="34" t="s">
        <v>252</v>
      </c>
      <c r="Q548" s="35">
        <v>45686</v>
      </c>
      <c r="R548" s="36" t="s">
        <v>40</v>
      </c>
      <c r="S548" s="36" t="str">
        <f>VLOOKUP(Tabla9[[#This Row],[CODIGO DEL PRODUCTO]],Tabla7[],2,FALSE)</f>
        <v>PIEDRA 0-6</v>
      </c>
      <c r="T548" s="37">
        <v>35840</v>
      </c>
    </row>
    <row r="549" spans="15:20" x14ac:dyDescent="0.25">
      <c r="O549" s="34">
        <v>97909</v>
      </c>
      <c r="P549" s="34" t="s">
        <v>215</v>
      </c>
      <c r="Q549" s="35">
        <v>45686</v>
      </c>
      <c r="R549" s="36" t="s">
        <v>43</v>
      </c>
      <c r="S549" s="36" t="str">
        <f>VLOOKUP(Tabla9[[#This Row],[CODIGO DEL PRODUCTO]],Tabla7[],2,FALSE)</f>
        <v>PIEDRA 6-20</v>
      </c>
      <c r="T549" s="37">
        <v>35260</v>
      </c>
    </row>
    <row r="550" spans="15:20" x14ac:dyDescent="0.25">
      <c r="O550" s="34">
        <v>97911</v>
      </c>
      <c r="P550" s="34" t="s">
        <v>144</v>
      </c>
      <c r="Q550" s="35">
        <v>45686</v>
      </c>
      <c r="R550" s="36" t="s">
        <v>40</v>
      </c>
      <c r="S550" s="36" t="str">
        <f>VLOOKUP(Tabla9[[#This Row],[CODIGO DEL PRODUCTO]],Tabla7[],2,FALSE)</f>
        <v>PIEDRA 0-6</v>
      </c>
      <c r="T550" s="37">
        <v>35220</v>
      </c>
    </row>
    <row r="551" spans="15:20" x14ac:dyDescent="0.25">
      <c r="O551" s="34">
        <v>2605997</v>
      </c>
      <c r="P551" s="34" t="s">
        <v>219</v>
      </c>
      <c r="Q551" s="35">
        <v>45686</v>
      </c>
      <c r="R551" s="36" t="s">
        <v>45</v>
      </c>
      <c r="S551" s="36" t="str">
        <f>VLOOKUP(Tabla9[[#This Row],[CODIGO DEL PRODUCTO]],Tabla7[],2,FALSE)</f>
        <v>CPF 40 AVELLANEDA</v>
      </c>
      <c r="T551" s="37">
        <v>35440</v>
      </c>
    </row>
    <row r="552" spans="15:20" x14ac:dyDescent="0.25">
      <c r="O552" s="34">
        <v>99575</v>
      </c>
      <c r="P552" s="34" t="s">
        <v>235</v>
      </c>
      <c r="Q552" s="35">
        <v>45687</v>
      </c>
      <c r="R552" s="36" t="s">
        <v>42</v>
      </c>
      <c r="S552" s="36" t="str">
        <f>VLOOKUP(Tabla9[[#This Row],[CODIGO DEL PRODUCTO]],Tabla7[],2,FALSE)</f>
        <v>ARENA FINA</v>
      </c>
      <c r="T552" s="37">
        <v>38020</v>
      </c>
    </row>
    <row r="553" spans="15:20" x14ac:dyDescent="0.25">
      <c r="O553" s="34">
        <v>99582</v>
      </c>
      <c r="P553" s="34" t="s">
        <v>235</v>
      </c>
      <c r="Q553" s="35">
        <v>45687</v>
      </c>
      <c r="R553" s="36" t="s">
        <v>42</v>
      </c>
      <c r="S553" s="36" t="str">
        <f>VLOOKUP(Tabla9[[#This Row],[CODIGO DEL PRODUCTO]],Tabla7[],2,FALSE)</f>
        <v>ARENA FINA</v>
      </c>
      <c r="T553" s="37">
        <v>37500</v>
      </c>
    </row>
    <row r="554" spans="15:20" x14ac:dyDescent="0.25">
      <c r="O554" s="34">
        <v>97919</v>
      </c>
      <c r="P554" s="34" t="s">
        <v>150</v>
      </c>
      <c r="Q554" s="35">
        <v>45687</v>
      </c>
      <c r="R554" s="36" t="s">
        <v>43</v>
      </c>
      <c r="S554" s="36" t="str">
        <f>VLOOKUP(Tabla9[[#This Row],[CODIGO DEL PRODUCTO]],Tabla7[],2,FALSE)</f>
        <v>PIEDRA 6-20</v>
      </c>
      <c r="T554" s="37">
        <v>35120</v>
      </c>
    </row>
    <row r="555" spans="15:20" x14ac:dyDescent="0.25">
      <c r="O555" s="34">
        <v>97942</v>
      </c>
      <c r="P555" s="34" t="s">
        <v>252</v>
      </c>
      <c r="Q555" s="35">
        <v>45687</v>
      </c>
      <c r="R555" s="36" t="s">
        <v>40</v>
      </c>
      <c r="S555" s="36" t="str">
        <f>VLOOKUP(Tabla9[[#This Row],[CODIGO DEL PRODUCTO]],Tabla7[],2,FALSE)</f>
        <v>PIEDRA 0-6</v>
      </c>
      <c r="T555" s="37">
        <v>35300</v>
      </c>
    </row>
    <row r="556" spans="15:20" x14ac:dyDescent="0.25">
      <c r="O556" s="34">
        <v>97945</v>
      </c>
      <c r="P556" s="34" t="s">
        <v>216</v>
      </c>
      <c r="Q556" s="35">
        <v>45687</v>
      </c>
      <c r="R556" s="36" t="s">
        <v>43</v>
      </c>
      <c r="S556" s="36" t="str">
        <f>VLOOKUP(Tabla9[[#This Row],[CODIGO DEL PRODUCTO]],Tabla7[],2,FALSE)</f>
        <v>PIEDRA 6-20</v>
      </c>
      <c r="T556" s="37">
        <v>34460</v>
      </c>
    </row>
    <row r="557" spans="15:20" x14ac:dyDescent="0.25">
      <c r="O557" s="34">
        <v>97947</v>
      </c>
      <c r="P557" s="34" t="s">
        <v>144</v>
      </c>
      <c r="Q557" s="35">
        <v>45687</v>
      </c>
      <c r="R557" s="36" t="s">
        <v>40</v>
      </c>
      <c r="S557" s="36" t="str">
        <f>VLOOKUP(Tabla9[[#This Row],[CODIGO DEL PRODUCTO]],Tabla7[],2,FALSE)</f>
        <v>PIEDRA 0-6</v>
      </c>
      <c r="T557" s="37">
        <v>34920</v>
      </c>
    </row>
    <row r="558" spans="15:20" x14ac:dyDescent="0.25">
      <c r="O558" s="34">
        <v>2606370</v>
      </c>
      <c r="P558" s="34" t="s">
        <v>219</v>
      </c>
      <c r="Q558" s="35">
        <v>45687</v>
      </c>
      <c r="R558" s="36" t="s">
        <v>45</v>
      </c>
      <c r="S558" s="36" t="str">
        <f>VLOOKUP(Tabla9[[#This Row],[CODIGO DEL PRODUCTO]],Tabla7[],2,FALSE)</f>
        <v>CPF 40 AVELLANEDA</v>
      </c>
      <c r="T558" s="37">
        <v>36140</v>
      </c>
    </row>
    <row r="559" spans="15:20" x14ac:dyDescent="0.25">
      <c r="O559" s="34">
        <v>99590</v>
      </c>
      <c r="P559" s="34" t="s">
        <v>235</v>
      </c>
      <c r="Q559" s="35">
        <v>45688</v>
      </c>
      <c r="R559" s="36" t="s">
        <v>42</v>
      </c>
      <c r="S559" s="36" t="str">
        <f>VLOOKUP(Tabla9[[#This Row],[CODIGO DEL PRODUCTO]],Tabla7[],2,FALSE)</f>
        <v>ARENA FINA</v>
      </c>
      <c r="T559" s="37">
        <v>39360</v>
      </c>
    </row>
    <row r="560" spans="15:20" x14ac:dyDescent="0.25">
      <c r="O560" s="34">
        <v>99597</v>
      </c>
      <c r="P560" s="34" t="s">
        <v>235</v>
      </c>
      <c r="Q560" s="35">
        <v>45688</v>
      </c>
      <c r="R560" s="36" t="s">
        <v>42</v>
      </c>
      <c r="S560" s="36" t="str">
        <f>VLOOKUP(Tabla9[[#This Row],[CODIGO DEL PRODUCTO]],Tabla7[],2,FALSE)</f>
        <v>ARENA FINA</v>
      </c>
      <c r="T560" s="37">
        <v>37300</v>
      </c>
    </row>
    <row r="561" spans="15:20" x14ac:dyDescent="0.25">
      <c r="O561" s="34">
        <v>97957</v>
      </c>
      <c r="P561" s="34" t="s">
        <v>150</v>
      </c>
      <c r="Q561" s="35">
        <v>45688</v>
      </c>
      <c r="R561" s="36" t="s">
        <v>43</v>
      </c>
      <c r="S561" s="36" t="str">
        <f>VLOOKUP(Tabla9[[#This Row],[CODIGO DEL PRODUCTO]],Tabla7[],2,FALSE)</f>
        <v>PIEDRA 6-20</v>
      </c>
      <c r="T561" s="37">
        <v>35200</v>
      </c>
    </row>
    <row r="562" spans="15:20" x14ac:dyDescent="0.25">
      <c r="O562" s="34">
        <v>97962</v>
      </c>
      <c r="P562" s="34" t="s">
        <v>215</v>
      </c>
      <c r="Q562" s="35">
        <v>45688</v>
      </c>
      <c r="R562" s="36" t="s">
        <v>43</v>
      </c>
      <c r="S562" s="36" t="str">
        <f>VLOOKUP(Tabla9[[#This Row],[CODIGO DEL PRODUCTO]],Tabla7[],2,FALSE)</f>
        <v>PIEDRA 6-20</v>
      </c>
      <c r="T562" s="37">
        <v>35020</v>
      </c>
    </row>
    <row r="563" spans="15:20" x14ac:dyDescent="0.25">
      <c r="O563" s="34">
        <v>97976</v>
      </c>
      <c r="P563" s="34" t="s">
        <v>216</v>
      </c>
      <c r="Q563" s="35">
        <v>45688</v>
      </c>
      <c r="R563" s="36" t="s">
        <v>43</v>
      </c>
      <c r="S563" s="36" t="str">
        <f>VLOOKUP(Tabla9[[#This Row],[CODIGO DEL PRODUCTO]],Tabla7[],2,FALSE)</f>
        <v>PIEDRA 6-20</v>
      </c>
      <c r="T563" s="37">
        <v>34820</v>
      </c>
    </row>
    <row r="564" spans="15:20" x14ac:dyDescent="0.25">
      <c r="O564" s="34">
        <v>97980</v>
      </c>
      <c r="P564" s="34" t="s">
        <v>252</v>
      </c>
      <c r="Q564" s="35">
        <v>45688</v>
      </c>
      <c r="R564" s="36" t="s">
        <v>40</v>
      </c>
      <c r="S564" s="36" t="str">
        <f>VLOOKUP(Tabla9[[#This Row],[CODIGO DEL PRODUCTO]],Tabla7[],2,FALSE)</f>
        <v>PIEDRA 0-6</v>
      </c>
      <c r="T564" s="37">
        <v>35920</v>
      </c>
    </row>
    <row r="565" spans="15:20" x14ac:dyDescent="0.25">
      <c r="O565" s="34">
        <v>97981</v>
      </c>
      <c r="P565" s="34" t="s">
        <v>144</v>
      </c>
      <c r="Q565" s="35">
        <v>45688</v>
      </c>
      <c r="R565" s="36" t="s">
        <v>40</v>
      </c>
      <c r="S565" s="36" t="str">
        <f>VLOOKUP(Tabla9[[#This Row],[CODIGO DEL PRODUCTO]],Tabla7[],2,FALSE)</f>
        <v>PIEDRA 0-6</v>
      </c>
      <c r="T565" s="37">
        <v>35420</v>
      </c>
    </row>
    <row r="566" spans="15:20" x14ac:dyDescent="0.25">
      <c r="O566" s="34">
        <v>2606684</v>
      </c>
      <c r="P566" s="34" t="s">
        <v>219</v>
      </c>
      <c r="Q566" s="35">
        <v>45688</v>
      </c>
      <c r="R566" s="36" t="s">
        <v>45</v>
      </c>
      <c r="S566" s="36" t="str">
        <f>VLOOKUP(Tabla9[[#This Row],[CODIGO DEL PRODUCTO]],Tabla7[],2,FALSE)</f>
        <v>CPF 40 AVELLANEDA</v>
      </c>
      <c r="T566" s="37">
        <v>36040</v>
      </c>
    </row>
    <row r="567" spans="15:20" x14ac:dyDescent="0.25">
      <c r="O567" s="34">
        <v>99606</v>
      </c>
      <c r="P567" s="34" t="s">
        <v>235</v>
      </c>
      <c r="Q567" s="35">
        <v>45658</v>
      </c>
      <c r="R567" s="36" t="s">
        <v>42</v>
      </c>
      <c r="S567" s="36" t="str">
        <f>VLOOKUP(Tabla9[[#This Row],[CODIGO DEL PRODUCTO]],Tabla7[],2,FALSE)</f>
        <v>ARENA FINA</v>
      </c>
      <c r="T567" s="37">
        <v>39060</v>
      </c>
    </row>
    <row r="568" spans="15:20" x14ac:dyDescent="0.25">
      <c r="O568" s="34">
        <v>2607070</v>
      </c>
      <c r="P568" s="34" t="s">
        <v>219</v>
      </c>
      <c r="Q568" s="35">
        <v>45658</v>
      </c>
      <c r="R568" s="36" t="s">
        <v>45</v>
      </c>
      <c r="S568" s="36" t="str">
        <f>VLOOKUP(Tabla9[[#This Row],[CODIGO DEL PRODUCTO]],Tabla7[],2,FALSE)</f>
        <v>CPF 40 AVELLANEDA</v>
      </c>
      <c r="T568" s="37">
        <v>36640</v>
      </c>
    </row>
    <row r="569" spans="15:20" x14ac:dyDescent="0.25">
      <c r="O569" s="34">
        <v>99608</v>
      </c>
      <c r="P569" s="34" t="s">
        <v>235</v>
      </c>
      <c r="Q569" s="35">
        <v>45691</v>
      </c>
      <c r="R569" s="36" t="s">
        <v>42</v>
      </c>
      <c r="S569" s="36" t="str">
        <f>VLOOKUP(Tabla9[[#This Row],[CODIGO DEL PRODUCTO]],Tabla7[],2,FALSE)</f>
        <v>ARENA FINA</v>
      </c>
      <c r="T569" s="37">
        <v>37720</v>
      </c>
    </row>
    <row r="570" spans="15:20" x14ac:dyDescent="0.25">
      <c r="O570" s="34">
        <v>99613</v>
      </c>
      <c r="P570" s="34" t="s">
        <v>235</v>
      </c>
      <c r="Q570" s="35">
        <v>45691</v>
      </c>
      <c r="R570" s="36" t="s">
        <v>42</v>
      </c>
      <c r="S570" s="36" t="str">
        <f>VLOOKUP(Tabla9[[#This Row],[CODIGO DEL PRODUCTO]],Tabla7[],2,FALSE)</f>
        <v>ARENA FINA</v>
      </c>
      <c r="T570" s="37">
        <v>37800</v>
      </c>
    </row>
    <row r="571" spans="15:20" x14ac:dyDescent="0.25">
      <c r="O571" s="34">
        <v>98004</v>
      </c>
      <c r="P571" s="34" t="s">
        <v>234</v>
      </c>
      <c r="Q571" s="35">
        <v>45691</v>
      </c>
      <c r="R571" s="36" t="s">
        <v>43</v>
      </c>
      <c r="S571" s="36" t="str">
        <f>VLOOKUP(Tabla9[[#This Row],[CODIGO DEL PRODUCTO]],Tabla7[],2,FALSE)</f>
        <v>PIEDRA 6-20</v>
      </c>
      <c r="T571" s="37">
        <v>36000</v>
      </c>
    </row>
    <row r="572" spans="15:20" x14ac:dyDescent="0.25">
      <c r="O572" s="34">
        <v>98013</v>
      </c>
      <c r="P572" s="34" t="s">
        <v>166</v>
      </c>
      <c r="Q572" s="35">
        <v>45691</v>
      </c>
      <c r="R572" s="36" t="s">
        <v>43</v>
      </c>
      <c r="S572" s="36" t="str">
        <f>VLOOKUP(Tabla9[[#This Row],[CODIGO DEL PRODUCTO]],Tabla7[],2,FALSE)</f>
        <v>PIEDRA 6-20</v>
      </c>
      <c r="T572" s="37">
        <v>35580</v>
      </c>
    </row>
    <row r="573" spans="15:20" x14ac:dyDescent="0.25">
      <c r="O573" s="34">
        <v>131325</v>
      </c>
      <c r="P573" s="34" t="s">
        <v>239</v>
      </c>
      <c r="Q573" s="35">
        <v>45691</v>
      </c>
      <c r="R573" s="36" t="s">
        <v>46</v>
      </c>
      <c r="S573" s="36" t="str">
        <f>VLOOKUP(Tabla9[[#This Row],[CODIGO DEL PRODUCTO]],Tabla7[],2,FALSE)</f>
        <v>PIEDRA 10-30</v>
      </c>
      <c r="T573" s="37">
        <v>35400</v>
      </c>
    </row>
    <row r="574" spans="15:20" x14ac:dyDescent="0.25">
      <c r="O574" s="34">
        <v>99624</v>
      </c>
      <c r="P574" s="34" t="s">
        <v>235</v>
      </c>
      <c r="Q574" s="35">
        <v>45692</v>
      </c>
      <c r="R574" s="36" t="s">
        <v>42</v>
      </c>
      <c r="S574" s="36" t="str">
        <f>VLOOKUP(Tabla9[[#This Row],[CODIGO DEL PRODUCTO]],Tabla7[],2,FALSE)</f>
        <v>ARENA FINA</v>
      </c>
      <c r="T574" s="37">
        <v>38160</v>
      </c>
    </row>
    <row r="575" spans="15:20" x14ac:dyDescent="0.25">
      <c r="O575" s="34">
        <v>99629</v>
      </c>
      <c r="P575" s="34" t="s">
        <v>235</v>
      </c>
      <c r="Q575" s="35">
        <v>45692</v>
      </c>
      <c r="R575" s="36" t="s">
        <v>42</v>
      </c>
      <c r="S575" s="36" t="str">
        <f>VLOOKUP(Tabla9[[#This Row],[CODIGO DEL PRODUCTO]],Tabla7[],2,FALSE)</f>
        <v>ARENA FINA</v>
      </c>
      <c r="T575" s="37">
        <v>38200</v>
      </c>
    </row>
    <row r="576" spans="15:20" x14ac:dyDescent="0.25">
      <c r="O576" s="34">
        <v>98028</v>
      </c>
      <c r="P576" s="34" t="s">
        <v>263</v>
      </c>
      <c r="Q576" s="35">
        <v>45692</v>
      </c>
      <c r="R576" s="36" t="s">
        <v>43</v>
      </c>
      <c r="S576" s="36" t="str">
        <f>VLOOKUP(Tabla9[[#This Row],[CODIGO DEL PRODUCTO]],Tabla7[],2,FALSE)</f>
        <v>PIEDRA 6-20</v>
      </c>
      <c r="T576" s="37">
        <v>34660</v>
      </c>
    </row>
    <row r="577" spans="15:20" x14ac:dyDescent="0.25">
      <c r="O577" s="34">
        <v>98048</v>
      </c>
      <c r="P577" s="34" t="s">
        <v>166</v>
      </c>
      <c r="Q577" s="35">
        <v>45692</v>
      </c>
      <c r="R577" s="36" t="s">
        <v>43</v>
      </c>
      <c r="S577" s="36" t="str">
        <f>VLOOKUP(Tabla9[[#This Row],[CODIGO DEL PRODUCTO]],Tabla7[],2,FALSE)</f>
        <v>PIEDRA 6-20</v>
      </c>
      <c r="T577" s="37">
        <v>35100</v>
      </c>
    </row>
    <row r="578" spans="15:20" x14ac:dyDescent="0.25">
      <c r="O578" s="34">
        <v>98060</v>
      </c>
      <c r="P578" s="34" t="s">
        <v>215</v>
      </c>
      <c r="Q578" s="35">
        <v>45692</v>
      </c>
      <c r="R578" s="36" t="s">
        <v>43</v>
      </c>
      <c r="S578" s="36" t="str">
        <f>VLOOKUP(Tabla9[[#This Row],[CODIGO DEL PRODUCTO]],Tabla7[],2,FALSE)</f>
        <v>PIEDRA 6-20</v>
      </c>
      <c r="T578" s="37">
        <v>35020</v>
      </c>
    </row>
    <row r="579" spans="15:20" x14ac:dyDescent="0.25">
      <c r="O579" s="34">
        <v>99637</v>
      </c>
      <c r="P579" s="34" t="s">
        <v>235</v>
      </c>
      <c r="Q579" s="35">
        <v>45693</v>
      </c>
      <c r="R579" s="36" t="s">
        <v>42</v>
      </c>
      <c r="S579" s="36" t="str">
        <f>VLOOKUP(Tabla9[[#This Row],[CODIGO DEL PRODUCTO]],Tabla7[],2,FALSE)</f>
        <v>ARENA FINA</v>
      </c>
      <c r="T579" s="37">
        <v>37660</v>
      </c>
    </row>
    <row r="580" spans="15:20" x14ac:dyDescent="0.25">
      <c r="O580" s="34">
        <v>99642</v>
      </c>
      <c r="P580" s="34" t="s">
        <v>235</v>
      </c>
      <c r="Q580" s="35">
        <v>45693</v>
      </c>
      <c r="R580" s="36" t="s">
        <v>42</v>
      </c>
      <c r="S580" s="36" t="str">
        <f>VLOOKUP(Tabla9[[#This Row],[CODIGO DEL PRODUCTO]],Tabla7[],2,FALSE)</f>
        <v>ARENA FINA</v>
      </c>
      <c r="T580" s="37">
        <v>37660</v>
      </c>
    </row>
    <row r="581" spans="15:20" x14ac:dyDescent="0.25">
      <c r="O581" s="34">
        <v>98065</v>
      </c>
      <c r="P581" s="34" t="s">
        <v>263</v>
      </c>
      <c r="Q581" s="35">
        <v>45693</v>
      </c>
      <c r="R581" s="36" t="s">
        <v>43</v>
      </c>
      <c r="S581" s="36" t="str">
        <f>VLOOKUP(Tabla9[[#This Row],[CODIGO DEL PRODUCTO]],Tabla7[],2,FALSE)</f>
        <v>PIEDRA 6-20</v>
      </c>
      <c r="T581" s="37">
        <v>34300</v>
      </c>
    </row>
    <row r="582" spans="15:20" x14ac:dyDescent="0.25">
      <c r="O582" s="34">
        <v>98079</v>
      </c>
      <c r="P582" s="34" t="s">
        <v>166</v>
      </c>
      <c r="Q582" s="35">
        <v>45693</v>
      </c>
      <c r="R582" s="36" t="s">
        <v>43</v>
      </c>
      <c r="S582" s="36" t="str">
        <f>VLOOKUP(Tabla9[[#This Row],[CODIGO DEL PRODUCTO]],Tabla7[],2,FALSE)</f>
        <v>PIEDRA 6-20</v>
      </c>
      <c r="T582" s="37">
        <v>35300</v>
      </c>
    </row>
    <row r="583" spans="15:20" x14ac:dyDescent="0.25">
      <c r="O583" s="34">
        <v>131444</v>
      </c>
      <c r="P583" s="34" t="s">
        <v>239</v>
      </c>
      <c r="Q583" s="35">
        <v>45693</v>
      </c>
      <c r="R583" s="36" t="s">
        <v>40</v>
      </c>
      <c r="S583" s="36" t="str">
        <f>VLOOKUP(Tabla9[[#This Row],[CODIGO DEL PRODUCTO]],Tabla7[],2,FALSE)</f>
        <v>PIEDRA 0-6</v>
      </c>
      <c r="T583" s="37">
        <v>33760</v>
      </c>
    </row>
    <row r="584" spans="15:20" x14ac:dyDescent="0.25">
      <c r="O584" s="34">
        <v>2607575</v>
      </c>
      <c r="P584" s="34" t="s">
        <v>65</v>
      </c>
      <c r="Q584" s="35">
        <v>45693</v>
      </c>
      <c r="R584" s="36" t="s">
        <v>45</v>
      </c>
      <c r="S584" s="36" t="str">
        <f>VLOOKUP(Tabla9[[#This Row],[CODIGO DEL PRODUCTO]],Tabla7[],2,FALSE)</f>
        <v>CPF 40 AVELLANEDA</v>
      </c>
      <c r="T584" s="37">
        <v>32180</v>
      </c>
    </row>
    <row r="585" spans="15:20" x14ac:dyDescent="0.25">
      <c r="O585" s="34">
        <v>99650</v>
      </c>
      <c r="P585" s="34" t="s">
        <v>235</v>
      </c>
      <c r="Q585" s="35">
        <v>45694</v>
      </c>
      <c r="R585" s="36" t="s">
        <v>42</v>
      </c>
      <c r="S585" s="36" t="str">
        <f>VLOOKUP(Tabla9[[#This Row],[CODIGO DEL PRODUCTO]],Tabla7[],2,FALSE)</f>
        <v>ARENA FINA</v>
      </c>
      <c r="T585" s="37">
        <v>37560</v>
      </c>
    </row>
    <row r="586" spans="15:20" x14ac:dyDescent="0.25">
      <c r="O586" s="34">
        <v>99655</v>
      </c>
      <c r="P586" s="34" t="s">
        <v>235</v>
      </c>
      <c r="Q586" s="35">
        <v>45694</v>
      </c>
      <c r="R586" s="36" t="s">
        <v>42</v>
      </c>
      <c r="S586" s="36" t="str">
        <f>VLOOKUP(Tabla9[[#This Row],[CODIGO DEL PRODUCTO]],Tabla7[],2,FALSE)</f>
        <v>ARENA FINA</v>
      </c>
      <c r="T586" s="37">
        <v>37980</v>
      </c>
    </row>
    <row r="587" spans="15:20" x14ac:dyDescent="0.25">
      <c r="O587" s="34">
        <v>98097</v>
      </c>
      <c r="P587" s="34" t="s">
        <v>263</v>
      </c>
      <c r="Q587" s="35">
        <v>45694</v>
      </c>
      <c r="R587" s="36" t="s">
        <v>43</v>
      </c>
      <c r="S587" s="36" t="str">
        <f>VLOOKUP(Tabla9[[#This Row],[CODIGO DEL PRODUCTO]],Tabla7[],2,FALSE)</f>
        <v>PIEDRA 6-20</v>
      </c>
      <c r="T587" s="37">
        <v>34500</v>
      </c>
    </row>
    <row r="588" spans="15:20" x14ac:dyDescent="0.25">
      <c r="O588" s="34">
        <v>98112</v>
      </c>
      <c r="P588" s="34" t="s">
        <v>166</v>
      </c>
      <c r="Q588" s="35">
        <v>45694</v>
      </c>
      <c r="R588" s="36" t="s">
        <v>43</v>
      </c>
      <c r="S588" s="36" t="str">
        <f>VLOOKUP(Tabla9[[#This Row],[CODIGO DEL PRODUCTO]],Tabla7[],2,FALSE)</f>
        <v>PIEDRA 6-20</v>
      </c>
      <c r="T588" s="37">
        <v>35180</v>
      </c>
    </row>
    <row r="589" spans="15:20" x14ac:dyDescent="0.25">
      <c r="O589" s="34">
        <v>98115</v>
      </c>
      <c r="P589" s="34" t="s">
        <v>172</v>
      </c>
      <c r="Q589" s="35">
        <v>45694</v>
      </c>
      <c r="R589" s="36" t="s">
        <v>43</v>
      </c>
      <c r="S589" s="36" t="s">
        <v>46</v>
      </c>
      <c r="T589" s="37">
        <v>37040</v>
      </c>
    </row>
    <row r="590" spans="15:20" x14ac:dyDescent="0.25">
      <c r="O590" s="34">
        <v>131477</v>
      </c>
      <c r="P590" s="34" t="s">
        <v>239</v>
      </c>
      <c r="Q590" s="35">
        <v>45694</v>
      </c>
      <c r="R590" s="36" t="s">
        <v>46</v>
      </c>
      <c r="S590" s="36" t="str">
        <f>VLOOKUP(Tabla9[[#This Row],[CODIGO DEL PRODUCTO]],Tabla7[],2,FALSE)</f>
        <v>PIEDRA 10-30</v>
      </c>
      <c r="T590" s="37">
        <v>34100</v>
      </c>
    </row>
    <row r="591" spans="15:20" x14ac:dyDescent="0.25">
      <c r="O591" s="34">
        <v>2607873</v>
      </c>
      <c r="P591" s="34" t="s">
        <v>65</v>
      </c>
      <c r="Q591" s="35">
        <v>45694</v>
      </c>
      <c r="R591" s="36" t="s">
        <v>45</v>
      </c>
      <c r="S591" s="36" t="str">
        <f>VLOOKUP(Tabla9[[#This Row],[CODIGO DEL PRODUCTO]],Tabla7[],2,FALSE)</f>
        <v>CPF 40 AVELLANEDA</v>
      </c>
      <c r="T591" s="37">
        <v>32100</v>
      </c>
    </row>
    <row r="592" spans="15:20" x14ac:dyDescent="0.25">
      <c r="O592" s="34">
        <v>99663</v>
      </c>
      <c r="P592" s="34" t="s">
        <v>235</v>
      </c>
      <c r="Q592" s="35">
        <v>45695</v>
      </c>
      <c r="R592" s="36" t="s">
        <v>42</v>
      </c>
      <c r="S592" s="36" t="str">
        <f>VLOOKUP(Tabla9[[#This Row],[CODIGO DEL PRODUCTO]],Tabla7[],2,FALSE)</f>
        <v>ARENA FINA</v>
      </c>
      <c r="T592" s="37">
        <v>38580</v>
      </c>
    </row>
    <row r="593" spans="15:20" x14ac:dyDescent="0.25">
      <c r="O593" s="34">
        <v>99666</v>
      </c>
      <c r="P593" s="34" t="s">
        <v>235</v>
      </c>
      <c r="Q593" s="35">
        <v>45695</v>
      </c>
      <c r="R593" s="36" t="s">
        <v>42</v>
      </c>
      <c r="S593" s="36" t="str">
        <f>VLOOKUP(Tabla9[[#This Row],[CODIGO DEL PRODUCTO]],Tabla7[],2,FALSE)</f>
        <v>ARENA FINA</v>
      </c>
      <c r="T593" s="37">
        <v>36980</v>
      </c>
    </row>
    <row r="594" spans="15:20" x14ac:dyDescent="0.25">
      <c r="O594" s="34">
        <v>98030</v>
      </c>
      <c r="P594" s="34" t="s">
        <v>234</v>
      </c>
      <c r="Q594" s="35">
        <v>45695</v>
      </c>
      <c r="R594" s="36" t="s">
        <v>43</v>
      </c>
      <c r="S594" s="36" t="str">
        <f>VLOOKUP(Tabla9[[#This Row],[CODIGO DEL PRODUCTO]],Tabla7[],2,FALSE)</f>
        <v>PIEDRA 6-20</v>
      </c>
      <c r="T594" s="37">
        <v>35320</v>
      </c>
    </row>
    <row r="595" spans="15:20" x14ac:dyDescent="0.25">
      <c r="O595" s="34">
        <v>98130</v>
      </c>
      <c r="P595" s="34" t="s">
        <v>263</v>
      </c>
      <c r="Q595" s="35">
        <v>45695</v>
      </c>
      <c r="R595" s="36" t="s">
        <v>43</v>
      </c>
      <c r="S595" s="36" t="str">
        <f>VLOOKUP(Tabla9[[#This Row],[CODIGO DEL PRODUCTO]],Tabla7[],2,FALSE)</f>
        <v>PIEDRA 6-20</v>
      </c>
      <c r="T595" s="37">
        <v>34840</v>
      </c>
    </row>
    <row r="596" spans="15:20" x14ac:dyDescent="0.25">
      <c r="O596" s="34">
        <v>98145</v>
      </c>
      <c r="P596" s="34" t="s">
        <v>166</v>
      </c>
      <c r="Q596" s="35">
        <v>45695</v>
      </c>
      <c r="R596" s="36" t="s">
        <v>43</v>
      </c>
      <c r="S596" s="36" t="str">
        <f>VLOOKUP(Tabla9[[#This Row],[CODIGO DEL PRODUCTO]],Tabla7[],2,FALSE)</f>
        <v>PIEDRA 6-20</v>
      </c>
      <c r="T596" s="37">
        <v>35720</v>
      </c>
    </row>
    <row r="597" spans="15:20" x14ac:dyDescent="0.25">
      <c r="O597" s="34">
        <v>98146</v>
      </c>
      <c r="P597" s="34" t="s">
        <v>172</v>
      </c>
      <c r="Q597" s="35">
        <v>45695</v>
      </c>
      <c r="R597" s="36" t="s">
        <v>43</v>
      </c>
      <c r="S597" s="36" t="str">
        <f>VLOOKUP(Tabla9[[#This Row],[CODIGO DEL PRODUCTO]],Tabla7[],2,FALSE)</f>
        <v>PIEDRA 6-20</v>
      </c>
      <c r="T597" s="37">
        <v>37140</v>
      </c>
    </row>
    <row r="598" spans="15:20" x14ac:dyDescent="0.25">
      <c r="O598" s="34">
        <v>131536</v>
      </c>
      <c r="P598" s="34" t="s">
        <v>139</v>
      </c>
      <c r="Q598" s="35">
        <v>45695</v>
      </c>
      <c r="R598" s="36" t="s">
        <v>46</v>
      </c>
      <c r="S598" s="36" t="str">
        <f>VLOOKUP(Tabla9[[#This Row],[CODIGO DEL PRODUCTO]],Tabla7[],2,FALSE)</f>
        <v>PIEDRA 10-30</v>
      </c>
      <c r="T598" s="37">
        <v>35220</v>
      </c>
    </row>
    <row r="599" spans="15:20" x14ac:dyDescent="0.25">
      <c r="O599" s="34">
        <v>99672</v>
      </c>
      <c r="P599" s="34" t="s">
        <v>235</v>
      </c>
      <c r="Q599" s="35">
        <v>45696</v>
      </c>
      <c r="R599" s="36" t="s">
        <v>42</v>
      </c>
      <c r="S599" s="36" t="str">
        <f>VLOOKUP(Tabla9[[#This Row],[CODIGO DEL PRODUCTO]],Tabla7[],2,FALSE)</f>
        <v>ARENA FINA</v>
      </c>
      <c r="T599" s="37">
        <v>38160</v>
      </c>
    </row>
    <row r="600" spans="15:20" x14ac:dyDescent="0.25">
      <c r="O600" s="34">
        <v>98175</v>
      </c>
      <c r="P600" s="34" t="s">
        <v>263</v>
      </c>
      <c r="Q600" s="35">
        <v>45696</v>
      </c>
      <c r="R600" s="36" t="s">
        <v>43</v>
      </c>
      <c r="S600" s="36" t="str">
        <f>VLOOKUP(Tabla9[[#This Row],[CODIGO DEL PRODUCTO]],Tabla7[],2,FALSE)</f>
        <v>PIEDRA 6-20</v>
      </c>
      <c r="T600" s="37">
        <v>34720</v>
      </c>
    </row>
    <row r="601" spans="15:20" x14ac:dyDescent="0.25">
      <c r="O601" s="34">
        <v>99678</v>
      </c>
      <c r="P601" s="34" t="s">
        <v>235</v>
      </c>
      <c r="Q601" s="35">
        <v>45698</v>
      </c>
      <c r="R601" s="36" t="s">
        <v>42</v>
      </c>
      <c r="S601" s="36" t="str">
        <f>VLOOKUP(Tabla9[[#This Row],[CODIGO DEL PRODUCTO]],Tabla7[],2,FALSE)</f>
        <v>ARENA FINA</v>
      </c>
      <c r="T601" s="37">
        <v>37280</v>
      </c>
    </row>
    <row r="602" spans="15:20" x14ac:dyDescent="0.25">
      <c r="O602" s="34">
        <v>99688</v>
      </c>
      <c r="P602" s="34" t="s">
        <v>235</v>
      </c>
      <c r="Q602" s="35">
        <v>45698</v>
      </c>
      <c r="R602" s="36" t="s">
        <v>42</v>
      </c>
      <c r="S602" s="36" t="str">
        <f>VLOOKUP(Tabla9[[#This Row],[CODIGO DEL PRODUCTO]],Tabla7[],2,FALSE)</f>
        <v>ARENA FINA</v>
      </c>
      <c r="T602" s="37">
        <v>37040</v>
      </c>
    </row>
    <row r="603" spans="15:20" x14ac:dyDescent="0.25">
      <c r="O603" s="34">
        <v>98180</v>
      </c>
      <c r="P603" s="34" t="s">
        <v>234</v>
      </c>
      <c r="Q603" s="35">
        <v>45698</v>
      </c>
      <c r="R603" s="36" t="s">
        <v>43</v>
      </c>
      <c r="S603" s="36" t="str">
        <f>VLOOKUP(Tabla9[[#This Row],[CODIGO DEL PRODUCTO]],Tabla7[],2,FALSE)</f>
        <v>PIEDRA 6-20</v>
      </c>
      <c r="T603" s="37">
        <v>35020</v>
      </c>
    </row>
    <row r="604" spans="15:20" x14ac:dyDescent="0.25">
      <c r="O604" s="34">
        <v>98187</v>
      </c>
      <c r="P604" s="34" t="s">
        <v>166</v>
      </c>
      <c r="Q604" s="35">
        <v>45698</v>
      </c>
      <c r="R604" s="36" t="s">
        <v>43</v>
      </c>
      <c r="S604" s="36" t="str">
        <f>VLOOKUP(Tabla9[[#This Row],[CODIGO DEL PRODUCTO]],Tabla7[],2,FALSE)</f>
        <v>PIEDRA 6-20</v>
      </c>
      <c r="T604" s="37">
        <v>35440</v>
      </c>
    </row>
    <row r="605" spans="15:20" x14ac:dyDescent="0.25">
      <c r="O605" s="34">
        <v>98193</v>
      </c>
      <c r="P605" s="34" t="s">
        <v>249</v>
      </c>
      <c r="Q605" s="35">
        <v>45698</v>
      </c>
      <c r="R605" s="36" t="s">
        <v>43</v>
      </c>
      <c r="S605" s="36" t="str">
        <f>VLOOKUP(Tabla9[[#This Row],[CODIGO DEL PRODUCTO]],Tabla7[],2,FALSE)</f>
        <v>PIEDRA 6-20</v>
      </c>
      <c r="T605" s="37">
        <v>35240</v>
      </c>
    </row>
    <row r="606" spans="15:20" x14ac:dyDescent="0.25">
      <c r="O606" s="34">
        <v>131624</v>
      </c>
      <c r="P606" s="34" t="s">
        <v>119</v>
      </c>
      <c r="Q606" s="35">
        <v>45698</v>
      </c>
      <c r="R606" s="36" t="s">
        <v>46</v>
      </c>
      <c r="S606" s="36" t="str">
        <f>VLOOKUP(Tabla9[[#This Row],[CODIGO DEL PRODUCTO]],Tabla7[],2,FALSE)</f>
        <v>PIEDRA 10-30</v>
      </c>
      <c r="T606" s="37">
        <v>35440</v>
      </c>
    </row>
    <row r="607" spans="15:20" x14ac:dyDescent="0.25">
      <c r="O607" s="34">
        <v>2608103</v>
      </c>
      <c r="P607" s="34" t="s">
        <v>65</v>
      </c>
      <c r="Q607" s="35">
        <v>45698</v>
      </c>
      <c r="R607" s="36" t="s">
        <v>45</v>
      </c>
      <c r="S607" s="36" t="str">
        <f>VLOOKUP(Tabla9[[#This Row],[CODIGO DEL PRODUCTO]],Tabla7[],2,FALSE)</f>
        <v>CPF 40 AVELLANEDA</v>
      </c>
      <c r="T607" s="37">
        <v>30600</v>
      </c>
    </row>
    <row r="608" spans="15:20" x14ac:dyDescent="0.25">
      <c r="O608" s="34">
        <v>99697</v>
      </c>
      <c r="P608" s="34" t="s">
        <v>235</v>
      </c>
      <c r="Q608" s="35">
        <v>45699</v>
      </c>
      <c r="R608" s="36" t="s">
        <v>42</v>
      </c>
      <c r="S608" s="36" t="str">
        <f>VLOOKUP(Tabla9[[#This Row],[CODIGO DEL PRODUCTO]],Tabla7[],2,FALSE)</f>
        <v>ARENA FINA</v>
      </c>
      <c r="T608" s="37">
        <v>39740</v>
      </c>
    </row>
    <row r="609" spans="15:20" x14ac:dyDescent="0.25">
      <c r="O609" s="34">
        <v>99704</v>
      </c>
      <c r="P609" s="34" t="s">
        <v>235</v>
      </c>
      <c r="Q609" s="35">
        <v>45699</v>
      </c>
      <c r="R609" s="36" t="s">
        <v>42</v>
      </c>
      <c r="S609" s="36" t="str">
        <f>VLOOKUP(Tabla9[[#This Row],[CODIGO DEL PRODUCTO]],Tabla7[],2,FALSE)</f>
        <v>ARENA FINA</v>
      </c>
      <c r="T609" s="37">
        <v>38260</v>
      </c>
    </row>
    <row r="610" spans="15:20" x14ac:dyDescent="0.25">
      <c r="O610" s="34">
        <v>98212</v>
      </c>
      <c r="P610" s="34" t="s">
        <v>234</v>
      </c>
      <c r="Q610" s="35">
        <v>45699</v>
      </c>
      <c r="R610" s="36" t="s">
        <v>43</v>
      </c>
      <c r="S610" s="36" t="str">
        <f>VLOOKUP(Tabla9[[#This Row],[CODIGO DEL PRODUCTO]],Tabla7[],2,FALSE)</f>
        <v>PIEDRA 6-20</v>
      </c>
      <c r="T610" s="37">
        <v>35100</v>
      </c>
    </row>
    <row r="611" spans="15:20" x14ac:dyDescent="0.25">
      <c r="O611" s="34">
        <v>98222</v>
      </c>
      <c r="P611" s="34" t="s">
        <v>166</v>
      </c>
      <c r="Q611" s="35">
        <v>45699</v>
      </c>
      <c r="R611" s="36" t="s">
        <v>43</v>
      </c>
      <c r="S611" s="36" t="str">
        <f>VLOOKUP(Tabla9[[#This Row],[CODIGO DEL PRODUCTO]],Tabla7[],2,FALSE)</f>
        <v>PIEDRA 6-20</v>
      </c>
      <c r="T611" s="37">
        <v>34980</v>
      </c>
    </row>
    <row r="612" spans="15:20" x14ac:dyDescent="0.25">
      <c r="O612" s="34">
        <v>2608854</v>
      </c>
      <c r="P612" s="34" t="s">
        <v>65</v>
      </c>
      <c r="Q612" s="35">
        <v>45699</v>
      </c>
      <c r="R612" s="36" t="s">
        <v>45</v>
      </c>
      <c r="S612" s="36" t="str">
        <f>VLOOKUP(Tabla9[[#This Row],[CODIGO DEL PRODUCTO]],Tabla7[],2,FALSE)</f>
        <v>CPF 40 AVELLANEDA</v>
      </c>
      <c r="T612" s="37">
        <v>31780</v>
      </c>
    </row>
    <row r="613" spans="15:20" x14ac:dyDescent="0.25">
      <c r="O613" s="34">
        <v>99712</v>
      </c>
      <c r="P613" s="34" t="s">
        <v>235</v>
      </c>
      <c r="Q613" s="35">
        <v>45700</v>
      </c>
      <c r="R613" s="36" t="s">
        <v>42</v>
      </c>
      <c r="S613" s="36" t="str">
        <f>VLOOKUP(Tabla9[[#This Row],[CODIGO DEL PRODUCTO]],Tabla7[],2,FALSE)</f>
        <v>ARENA FINA</v>
      </c>
      <c r="T613" s="37">
        <v>37140</v>
      </c>
    </row>
    <row r="614" spans="15:20" x14ac:dyDescent="0.25">
      <c r="O614" s="34">
        <v>99720</v>
      </c>
      <c r="P614" s="34" t="s">
        <v>235</v>
      </c>
      <c r="Q614" s="35">
        <v>45700</v>
      </c>
      <c r="R614" s="36" t="s">
        <v>42</v>
      </c>
      <c r="S614" s="36" t="str">
        <f>VLOOKUP(Tabla9[[#This Row],[CODIGO DEL PRODUCTO]],Tabla7[],2,FALSE)</f>
        <v>ARENA FINA</v>
      </c>
      <c r="T614" s="37">
        <v>38220</v>
      </c>
    </row>
    <row r="615" spans="15:20" x14ac:dyDescent="0.25">
      <c r="O615" s="34">
        <v>98249</v>
      </c>
      <c r="P615" s="34" t="s">
        <v>234</v>
      </c>
      <c r="Q615" s="35">
        <v>45700</v>
      </c>
      <c r="R615" s="36" t="s">
        <v>43</v>
      </c>
      <c r="S615" s="36" t="str">
        <f>VLOOKUP(Tabla9[[#This Row],[CODIGO DEL PRODUCTO]],Tabla7[],2,FALSE)</f>
        <v>PIEDRA 6-20</v>
      </c>
      <c r="T615" s="37">
        <v>35500</v>
      </c>
    </row>
    <row r="616" spans="15:20" x14ac:dyDescent="0.25">
      <c r="O616" s="34">
        <v>98261</v>
      </c>
      <c r="P616" s="34" t="s">
        <v>166</v>
      </c>
      <c r="Q616" s="35">
        <v>45700</v>
      </c>
      <c r="R616" s="36" t="s">
        <v>43</v>
      </c>
      <c r="S616" s="36" t="str">
        <f>VLOOKUP(Tabla9[[#This Row],[CODIGO DEL PRODUCTO]],Tabla7[],2,FALSE)</f>
        <v>PIEDRA 6-20</v>
      </c>
      <c r="T616" s="37">
        <v>35040</v>
      </c>
    </row>
    <row r="617" spans="15:20" x14ac:dyDescent="0.25">
      <c r="O617" s="34">
        <v>26071</v>
      </c>
      <c r="P617" s="34" t="s">
        <v>61</v>
      </c>
      <c r="Q617" s="35">
        <v>45700</v>
      </c>
      <c r="R617" s="36" t="s">
        <v>50</v>
      </c>
      <c r="S617" s="36" t="str">
        <f>VLOOKUP(Tabla9[[#This Row],[CODIGO DEL PRODUCTO]],Tabla7[],2,FALSE)</f>
        <v>MIRA SET 453 (ADITIVO)</v>
      </c>
      <c r="T617" s="72">
        <v>2160</v>
      </c>
    </row>
    <row r="618" spans="15:20" x14ac:dyDescent="0.25">
      <c r="O618" s="34">
        <v>99728</v>
      </c>
      <c r="P618" s="34" t="s">
        <v>235</v>
      </c>
      <c r="Q618" s="35">
        <v>45701</v>
      </c>
      <c r="R618" s="36" t="s">
        <v>42</v>
      </c>
      <c r="S618" s="36" t="str">
        <f>VLOOKUP(Tabla9[[#This Row],[CODIGO DEL PRODUCTO]],Tabla7[],2,FALSE)</f>
        <v>ARENA FINA</v>
      </c>
      <c r="T618" s="37">
        <v>40660</v>
      </c>
    </row>
    <row r="619" spans="15:20" x14ac:dyDescent="0.25">
      <c r="O619" s="34">
        <v>99735</v>
      </c>
      <c r="P619" s="34" t="s">
        <v>235</v>
      </c>
      <c r="Q619" s="35">
        <v>45701</v>
      </c>
      <c r="R619" s="36" t="s">
        <v>42</v>
      </c>
      <c r="S619" s="36" t="str">
        <f>VLOOKUP(Tabla9[[#This Row],[CODIGO DEL PRODUCTO]],Tabla7[],2,FALSE)</f>
        <v>ARENA FINA</v>
      </c>
      <c r="T619" s="37">
        <v>37880</v>
      </c>
    </row>
    <row r="620" spans="15:20" x14ac:dyDescent="0.25">
      <c r="O620" s="34">
        <v>98281</v>
      </c>
      <c r="P620" s="34" t="s">
        <v>263</v>
      </c>
      <c r="Q620" s="35">
        <v>45701</v>
      </c>
      <c r="R620" s="36" t="s">
        <v>43</v>
      </c>
      <c r="S620" s="36" t="str">
        <f>VLOOKUP(Tabla9[[#This Row],[CODIGO DEL PRODUCTO]],Tabla7[],2,FALSE)</f>
        <v>PIEDRA 6-20</v>
      </c>
      <c r="T620" s="37">
        <v>34620</v>
      </c>
    </row>
    <row r="621" spans="15:20" x14ac:dyDescent="0.25">
      <c r="O621" s="34">
        <v>98282</v>
      </c>
      <c r="P621" s="34" t="s">
        <v>234</v>
      </c>
      <c r="Q621" s="35">
        <v>45701</v>
      </c>
      <c r="R621" s="36" t="s">
        <v>43</v>
      </c>
      <c r="S621" s="36" t="str">
        <f>VLOOKUP(Tabla9[[#This Row],[CODIGO DEL PRODUCTO]],Tabla7[],2,FALSE)</f>
        <v>PIEDRA 6-20</v>
      </c>
      <c r="T621" s="37">
        <v>35060</v>
      </c>
    </row>
    <row r="622" spans="15:20" x14ac:dyDescent="0.25">
      <c r="O622" s="34">
        <v>98292</v>
      </c>
      <c r="P622" s="34" t="s">
        <v>166</v>
      </c>
      <c r="Q622" s="35">
        <v>45701</v>
      </c>
      <c r="R622" s="36" t="s">
        <v>43</v>
      </c>
      <c r="S622" s="36" t="str">
        <f>VLOOKUP(Tabla9[[#This Row],[CODIGO DEL PRODUCTO]],Tabla7[],2,FALSE)</f>
        <v>PIEDRA 6-20</v>
      </c>
      <c r="T622" s="37">
        <v>35260</v>
      </c>
    </row>
    <row r="623" spans="15:20" x14ac:dyDescent="0.25">
      <c r="O623" s="34">
        <v>98323</v>
      </c>
      <c r="P623" s="34" t="s">
        <v>209</v>
      </c>
      <c r="Q623" s="35">
        <v>45701</v>
      </c>
      <c r="R623" s="36" t="s">
        <v>43</v>
      </c>
      <c r="S623" s="36" t="str">
        <f>VLOOKUP(Tabla9[[#This Row],[CODIGO DEL PRODUCTO]],Tabla7[],2,FALSE)</f>
        <v>PIEDRA 6-20</v>
      </c>
      <c r="T623" s="37">
        <v>34740</v>
      </c>
    </row>
    <row r="624" spans="15:20" x14ac:dyDescent="0.25">
      <c r="O624" s="34">
        <v>99742</v>
      </c>
      <c r="P624" s="34" t="s">
        <v>235</v>
      </c>
      <c r="Q624" s="35">
        <v>45702</v>
      </c>
      <c r="R624" s="36" t="s">
        <v>42</v>
      </c>
      <c r="S624" s="36" t="str">
        <f>VLOOKUP(Tabla9[[#This Row],[CODIGO DEL PRODUCTO]],Tabla7[],2,FALSE)</f>
        <v>ARENA FINA</v>
      </c>
      <c r="T624" s="37">
        <v>36840</v>
      </c>
    </row>
    <row r="625" spans="15:20" x14ac:dyDescent="0.25">
      <c r="O625" s="34">
        <v>98328</v>
      </c>
      <c r="P625" s="34" t="s">
        <v>263</v>
      </c>
      <c r="Q625" s="35">
        <v>45702</v>
      </c>
      <c r="R625" s="36" t="s">
        <v>43</v>
      </c>
      <c r="S625" s="36" t="str">
        <f>VLOOKUP(Tabla9[[#This Row],[CODIGO DEL PRODUCTO]],Tabla7[],2,FALSE)</f>
        <v>PIEDRA 6-20</v>
      </c>
      <c r="T625" s="37">
        <v>34640</v>
      </c>
    </row>
    <row r="626" spans="15:20" x14ac:dyDescent="0.25">
      <c r="O626" s="34">
        <v>98330</v>
      </c>
      <c r="P626" s="34" t="s">
        <v>234</v>
      </c>
      <c r="Q626" s="35">
        <v>45702</v>
      </c>
      <c r="R626" s="36" t="s">
        <v>43</v>
      </c>
      <c r="S626" s="36" t="str">
        <f>VLOOKUP(Tabla9[[#This Row],[CODIGO DEL PRODUCTO]],Tabla7[],2,FALSE)</f>
        <v>PIEDRA 6-20</v>
      </c>
      <c r="T626" s="37">
        <v>34960</v>
      </c>
    </row>
    <row r="627" spans="15:20" x14ac:dyDescent="0.25">
      <c r="O627" s="34">
        <v>98335</v>
      </c>
      <c r="P627" s="34" t="s">
        <v>249</v>
      </c>
      <c r="Q627" s="35">
        <v>45702</v>
      </c>
      <c r="R627" s="36" t="s">
        <v>43</v>
      </c>
      <c r="S627" s="36" t="str">
        <f>VLOOKUP(Tabla9[[#This Row],[CODIGO DEL PRODUCTO]],Tabla7[],2,FALSE)</f>
        <v>PIEDRA 6-20</v>
      </c>
      <c r="T627" s="37">
        <v>35720</v>
      </c>
    </row>
    <row r="628" spans="15:20" x14ac:dyDescent="0.25">
      <c r="O628" s="34">
        <v>98343</v>
      </c>
      <c r="P628" s="34" t="s">
        <v>166</v>
      </c>
      <c r="Q628" s="35">
        <v>45702</v>
      </c>
      <c r="R628" s="36" t="s">
        <v>43</v>
      </c>
      <c r="S628" s="36" t="str">
        <f>VLOOKUP(Tabla9[[#This Row],[CODIGO DEL PRODUCTO]],Tabla7[],2,FALSE)</f>
        <v>PIEDRA 6-20</v>
      </c>
      <c r="T628" s="37">
        <v>35820</v>
      </c>
    </row>
    <row r="629" spans="15:20" x14ac:dyDescent="0.25">
      <c r="O629" s="34">
        <v>2609101</v>
      </c>
      <c r="P629" s="34" t="s">
        <v>65</v>
      </c>
      <c r="Q629" s="35">
        <v>45702</v>
      </c>
      <c r="R629" s="36" t="s">
        <v>45</v>
      </c>
      <c r="S629" s="36" t="str">
        <f>VLOOKUP(Tabla9[[#This Row],[CODIGO DEL PRODUCTO]],Tabla7[],2,FALSE)</f>
        <v>CPF 40 AVELLANEDA</v>
      </c>
      <c r="T629" s="37">
        <v>32060</v>
      </c>
    </row>
    <row r="630" spans="15:20" x14ac:dyDescent="0.25">
      <c r="O630" s="34">
        <v>99752</v>
      </c>
      <c r="P630" s="34" t="s">
        <v>235</v>
      </c>
      <c r="Q630" s="35">
        <v>45703</v>
      </c>
      <c r="R630" s="36" t="s">
        <v>42</v>
      </c>
      <c r="S630" s="36" t="str">
        <f>VLOOKUP(Tabla9[[#This Row],[CODIGO DEL PRODUCTO]],Tabla7[],2,FALSE)</f>
        <v>ARENA FINA</v>
      </c>
      <c r="T630" s="37">
        <v>40140</v>
      </c>
    </row>
    <row r="631" spans="15:20" x14ac:dyDescent="0.25">
      <c r="O631" s="34">
        <v>98362</v>
      </c>
      <c r="P631" s="34" t="s">
        <v>263</v>
      </c>
      <c r="Q631" s="35">
        <v>45703</v>
      </c>
      <c r="R631" s="36" t="s">
        <v>43</v>
      </c>
      <c r="S631" s="36" t="str">
        <f>VLOOKUP(Tabla9[[#This Row],[CODIGO DEL PRODUCTO]],Tabla7[],2,FALSE)</f>
        <v>PIEDRA 6-20</v>
      </c>
      <c r="T631" s="37">
        <v>34800</v>
      </c>
    </row>
    <row r="632" spans="15:20" x14ac:dyDescent="0.25">
      <c r="O632" s="34">
        <v>99756</v>
      </c>
      <c r="P632" s="34" t="s">
        <v>235</v>
      </c>
      <c r="Q632" s="35">
        <v>45705</v>
      </c>
      <c r="R632" s="36" t="s">
        <v>42</v>
      </c>
      <c r="S632" s="36" t="str">
        <f>VLOOKUP(Tabla9[[#This Row],[CODIGO DEL PRODUCTO]],Tabla7[],2,FALSE)</f>
        <v>ARENA FINA</v>
      </c>
      <c r="T632" s="37">
        <v>38980</v>
      </c>
    </row>
    <row r="633" spans="15:20" x14ac:dyDescent="0.25">
      <c r="O633" s="34">
        <v>99762</v>
      </c>
      <c r="P633" s="34" t="s">
        <v>235</v>
      </c>
      <c r="Q633" s="35">
        <v>45705</v>
      </c>
      <c r="R633" s="36" t="s">
        <v>42</v>
      </c>
      <c r="S633" s="36" t="str">
        <f>VLOOKUP(Tabla9[[#This Row],[CODIGO DEL PRODUCTO]],Tabla7[],2,FALSE)</f>
        <v>ARENA FINA</v>
      </c>
      <c r="T633" s="37">
        <v>38240</v>
      </c>
    </row>
    <row r="634" spans="15:20" x14ac:dyDescent="0.25">
      <c r="O634" s="34">
        <v>98376</v>
      </c>
      <c r="P634" s="34" t="s">
        <v>234</v>
      </c>
      <c r="Q634" s="35">
        <v>45705</v>
      </c>
      <c r="R634" s="36" t="s">
        <v>43</v>
      </c>
      <c r="S634" s="36" t="str">
        <f>VLOOKUP(Tabla9[[#This Row],[CODIGO DEL PRODUCTO]],Tabla7[],2,FALSE)</f>
        <v>PIEDRA 6-20</v>
      </c>
      <c r="T634" s="37">
        <v>35320</v>
      </c>
    </row>
    <row r="635" spans="15:20" x14ac:dyDescent="0.25">
      <c r="O635" s="34">
        <v>98381</v>
      </c>
      <c r="P635" s="34" t="s">
        <v>166</v>
      </c>
      <c r="Q635" s="35">
        <v>45705</v>
      </c>
      <c r="R635" s="36" t="s">
        <v>43</v>
      </c>
      <c r="S635" s="36" t="str">
        <f>VLOOKUP(Tabla9[[#This Row],[CODIGO DEL PRODUCTO]],Tabla7[],2,FALSE)</f>
        <v>PIEDRA 6-20</v>
      </c>
      <c r="T635" s="37">
        <v>35260</v>
      </c>
    </row>
    <row r="636" spans="15:20" x14ac:dyDescent="0.25">
      <c r="O636" s="34">
        <v>2609956</v>
      </c>
      <c r="P636" s="34" t="s">
        <v>65</v>
      </c>
      <c r="Q636" s="35">
        <v>45705</v>
      </c>
      <c r="R636" s="36" t="s">
        <v>45</v>
      </c>
      <c r="S636" s="36" t="str">
        <f>VLOOKUP(Tabla9[[#This Row],[CODIGO DEL PRODUCTO]],Tabla7[],2,FALSE)</f>
        <v>CPF 40 AVELLANEDA</v>
      </c>
      <c r="T636" s="37">
        <v>32380</v>
      </c>
    </row>
    <row r="637" spans="15:20" x14ac:dyDescent="0.25">
      <c r="O637" s="34">
        <v>99768</v>
      </c>
      <c r="P637" s="34" t="s">
        <v>235</v>
      </c>
      <c r="Q637" s="35">
        <v>45706</v>
      </c>
      <c r="R637" s="36" t="s">
        <v>42</v>
      </c>
      <c r="S637" s="36" t="str">
        <f>VLOOKUP(Tabla9[[#This Row],[CODIGO DEL PRODUCTO]],Tabla7[],2,FALSE)</f>
        <v>ARENA FINA</v>
      </c>
      <c r="T637" s="37">
        <v>37280</v>
      </c>
    </row>
    <row r="638" spans="15:20" x14ac:dyDescent="0.25">
      <c r="O638" s="34">
        <v>99775</v>
      </c>
      <c r="P638" s="34" t="s">
        <v>235</v>
      </c>
      <c r="Q638" s="35">
        <v>45706</v>
      </c>
      <c r="R638" s="36" t="s">
        <v>42</v>
      </c>
      <c r="S638" s="36" t="str">
        <f>VLOOKUP(Tabla9[[#This Row],[CODIGO DEL PRODUCTO]],Tabla7[],2,FALSE)</f>
        <v>ARENA FINA</v>
      </c>
      <c r="T638" s="37">
        <v>37480</v>
      </c>
    </row>
    <row r="639" spans="15:20" x14ac:dyDescent="0.25">
      <c r="O639" s="34">
        <v>98395</v>
      </c>
      <c r="P639" s="34" t="s">
        <v>263</v>
      </c>
      <c r="Q639" s="35">
        <v>45706</v>
      </c>
      <c r="R639" s="36" t="s">
        <v>43</v>
      </c>
      <c r="S639" s="36" t="str">
        <f>VLOOKUP(Tabla9[[#This Row],[CODIGO DEL PRODUCTO]],Tabla7[],2,FALSE)</f>
        <v>PIEDRA 6-20</v>
      </c>
      <c r="T639" s="37">
        <v>33920</v>
      </c>
    </row>
    <row r="640" spans="15:20" x14ac:dyDescent="0.25">
      <c r="O640" s="34">
        <v>98399</v>
      </c>
      <c r="P640" s="34" t="s">
        <v>234</v>
      </c>
      <c r="Q640" s="35">
        <v>45706</v>
      </c>
      <c r="R640" s="36" t="s">
        <v>43</v>
      </c>
      <c r="S640" s="36" t="str">
        <f>VLOOKUP(Tabla9[[#This Row],[CODIGO DEL PRODUCTO]],Tabla7[],2,FALSE)</f>
        <v>PIEDRA 6-20</v>
      </c>
      <c r="T640" s="37">
        <v>35420</v>
      </c>
    </row>
    <row r="641" spans="15:20" x14ac:dyDescent="0.25">
      <c r="O641" s="34">
        <v>98414</v>
      </c>
      <c r="P641" s="34" t="s">
        <v>166</v>
      </c>
      <c r="Q641" s="35">
        <v>45706</v>
      </c>
      <c r="R641" s="36" t="s">
        <v>43</v>
      </c>
      <c r="S641" s="36" t="str">
        <f>VLOOKUP(Tabla9[[#This Row],[CODIGO DEL PRODUCTO]],Tabla7[],2,FALSE)</f>
        <v>PIEDRA 6-20</v>
      </c>
      <c r="T641" s="37">
        <v>35380</v>
      </c>
    </row>
    <row r="642" spans="15:20" x14ac:dyDescent="0.25">
      <c r="O642" s="34">
        <v>98415</v>
      </c>
      <c r="P642" s="34" t="s">
        <v>266</v>
      </c>
      <c r="Q642" s="35">
        <v>45706</v>
      </c>
      <c r="R642" s="36" t="s">
        <v>43</v>
      </c>
      <c r="S642" s="36" t="str">
        <f>VLOOKUP(Tabla9[[#This Row],[CODIGO DEL PRODUCTO]],Tabla7[],2,FALSE)</f>
        <v>PIEDRA 6-20</v>
      </c>
      <c r="T642" s="37">
        <v>36000</v>
      </c>
    </row>
    <row r="643" spans="15:20" x14ac:dyDescent="0.25">
      <c r="O643" s="34">
        <v>2610220</v>
      </c>
      <c r="P643" s="34" t="s">
        <v>65</v>
      </c>
      <c r="Q643" s="35">
        <v>45706</v>
      </c>
      <c r="R643" s="36" t="s">
        <v>45</v>
      </c>
      <c r="S643" s="36" t="str">
        <f>VLOOKUP(Tabla9[[#This Row],[CODIGO DEL PRODUCTO]],Tabla7[],2,FALSE)</f>
        <v>CPF 40 AVELLANEDA</v>
      </c>
      <c r="T643" s="37">
        <v>32480</v>
      </c>
    </row>
    <row r="644" spans="15:20" x14ac:dyDescent="0.25">
      <c r="O644" s="34">
        <v>99785</v>
      </c>
      <c r="P644" s="34" t="s">
        <v>235</v>
      </c>
      <c r="Q644" s="35">
        <v>45707</v>
      </c>
      <c r="R644" s="36" t="s">
        <v>42</v>
      </c>
      <c r="S644" s="36" t="str">
        <f>VLOOKUP(Tabla9[[#This Row],[CODIGO DEL PRODUCTO]],Tabla7[],2,FALSE)</f>
        <v>ARENA FINA</v>
      </c>
      <c r="T644" s="37">
        <v>37360</v>
      </c>
    </row>
    <row r="645" spans="15:20" x14ac:dyDescent="0.25">
      <c r="O645" s="34">
        <v>99789</v>
      </c>
      <c r="P645" s="34" t="s">
        <v>235</v>
      </c>
      <c r="Q645" s="35">
        <v>45707</v>
      </c>
      <c r="R645" s="36" t="s">
        <v>42</v>
      </c>
      <c r="S645" s="36" t="str">
        <f>VLOOKUP(Tabla9[[#This Row],[CODIGO DEL PRODUCTO]],Tabla7[],2,FALSE)</f>
        <v>ARENA FINA</v>
      </c>
      <c r="T645" s="37">
        <v>38020</v>
      </c>
    </row>
    <row r="646" spans="15:20" x14ac:dyDescent="0.25">
      <c r="O646" s="34">
        <v>98431</v>
      </c>
      <c r="P646" s="34" t="s">
        <v>263</v>
      </c>
      <c r="Q646" s="35">
        <v>45707</v>
      </c>
      <c r="R646" s="36" t="s">
        <v>43</v>
      </c>
      <c r="S646" s="36" t="str">
        <f>VLOOKUP(Tabla9[[#This Row],[CODIGO DEL PRODUCTO]],Tabla7[],2,FALSE)</f>
        <v>PIEDRA 6-20</v>
      </c>
      <c r="T646" s="37">
        <v>34560</v>
      </c>
    </row>
    <row r="647" spans="15:20" x14ac:dyDescent="0.25">
      <c r="O647" s="34">
        <v>98434</v>
      </c>
      <c r="P647" s="34" t="s">
        <v>234</v>
      </c>
      <c r="Q647" s="35">
        <v>45707</v>
      </c>
      <c r="R647" s="36" t="s">
        <v>43</v>
      </c>
      <c r="S647" s="36" t="str">
        <f>VLOOKUP(Tabla9[[#This Row],[CODIGO DEL PRODUCTO]],Tabla7[],2,FALSE)</f>
        <v>PIEDRA 6-20</v>
      </c>
      <c r="T647" s="37">
        <v>34340</v>
      </c>
    </row>
    <row r="648" spans="15:20" x14ac:dyDescent="0.25">
      <c r="O648" s="34">
        <v>98444</v>
      </c>
      <c r="P648" s="34" t="s">
        <v>166</v>
      </c>
      <c r="Q648" s="35">
        <v>45707</v>
      </c>
      <c r="R648" s="36" t="s">
        <v>43</v>
      </c>
      <c r="S648" s="36" t="str">
        <f>VLOOKUP(Tabla9[[#This Row],[CODIGO DEL PRODUCTO]],Tabla7[],2,FALSE)</f>
        <v>PIEDRA 6-20</v>
      </c>
      <c r="T648" s="37">
        <v>35100</v>
      </c>
    </row>
    <row r="649" spans="15:20" x14ac:dyDescent="0.25">
      <c r="O649" s="34">
        <v>98453</v>
      </c>
      <c r="P649" s="34" t="s">
        <v>249</v>
      </c>
      <c r="Q649" s="35">
        <v>45707</v>
      </c>
      <c r="R649" s="36" t="s">
        <v>43</v>
      </c>
      <c r="S649" s="36" t="str">
        <f>VLOOKUP(Tabla9[[#This Row],[CODIGO DEL PRODUCTO]],Tabla7[],2,FALSE)</f>
        <v>PIEDRA 6-20</v>
      </c>
      <c r="T649" s="37">
        <v>35120</v>
      </c>
    </row>
    <row r="650" spans="15:20" x14ac:dyDescent="0.25">
      <c r="O650" s="34">
        <v>131996</v>
      </c>
      <c r="P650" s="34" t="s">
        <v>239</v>
      </c>
      <c r="Q650" s="35">
        <v>45707</v>
      </c>
      <c r="R650" s="36" t="s">
        <v>46</v>
      </c>
      <c r="S650" s="36" t="str">
        <f>VLOOKUP(Tabla9[[#This Row],[CODIGO DEL PRODUCTO]],Tabla7[],2,FALSE)</f>
        <v>PIEDRA 10-30</v>
      </c>
      <c r="T650" s="37">
        <v>35080</v>
      </c>
    </row>
    <row r="651" spans="15:20" x14ac:dyDescent="0.25">
      <c r="O651" s="34">
        <v>99796</v>
      </c>
      <c r="P651" s="34" t="s">
        <v>235</v>
      </c>
      <c r="Q651" s="35">
        <v>45708</v>
      </c>
      <c r="R651" s="36" t="s">
        <v>42</v>
      </c>
      <c r="S651" s="36" t="str">
        <f>VLOOKUP(Tabla9[[#This Row],[CODIGO DEL PRODUCTO]],Tabla7[],2,FALSE)</f>
        <v>ARENA FINA</v>
      </c>
      <c r="T651" s="37">
        <v>38180</v>
      </c>
    </row>
    <row r="652" spans="15:20" x14ac:dyDescent="0.25">
      <c r="O652" s="34">
        <v>99804</v>
      </c>
      <c r="P652" s="34" t="s">
        <v>235</v>
      </c>
      <c r="Q652" s="35">
        <v>45708</v>
      </c>
      <c r="R652" s="36" t="s">
        <v>42</v>
      </c>
      <c r="S652" s="36" t="str">
        <f>VLOOKUP(Tabla9[[#This Row],[CODIGO DEL PRODUCTO]],Tabla7[],2,FALSE)</f>
        <v>ARENA FINA</v>
      </c>
      <c r="T652" s="37">
        <v>37920</v>
      </c>
    </row>
    <row r="653" spans="15:20" x14ac:dyDescent="0.25">
      <c r="O653" s="34">
        <v>98461</v>
      </c>
      <c r="P653" s="34" t="s">
        <v>263</v>
      </c>
      <c r="Q653" s="35">
        <v>45708</v>
      </c>
      <c r="R653" s="36" t="s">
        <v>43</v>
      </c>
      <c r="S653" s="36" t="str">
        <f>VLOOKUP(Tabla9[[#This Row],[CODIGO DEL PRODUCTO]],Tabla7[],2,FALSE)</f>
        <v>PIEDRA 6-20</v>
      </c>
      <c r="T653" s="37">
        <v>34940</v>
      </c>
    </row>
    <row r="654" spans="15:20" x14ac:dyDescent="0.25">
      <c r="O654" s="34">
        <v>98470</v>
      </c>
      <c r="P654" s="34" t="s">
        <v>234</v>
      </c>
      <c r="Q654" s="35">
        <v>45708</v>
      </c>
      <c r="R654" s="36" t="s">
        <v>43</v>
      </c>
      <c r="S654" s="36" t="str">
        <f>VLOOKUP(Tabla9[[#This Row],[CODIGO DEL PRODUCTO]],Tabla7[],2,FALSE)</f>
        <v>PIEDRA 6-20</v>
      </c>
      <c r="T654" s="37">
        <v>35120</v>
      </c>
    </row>
    <row r="655" spans="15:20" x14ac:dyDescent="0.25">
      <c r="O655" s="34">
        <v>98480</v>
      </c>
      <c r="P655" s="34" t="s">
        <v>166</v>
      </c>
      <c r="Q655" s="35">
        <v>45708</v>
      </c>
      <c r="R655" s="36" t="s">
        <v>43</v>
      </c>
      <c r="S655" s="36" t="str">
        <f>VLOOKUP(Tabla9[[#This Row],[CODIGO DEL PRODUCTO]],Tabla7[],2,FALSE)</f>
        <v>PIEDRA 6-20</v>
      </c>
      <c r="T655" s="37">
        <v>35480</v>
      </c>
    </row>
    <row r="656" spans="15:20" x14ac:dyDescent="0.25">
      <c r="O656" s="34">
        <v>132113</v>
      </c>
      <c r="P656" s="34" t="s">
        <v>119</v>
      </c>
      <c r="Q656" s="35">
        <v>45708</v>
      </c>
      <c r="R656" s="36" t="s">
        <v>46</v>
      </c>
      <c r="S656" s="36" t="str">
        <f>VLOOKUP(Tabla9[[#This Row],[CODIGO DEL PRODUCTO]],Tabla7[],2,FALSE)</f>
        <v>PIEDRA 10-30</v>
      </c>
      <c r="T656" s="37">
        <v>35200</v>
      </c>
    </row>
    <row r="657" spans="15:20" x14ac:dyDescent="0.25">
      <c r="O657" s="34">
        <v>2610488</v>
      </c>
      <c r="P657" s="34" t="s">
        <v>65</v>
      </c>
      <c r="Q657" s="35">
        <v>45708</v>
      </c>
      <c r="R657" s="36" t="s">
        <v>45</v>
      </c>
      <c r="S657" s="36" t="str">
        <f>VLOOKUP(Tabla9[[#This Row],[CODIGO DEL PRODUCTO]],Tabla7[],2,FALSE)</f>
        <v>CPF 40 AVELLANEDA</v>
      </c>
      <c r="T657" s="37">
        <v>32460</v>
      </c>
    </row>
    <row r="658" spans="15:20" x14ac:dyDescent="0.25">
      <c r="O658" s="34">
        <v>99814</v>
      </c>
      <c r="P658" s="34" t="s">
        <v>235</v>
      </c>
      <c r="Q658" s="35">
        <v>45709</v>
      </c>
      <c r="R658" s="36" t="s">
        <v>42</v>
      </c>
      <c r="S658" s="36" t="str">
        <f>VLOOKUP(Tabla9[[#This Row],[CODIGO DEL PRODUCTO]],Tabla7[],2,FALSE)</f>
        <v>ARENA FINA</v>
      </c>
      <c r="T658" s="37">
        <v>37900</v>
      </c>
    </row>
    <row r="659" spans="15:20" x14ac:dyDescent="0.25">
      <c r="O659" s="34">
        <v>99819</v>
      </c>
      <c r="P659" s="34" t="s">
        <v>235</v>
      </c>
      <c r="Q659" s="35">
        <v>45709</v>
      </c>
      <c r="R659" s="36" t="s">
        <v>42</v>
      </c>
      <c r="S659" s="36" t="str">
        <f>VLOOKUP(Tabla9[[#This Row],[CODIGO DEL PRODUCTO]],Tabla7[],2,FALSE)</f>
        <v>ARENA FINA</v>
      </c>
      <c r="T659" s="37">
        <v>38420</v>
      </c>
    </row>
    <row r="660" spans="15:20" x14ac:dyDescent="0.25">
      <c r="O660" s="34">
        <v>98493</v>
      </c>
      <c r="P660" s="34" t="s">
        <v>263</v>
      </c>
      <c r="Q660" s="35">
        <v>45709</v>
      </c>
      <c r="R660" s="36" t="s">
        <v>43</v>
      </c>
      <c r="S660" s="36" t="str">
        <f>VLOOKUP(Tabla9[[#This Row],[CODIGO DEL PRODUCTO]],Tabla7[],2,FALSE)</f>
        <v>PIEDRA 6-20</v>
      </c>
      <c r="T660" s="37">
        <v>34080</v>
      </c>
    </row>
    <row r="661" spans="15:20" x14ac:dyDescent="0.25">
      <c r="O661" s="34">
        <v>98496</v>
      </c>
      <c r="P661" s="34" t="s">
        <v>234</v>
      </c>
      <c r="Q661" s="35">
        <v>45709</v>
      </c>
      <c r="R661" s="36" t="s">
        <v>43</v>
      </c>
      <c r="S661" s="36" t="str">
        <f>VLOOKUP(Tabla9[[#This Row],[CODIGO DEL PRODUCTO]],Tabla7[],2,FALSE)</f>
        <v>PIEDRA 6-20</v>
      </c>
      <c r="T661" s="37">
        <v>35800</v>
      </c>
    </row>
    <row r="662" spans="15:20" x14ac:dyDescent="0.25">
      <c r="O662" s="34">
        <v>98508</v>
      </c>
      <c r="P662" s="34" t="s">
        <v>166</v>
      </c>
      <c r="Q662" s="35">
        <v>45709</v>
      </c>
      <c r="R662" s="36" t="s">
        <v>43</v>
      </c>
      <c r="S662" s="36" t="str">
        <f>VLOOKUP(Tabla9[[#This Row],[CODIGO DEL PRODUCTO]],Tabla7[],2,FALSE)</f>
        <v>PIEDRA 6-20</v>
      </c>
      <c r="T662" s="37">
        <v>35300</v>
      </c>
    </row>
    <row r="663" spans="15:20" x14ac:dyDescent="0.25">
      <c r="O663" s="34">
        <v>2611085</v>
      </c>
      <c r="P663" s="34" t="s">
        <v>65</v>
      </c>
      <c r="Q663" s="35">
        <v>45709</v>
      </c>
      <c r="R663" s="36" t="s">
        <v>45</v>
      </c>
      <c r="S663" s="36" t="str">
        <f>VLOOKUP(Tabla9[[#This Row],[CODIGO DEL PRODUCTO]],Tabla7[],2,FALSE)</f>
        <v>CPF 40 AVELLANEDA</v>
      </c>
      <c r="T663" s="37">
        <v>32760</v>
      </c>
    </row>
    <row r="664" spans="15:20" x14ac:dyDescent="0.25">
      <c r="O664" s="34">
        <v>99827</v>
      </c>
      <c r="P664" s="34" t="s">
        <v>235</v>
      </c>
      <c r="Q664" s="35">
        <v>45710</v>
      </c>
      <c r="R664" s="36" t="s">
        <v>42</v>
      </c>
      <c r="S664" s="36" t="str">
        <f>VLOOKUP(Tabla9[[#This Row],[CODIGO DEL PRODUCTO]],Tabla7[],2,FALSE)</f>
        <v>ARENA FINA</v>
      </c>
      <c r="T664" s="37">
        <v>37780</v>
      </c>
    </row>
    <row r="665" spans="15:20" x14ac:dyDescent="0.25">
      <c r="O665" s="34">
        <v>98525</v>
      </c>
      <c r="P665" s="34" t="s">
        <v>150</v>
      </c>
      <c r="Q665" s="35">
        <v>45710</v>
      </c>
      <c r="R665" s="36" t="s">
        <v>43</v>
      </c>
      <c r="S665" s="36" t="str">
        <f>VLOOKUP(Tabla9[[#This Row],[CODIGO DEL PRODUCTO]],Tabla7[],2,FALSE)</f>
        <v>PIEDRA 6-20</v>
      </c>
      <c r="T665" s="37">
        <v>35140</v>
      </c>
    </row>
    <row r="666" spans="15:20" x14ac:dyDescent="0.25">
      <c r="O666" s="34">
        <v>98527</v>
      </c>
      <c r="P666" s="34" t="s">
        <v>234</v>
      </c>
      <c r="Q666" s="35">
        <v>45710</v>
      </c>
      <c r="R666" s="36" t="s">
        <v>43</v>
      </c>
      <c r="S666" s="36" t="str">
        <f>VLOOKUP(Tabla9[[#This Row],[CODIGO DEL PRODUCTO]],Tabla7[],2,FALSE)</f>
        <v>PIEDRA 6-20</v>
      </c>
      <c r="T666" s="37">
        <v>34880</v>
      </c>
    </row>
    <row r="667" spans="15:20" x14ac:dyDescent="0.25">
      <c r="O667" s="34">
        <v>99832</v>
      </c>
      <c r="P667" s="34" t="s">
        <v>235</v>
      </c>
      <c r="Q667" s="35">
        <v>45712</v>
      </c>
      <c r="R667" s="36" t="s">
        <v>42</v>
      </c>
      <c r="S667" s="36" t="str">
        <f>VLOOKUP(Tabla9[[#This Row],[CODIGO DEL PRODUCTO]],Tabla7[],2,FALSE)</f>
        <v>ARENA FINA</v>
      </c>
      <c r="T667" s="37">
        <v>38780</v>
      </c>
    </row>
    <row r="668" spans="15:20" x14ac:dyDescent="0.25">
      <c r="O668" s="34">
        <v>99836</v>
      </c>
      <c r="P668" s="34" t="s">
        <v>235</v>
      </c>
      <c r="Q668" s="35">
        <v>45712</v>
      </c>
      <c r="R668" s="36" t="s">
        <v>42</v>
      </c>
      <c r="S668" s="36" t="str">
        <f>VLOOKUP(Tabla9[[#This Row],[CODIGO DEL PRODUCTO]],Tabla7[],2,FALSE)</f>
        <v>ARENA FINA</v>
      </c>
      <c r="T668" s="37">
        <v>38040</v>
      </c>
    </row>
    <row r="669" spans="15:20" x14ac:dyDescent="0.25">
      <c r="O669" s="34">
        <v>99842</v>
      </c>
      <c r="P669" s="34" t="s">
        <v>235</v>
      </c>
      <c r="Q669" s="35">
        <v>45713</v>
      </c>
      <c r="R669" s="36" t="s">
        <v>42</v>
      </c>
      <c r="S669" s="36" t="str">
        <f>VLOOKUP(Tabla9[[#This Row],[CODIGO DEL PRODUCTO]],Tabla7[],2,FALSE)</f>
        <v>ARENA FINA</v>
      </c>
      <c r="T669" s="37">
        <v>36740</v>
      </c>
    </row>
    <row r="670" spans="15:20" x14ac:dyDescent="0.25">
      <c r="O670" s="34">
        <v>99846</v>
      </c>
      <c r="P670" s="34" t="s">
        <v>235</v>
      </c>
      <c r="Q670" s="35">
        <v>45713</v>
      </c>
      <c r="R670" s="36" t="s">
        <v>42</v>
      </c>
      <c r="S670" s="36" t="str">
        <f>VLOOKUP(Tabla9[[#This Row],[CODIGO DEL PRODUCTO]],Tabla7[],2,FALSE)</f>
        <v>ARENA FINA</v>
      </c>
      <c r="T670" s="37">
        <v>36900</v>
      </c>
    </row>
    <row r="671" spans="15:20" x14ac:dyDescent="0.25">
      <c r="O671" s="34">
        <v>98538</v>
      </c>
      <c r="P671" s="34" t="s">
        <v>252</v>
      </c>
      <c r="Q671" s="35">
        <v>45713</v>
      </c>
      <c r="R671" s="36" t="s">
        <v>43</v>
      </c>
      <c r="S671" s="36" t="str">
        <f>VLOOKUP(Tabla9[[#This Row],[CODIGO DEL PRODUCTO]],Tabla7[],2,FALSE)</f>
        <v>PIEDRA 6-20</v>
      </c>
      <c r="T671" s="37">
        <v>33780</v>
      </c>
    </row>
    <row r="672" spans="15:20" x14ac:dyDescent="0.25">
      <c r="O672" s="34">
        <v>98552</v>
      </c>
      <c r="P672" s="34" t="s">
        <v>254</v>
      </c>
      <c r="Q672" s="35">
        <v>45713</v>
      </c>
      <c r="R672" s="36" t="s">
        <v>43</v>
      </c>
      <c r="S672" s="36" t="str">
        <f>VLOOKUP(Tabla9[[#This Row],[CODIGO DEL PRODUCTO]],Tabla7[],2,FALSE)</f>
        <v>PIEDRA 6-20</v>
      </c>
      <c r="T672" s="37">
        <v>34880</v>
      </c>
    </row>
    <row r="673" spans="15:20" x14ac:dyDescent="0.25">
      <c r="O673" s="34">
        <v>2611482</v>
      </c>
      <c r="P673" s="34" t="s">
        <v>65</v>
      </c>
      <c r="Q673" s="35">
        <v>45713</v>
      </c>
      <c r="R673" s="36" t="s">
        <v>45</v>
      </c>
      <c r="S673" s="36" t="str">
        <f>VLOOKUP(Tabla9[[#This Row],[CODIGO DEL PRODUCTO]],Tabla7[],2,FALSE)</f>
        <v>CPF 40 AVELLANEDA</v>
      </c>
      <c r="T673" s="37">
        <v>32660</v>
      </c>
    </row>
    <row r="674" spans="15:20" x14ac:dyDescent="0.25">
      <c r="O674" s="34">
        <v>99853</v>
      </c>
      <c r="P674" s="34" t="s">
        <v>235</v>
      </c>
      <c r="Q674" s="35">
        <v>45714</v>
      </c>
      <c r="R674" s="36" t="s">
        <v>42</v>
      </c>
      <c r="S674" s="36" t="str">
        <f>VLOOKUP(Tabla9[[#This Row],[CODIGO DEL PRODUCTO]],Tabla7[],2,FALSE)</f>
        <v>ARENA FINA</v>
      </c>
      <c r="T674" s="37">
        <v>37940</v>
      </c>
    </row>
    <row r="675" spans="15:20" x14ac:dyDescent="0.25">
      <c r="O675" s="34">
        <v>99860</v>
      </c>
      <c r="P675" s="34" t="s">
        <v>235</v>
      </c>
      <c r="Q675" s="35">
        <v>45714</v>
      </c>
      <c r="R675" s="36" t="s">
        <v>42</v>
      </c>
      <c r="S675" s="36" t="str">
        <f>VLOOKUP(Tabla9[[#This Row],[CODIGO DEL PRODUCTO]],Tabla7[],2,FALSE)</f>
        <v>ARENA FINA</v>
      </c>
      <c r="T675" s="37">
        <v>38300</v>
      </c>
    </row>
    <row r="676" spans="15:20" x14ac:dyDescent="0.25">
      <c r="O676" s="34">
        <v>98582</v>
      </c>
      <c r="P676" s="34" t="s">
        <v>254</v>
      </c>
      <c r="Q676" s="35">
        <v>45714</v>
      </c>
      <c r="R676" s="36" t="s">
        <v>43</v>
      </c>
      <c r="S676" s="36" t="str">
        <f>VLOOKUP(Tabla9[[#This Row],[CODIGO DEL PRODUCTO]],Tabla7[],2,FALSE)</f>
        <v>PIEDRA 6-20</v>
      </c>
      <c r="T676" s="37">
        <v>34580</v>
      </c>
    </row>
    <row r="677" spans="15:20" x14ac:dyDescent="0.25">
      <c r="O677" s="34">
        <v>132375</v>
      </c>
      <c r="P677" s="34" t="s">
        <v>123</v>
      </c>
      <c r="Q677" s="35">
        <v>45714</v>
      </c>
      <c r="R677" s="36" t="s">
        <v>43</v>
      </c>
      <c r="S677" s="36" t="str">
        <f>VLOOKUP(Tabla9[[#This Row],[CODIGO DEL PRODUCTO]],Tabla7[],2,FALSE)</f>
        <v>PIEDRA 6-20</v>
      </c>
      <c r="T677" s="37">
        <v>35340</v>
      </c>
    </row>
    <row r="678" spans="15:20" x14ac:dyDescent="0.25">
      <c r="O678" s="34">
        <v>132382</v>
      </c>
      <c r="P678" s="34" t="s">
        <v>162</v>
      </c>
      <c r="Q678" s="35">
        <v>45714</v>
      </c>
      <c r="R678" s="36" t="s">
        <v>43</v>
      </c>
      <c r="S678" s="36" t="str">
        <f>VLOOKUP(Tabla9[[#This Row],[CODIGO DEL PRODUCTO]],Tabla7[],2,FALSE)</f>
        <v>PIEDRA 6-20</v>
      </c>
      <c r="T678" s="37">
        <v>34820</v>
      </c>
    </row>
    <row r="679" spans="15:20" x14ac:dyDescent="0.25">
      <c r="O679" s="34">
        <v>132386</v>
      </c>
      <c r="P679" s="34" t="s">
        <v>141</v>
      </c>
      <c r="Q679" s="35">
        <v>45714</v>
      </c>
      <c r="R679" s="36" t="s">
        <v>43</v>
      </c>
      <c r="S679" s="36" t="str">
        <f>VLOOKUP(Tabla9[[#This Row],[CODIGO DEL PRODUCTO]],Tabla7[],2,FALSE)</f>
        <v>PIEDRA 6-20</v>
      </c>
      <c r="T679" s="37">
        <v>35320</v>
      </c>
    </row>
    <row r="680" spans="15:20" x14ac:dyDescent="0.25">
      <c r="O680" s="34">
        <v>132435</v>
      </c>
      <c r="P680" s="34" t="s">
        <v>116</v>
      </c>
      <c r="Q680" s="35">
        <v>45714</v>
      </c>
      <c r="R680" s="36" t="s">
        <v>43</v>
      </c>
      <c r="S680" s="36" t="str">
        <f>VLOOKUP(Tabla9[[#This Row],[CODIGO DEL PRODUCTO]],Tabla7[],2,FALSE)</f>
        <v>PIEDRA 6-20</v>
      </c>
      <c r="T680" s="37">
        <v>35890</v>
      </c>
    </row>
    <row r="681" spans="15:20" x14ac:dyDescent="0.25">
      <c r="O681" s="34">
        <v>2611870</v>
      </c>
      <c r="P681" s="34" t="s">
        <v>65</v>
      </c>
      <c r="Q681" s="35">
        <v>45714</v>
      </c>
      <c r="R681" s="36" t="s">
        <v>45</v>
      </c>
      <c r="S681" s="36" t="str">
        <f>VLOOKUP(Tabla9[[#This Row],[CODIGO DEL PRODUCTO]],Tabla7[],2,FALSE)</f>
        <v>CPF 40 AVELLANEDA</v>
      </c>
      <c r="T681" s="37">
        <v>32710</v>
      </c>
    </row>
    <row r="682" spans="15:20" x14ac:dyDescent="0.25">
      <c r="O682" s="34">
        <v>99867</v>
      </c>
      <c r="P682" s="34" t="s">
        <v>235</v>
      </c>
      <c r="Q682" s="35">
        <v>45715</v>
      </c>
      <c r="R682" s="36" t="s">
        <v>42</v>
      </c>
      <c r="S682" s="36" t="str">
        <f>VLOOKUP(Tabla9[[#This Row],[CODIGO DEL PRODUCTO]],Tabla7[],2,FALSE)</f>
        <v>ARENA FINA</v>
      </c>
      <c r="T682" s="37">
        <v>36640</v>
      </c>
    </row>
    <row r="683" spans="15:20" x14ac:dyDescent="0.25">
      <c r="O683" s="34">
        <v>99872</v>
      </c>
      <c r="P683" s="34" t="s">
        <v>235</v>
      </c>
      <c r="Q683" s="35">
        <v>45715</v>
      </c>
      <c r="R683" s="36" t="s">
        <v>42</v>
      </c>
      <c r="S683" s="36" t="str">
        <f>VLOOKUP(Tabla9[[#This Row],[CODIGO DEL PRODUCTO]],Tabla7[],2,FALSE)</f>
        <v>ARENA FINA</v>
      </c>
      <c r="T683" s="37">
        <v>37600</v>
      </c>
    </row>
    <row r="684" spans="15:20" x14ac:dyDescent="0.25">
      <c r="O684" s="34">
        <v>98610</v>
      </c>
      <c r="P684" s="34" t="s">
        <v>280</v>
      </c>
      <c r="Q684" s="35">
        <v>45715</v>
      </c>
      <c r="R684" s="36" t="s">
        <v>40</v>
      </c>
      <c r="S684" s="36" t="str">
        <f>VLOOKUP(Tabla9[[#This Row],[CODIGO DEL PRODUCTO]],Tabla7[],2,FALSE)</f>
        <v>PIEDRA 0-6</v>
      </c>
      <c r="T684" s="37">
        <v>34040</v>
      </c>
    </row>
    <row r="685" spans="15:20" x14ac:dyDescent="0.25">
      <c r="O685" s="34">
        <v>98616</v>
      </c>
      <c r="P685" s="34" t="s">
        <v>254</v>
      </c>
      <c r="Q685" s="35">
        <v>45715</v>
      </c>
      <c r="R685" s="36" t="s">
        <v>43</v>
      </c>
      <c r="S685" s="36" t="str">
        <f>VLOOKUP(Tabla9[[#This Row],[CODIGO DEL PRODUCTO]],Tabla7[],2,FALSE)</f>
        <v>PIEDRA 6-20</v>
      </c>
      <c r="T685" s="37">
        <v>34140</v>
      </c>
    </row>
    <row r="686" spans="15:20" x14ac:dyDescent="0.25">
      <c r="O686" s="34">
        <v>98625</v>
      </c>
      <c r="P686" s="34" t="s">
        <v>252</v>
      </c>
      <c r="Q686" s="35">
        <v>45715</v>
      </c>
      <c r="R686" s="36" t="s">
        <v>43</v>
      </c>
      <c r="S686" s="36" t="str">
        <f>VLOOKUP(Tabla9[[#This Row],[CODIGO DEL PRODUCTO]],Tabla7[],2,FALSE)</f>
        <v>PIEDRA 6-20</v>
      </c>
      <c r="T686" s="37">
        <v>34020</v>
      </c>
    </row>
    <row r="687" spans="15:20" x14ac:dyDescent="0.25">
      <c r="O687" s="34">
        <v>98635</v>
      </c>
      <c r="P687" s="34" t="s">
        <v>234</v>
      </c>
      <c r="Q687" s="35">
        <v>45715</v>
      </c>
      <c r="R687" s="36" t="s">
        <v>43</v>
      </c>
      <c r="S687" s="36" t="str">
        <f>VLOOKUP(Tabla9[[#This Row],[CODIGO DEL PRODUCTO]],Tabla7[],2,FALSE)</f>
        <v>PIEDRA 6-20</v>
      </c>
      <c r="T687" s="37">
        <v>34980</v>
      </c>
    </row>
    <row r="688" spans="15:20" x14ac:dyDescent="0.25">
      <c r="O688" s="34">
        <v>98645</v>
      </c>
      <c r="P688" s="34" t="s">
        <v>254</v>
      </c>
      <c r="Q688" s="35">
        <v>45715</v>
      </c>
      <c r="R688" s="36" t="s">
        <v>43</v>
      </c>
      <c r="S688" s="36" t="str">
        <f>VLOOKUP(Tabla9[[#This Row],[CODIGO DEL PRODUCTO]],Tabla7[],2,FALSE)</f>
        <v>PIEDRA 6-20</v>
      </c>
      <c r="T688" s="37">
        <v>34960</v>
      </c>
    </row>
    <row r="689" spans="15:20" x14ac:dyDescent="0.25">
      <c r="O689" s="34">
        <v>132454</v>
      </c>
      <c r="P689" s="34" t="s">
        <v>119</v>
      </c>
      <c r="Q689" s="35">
        <v>45715</v>
      </c>
      <c r="R689" s="36" t="s">
        <v>43</v>
      </c>
      <c r="S689" s="36" t="str">
        <f>VLOOKUP(Tabla9[[#This Row],[CODIGO DEL PRODUCTO]],Tabla7[],2,FALSE)</f>
        <v>PIEDRA 6-20</v>
      </c>
      <c r="T689" s="37">
        <v>35480</v>
      </c>
    </row>
    <row r="690" spans="15:20" x14ac:dyDescent="0.25">
      <c r="O690" s="34">
        <v>99879</v>
      </c>
      <c r="P690" s="34" t="s">
        <v>235</v>
      </c>
      <c r="Q690" s="35">
        <v>45716</v>
      </c>
      <c r="R690" s="36" t="s">
        <v>42</v>
      </c>
      <c r="S690" s="36" t="str">
        <f>VLOOKUP(Tabla9[[#This Row],[CODIGO DEL PRODUCTO]],Tabla7[],2,FALSE)</f>
        <v>ARENA FINA</v>
      </c>
      <c r="T690" s="37">
        <v>37740</v>
      </c>
    </row>
    <row r="691" spans="15:20" x14ac:dyDescent="0.25">
      <c r="O691" s="34">
        <v>99882</v>
      </c>
      <c r="P691" s="34" t="s">
        <v>235</v>
      </c>
      <c r="Q691" s="35">
        <v>45716</v>
      </c>
      <c r="R691" s="36" t="s">
        <v>42</v>
      </c>
      <c r="S691" s="36" t="str">
        <f>VLOOKUP(Tabla9[[#This Row],[CODIGO DEL PRODUCTO]],Tabla7[],2,FALSE)</f>
        <v>ARENA FINA</v>
      </c>
      <c r="T691" s="37">
        <v>37040</v>
      </c>
    </row>
    <row r="692" spans="15:20" x14ac:dyDescent="0.25">
      <c r="O692" s="34">
        <v>98648</v>
      </c>
      <c r="P692" s="34" t="s">
        <v>150</v>
      </c>
      <c r="Q692" s="35">
        <v>45716</v>
      </c>
      <c r="R692" s="36" t="s">
        <v>43</v>
      </c>
      <c r="S692" s="36" t="str">
        <f>VLOOKUP(Tabla9[[#This Row],[CODIGO DEL PRODUCTO]],Tabla7[],2,FALSE)</f>
        <v>PIEDRA 6-20</v>
      </c>
      <c r="T692" s="37">
        <v>35100</v>
      </c>
    </row>
    <row r="693" spans="15:20" x14ac:dyDescent="0.25">
      <c r="O693" s="34">
        <v>98653</v>
      </c>
      <c r="P693" s="34" t="s">
        <v>281</v>
      </c>
      <c r="Q693" s="35">
        <v>45716</v>
      </c>
      <c r="R693" s="36" t="s">
        <v>43</v>
      </c>
      <c r="S693" s="36" t="str">
        <f>VLOOKUP(Tabla9[[#This Row],[CODIGO DEL PRODUCTO]],Tabla7[],2,FALSE)</f>
        <v>PIEDRA 6-20</v>
      </c>
      <c r="T693" s="37">
        <v>34580</v>
      </c>
    </row>
    <row r="694" spans="15:20" x14ac:dyDescent="0.25">
      <c r="O694" s="34">
        <v>98684</v>
      </c>
      <c r="P694" s="34" t="s">
        <v>254</v>
      </c>
      <c r="Q694" s="35">
        <v>45716</v>
      </c>
      <c r="R694" s="36" t="s">
        <v>43</v>
      </c>
      <c r="S694" s="36" t="str">
        <f>VLOOKUP(Tabla9[[#This Row],[CODIGO DEL PRODUCTO]],Tabla7[],2,FALSE)</f>
        <v>PIEDRA 6-20</v>
      </c>
      <c r="T694" s="37">
        <v>35040</v>
      </c>
    </row>
    <row r="695" spans="15:20" x14ac:dyDescent="0.25">
      <c r="O695" s="34">
        <v>98686</v>
      </c>
      <c r="P695" s="34" t="s">
        <v>234</v>
      </c>
      <c r="Q695" s="35">
        <v>45716</v>
      </c>
      <c r="R695" s="36" t="s">
        <v>43</v>
      </c>
      <c r="S695" s="36" t="str">
        <f>VLOOKUP(Tabla9[[#This Row],[CODIGO DEL PRODUCTO]],Tabla7[],2,FALSE)</f>
        <v>PIEDRA 6-20</v>
      </c>
      <c r="T695" s="37">
        <v>34760</v>
      </c>
    </row>
    <row r="696" spans="15:20" x14ac:dyDescent="0.25">
      <c r="O696" s="34">
        <v>98691</v>
      </c>
      <c r="P696" s="34" t="s">
        <v>252</v>
      </c>
      <c r="Q696" s="35">
        <v>45716</v>
      </c>
      <c r="R696" s="36" t="s">
        <v>43</v>
      </c>
      <c r="S696" s="36" t="str">
        <f>VLOOKUP(Tabla9[[#This Row],[CODIGO DEL PRODUCTO]],Tabla7[],2,FALSE)</f>
        <v>PIEDRA 6-20</v>
      </c>
      <c r="T696" s="37">
        <v>35040</v>
      </c>
    </row>
    <row r="697" spans="15:20" x14ac:dyDescent="0.25">
      <c r="O697" s="34">
        <v>2612119</v>
      </c>
      <c r="P697" s="34" t="s">
        <v>65</v>
      </c>
      <c r="Q697" s="35">
        <v>45716</v>
      </c>
      <c r="R697" s="36" t="s">
        <v>45</v>
      </c>
      <c r="S697" s="36" t="str">
        <f>VLOOKUP(Tabla9[[#This Row],[CODIGO DEL PRODUCTO]],Tabla7[],2,FALSE)</f>
        <v>CPF 40 AVELLANEDA</v>
      </c>
      <c r="T697" s="37">
        <v>32000</v>
      </c>
    </row>
    <row r="698" spans="15:20" x14ac:dyDescent="0.25">
      <c r="O698" s="34">
        <v>99885</v>
      </c>
      <c r="P698" s="34" t="s">
        <v>235</v>
      </c>
      <c r="Q698" s="35">
        <v>45717</v>
      </c>
      <c r="R698" s="36" t="s">
        <v>42</v>
      </c>
      <c r="S698" s="36" t="str">
        <f>VLOOKUP(Tabla9[[#This Row],[CODIGO DEL PRODUCTO]],Tabla7[],2,FALSE)</f>
        <v>ARENA FINA</v>
      </c>
      <c r="T698" s="37">
        <v>38440</v>
      </c>
    </row>
    <row r="699" spans="15:20" x14ac:dyDescent="0.25">
      <c r="O699" s="34">
        <v>99890</v>
      </c>
      <c r="P699" s="34" t="s">
        <v>235</v>
      </c>
      <c r="Q699" s="35">
        <v>45721</v>
      </c>
      <c r="R699" s="36" t="s">
        <v>42</v>
      </c>
      <c r="S699" s="36" t="str">
        <f>VLOOKUP(Tabla9[[#This Row],[CODIGO DEL PRODUCTO]],Tabla7[],2,FALSE)</f>
        <v>ARENA FINA</v>
      </c>
      <c r="T699" s="37">
        <v>37960</v>
      </c>
    </row>
    <row r="700" spans="15:20" x14ac:dyDescent="0.25">
      <c r="O700" s="34">
        <v>99893</v>
      </c>
      <c r="P700" s="34" t="s">
        <v>235</v>
      </c>
      <c r="Q700" s="35">
        <v>45721</v>
      </c>
      <c r="R700" s="36" t="s">
        <v>42</v>
      </c>
      <c r="S700" s="36" t="str">
        <f>VLOOKUP(Tabla9[[#This Row],[CODIGO DEL PRODUCTO]],Tabla7[],2,FALSE)</f>
        <v>ARENA FINA</v>
      </c>
      <c r="T700" s="37">
        <v>37340</v>
      </c>
    </row>
    <row r="701" spans="15:20" x14ac:dyDescent="0.25">
      <c r="O701" s="34">
        <v>98739</v>
      </c>
      <c r="P701" s="34" t="s">
        <v>151</v>
      </c>
      <c r="Q701" s="35">
        <v>45721</v>
      </c>
      <c r="R701" s="36" t="s">
        <v>43</v>
      </c>
      <c r="S701" s="36" t="str">
        <f>VLOOKUP(Tabla9[[#This Row],[CODIGO DEL PRODUCTO]],Tabla7[],2,FALSE)</f>
        <v>PIEDRA 6-20</v>
      </c>
      <c r="T701" s="37">
        <v>35300</v>
      </c>
    </row>
    <row r="702" spans="15:20" x14ac:dyDescent="0.25">
      <c r="O702" s="34">
        <v>98756</v>
      </c>
      <c r="P702" s="34" t="s">
        <v>197</v>
      </c>
      <c r="Q702" s="35">
        <v>45721</v>
      </c>
      <c r="R702" s="36" t="s">
        <v>43</v>
      </c>
      <c r="S702" s="36" t="str">
        <f>VLOOKUP(Tabla9[[#This Row],[CODIGO DEL PRODUCTO]],Tabla7[],2,FALSE)</f>
        <v>PIEDRA 6-20</v>
      </c>
      <c r="T702" s="37">
        <v>34400</v>
      </c>
    </row>
    <row r="703" spans="15:20" x14ac:dyDescent="0.25">
      <c r="O703" s="34">
        <v>98757</v>
      </c>
      <c r="P703" s="34" t="s">
        <v>234</v>
      </c>
      <c r="Q703" s="35">
        <v>45721</v>
      </c>
      <c r="R703" s="36" t="s">
        <v>43</v>
      </c>
      <c r="S703" s="36" t="str">
        <f>VLOOKUP(Tabla9[[#This Row],[CODIGO DEL PRODUCTO]],Tabla7[],2,FALSE)</f>
        <v>PIEDRA 6-20</v>
      </c>
      <c r="T703" s="37">
        <v>34660</v>
      </c>
    </row>
  </sheetData>
  <mergeCells count="3">
    <mergeCell ref="A3:F3"/>
    <mergeCell ref="H3:M3"/>
    <mergeCell ref="O3:T3"/>
  </mergeCells>
  <conditionalFormatting sqref="O6:O703 H6:H431">
    <cfRule type="duplicateValues" dxfId="66" priority="2"/>
  </conditionalFormatting>
  <conditionalFormatting sqref="A1:A1048576">
    <cfRule type="duplicateValues" dxfId="65" priority="1"/>
  </conditionalFormatting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9"/>
  <sheetViews>
    <sheetView workbookViewId="0">
      <selection activeCell="F22" sqref="F22"/>
    </sheetView>
  </sheetViews>
  <sheetFormatPr baseColWidth="10" defaultRowHeight="15" x14ac:dyDescent="0.25"/>
  <cols>
    <col min="1" max="1" width="24.42578125" customWidth="1"/>
    <col min="2" max="2" width="22.140625" bestFit="1" customWidth="1"/>
    <col min="3" max="3" width="23.140625" customWidth="1"/>
    <col min="4" max="4" width="15" bestFit="1" customWidth="1"/>
    <col min="5" max="5" width="12.85546875" bestFit="1" customWidth="1"/>
    <col min="6" max="6" width="14.140625" bestFit="1" customWidth="1"/>
    <col min="7" max="7" width="2.7109375" customWidth="1"/>
    <col min="8" max="8" width="14.28515625" customWidth="1"/>
    <col min="9" max="9" width="32.42578125" bestFit="1" customWidth="1"/>
    <col min="11" max="11" width="24.42578125" customWidth="1"/>
    <col min="12" max="12" width="22.140625" bestFit="1" customWidth="1"/>
    <col min="13" max="13" width="13.5703125" customWidth="1"/>
    <col min="14" max="14" width="3.28515625" customWidth="1"/>
    <col min="15" max="15" width="14.28515625" customWidth="1"/>
    <col min="16" max="16" width="27" bestFit="1" customWidth="1"/>
    <col min="18" max="18" width="24.42578125" customWidth="1"/>
    <col min="19" max="19" width="22.140625" bestFit="1" customWidth="1"/>
    <col min="20" max="20" width="12.42578125" customWidth="1"/>
  </cols>
  <sheetData>
    <row r="1" spans="1:20" x14ac:dyDescent="0.25">
      <c r="C1" s="43" t="s">
        <v>54</v>
      </c>
      <c r="K1" s="43" t="s">
        <v>54</v>
      </c>
      <c r="P1" s="43" t="s">
        <v>54</v>
      </c>
    </row>
    <row r="3" spans="1:20" x14ac:dyDescent="0.25">
      <c r="A3" s="166" t="s">
        <v>30</v>
      </c>
      <c r="B3" s="166"/>
      <c r="C3" s="166"/>
      <c r="D3" s="166"/>
      <c r="E3" s="166"/>
      <c r="F3" s="166"/>
      <c r="H3" s="166" t="s">
        <v>31</v>
      </c>
      <c r="I3" s="166"/>
      <c r="J3" s="166"/>
      <c r="K3" s="166"/>
      <c r="L3" s="166"/>
      <c r="M3" s="166"/>
      <c r="O3" s="167" t="s">
        <v>27</v>
      </c>
      <c r="P3" s="167"/>
      <c r="Q3" s="167"/>
      <c r="R3" s="167"/>
      <c r="S3" s="167"/>
      <c r="T3" s="167"/>
    </row>
    <row r="4" spans="1:20" s="20" customFormat="1" x14ac:dyDescent="0.25">
      <c r="A4" s="25"/>
      <c r="B4" s="25"/>
      <c r="C4" s="25"/>
      <c r="D4" s="25"/>
      <c r="E4" s="25"/>
      <c r="F4" s="25"/>
      <c r="H4" s="25"/>
      <c r="I4" s="25"/>
      <c r="J4" s="25"/>
      <c r="K4" s="25"/>
      <c r="L4" s="25"/>
      <c r="M4" s="25"/>
      <c r="O4" s="26"/>
      <c r="P4" s="26"/>
      <c r="Q4" s="26"/>
      <c r="R4" s="26"/>
      <c r="S4" s="26"/>
      <c r="T4" s="26"/>
    </row>
    <row r="5" spans="1:20" ht="30" x14ac:dyDescent="0.25">
      <c r="A5" s="27" t="s">
        <v>32</v>
      </c>
      <c r="B5" s="28" t="s">
        <v>33</v>
      </c>
      <c r="C5" s="29" t="s">
        <v>34</v>
      </c>
      <c r="D5" s="28" t="s">
        <v>35</v>
      </c>
      <c r="E5" s="28" t="s">
        <v>31</v>
      </c>
      <c r="F5" s="30" t="s">
        <v>36</v>
      </c>
      <c r="H5" s="31" t="s">
        <v>37</v>
      </c>
      <c r="I5" s="31" t="s">
        <v>51</v>
      </c>
      <c r="J5" s="28" t="s">
        <v>7</v>
      </c>
      <c r="K5" s="29" t="s">
        <v>32</v>
      </c>
      <c r="L5" s="28" t="s">
        <v>38</v>
      </c>
      <c r="M5" s="30" t="s">
        <v>39</v>
      </c>
      <c r="O5" s="31" t="s">
        <v>37</v>
      </c>
      <c r="P5" s="31" t="s">
        <v>51</v>
      </c>
      <c r="Q5" s="28" t="s">
        <v>7</v>
      </c>
      <c r="R5" s="29" t="s">
        <v>32</v>
      </c>
      <c r="S5" s="28" t="s">
        <v>38</v>
      </c>
      <c r="T5" s="30" t="s">
        <v>39</v>
      </c>
    </row>
    <row r="6" spans="1:20" x14ac:dyDescent="0.25">
      <c r="A6" s="32" t="s">
        <v>88</v>
      </c>
      <c r="B6" s="9" t="s">
        <v>90</v>
      </c>
      <c r="C6" s="22"/>
      <c r="D6" s="22">
        <f>SUMIF(Tabla914[CODIGO DEL PRODUCTO],Tabla712[[#This Row],[CODIGO DEL PRODUCTO]],Tabla914[CANTIDAD KG])/1000</f>
        <v>0</v>
      </c>
      <c r="E6" s="22">
        <f>SUMIF(Tabla813[CODIGO DEL PRODUCTO],Tabla712[[#This Row],[CODIGO DEL PRODUCTO]],Tabla813[CANTIDAD KG])/1000</f>
        <v>182</v>
      </c>
      <c r="F6" s="33">
        <f>Tabla712[[#This Row],[EXISTENCIAS INICIALES]]+Tabla712[[#This Row],[ENTRADAS]]-Tabla712[[#This Row],[SALIDAS]]</f>
        <v>-182</v>
      </c>
      <c r="H6" s="34">
        <v>1</v>
      </c>
      <c r="I6" s="34" t="s">
        <v>92</v>
      </c>
      <c r="J6" s="35">
        <v>45581</v>
      </c>
      <c r="K6" s="36" t="s">
        <v>88</v>
      </c>
      <c r="L6" s="36" t="str">
        <f>VLOOKUP(Tabla813[[#This Row],[CODIGO DEL PRODUCTO]],Tabla712[],2,FALSE)</f>
        <v>H 30</v>
      </c>
      <c r="M6" s="37">
        <v>10000</v>
      </c>
      <c r="O6" s="34"/>
      <c r="P6" s="34"/>
      <c r="Q6" s="35"/>
      <c r="R6" s="36"/>
      <c r="S6" s="36" t="e">
        <f>VLOOKUP(Tabla914[[#This Row],[CODIGO DEL PRODUCTO]],Tabla712[],2,FALSE)</f>
        <v>#N/A</v>
      </c>
      <c r="T6" s="37"/>
    </row>
    <row r="7" spans="1:20" x14ac:dyDescent="0.25">
      <c r="A7" s="32" t="s">
        <v>89</v>
      </c>
      <c r="B7" s="9" t="s">
        <v>91</v>
      </c>
      <c r="C7" s="22"/>
      <c r="D7" s="22">
        <f>SUMIF(Tabla914[CODIGO DEL PRODUCTO],Tabla712[[#This Row],[CODIGO DEL PRODUCTO]],Tabla914[CANTIDAD KG])/1000</f>
        <v>0</v>
      </c>
      <c r="E7" s="22">
        <f>SUMIF(Tabla813[CODIGO DEL PRODUCTO],Tabla712[[#This Row],[CODIGO DEL PRODUCTO]],Tabla813[CANTIDAD KG])/1000</f>
        <v>142</v>
      </c>
      <c r="F7" s="33">
        <f>Tabla712[[#This Row],[EXISTENCIAS INICIALES]]+Tabla712[[#This Row],[ENTRADAS]]-Tabla712[[#This Row],[SALIDAS]]</f>
        <v>-142</v>
      </c>
      <c r="H7" s="34">
        <v>2</v>
      </c>
      <c r="I7" s="34" t="s">
        <v>92</v>
      </c>
      <c r="J7" s="35">
        <v>45581</v>
      </c>
      <c r="K7" s="36" t="s">
        <v>88</v>
      </c>
      <c r="L7" s="36" t="str">
        <f>VLOOKUP(Tabla813[[#This Row],[CODIGO DEL PRODUCTO]],Tabla712[],2,FALSE)</f>
        <v>H 30</v>
      </c>
      <c r="M7" s="37">
        <v>10000</v>
      </c>
      <c r="O7" s="34"/>
      <c r="P7" s="34"/>
      <c r="Q7" s="35"/>
      <c r="R7" s="36"/>
      <c r="S7" s="36" t="e">
        <f>VLOOKUP(Tabla914[[#This Row],[CODIGO DEL PRODUCTO]],Tabla712[],2,FALSE)</f>
        <v>#N/A</v>
      </c>
      <c r="T7" s="37"/>
    </row>
    <row r="8" spans="1:20" x14ac:dyDescent="0.25">
      <c r="A8" s="32"/>
      <c r="B8" s="9"/>
      <c r="C8" s="22"/>
      <c r="D8" s="22">
        <f>SUMIF(Tabla914[CODIGO DEL PRODUCTO],Tabla712[[#This Row],[CODIGO DEL PRODUCTO]],Tabla914[CANTIDAD KG])/1000</f>
        <v>0</v>
      </c>
      <c r="E8" s="22">
        <f>SUMIF(Tabla813[CODIGO DEL PRODUCTO],Tabla712[[#This Row],[CODIGO DEL PRODUCTO]],Tabla813[CANTIDAD KG])/1000</f>
        <v>0</v>
      </c>
      <c r="F8" s="33">
        <f>Tabla712[[#This Row],[EXISTENCIAS INICIALES]]+Tabla712[[#This Row],[ENTRADAS]]-Tabla712[[#This Row],[SALIDAS]]</f>
        <v>0</v>
      </c>
      <c r="H8" s="34">
        <v>3</v>
      </c>
      <c r="I8" s="34" t="s">
        <v>92</v>
      </c>
      <c r="J8" s="35">
        <v>45581</v>
      </c>
      <c r="K8" s="36" t="s">
        <v>88</v>
      </c>
      <c r="L8" s="36" t="str">
        <f>VLOOKUP(Tabla813[[#This Row],[CODIGO DEL PRODUCTO]],Tabla712[],2,FALSE)</f>
        <v>H 30</v>
      </c>
      <c r="M8" s="37">
        <v>8000</v>
      </c>
      <c r="O8" s="34"/>
      <c r="P8" s="34"/>
      <c r="Q8" s="35"/>
      <c r="R8" s="36"/>
      <c r="S8" s="36" t="e">
        <f>VLOOKUP(Tabla914[[#This Row],[CODIGO DEL PRODUCTO]],Tabla712[],2,FALSE)</f>
        <v>#N/A</v>
      </c>
      <c r="T8" s="37"/>
    </row>
    <row r="9" spans="1:20" x14ac:dyDescent="0.25">
      <c r="A9" s="32"/>
      <c r="B9" s="9"/>
      <c r="C9" s="22"/>
      <c r="D9" s="22">
        <f>SUMIF(Tabla914[CODIGO DEL PRODUCTO],Tabla712[[#This Row],[CODIGO DEL PRODUCTO]],Tabla914[CANTIDAD KG])/1000</f>
        <v>0</v>
      </c>
      <c r="E9" s="22">
        <f>SUMIF(Tabla813[CODIGO DEL PRODUCTO],Tabla712[[#This Row],[CODIGO DEL PRODUCTO]],Tabla813[CANTIDAD KG])/1000</f>
        <v>0</v>
      </c>
      <c r="F9" s="33">
        <f>Tabla712[[#This Row],[EXISTENCIAS INICIALES]]+Tabla712[[#This Row],[ENTRADAS]]-Tabla712[[#This Row],[SALIDAS]]</f>
        <v>0</v>
      </c>
      <c r="H9" s="34">
        <v>4</v>
      </c>
      <c r="I9" s="34" t="s">
        <v>92</v>
      </c>
      <c r="J9" s="35">
        <v>45581</v>
      </c>
      <c r="K9" s="36" t="s">
        <v>88</v>
      </c>
      <c r="L9" s="36" t="str">
        <f>VLOOKUP(Tabla813[[#This Row],[CODIGO DEL PRODUCTO]],Tabla712[],2,FALSE)</f>
        <v>H 30</v>
      </c>
      <c r="M9" s="37">
        <v>10000</v>
      </c>
      <c r="O9" s="34"/>
      <c r="P9" s="34"/>
      <c r="Q9" s="35"/>
      <c r="R9" s="36"/>
      <c r="S9" s="36" t="e">
        <f>VLOOKUP(Tabla914[[#This Row],[CODIGO DEL PRODUCTO]],Tabla712[],2,FALSE)</f>
        <v>#N/A</v>
      </c>
      <c r="T9" s="37"/>
    </row>
    <row r="10" spans="1:20" x14ac:dyDescent="0.25">
      <c r="A10" s="32"/>
      <c r="B10" s="9"/>
      <c r="C10" s="22"/>
      <c r="D10" s="22">
        <f>SUMIF(Tabla914[CODIGO DEL PRODUCTO],Tabla712[[#This Row],[CODIGO DEL PRODUCTO]],Tabla914[CANTIDAD KG])/1000</f>
        <v>0</v>
      </c>
      <c r="E10" s="22">
        <f>SUMIF(Tabla813[CODIGO DEL PRODUCTO],Tabla712[[#This Row],[CODIGO DEL PRODUCTO]],Tabla813[CANTIDAD KG])/1000</f>
        <v>0</v>
      </c>
      <c r="F10" s="33">
        <f>Tabla712[[#This Row],[EXISTENCIAS INICIALES]]+Tabla712[[#This Row],[ENTRADAS]]-Tabla712[[#This Row],[SALIDAS]]</f>
        <v>0</v>
      </c>
      <c r="H10" s="34">
        <v>5</v>
      </c>
      <c r="I10" s="34" t="s">
        <v>92</v>
      </c>
      <c r="J10" s="35">
        <v>45581</v>
      </c>
      <c r="K10" s="36" t="s">
        <v>88</v>
      </c>
      <c r="L10" s="36" t="str">
        <f>VLOOKUP(Tabla813[[#This Row],[CODIGO DEL PRODUCTO]],Tabla712[],2,FALSE)</f>
        <v>H 30</v>
      </c>
      <c r="M10" s="37">
        <v>8000</v>
      </c>
      <c r="O10" s="34"/>
      <c r="P10" s="34"/>
      <c r="Q10" s="35"/>
      <c r="R10" s="36"/>
      <c r="S10" s="36" t="e">
        <f>VLOOKUP(Tabla914[[#This Row],[CODIGO DEL PRODUCTO]],Tabla712[],2,FALSE)</f>
        <v>#N/A</v>
      </c>
      <c r="T10" s="37"/>
    </row>
    <row r="11" spans="1:20" x14ac:dyDescent="0.25">
      <c r="A11" s="32"/>
      <c r="B11" s="9"/>
      <c r="C11" s="22"/>
      <c r="D11" s="22">
        <f>SUMIF(Tabla914[CODIGO DEL PRODUCTO],Tabla712[[#This Row],[CODIGO DEL PRODUCTO]],Tabla914[CANTIDAD KG])/1000</f>
        <v>0</v>
      </c>
      <c r="E11" s="22">
        <f>SUMIF(Tabla813[CODIGO DEL PRODUCTO],Tabla712[[#This Row],[CODIGO DEL PRODUCTO]],Tabla813[CANTIDAD KG])/1000</f>
        <v>0</v>
      </c>
      <c r="F11" s="33">
        <f>Tabla712[[#This Row],[EXISTENCIAS INICIALES]]+Tabla712[[#This Row],[ENTRADAS]]-Tabla712[[#This Row],[SALIDAS]]</f>
        <v>0</v>
      </c>
      <c r="H11" s="34">
        <v>6</v>
      </c>
      <c r="I11" s="34" t="s">
        <v>92</v>
      </c>
      <c r="J11" s="35">
        <v>45581</v>
      </c>
      <c r="K11" s="36" t="s">
        <v>88</v>
      </c>
      <c r="L11" s="36" t="str">
        <f>VLOOKUP(Tabla813[[#This Row],[CODIGO DEL PRODUCTO]],Tabla712[],2,FALSE)</f>
        <v>H 30</v>
      </c>
      <c r="M11" s="37">
        <v>8000</v>
      </c>
      <c r="O11" s="34"/>
      <c r="P11" s="34"/>
      <c r="Q11" s="35"/>
      <c r="R11" s="36"/>
      <c r="S11" s="36" t="e">
        <f>VLOOKUP(Tabla914[[#This Row],[CODIGO DEL PRODUCTO]],Tabla712[],2,FALSE)</f>
        <v>#N/A</v>
      </c>
      <c r="T11" s="37"/>
    </row>
    <row r="12" spans="1:20" x14ac:dyDescent="0.25">
      <c r="A12" s="32"/>
      <c r="B12" s="9"/>
      <c r="C12" s="22"/>
      <c r="D12" s="22">
        <f>SUMIF(Tabla914[CODIGO DEL PRODUCTO],Tabla712[[#This Row],[CODIGO DEL PRODUCTO]],Tabla914[CANTIDAD KG])/1000</f>
        <v>0</v>
      </c>
      <c r="E12" s="22">
        <f>SUMIF(Tabla813[CODIGO DEL PRODUCTO],Tabla712[[#This Row],[CODIGO DEL PRODUCTO]],Tabla813[CANTIDAD KG])/1000</f>
        <v>0</v>
      </c>
      <c r="F12" s="33">
        <f>Tabla712[[#This Row],[EXISTENCIAS INICIALES]]+Tabla712[[#This Row],[ENTRADAS]]-Tabla712[[#This Row],[SALIDAS]]</f>
        <v>0</v>
      </c>
      <c r="H12" s="34">
        <v>7</v>
      </c>
      <c r="I12" s="34" t="s">
        <v>92</v>
      </c>
      <c r="J12" s="35">
        <v>45581</v>
      </c>
      <c r="K12" s="36" t="s">
        <v>88</v>
      </c>
      <c r="L12" s="36" t="str">
        <f>VLOOKUP(Tabla813[[#This Row],[CODIGO DEL PRODUCTO]],Tabla712[],2,FALSE)</f>
        <v>H 30</v>
      </c>
      <c r="M12" s="37">
        <v>8000</v>
      </c>
      <c r="O12" s="34"/>
      <c r="P12" s="34"/>
      <c r="Q12" s="35"/>
      <c r="R12" s="36"/>
      <c r="S12" s="36" t="e">
        <f>VLOOKUP(Tabla914[[#This Row],[CODIGO DEL PRODUCTO]],Tabla712[],2,FALSE)</f>
        <v>#N/A</v>
      </c>
      <c r="T12" s="37"/>
    </row>
    <row r="13" spans="1:20" x14ac:dyDescent="0.25">
      <c r="A13" s="34"/>
      <c r="B13" s="24"/>
      <c r="C13" s="24"/>
      <c r="D13" s="22">
        <f>SUMIF(Tabla914[CODIGO DEL PRODUCTO],Tabla712[[#This Row],[CODIGO DEL PRODUCTO]],Tabla914[CANTIDAD KG])/1000</f>
        <v>0</v>
      </c>
      <c r="E13" s="22">
        <f>SUMIF(Tabla813[CODIGO DEL PRODUCTO],Tabla712[[#This Row],[CODIGO DEL PRODUCTO]],Tabla813[CANTIDAD KG])/1000</f>
        <v>0</v>
      </c>
      <c r="F13" s="38">
        <f>Tabla712[[#This Row],[EXISTENCIAS INICIALES]]+Tabla712[[#This Row],[ENTRADAS]]-Tabla712[[#This Row],[SALIDAS]]</f>
        <v>0</v>
      </c>
      <c r="H13" s="34">
        <v>8</v>
      </c>
      <c r="I13" s="34" t="s">
        <v>92</v>
      </c>
      <c r="J13" s="35">
        <v>45581</v>
      </c>
      <c r="K13" s="36" t="s">
        <v>88</v>
      </c>
      <c r="L13" s="36" t="str">
        <f>VLOOKUP(Tabla813[[#This Row],[CODIGO DEL PRODUCTO]],Tabla712[],2,FALSE)</f>
        <v>H 30</v>
      </c>
      <c r="M13" s="37">
        <v>10000</v>
      </c>
      <c r="O13" s="34"/>
      <c r="P13" s="34"/>
      <c r="Q13" s="35"/>
      <c r="R13" s="36"/>
      <c r="S13" s="36" t="e">
        <f>VLOOKUP(Tabla914[[#This Row],[CODIGO DEL PRODUCTO]],Tabla712[],2,FALSE)</f>
        <v>#N/A</v>
      </c>
      <c r="T13" s="37"/>
    </row>
    <row r="14" spans="1:20" x14ac:dyDescent="0.25">
      <c r="A14" s="32"/>
      <c r="B14" s="9"/>
      <c r="C14" s="9"/>
      <c r="D14" s="22">
        <f>SUMIF(Tabla914[CODIGO DEL PRODUCTO],Tabla712[[#This Row],[CODIGO DEL PRODUCTO]],Tabla914[CANTIDAD KG])/1000</f>
        <v>0</v>
      </c>
      <c r="E14" s="22">
        <f>SUMIF(Tabla813[CODIGO DEL PRODUCTO],Tabla712[[#This Row],[CODIGO DEL PRODUCTO]],Tabla813[CANTIDAD KG])/1000</f>
        <v>0</v>
      </c>
      <c r="F14" s="33">
        <f>Tabla712[[#This Row],[EXISTENCIAS INICIALES]]+Tabla712[[#This Row],[ENTRADAS]]-Tabla712[[#This Row],[SALIDAS]]</f>
        <v>0</v>
      </c>
      <c r="H14" s="34">
        <v>9</v>
      </c>
      <c r="I14" s="34" t="s">
        <v>92</v>
      </c>
      <c r="J14" s="35">
        <v>45581</v>
      </c>
      <c r="K14" s="36" t="s">
        <v>88</v>
      </c>
      <c r="L14" s="36" t="str">
        <f>VLOOKUP(Tabla813[[#This Row],[CODIGO DEL PRODUCTO]],Tabla712[],2,FALSE)</f>
        <v>H 30</v>
      </c>
      <c r="M14" s="37">
        <v>10000</v>
      </c>
      <c r="O14" s="34"/>
      <c r="P14" s="34"/>
      <c r="Q14" s="35"/>
      <c r="R14" s="36"/>
      <c r="S14" s="36" t="e">
        <f>VLOOKUP(Tabla914[[#This Row],[CODIGO DEL PRODUCTO]],Tabla712[],2,FALSE)</f>
        <v>#N/A</v>
      </c>
      <c r="T14" s="37"/>
    </row>
    <row r="15" spans="1:20" x14ac:dyDescent="0.25">
      <c r="A15" s="9"/>
      <c r="B15" s="9"/>
      <c r="C15" s="9"/>
      <c r="D15" s="9"/>
      <c r="E15" s="9"/>
      <c r="F15" s="9"/>
      <c r="H15" s="34">
        <v>10</v>
      </c>
      <c r="I15" s="34" t="s">
        <v>92</v>
      </c>
      <c r="J15" s="35">
        <v>45581</v>
      </c>
      <c r="K15" s="36" t="s">
        <v>88</v>
      </c>
      <c r="L15" s="36" t="str">
        <f>VLOOKUP(Tabla813[[#This Row],[CODIGO DEL PRODUCTO]],Tabla712[],2,FALSE)</f>
        <v>H 30</v>
      </c>
      <c r="M15" s="37">
        <v>8000</v>
      </c>
      <c r="O15" s="34"/>
      <c r="P15" s="34"/>
      <c r="Q15" s="35"/>
      <c r="R15" s="36"/>
      <c r="S15" s="36" t="e">
        <f>VLOOKUP(Tabla914[[#This Row],[CODIGO DEL PRODUCTO]],Tabla712[],2,FALSE)</f>
        <v>#N/A</v>
      </c>
      <c r="T15" s="37"/>
    </row>
    <row r="16" spans="1:20" x14ac:dyDescent="0.25">
      <c r="A16" s="9"/>
      <c r="B16" s="9"/>
      <c r="C16" s="9"/>
      <c r="D16" s="9"/>
      <c r="E16" s="9"/>
      <c r="F16" s="9"/>
      <c r="H16" s="34">
        <v>11</v>
      </c>
      <c r="I16" s="34" t="s">
        <v>92</v>
      </c>
      <c r="J16" s="35">
        <v>45581</v>
      </c>
      <c r="K16" s="36" t="s">
        <v>88</v>
      </c>
      <c r="L16" s="36" t="str">
        <f>VLOOKUP(Tabla813[[#This Row],[CODIGO DEL PRODUCTO]],Tabla712[],2,FALSE)</f>
        <v>H 30</v>
      </c>
      <c r="M16" s="37">
        <v>10000</v>
      </c>
      <c r="O16" s="34"/>
      <c r="P16" s="34"/>
      <c r="Q16" s="35"/>
      <c r="R16" s="36"/>
      <c r="S16" s="36" t="e">
        <f>VLOOKUP(Tabla914[[#This Row],[CODIGO DEL PRODUCTO]],Tabla712[],2,FALSE)</f>
        <v>#N/A</v>
      </c>
      <c r="T16" s="37"/>
    </row>
    <row r="17" spans="1:20" x14ac:dyDescent="0.25">
      <c r="A17" s="9"/>
      <c r="B17" s="9"/>
      <c r="C17" s="9"/>
      <c r="D17" s="9"/>
      <c r="E17" s="9"/>
      <c r="F17" s="9"/>
      <c r="H17" s="34">
        <v>12</v>
      </c>
      <c r="I17" s="34" t="s">
        <v>92</v>
      </c>
      <c r="J17" s="35">
        <v>45581</v>
      </c>
      <c r="K17" s="36" t="s">
        <v>88</v>
      </c>
      <c r="L17" s="39" t="str">
        <f>VLOOKUP(Tabla813[[#This Row],[CODIGO DEL PRODUCTO]],Tabla712[],2,FALSE)</f>
        <v>H 30</v>
      </c>
      <c r="M17" s="37">
        <v>10000</v>
      </c>
      <c r="O17" s="34"/>
      <c r="P17" s="34"/>
      <c r="Q17" s="35"/>
      <c r="R17" s="36"/>
      <c r="S17" s="36" t="e">
        <f>VLOOKUP(Tabla914[[#This Row],[CODIGO DEL PRODUCTO]],Tabla712[],2,FALSE)</f>
        <v>#N/A</v>
      </c>
      <c r="T17" s="37"/>
    </row>
    <row r="18" spans="1:20" x14ac:dyDescent="0.25">
      <c r="A18" s="9"/>
      <c r="B18" s="9"/>
      <c r="C18" s="9"/>
      <c r="D18" s="9"/>
      <c r="E18" s="9"/>
      <c r="F18" s="9"/>
      <c r="H18" s="34">
        <v>13</v>
      </c>
      <c r="I18" s="34" t="s">
        <v>92</v>
      </c>
      <c r="J18" s="35">
        <v>45581</v>
      </c>
      <c r="K18" s="36" t="s">
        <v>88</v>
      </c>
      <c r="L18" s="39" t="str">
        <f>VLOOKUP(Tabla813[[#This Row],[CODIGO DEL PRODUCTO]],Tabla712[],2,FALSE)</f>
        <v>H 30</v>
      </c>
      <c r="M18" s="37">
        <v>8000</v>
      </c>
      <c r="O18" s="34"/>
      <c r="P18" s="34"/>
      <c r="Q18" s="35"/>
      <c r="R18" s="36"/>
      <c r="S18" s="36" t="e">
        <f>VLOOKUP(Tabla914[[#This Row],[CODIGO DEL PRODUCTO]],Tabla712[],2,FALSE)</f>
        <v>#N/A</v>
      </c>
      <c r="T18" s="37"/>
    </row>
    <row r="19" spans="1:20" x14ac:dyDescent="0.25">
      <c r="A19" s="9"/>
      <c r="B19" s="9"/>
      <c r="C19" s="9"/>
      <c r="D19" s="9"/>
      <c r="E19" s="9"/>
      <c r="F19" s="9"/>
      <c r="H19" s="34">
        <v>14</v>
      </c>
      <c r="I19" s="34" t="s">
        <v>92</v>
      </c>
      <c r="J19" s="35">
        <v>45581</v>
      </c>
      <c r="K19" s="36" t="s">
        <v>88</v>
      </c>
      <c r="L19" s="39" t="str">
        <f>VLOOKUP(Tabla813[[#This Row],[CODIGO DEL PRODUCTO]],Tabla712[],2,FALSE)</f>
        <v>H 30</v>
      </c>
      <c r="M19" s="37">
        <v>8000</v>
      </c>
      <c r="O19" s="34"/>
      <c r="P19" s="34"/>
      <c r="Q19" s="35"/>
      <c r="R19" s="36"/>
      <c r="S19" s="36" t="e">
        <f>VLOOKUP(Tabla914[[#This Row],[CODIGO DEL PRODUCTO]],Tabla712[],2,FALSE)</f>
        <v>#N/A</v>
      </c>
      <c r="T19" s="37"/>
    </row>
    <row r="20" spans="1:20" x14ac:dyDescent="0.25">
      <c r="A20" s="9"/>
      <c r="B20" s="9"/>
      <c r="C20" s="9"/>
      <c r="D20" s="9"/>
      <c r="E20" s="9"/>
      <c r="F20" s="9"/>
      <c r="H20" s="34">
        <v>15</v>
      </c>
      <c r="I20" s="34" t="s">
        <v>92</v>
      </c>
      <c r="J20" s="35">
        <v>45581</v>
      </c>
      <c r="K20" s="36" t="s">
        <v>88</v>
      </c>
      <c r="L20" s="39" t="str">
        <f>VLOOKUP(Tabla813[[#This Row],[CODIGO DEL PRODUCTO]],Tabla712[],2,FALSE)</f>
        <v>H 30</v>
      </c>
      <c r="M20" s="37">
        <v>8000</v>
      </c>
      <c r="O20" s="34"/>
      <c r="P20" s="34"/>
      <c r="Q20" s="35"/>
      <c r="R20" s="36"/>
      <c r="S20" s="36" t="e">
        <f>VLOOKUP(Tabla914[[#This Row],[CODIGO DEL PRODUCTO]],Tabla712[],2,FALSE)</f>
        <v>#N/A</v>
      </c>
      <c r="T20" s="37"/>
    </row>
    <row r="21" spans="1:20" x14ac:dyDescent="0.25">
      <c r="A21" s="9"/>
      <c r="B21" s="9"/>
      <c r="C21" s="9"/>
      <c r="D21" s="9"/>
      <c r="E21" s="9"/>
      <c r="F21" s="9"/>
      <c r="H21" s="34">
        <v>16</v>
      </c>
      <c r="I21" s="34" t="s">
        <v>92</v>
      </c>
      <c r="J21" s="35">
        <v>45581</v>
      </c>
      <c r="K21" s="36" t="s">
        <v>88</v>
      </c>
      <c r="L21" s="39" t="str">
        <f>VLOOKUP(Tabla813[[#This Row],[CODIGO DEL PRODUCTO]],Tabla712[],2,FALSE)</f>
        <v>H 30</v>
      </c>
      <c r="M21" s="37">
        <v>10000</v>
      </c>
      <c r="O21" s="34"/>
      <c r="P21" s="34"/>
      <c r="Q21" s="35"/>
      <c r="R21" s="36"/>
      <c r="S21" s="36" t="e">
        <f>VLOOKUP(Tabla914[[#This Row],[CODIGO DEL PRODUCTO]],Tabla712[],2,FALSE)</f>
        <v>#N/A</v>
      </c>
      <c r="T21" s="37"/>
    </row>
    <row r="22" spans="1:20" x14ac:dyDescent="0.25">
      <c r="A22" s="9"/>
      <c r="B22" s="9"/>
      <c r="C22" s="9"/>
      <c r="D22" s="9"/>
      <c r="E22" s="9"/>
      <c r="F22" s="9"/>
      <c r="H22" s="34">
        <v>17</v>
      </c>
      <c r="I22" s="34" t="s">
        <v>92</v>
      </c>
      <c r="J22" s="35">
        <v>45581</v>
      </c>
      <c r="K22" s="36" t="s">
        <v>88</v>
      </c>
      <c r="L22" s="39" t="str">
        <f>VLOOKUP(Tabla813[[#This Row],[CODIGO DEL PRODUCTO]],Tabla712[],2,FALSE)</f>
        <v>H 30</v>
      </c>
      <c r="M22" s="37">
        <v>8000</v>
      </c>
      <c r="O22" s="34"/>
      <c r="P22" s="34"/>
      <c r="Q22" s="35"/>
      <c r="R22" s="36"/>
      <c r="S22" s="36" t="e">
        <f>VLOOKUP(Tabla914[[#This Row],[CODIGO DEL PRODUCTO]],Tabla712[],2,FALSE)</f>
        <v>#N/A</v>
      </c>
      <c r="T22" s="37"/>
    </row>
    <row r="23" spans="1:20" x14ac:dyDescent="0.25">
      <c r="A23" s="9"/>
      <c r="B23" s="9"/>
      <c r="C23" s="9"/>
      <c r="D23" s="9"/>
      <c r="E23" s="9"/>
      <c r="F23" s="9"/>
      <c r="H23" s="34">
        <v>18</v>
      </c>
      <c r="I23" s="34" t="s">
        <v>92</v>
      </c>
      <c r="J23" s="35">
        <v>45581</v>
      </c>
      <c r="K23" s="36" t="s">
        <v>88</v>
      </c>
      <c r="L23" s="39" t="str">
        <f>VLOOKUP(Tabla813[[#This Row],[CODIGO DEL PRODUCTO]],Tabla712[],2,FALSE)</f>
        <v>H 30</v>
      </c>
      <c r="M23" s="37">
        <v>10000</v>
      </c>
      <c r="O23" s="34"/>
      <c r="P23" s="34"/>
      <c r="Q23" s="35"/>
      <c r="R23" s="36"/>
      <c r="S23" s="36" t="e">
        <f>VLOOKUP(Tabla914[[#This Row],[CODIGO DEL PRODUCTO]],Tabla712[],2,FALSE)</f>
        <v>#N/A</v>
      </c>
      <c r="T23" s="37"/>
    </row>
    <row r="24" spans="1:20" x14ac:dyDescent="0.25">
      <c r="A24" s="9"/>
      <c r="B24" s="9"/>
      <c r="C24" s="9"/>
      <c r="D24" s="9"/>
      <c r="E24" s="9"/>
      <c r="F24" s="9"/>
      <c r="H24" s="34">
        <v>19</v>
      </c>
      <c r="I24" s="34" t="s">
        <v>92</v>
      </c>
      <c r="J24" s="35">
        <v>45581</v>
      </c>
      <c r="K24" s="36" t="s">
        <v>88</v>
      </c>
      <c r="L24" s="39" t="str">
        <f>VLOOKUP(Tabla813[[#This Row],[CODIGO DEL PRODUCTO]],Tabla712[],2,FALSE)</f>
        <v>H 30</v>
      </c>
      <c r="M24" s="37">
        <v>10000</v>
      </c>
      <c r="O24" s="34"/>
      <c r="P24" s="34"/>
      <c r="Q24" s="35"/>
      <c r="R24" s="36"/>
      <c r="S24" s="36" t="e">
        <f>VLOOKUP(Tabla914[[#This Row],[CODIGO DEL PRODUCTO]],Tabla712[],2,FALSE)</f>
        <v>#N/A</v>
      </c>
      <c r="T24" s="37"/>
    </row>
    <row r="25" spans="1:20" x14ac:dyDescent="0.25">
      <c r="A25" s="9"/>
      <c r="B25" s="9"/>
      <c r="C25" s="9"/>
      <c r="D25" s="9"/>
      <c r="E25" s="9"/>
      <c r="F25" s="9"/>
      <c r="H25" s="34">
        <v>21</v>
      </c>
      <c r="I25" s="32" t="s">
        <v>92</v>
      </c>
      <c r="J25" s="35">
        <v>45581</v>
      </c>
      <c r="K25" s="36" t="s">
        <v>88</v>
      </c>
      <c r="L25" s="41" t="str">
        <f>VLOOKUP(Tabla813[[#This Row],[CODIGO DEL PRODUCTO]],Tabla712[],2,FALSE)</f>
        <v>H 30</v>
      </c>
      <c r="M25" s="37">
        <v>10000</v>
      </c>
      <c r="O25" s="34"/>
      <c r="P25" s="34"/>
      <c r="Q25" s="35"/>
      <c r="R25" s="36"/>
      <c r="S25" s="36" t="e">
        <f>VLOOKUP(Tabla914[[#This Row],[CODIGO DEL PRODUCTO]],Tabla712[],2,FALSE)</f>
        <v>#N/A</v>
      </c>
      <c r="T25" s="37"/>
    </row>
    <row r="26" spans="1:20" x14ac:dyDescent="0.25">
      <c r="A26" s="9"/>
      <c r="B26" s="9"/>
      <c r="C26" s="9"/>
      <c r="D26" s="9"/>
      <c r="E26" s="9"/>
      <c r="F26" s="9"/>
      <c r="H26" s="34" t="s">
        <v>93</v>
      </c>
      <c r="I26" s="32" t="s">
        <v>94</v>
      </c>
      <c r="J26" s="35">
        <v>45583</v>
      </c>
      <c r="K26" s="36" t="s">
        <v>89</v>
      </c>
      <c r="L26" s="41" t="str">
        <f>VLOOKUP(Tabla813[[#This Row],[CODIGO DEL PRODUCTO]],Tabla712[],2,FALSE)</f>
        <v>H 21</v>
      </c>
      <c r="M26" s="37">
        <v>8000</v>
      </c>
      <c r="O26" s="34"/>
      <c r="P26" s="34"/>
      <c r="Q26" s="35"/>
      <c r="R26" s="36"/>
      <c r="S26" s="36" t="e">
        <f>VLOOKUP(Tabla914[[#This Row],[CODIGO DEL PRODUCTO]],Tabla712[],2,FALSE)</f>
        <v>#N/A</v>
      </c>
      <c r="T26" s="37"/>
    </row>
    <row r="27" spans="1:20" x14ac:dyDescent="0.25">
      <c r="A27" s="9"/>
      <c r="B27" s="9"/>
      <c r="C27" s="9"/>
      <c r="D27" s="9"/>
      <c r="E27" s="9"/>
      <c r="F27" s="9"/>
      <c r="H27" s="34" t="s">
        <v>95</v>
      </c>
      <c r="I27" s="32" t="s">
        <v>94</v>
      </c>
      <c r="J27" s="35">
        <v>45583</v>
      </c>
      <c r="K27" s="36" t="s">
        <v>89</v>
      </c>
      <c r="L27" s="41" t="str">
        <f>VLOOKUP(Tabla813[[#This Row],[CODIGO DEL PRODUCTO]],Tabla712[],2,FALSE)</f>
        <v>H 21</v>
      </c>
      <c r="M27" s="37">
        <v>8000</v>
      </c>
      <c r="O27" s="34"/>
      <c r="P27" s="34"/>
      <c r="Q27" s="35"/>
      <c r="R27" s="36"/>
      <c r="S27" s="36" t="e">
        <f>VLOOKUP(Tabla914[[#This Row],[CODIGO DEL PRODUCTO]],Tabla712[],2,FALSE)</f>
        <v>#N/A</v>
      </c>
      <c r="T27" s="37"/>
    </row>
    <row r="28" spans="1:20" x14ac:dyDescent="0.25">
      <c r="A28" s="9"/>
      <c r="B28" s="9"/>
      <c r="C28" s="9"/>
      <c r="D28" s="9"/>
      <c r="E28" s="9"/>
      <c r="F28" s="9"/>
      <c r="H28" s="34" t="s">
        <v>96</v>
      </c>
      <c r="I28" s="32" t="s">
        <v>94</v>
      </c>
      <c r="J28" s="35">
        <v>45583</v>
      </c>
      <c r="K28" s="36" t="s">
        <v>89</v>
      </c>
      <c r="L28" s="41" t="str">
        <f>VLOOKUP(Tabla813[[#This Row],[CODIGO DEL PRODUCTO]],Tabla712[],2,FALSE)</f>
        <v>H 21</v>
      </c>
      <c r="M28" s="37">
        <v>8000</v>
      </c>
      <c r="O28" s="34"/>
      <c r="P28" s="34"/>
      <c r="Q28" s="35"/>
      <c r="R28" s="36"/>
      <c r="S28" s="36" t="e">
        <f>VLOOKUP(Tabla914[[#This Row],[CODIGO DEL PRODUCTO]],Tabla712[],2,FALSE)</f>
        <v>#N/A</v>
      </c>
      <c r="T28" s="37"/>
    </row>
    <row r="29" spans="1:20" x14ac:dyDescent="0.25">
      <c r="A29" s="9"/>
      <c r="B29" s="9"/>
      <c r="C29" s="9"/>
      <c r="D29" s="9"/>
      <c r="E29" s="9"/>
      <c r="F29" s="9"/>
      <c r="H29" s="34" t="s">
        <v>97</v>
      </c>
      <c r="I29" s="32" t="s">
        <v>94</v>
      </c>
      <c r="J29" s="35">
        <v>45583</v>
      </c>
      <c r="K29" s="36" t="s">
        <v>89</v>
      </c>
      <c r="L29" s="41" t="str">
        <f>VLOOKUP(Tabla813[[#This Row],[CODIGO DEL PRODUCTO]],Tabla712[],2,FALSE)</f>
        <v>H 21</v>
      </c>
      <c r="M29" s="37">
        <v>8000</v>
      </c>
      <c r="O29" s="34"/>
      <c r="P29" s="34"/>
      <c r="Q29" s="35"/>
      <c r="R29" s="36"/>
      <c r="S29" s="36" t="e">
        <f>VLOOKUP(Tabla914[[#This Row],[CODIGO DEL PRODUCTO]],Tabla712[],2,FALSE)</f>
        <v>#N/A</v>
      </c>
      <c r="T29" s="37"/>
    </row>
    <row r="30" spans="1:20" x14ac:dyDescent="0.25">
      <c r="A30" s="9"/>
      <c r="B30" s="9"/>
      <c r="C30" s="9"/>
      <c r="D30" s="9"/>
      <c r="E30" s="9"/>
      <c r="F30" s="9"/>
      <c r="H30" s="34" t="s">
        <v>98</v>
      </c>
      <c r="I30" s="32" t="s">
        <v>94</v>
      </c>
      <c r="J30" s="35">
        <v>45583</v>
      </c>
      <c r="K30" s="36" t="s">
        <v>89</v>
      </c>
      <c r="L30" s="41" t="str">
        <f>VLOOKUP(Tabla813[[#This Row],[CODIGO DEL PRODUCTO]],Tabla712[],2,FALSE)</f>
        <v>H 21</v>
      </c>
      <c r="M30" s="37">
        <v>10000</v>
      </c>
      <c r="O30" s="34"/>
      <c r="P30" s="34"/>
      <c r="Q30" s="35"/>
      <c r="R30" s="36"/>
      <c r="S30" s="36" t="e">
        <f>VLOOKUP(Tabla914[[#This Row],[CODIGO DEL PRODUCTO]],Tabla712[],2,FALSE)</f>
        <v>#N/A</v>
      </c>
      <c r="T30" s="37"/>
    </row>
    <row r="31" spans="1:20" x14ac:dyDescent="0.25">
      <c r="A31" s="9"/>
      <c r="B31" s="9"/>
      <c r="C31" s="9"/>
      <c r="D31" s="9"/>
      <c r="E31" s="9"/>
      <c r="F31" s="9"/>
      <c r="H31" s="34" t="s">
        <v>99</v>
      </c>
      <c r="I31" s="32" t="s">
        <v>94</v>
      </c>
      <c r="J31" s="35">
        <v>45583</v>
      </c>
      <c r="K31" s="36" t="s">
        <v>89</v>
      </c>
      <c r="L31" s="41" t="str">
        <f>VLOOKUP(Tabla813[[#This Row],[CODIGO DEL PRODUCTO]],Tabla712[],2,FALSE)</f>
        <v>H 21</v>
      </c>
      <c r="M31" s="37">
        <v>8000</v>
      </c>
      <c r="O31" s="34"/>
      <c r="P31" s="34"/>
      <c r="Q31" s="35"/>
      <c r="R31" s="36"/>
      <c r="S31" s="36" t="e">
        <f>VLOOKUP(Tabla914[[#This Row],[CODIGO DEL PRODUCTO]],Tabla712[],2,FALSE)</f>
        <v>#N/A</v>
      </c>
      <c r="T31" s="37"/>
    </row>
    <row r="32" spans="1:20" x14ac:dyDescent="0.25">
      <c r="A32" s="9"/>
      <c r="B32" s="9"/>
      <c r="C32" s="9"/>
      <c r="D32" s="9"/>
      <c r="E32" s="9"/>
      <c r="F32" s="9"/>
      <c r="H32" s="34" t="s">
        <v>100</v>
      </c>
      <c r="I32" s="32" t="s">
        <v>94</v>
      </c>
      <c r="J32" s="35">
        <v>45583</v>
      </c>
      <c r="K32" s="36" t="s">
        <v>89</v>
      </c>
      <c r="L32" s="41" t="str">
        <f>VLOOKUP(Tabla813[[#This Row],[CODIGO DEL PRODUCTO]],Tabla712[],2,FALSE)</f>
        <v>H 21</v>
      </c>
      <c r="M32" s="37">
        <v>8000</v>
      </c>
      <c r="O32" s="34"/>
      <c r="P32" s="34"/>
      <c r="Q32" s="35"/>
      <c r="R32" s="36"/>
      <c r="S32" s="36" t="e">
        <f>VLOOKUP(Tabla914[[#This Row],[CODIGO DEL PRODUCTO]],Tabla712[],2,FALSE)</f>
        <v>#N/A</v>
      </c>
      <c r="T32" s="37"/>
    </row>
    <row r="33" spans="1:20" x14ac:dyDescent="0.25">
      <c r="A33" s="9"/>
      <c r="B33" s="9"/>
      <c r="C33" s="9"/>
      <c r="D33" s="9"/>
      <c r="E33" s="9"/>
      <c r="F33" s="9"/>
      <c r="H33" s="34" t="s">
        <v>101</v>
      </c>
      <c r="I33" s="32" t="s">
        <v>94</v>
      </c>
      <c r="J33" s="35">
        <v>45583</v>
      </c>
      <c r="K33" s="36" t="s">
        <v>89</v>
      </c>
      <c r="L33" s="41" t="str">
        <f>VLOOKUP(Tabla813[[#This Row],[CODIGO DEL PRODUCTO]],Tabla712[],2,FALSE)</f>
        <v>H 21</v>
      </c>
      <c r="M33" s="37">
        <v>8000</v>
      </c>
      <c r="O33" s="34"/>
      <c r="P33" s="34"/>
      <c r="Q33" s="35"/>
      <c r="R33" s="36"/>
      <c r="S33" s="36" t="e">
        <f>VLOOKUP(Tabla914[[#This Row],[CODIGO DEL PRODUCTO]],Tabla712[],2,FALSE)</f>
        <v>#N/A</v>
      </c>
      <c r="T33" s="37"/>
    </row>
    <row r="34" spans="1:20" x14ac:dyDescent="0.25">
      <c r="A34" s="9"/>
      <c r="B34" s="9"/>
      <c r="C34" s="9"/>
      <c r="D34" s="9"/>
      <c r="E34" s="9"/>
      <c r="F34" s="9"/>
      <c r="H34" s="34" t="s">
        <v>102</v>
      </c>
      <c r="I34" s="32" t="s">
        <v>94</v>
      </c>
      <c r="J34" s="35">
        <v>45583</v>
      </c>
      <c r="K34" s="36" t="s">
        <v>89</v>
      </c>
      <c r="L34" s="41" t="str">
        <f>VLOOKUP(Tabla813[[#This Row],[CODIGO DEL PRODUCTO]],Tabla712[],2,FALSE)</f>
        <v>H 21</v>
      </c>
      <c r="M34" s="37">
        <v>10000</v>
      </c>
      <c r="O34" s="34"/>
      <c r="P34" s="34"/>
      <c r="Q34" s="35"/>
      <c r="R34" s="36"/>
      <c r="S34" s="36" t="e">
        <f>VLOOKUP(Tabla914[[#This Row],[CODIGO DEL PRODUCTO]],Tabla712[],2,FALSE)</f>
        <v>#N/A</v>
      </c>
      <c r="T34" s="37"/>
    </row>
    <row r="35" spans="1:20" x14ac:dyDescent="0.25">
      <c r="A35" s="9"/>
      <c r="B35" s="9"/>
      <c r="C35" s="9"/>
      <c r="D35" s="9"/>
      <c r="E35" s="9"/>
      <c r="F35" s="9"/>
      <c r="H35" s="34" t="s">
        <v>103</v>
      </c>
      <c r="I35" s="32" t="s">
        <v>94</v>
      </c>
      <c r="J35" s="35">
        <v>45583</v>
      </c>
      <c r="K35" s="36" t="s">
        <v>89</v>
      </c>
      <c r="L35" s="41" t="str">
        <f>VLOOKUP(Tabla813[[#This Row],[CODIGO DEL PRODUCTO]],Tabla712[],2,FALSE)</f>
        <v>H 21</v>
      </c>
      <c r="M35" s="37">
        <v>10000</v>
      </c>
      <c r="O35" s="34"/>
      <c r="P35" s="34"/>
      <c r="Q35" s="35"/>
      <c r="R35" s="36"/>
      <c r="S35" s="36" t="e">
        <f>VLOOKUP(Tabla914[[#This Row],[CODIGO DEL PRODUCTO]],Tabla712[],2,FALSE)</f>
        <v>#N/A</v>
      </c>
      <c r="T35" s="37"/>
    </row>
    <row r="36" spans="1:20" x14ac:dyDescent="0.25">
      <c r="A36" s="9"/>
      <c r="B36" s="9"/>
      <c r="C36" s="9"/>
      <c r="D36" s="9"/>
      <c r="E36" s="9"/>
      <c r="F36" s="9"/>
      <c r="H36" s="34" t="s">
        <v>104</v>
      </c>
      <c r="I36" s="32" t="s">
        <v>94</v>
      </c>
      <c r="J36" s="35">
        <v>45583</v>
      </c>
      <c r="K36" s="36" t="s">
        <v>89</v>
      </c>
      <c r="L36" s="41" t="str">
        <f>VLOOKUP(Tabla813[[#This Row],[CODIGO DEL PRODUCTO]],Tabla712[],2,FALSE)</f>
        <v>H 21</v>
      </c>
      <c r="M36" s="37">
        <v>8000</v>
      </c>
      <c r="O36" s="34"/>
      <c r="P36" s="34"/>
      <c r="Q36" s="35"/>
      <c r="R36" s="36"/>
      <c r="S36" s="36" t="e">
        <f>VLOOKUP(Tabla914[[#This Row],[CODIGO DEL PRODUCTO]],Tabla712[],2,FALSE)</f>
        <v>#N/A</v>
      </c>
      <c r="T36" s="37"/>
    </row>
    <row r="37" spans="1:20" x14ac:dyDescent="0.25">
      <c r="A37" s="9"/>
      <c r="B37" s="9"/>
      <c r="C37" s="9"/>
      <c r="D37" s="9"/>
      <c r="E37" s="9"/>
      <c r="F37" s="9"/>
      <c r="H37" s="34" t="s">
        <v>105</v>
      </c>
      <c r="I37" s="32" t="s">
        <v>94</v>
      </c>
      <c r="J37" s="35">
        <v>45583</v>
      </c>
      <c r="K37" s="36" t="s">
        <v>89</v>
      </c>
      <c r="L37" s="41" t="str">
        <f>VLOOKUP(Tabla813[[#This Row],[CODIGO DEL PRODUCTO]],Tabla712[],2,FALSE)</f>
        <v>H 21</v>
      </c>
      <c r="M37" s="37">
        <v>8000</v>
      </c>
      <c r="O37" s="34"/>
      <c r="P37" s="34"/>
      <c r="Q37" s="35"/>
      <c r="R37" s="36"/>
      <c r="S37" s="36" t="e">
        <f>VLOOKUP(Tabla914[[#This Row],[CODIGO DEL PRODUCTO]],Tabla712[],2,FALSE)</f>
        <v>#N/A</v>
      </c>
      <c r="T37" s="37"/>
    </row>
    <row r="38" spans="1:20" x14ac:dyDescent="0.25">
      <c r="A38" s="9"/>
      <c r="B38" s="9"/>
      <c r="C38" s="9"/>
      <c r="D38" s="9"/>
      <c r="E38" s="9"/>
      <c r="F38" s="9"/>
      <c r="H38" s="34" t="s">
        <v>106</v>
      </c>
      <c r="I38" s="32" t="s">
        <v>94</v>
      </c>
      <c r="J38" s="35">
        <v>45583</v>
      </c>
      <c r="K38" s="36" t="s">
        <v>89</v>
      </c>
      <c r="L38" s="41" t="str">
        <f>VLOOKUP(Tabla813[[#This Row],[CODIGO DEL PRODUCTO]],Tabla712[],2,FALSE)</f>
        <v>H 21</v>
      </c>
      <c r="M38" s="37">
        <v>8000</v>
      </c>
      <c r="O38" s="34"/>
      <c r="P38" s="34"/>
      <c r="Q38" s="35"/>
      <c r="R38" s="36"/>
      <c r="S38" s="36" t="e">
        <f>VLOOKUP(Tabla914[[#This Row],[CODIGO DEL PRODUCTO]],Tabla712[],2,FALSE)</f>
        <v>#N/A</v>
      </c>
      <c r="T38" s="37"/>
    </row>
    <row r="39" spans="1:20" x14ac:dyDescent="0.25">
      <c r="A39" s="9"/>
      <c r="B39" s="9"/>
      <c r="C39" s="9"/>
      <c r="D39" s="9"/>
      <c r="E39" s="9"/>
      <c r="F39" s="9"/>
      <c r="H39" s="34" t="s">
        <v>107</v>
      </c>
      <c r="I39" s="32" t="s">
        <v>94</v>
      </c>
      <c r="J39" s="35">
        <v>45583</v>
      </c>
      <c r="K39" s="36" t="s">
        <v>89</v>
      </c>
      <c r="L39" s="41" t="str">
        <f>VLOOKUP(Tabla813[[#This Row],[CODIGO DEL PRODUCTO]],Tabla712[],2,FALSE)</f>
        <v>H 21</v>
      </c>
      <c r="M39" s="37">
        <v>8000</v>
      </c>
      <c r="O39" s="34"/>
      <c r="P39" s="34"/>
      <c r="Q39" s="35"/>
      <c r="R39" s="36"/>
      <c r="S39" s="36" t="e">
        <f>VLOOKUP(Tabla914[[#This Row],[CODIGO DEL PRODUCTO]],Tabla712[],2,FALSE)</f>
        <v>#N/A</v>
      </c>
      <c r="T39" s="37"/>
    </row>
    <row r="40" spans="1:20" x14ac:dyDescent="0.25">
      <c r="A40" s="9"/>
      <c r="B40" s="9"/>
      <c r="C40" s="9"/>
      <c r="D40" s="9"/>
      <c r="E40" s="9"/>
      <c r="F40" s="9"/>
      <c r="H40" s="34" t="s">
        <v>108</v>
      </c>
      <c r="I40" s="32" t="s">
        <v>94</v>
      </c>
      <c r="J40" s="35">
        <v>45583</v>
      </c>
      <c r="K40" s="36" t="s">
        <v>89</v>
      </c>
      <c r="L40" s="41" t="str">
        <f>VLOOKUP(Tabla813[[#This Row],[CODIGO DEL PRODUCTO]],Tabla712[],2,FALSE)</f>
        <v>H 21</v>
      </c>
      <c r="M40" s="37">
        <v>8000</v>
      </c>
      <c r="O40" s="34"/>
      <c r="P40" s="34"/>
      <c r="Q40" s="35"/>
      <c r="R40" s="36"/>
      <c r="S40" s="36" t="e">
        <f>VLOOKUP(Tabla914[[#This Row],[CODIGO DEL PRODUCTO]],Tabla712[],2,FALSE)</f>
        <v>#N/A</v>
      </c>
      <c r="T40" s="37"/>
    </row>
    <row r="41" spans="1:20" x14ac:dyDescent="0.25">
      <c r="A41" s="9"/>
      <c r="B41" s="9"/>
      <c r="C41" s="9"/>
      <c r="D41" s="9"/>
      <c r="E41" s="9"/>
      <c r="F41" s="9"/>
      <c r="H41" s="34" t="s">
        <v>109</v>
      </c>
      <c r="I41" s="32" t="s">
        <v>94</v>
      </c>
      <c r="J41" s="35">
        <v>45583</v>
      </c>
      <c r="K41" s="36" t="s">
        <v>89</v>
      </c>
      <c r="L41" s="41" t="str">
        <f>VLOOKUP(Tabla813[[#This Row],[CODIGO DEL PRODUCTO]],Tabla712[],2,FALSE)</f>
        <v>H 21</v>
      </c>
      <c r="M41" s="37">
        <v>8000</v>
      </c>
      <c r="O41" s="34"/>
      <c r="P41" s="34"/>
      <c r="Q41" s="35"/>
      <c r="R41" s="36"/>
      <c r="S41" s="36" t="e">
        <f>VLOOKUP(Tabla914[[#This Row],[CODIGO DEL PRODUCTO]],Tabla712[],2,FALSE)</f>
        <v>#N/A</v>
      </c>
      <c r="T41" s="37"/>
    </row>
    <row r="42" spans="1:20" x14ac:dyDescent="0.25">
      <c r="A42" s="9"/>
      <c r="B42" s="9"/>
      <c r="C42" s="9"/>
      <c r="D42" s="9"/>
      <c r="E42" s="9"/>
      <c r="F42" s="9"/>
      <c r="H42" s="34" t="s">
        <v>110</v>
      </c>
      <c r="I42" s="32" t="s">
        <v>94</v>
      </c>
      <c r="J42" s="35">
        <v>45583</v>
      </c>
      <c r="K42" s="36" t="s">
        <v>89</v>
      </c>
      <c r="L42" s="41" t="str">
        <f>VLOOKUP(Tabla813[[#This Row],[CODIGO DEL PRODUCTO]],Tabla712[],2,FALSE)</f>
        <v>H 21</v>
      </c>
      <c r="M42" s="37">
        <v>8000</v>
      </c>
      <c r="O42" s="34"/>
      <c r="P42" s="34"/>
      <c r="Q42" s="35"/>
      <c r="R42" s="36"/>
      <c r="S42" s="36" t="e">
        <f>VLOOKUP(Tabla914[[#This Row],[CODIGO DEL PRODUCTO]],Tabla712[],2,FALSE)</f>
        <v>#N/A</v>
      </c>
      <c r="T42" s="37"/>
    </row>
    <row r="43" spans="1:20" x14ac:dyDescent="0.25">
      <c r="A43" s="9"/>
      <c r="B43" s="9"/>
      <c r="C43" s="9"/>
      <c r="D43" s="9"/>
      <c r="E43" s="9"/>
      <c r="F43" s="9"/>
      <c r="H43" s="34"/>
      <c r="I43" s="32"/>
      <c r="J43" s="35"/>
      <c r="K43" s="36"/>
      <c r="L43" s="41" t="e">
        <f>VLOOKUP(Tabla813[[#This Row],[CODIGO DEL PRODUCTO]],Tabla712[],2,FALSE)</f>
        <v>#N/A</v>
      </c>
      <c r="M43" s="37"/>
      <c r="O43" s="34"/>
      <c r="P43" s="34"/>
      <c r="Q43" s="35"/>
      <c r="R43" s="36"/>
      <c r="S43" s="36" t="e">
        <f>VLOOKUP(Tabla914[[#This Row],[CODIGO DEL PRODUCTO]],Tabla712[],2,FALSE)</f>
        <v>#N/A</v>
      </c>
      <c r="T43" s="37"/>
    </row>
    <row r="44" spans="1:20" x14ac:dyDescent="0.25">
      <c r="H44" s="34"/>
      <c r="I44" s="40"/>
      <c r="J44" s="35"/>
      <c r="K44" s="36"/>
      <c r="L44" s="42" t="e">
        <f>VLOOKUP(Tabla813[[#This Row],[CODIGO DEL PRODUCTO]],Tabla712[],2,FALSE)</f>
        <v>#N/A</v>
      </c>
      <c r="M44" s="37"/>
      <c r="O44" s="34"/>
      <c r="P44" s="34"/>
      <c r="Q44" s="35"/>
      <c r="R44" s="36"/>
      <c r="S44" s="36" t="e">
        <f>VLOOKUP(Tabla914[[#This Row],[CODIGO DEL PRODUCTO]],Tabla712[],2,FALSE)</f>
        <v>#N/A</v>
      </c>
      <c r="T44" s="37"/>
    </row>
    <row r="45" spans="1:20" x14ac:dyDescent="0.25">
      <c r="H45" s="34"/>
      <c r="I45" s="40"/>
      <c r="J45" s="35"/>
      <c r="K45" s="36"/>
      <c r="L45" s="42" t="e">
        <f>VLOOKUP(Tabla813[[#This Row],[CODIGO DEL PRODUCTO]],Tabla712[],2,FALSE)</f>
        <v>#N/A</v>
      </c>
      <c r="M45" s="37"/>
      <c r="O45" s="34"/>
      <c r="P45" s="34"/>
      <c r="Q45" s="35"/>
      <c r="R45" s="36"/>
      <c r="S45" s="36" t="e">
        <f>VLOOKUP(Tabla914[[#This Row],[CODIGO DEL PRODUCTO]],Tabla712[],2,FALSE)</f>
        <v>#N/A</v>
      </c>
      <c r="T45" s="37"/>
    </row>
    <row r="46" spans="1:20" x14ac:dyDescent="0.25">
      <c r="H46" s="34"/>
      <c r="I46" s="34"/>
      <c r="J46" s="35"/>
      <c r="K46" s="36"/>
      <c r="L46" s="39" t="e">
        <f>VLOOKUP(Tabla813[[#This Row],[CODIGO DEL PRODUCTO]],Tabla712[],2,FALSE)</f>
        <v>#N/A</v>
      </c>
      <c r="M46" s="37"/>
      <c r="O46" s="34"/>
      <c r="P46" s="34"/>
      <c r="Q46" s="35"/>
      <c r="R46" s="36"/>
      <c r="S46" s="36" t="e">
        <f>VLOOKUP(Tabla914[[#This Row],[CODIGO DEL PRODUCTO]],Tabla712[],2,FALSE)</f>
        <v>#N/A</v>
      </c>
      <c r="T46" s="37"/>
    </row>
    <row r="47" spans="1:20" x14ac:dyDescent="0.25">
      <c r="H47" s="34"/>
      <c r="I47" s="44"/>
      <c r="J47" s="35"/>
      <c r="K47" s="36"/>
      <c r="L47" s="39" t="e">
        <f>VLOOKUP(Tabla813[[#This Row],[CODIGO DEL PRODUCTO]],Tabla712[],2,FALSE)</f>
        <v>#N/A</v>
      </c>
      <c r="M47" s="37"/>
      <c r="O47" s="34"/>
      <c r="P47" s="34"/>
      <c r="Q47" s="35"/>
      <c r="R47" s="36"/>
      <c r="S47" s="36" t="e">
        <f>VLOOKUP(Tabla914[[#This Row],[CODIGO DEL PRODUCTO]],Tabla712[],2,FALSE)</f>
        <v>#N/A</v>
      </c>
      <c r="T47" s="37"/>
    </row>
    <row r="48" spans="1:20" x14ac:dyDescent="0.25">
      <c r="H48" s="34"/>
      <c r="I48" s="34"/>
      <c r="J48" s="35"/>
      <c r="K48" s="36"/>
      <c r="L48" s="39" t="e">
        <f>VLOOKUP(Tabla813[[#This Row],[CODIGO DEL PRODUCTO]],Tabla712[],2,FALSE)</f>
        <v>#N/A</v>
      </c>
      <c r="M48" s="37"/>
      <c r="O48" s="34"/>
      <c r="P48" s="34"/>
      <c r="Q48" s="35"/>
      <c r="R48" s="36"/>
      <c r="S48" s="36" t="e">
        <f>VLOOKUP(Tabla914[[#This Row],[CODIGO DEL PRODUCTO]],Tabla712[],2,FALSE)</f>
        <v>#N/A</v>
      </c>
      <c r="T48" s="37"/>
    </row>
    <row r="49" spans="8:20" x14ac:dyDescent="0.25">
      <c r="H49" s="34"/>
      <c r="I49" s="34"/>
      <c r="J49" s="35"/>
      <c r="K49" s="36"/>
      <c r="L49" s="39" t="e">
        <f>VLOOKUP(Tabla813[[#This Row],[CODIGO DEL PRODUCTO]],Tabla712[],2,FALSE)</f>
        <v>#N/A</v>
      </c>
      <c r="M49" s="37"/>
      <c r="O49" s="34"/>
      <c r="P49" s="34"/>
      <c r="Q49" s="35"/>
      <c r="R49" s="36"/>
      <c r="S49" s="36" t="e">
        <f>VLOOKUP(Tabla914[[#This Row],[CODIGO DEL PRODUCTO]],Tabla712[],2,FALSE)</f>
        <v>#N/A</v>
      </c>
      <c r="T49" s="37"/>
    </row>
    <row r="50" spans="8:20" x14ac:dyDescent="0.25">
      <c r="H50" s="34"/>
      <c r="I50" s="34"/>
      <c r="J50" s="35"/>
      <c r="K50" s="36"/>
      <c r="L50" s="39" t="e">
        <f>VLOOKUP(Tabla813[[#This Row],[CODIGO DEL PRODUCTO]],Tabla712[],2,FALSE)</f>
        <v>#N/A</v>
      </c>
      <c r="M50" s="37"/>
      <c r="O50" s="34"/>
      <c r="P50" s="34"/>
      <c r="Q50" s="35"/>
      <c r="R50" s="36"/>
      <c r="S50" s="36" t="e">
        <f>VLOOKUP(Tabla914[[#This Row],[CODIGO DEL PRODUCTO]],Tabla712[],2,FALSE)</f>
        <v>#N/A</v>
      </c>
      <c r="T50" s="37"/>
    </row>
    <row r="51" spans="8:20" x14ac:dyDescent="0.25">
      <c r="H51" s="34"/>
      <c r="I51" s="34"/>
      <c r="J51" s="35"/>
      <c r="K51" s="36"/>
      <c r="L51" s="39" t="e">
        <f>VLOOKUP(Tabla813[[#This Row],[CODIGO DEL PRODUCTO]],Tabla712[],2,FALSE)</f>
        <v>#N/A</v>
      </c>
      <c r="M51" s="37"/>
      <c r="O51" s="34"/>
      <c r="P51" s="34"/>
      <c r="Q51" s="35"/>
      <c r="R51" s="36"/>
      <c r="S51" s="36" t="e">
        <f>VLOOKUP(Tabla914[[#This Row],[CODIGO DEL PRODUCTO]],Tabla712[],2,FALSE)</f>
        <v>#N/A</v>
      </c>
      <c r="T51" s="37"/>
    </row>
    <row r="52" spans="8:20" x14ac:dyDescent="0.25">
      <c r="H52" s="34"/>
      <c r="I52" s="34"/>
      <c r="J52" s="35"/>
      <c r="K52" s="36"/>
      <c r="L52" s="39" t="e">
        <f>VLOOKUP(Tabla813[[#This Row],[CODIGO DEL PRODUCTO]],Tabla712[],2,FALSE)</f>
        <v>#N/A</v>
      </c>
      <c r="M52" s="37"/>
      <c r="O52" s="34"/>
      <c r="P52" s="34"/>
      <c r="Q52" s="35"/>
      <c r="R52" s="36"/>
      <c r="S52" s="36" t="e">
        <f>VLOOKUP(Tabla914[[#This Row],[CODIGO DEL PRODUCTO]],Tabla712[],2,FALSE)</f>
        <v>#N/A</v>
      </c>
      <c r="T52" s="37"/>
    </row>
    <row r="53" spans="8:20" x14ac:dyDescent="0.25">
      <c r="H53" s="34"/>
      <c r="I53" s="34"/>
      <c r="J53" s="35"/>
      <c r="K53" s="36"/>
      <c r="L53" s="39" t="e">
        <f>VLOOKUP(Tabla813[[#This Row],[CODIGO DEL PRODUCTO]],Tabla712[],2,FALSE)</f>
        <v>#N/A</v>
      </c>
      <c r="M53" s="37"/>
      <c r="O53" s="34"/>
      <c r="P53" s="34"/>
      <c r="Q53" s="35"/>
      <c r="R53" s="36"/>
      <c r="S53" s="36" t="e">
        <f>VLOOKUP(Tabla914[[#This Row],[CODIGO DEL PRODUCTO]],Tabla712[],2,FALSE)</f>
        <v>#N/A</v>
      </c>
      <c r="T53" s="37"/>
    </row>
    <row r="54" spans="8:20" x14ac:dyDescent="0.25">
      <c r="H54" s="34"/>
      <c r="I54" s="34"/>
      <c r="J54" s="35"/>
      <c r="K54" s="36"/>
      <c r="L54" s="39" t="e">
        <f>VLOOKUP(Tabla813[[#This Row],[CODIGO DEL PRODUCTO]],Tabla712[],2,FALSE)</f>
        <v>#N/A</v>
      </c>
      <c r="M54" s="37"/>
      <c r="O54" s="34"/>
      <c r="P54" s="34"/>
      <c r="Q54" s="35"/>
      <c r="R54" s="36"/>
      <c r="S54" s="36" t="e">
        <f>VLOOKUP(Tabla914[[#This Row],[CODIGO DEL PRODUCTO]],Tabla712[],2,FALSE)</f>
        <v>#N/A</v>
      </c>
      <c r="T54" s="37"/>
    </row>
    <row r="55" spans="8:20" x14ac:dyDescent="0.25">
      <c r="H55" s="34"/>
      <c r="I55" s="34"/>
      <c r="J55" s="35"/>
      <c r="K55" s="36"/>
      <c r="L55" s="39" t="e">
        <f>VLOOKUP(Tabla813[[#This Row],[CODIGO DEL PRODUCTO]],Tabla712[],2,FALSE)</f>
        <v>#N/A</v>
      </c>
      <c r="M55" s="37"/>
    </row>
    <row r="56" spans="8:20" x14ac:dyDescent="0.25">
      <c r="H56" s="34"/>
      <c r="I56" s="34"/>
      <c r="J56" s="35"/>
      <c r="K56" s="36"/>
      <c r="L56" s="39" t="e">
        <f>VLOOKUP(Tabla813[[#This Row],[CODIGO DEL PRODUCTO]],Tabla712[],2,FALSE)</f>
        <v>#N/A</v>
      </c>
      <c r="M56" s="37"/>
    </row>
    <row r="57" spans="8:20" x14ac:dyDescent="0.25">
      <c r="H57" s="34"/>
      <c r="I57" s="34"/>
      <c r="J57" s="35"/>
      <c r="K57" s="36"/>
      <c r="L57" s="39" t="e">
        <f>VLOOKUP(Tabla813[[#This Row],[CODIGO DEL PRODUCTO]],Tabla712[],2,FALSE)</f>
        <v>#N/A</v>
      </c>
      <c r="M57" s="37"/>
    </row>
    <row r="58" spans="8:20" x14ac:dyDescent="0.25">
      <c r="H58" s="34"/>
      <c r="I58" s="34"/>
      <c r="J58" s="35"/>
      <c r="K58" s="36"/>
      <c r="L58" s="39" t="e">
        <f>VLOOKUP(Tabla813[[#This Row],[CODIGO DEL PRODUCTO]],Tabla712[],2,FALSE)</f>
        <v>#N/A</v>
      </c>
      <c r="M58" s="37"/>
    </row>
    <row r="59" spans="8:20" x14ac:dyDescent="0.25">
      <c r="H59" s="34"/>
      <c r="I59" s="34"/>
      <c r="J59" s="35"/>
      <c r="K59" s="36"/>
      <c r="L59" s="39" t="e">
        <f>VLOOKUP(Tabla813[[#This Row],[CODIGO DEL PRODUCTO]],Tabla712[],2,FALSE)</f>
        <v>#N/A</v>
      </c>
      <c r="M59" s="37"/>
    </row>
    <row r="60" spans="8:20" x14ac:dyDescent="0.25">
      <c r="H60" s="34"/>
      <c r="I60" s="34"/>
      <c r="J60" s="35"/>
      <c r="K60" s="36"/>
      <c r="L60" s="39" t="e">
        <f>VLOOKUP(Tabla813[[#This Row],[CODIGO DEL PRODUCTO]],Tabla712[],2,FALSE)</f>
        <v>#N/A</v>
      </c>
      <c r="M60" s="37"/>
    </row>
    <row r="61" spans="8:20" x14ac:dyDescent="0.25">
      <c r="H61" s="34"/>
      <c r="I61" s="34"/>
      <c r="J61" s="35"/>
      <c r="K61" s="36"/>
      <c r="L61" s="39" t="e">
        <f>VLOOKUP(Tabla813[[#This Row],[CODIGO DEL PRODUCTO]],Tabla712[],2,FALSE)</f>
        <v>#N/A</v>
      </c>
      <c r="M61" s="37"/>
    </row>
    <row r="62" spans="8:20" x14ac:dyDescent="0.25">
      <c r="H62" s="34"/>
      <c r="I62" s="34"/>
      <c r="J62" s="35"/>
      <c r="K62" s="36"/>
      <c r="L62" s="39" t="e">
        <f>VLOOKUP(Tabla813[[#This Row],[CODIGO DEL PRODUCTO]],Tabla712[],2,FALSE)</f>
        <v>#N/A</v>
      </c>
      <c r="M62" s="37"/>
    </row>
    <row r="63" spans="8:20" x14ac:dyDescent="0.25">
      <c r="H63" s="34"/>
      <c r="I63" s="34"/>
      <c r="J63" s="35"/>
      <c r="K63" s="36"/>
      <c r="L63" s="39" t="e">
        <f>VLOOKUP(Tabla813[[#This Row],[CODIGO DEL PRODUCTO]],Tabla712[],2,FALSE)</f>
        <v>#N/A</v>
      </c>
      <c r="M63" s="37"/>
    </row>
    <row r="64" spans="8:20" x14ac:dyDescent="0.25">
      <c r="H64" s="34"/>
      <c r="I64" s="34"/>
      <c r="J64" s="36"/>
      <c r="K64" s="36"/>
      <c r="L64" s="39" t="e">
        <f>VLOOKUP(Tabla813[[#This Row],[CODIGO DEL PRODUCTO]],Tabla712[],2,FALSE)</f>
        <v>#N/A</v>
      </c>
      <c r="M64" s="37"/>
    </row>
    <row r="65" spans="8:13" x14ac:dyDescent="0.25">
      <c r="H65" s="34"/>
      <c r="I65" s="34"/>
      <c r="J65" s="35"/>
      <c r="K65" s="36"/>
      <c r="L65" s="39" t="e">
        <f>VLOOKUP(Tabla813[[#This Row],[CODIGO DEL PRODUCTO]],Tabla712[],2,FALSE)</f>
        <v>#N/A</v>
      </c>
      <c r="M65" s="37"/>
    </row>
    <row r="66" spans="8:13" x14ac:dyDescent="0.25">
      <c r="H66" s="34"/>
      <c r="I66" s="34"/>
      <c r="J66" s="36"/>
      <c r="K66" s="36"/>
      <c r="L66" s="39" t="e">
        <f>VLOOKUP(Tabla813[[#This Row],[CODIGO DEL PRODUCTO]],Tabla712[],2,FALSE)</f>
        <v>#N/A</v>
      </c>
      <c r="M66" s="37"/>
    </row>
    <row r="67" spans="8:13" x14ac:dyDescent="0.25">
      <c r="H67" s="34"/>
      <c r="I67" s="34"/>
      <c r="J67" s="35"/>
      <c r="K67" s="36"/>
      <c r="L67" s="39" t="e">
        <f>VLOOKUP(Tabla813[[#This Row],[CODIGO DEL PRODUCTO]],Tabla712[],2,FALSE)</f>
        <v>#N/A</v>
      </c>
      <c r="M67" s="37"/>
    </row>
    <row r="68" spans="8:13" x14ac:dyDescent="0.25">
      <c r="H68" s="34"/>
      <c r="I68" s="34"/>
      <c r="J68" s="35"/>
      <c r="K68" s="36"/>
      <c r="L68" s="39" t="e">
        <f>VLOOKUP(Tabla813[[#This Row],[CODIGO DEL PRODUCTO]],Tabla712[],2,FALSE)</f>
        <v>#N/A</v>
      </c>
      <c r="M68" s="37"/>
    </row>
    <row r="69" spans="8:13" x14ac:dyDescent="0.25">
      <c r="H69" s="34"/>
      <c r="I69" s="34"/>
      <c r="J69" s="35"/>
      <c r="K69" s="36"/>
      <c r="L69" s="39" t="e">
        <f>VLOOKUP(Tabla813[[#This Row],[CODIGO DEL PRODUCTO]],Tabla712[],2,FALSE)</f>
        <v>#N/A</v>
      </c>
      <c r="M69" s="37"/>
    </row>
    <row r="70" spans="8:13" x14ac:dyDescent="0.25">
      <c r="H70" s="34"/>
      <c r="I70" s="34"/>
      <c r="J70" s="35"/>
      <c r="K70" s="36"/>
      <c r="L70" s="39" t="e">
        <f>VLOOKUP(Tabla813[[#This Row],[CODIGO DEL PRODUCTO]],Tabla712[],2,FALSE)</f>
        <v>#N/A</v>
      </c>
      <c r="M70" s="37"/>
    </row>
    <row r="71" spans="8:13" x14ac:dyDescent="0.25">
      <c r="H71" s="34"/>
      <c r="I71" s="34"/>
      <c r="J71" s="35"/>
      <c r="K71" s="36"/>
      <c r="L71" s="39" t="e">
        <f>VLOOKUP(Tabla813[[#This Row],[CODIGO DEL PRODUCTO]],Tabla712[],2,FALSE)</f>
        <v>#N/A</v>
      </c>
      <c r="M71" s="37"/>
    </row>
    <row r="72" spans="8:13" x14ac:dyDescent="0.25">
      <c r="H72" s="34"/>
      <c r="I72" s="34"/>
      <c r="J72" s="35"/>
      <c r="K72" s="36"/>
      <c r="L72" s="39" t="e">
        <f>VLOOKUP(Tabla813[[#This Row],[CODIGO DEL PRODUCTO]],Tabla712[],2,FALSE)</f>
        <v>#N/A</v>
      </c>
      <c r="M72" s="37"/>
    </row>
    <row r="73" spans="8:13" x14ac:dyDescent="0.25">
      <c r="H73" s="34"/>
      <c r="I73" s="34"/>
      <c r="J73" s="35"/>
      <c r="K73" s="36"/>
      <c r="L73" s="39" t="e">
        <f>VLOOKUP(Tabla813[[#This Row],[CODIGO DEL PRODUCTO]],Tabla712[],2,FALSE)</f>
        <v>#N/A</v>
      </c>
      <c r="M73" s="37"/>
    </row>
    <row r="74" spans="8:13" x14ac:dyDescent="0.25">
      <c r="H74" s="34"/>
      <c r="I74" s="34"/>
      <c r="J74" s="35"/>
      <c r="K74" s="36"/>
      <c r="L74" s="39" t="e">
        <f>VLOOKUP(Tabla813[[#This Row],[CODIGO DEL PRODUCTO]],Tabla712[],2,FALSE)</f>
        <v>#N/A</v>
      </c>
      <c r="M74" s="37"/>
    </row>
    <row r="75" spans="8:13" x14ac:dyDescent="0.25">
      <c r="H75" s="34"/>
      <c r="I75" s="34"/>
      <c r="J75" s="35"/>
      <c r="K75" s="36"/>
      <c r="L75" s="39" t="e">
        <f>VLOOKUP(Tabla813[[#This Row],[CODIGO DEL PRODUCTO]],Tabla712[],2,FALSE)</f>
        <v>#N/A</v>
      </c>
      <c r="M75" s="37"/>
    </row>
    <row r="76" spans="8:13" x14ac:dyDescent="0.25">
      <c r="H76" s="34"/>
      <c r="I76" s="34"/>
      <c r="J76" s="35"/>
      <c r="K76" s="36"/>
      <c r="L76" s="39" t="e">
        <f>VLOOKUP(Tabla813[[#This Row],[CODIGO DEL PRODUCTO]],Tabla712[],2,FALSE)</f>
        <v>#N/A</v>
      </c>
      <c r="M76" s="37"/>
    </row>
    <row r="77" spans="8:13" x14ac:dyDescent="0.25">
      <c r="H77" s="34"/>
      <c r="I77" s="34"/>
      <c r="J77" s="35"/>
      <c r="K77" s="36"/>
      <c r="L77" s="39" t="e">
        <f>VLOOKUP(Tabla813[[#This Row],[CODIGO DEL PRODUCTO]],Tabla712[],2,FALSE)</f>
        <v>#N/A</v>
      </c>
      <c r="M77" s="37"/>
    </row>
    <row r="78" spans="8:13" x14ac:dyDescent="0.25">
      <c r="H78" s="34"/>
      <c r="I78" s="34"/>
      <c r="J78" s="35"/>
      <c r="K78" s="36"/>
      <c r="L78" s="39" t="e">
        <f>VLOOKUP(Tabla813[[#This Row],[CODIGO DEL PRODUCTO]],Tabla712[],2,FALSE)</f>
        <v>#N/A</v>
      </c>
      <c r="M78" s="37"/>
    </row>
    <row r="79" spans="8:13" x14ac:dyDescent="0.25">
      <c r="H79" s="34"/>
      <c r="I79" s="34"/>
      <c r="J79" s="35"/>
      <c r="K79" s="36"/>
      <c r="L79" s="39" t="e">
        <f>VLOOKUP(Tabla813[[#This Row],[CODIGO DEL PRODUCTO]],Tabla712[],2,FALSE)</f>
        <v>#N/A</v>
      </c>
      <c r="M79" s="37"/>
    </row>
  </sheetData>
  <mergeCells count="3">
    <mergeCell ref="A3:F3"/>
    <mergeCell ref="H3:M3"/>
    <mergeCell ref="O3:T3"/>
  </mergeCells>
  <conditionalFormatting sqref="H6:H79 O6:O54">
    <cfRule type="duplicateValues" dxfId="32" priority="1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PIEDRA Y ARENA</vt:lpstr>
      <vt:lpstr>STOCK 2026</vt:lpstr>
      <vt:lpstr>INICIO INFORME 2026</vt:lpstr>
      <vt:lpstr>01-03-2025 STOCK</vt:lpstr>
      <vt:lpstr>INICIO INFORME</vt:lpstr>
      <vt:lpstr>STOCK CARGA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alvaro guerrero</cp:lastModifiedBy>
  <cp:lastPrinted>2025-01-20T15:23:39Z</cp:lastPrinted>
  <dcterms:created xsi:type="dcterms:W3CDTF">2024-09-27T14:58:14Z</dcterms:created>
  <dcterms:modified xsi:type="dcterms:W3CDTF">2026-08-08T12:56:11Z</dcterms:modified>
</cp:coreProperties>
</file>